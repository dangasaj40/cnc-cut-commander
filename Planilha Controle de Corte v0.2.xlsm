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anilo\Desktop\cnc-cut-commander-main\"/>
    </mc:Choice>
  </mc:AlternateContent>
  <xr:revisionPtr revIDLastSave="0" documentId="13_ncr:1_{F97734CE-E0E4-47E1-A2F3-0833C075E991}" xr6:coauthVersionLast="47" xr6:coauthVersionMax="47" xr10:uidLastSave="{00000000-0000-0000-0000-000000000000}"/>
  <bookViews>
    <workbookView xWindow="1125" yWindow="480" windowWidth="23925" windowHeight="14400" tabRatio="739" firstSheet="1" activeTab="2" xr2:uid="{00000000-000D-0000-FFFF-FFFF00000000}"/>
  </bookViews>
  <sheets>
    <sheet name="INSTRUCOES" sheetId="1" state="hidden" r:id="rId1"/>
    <sheet name="CAD_BALSA" sheetId="4" r:id="rId2"/>
    <sheet name="EMISSAO" sheetId="7" r:id="rId3"/>
    <sheet name="RETORNO_BAIXA" sheetId="9" r:id="rId4"/>
    <sheet name="EMISSOES" sheetId="6" r:id="rId5"/>
    <sheet name="DASHBOARD" sheetId="11" r:id="rId6"/>
    <sheet name="BASE_DADOS" sheetId="3" r:id="rId7"/>
    <sheet name="CONTROLE_NESTINGS" sheetId="5" r:id="rId8"/>
    <sheet name="FICHA_OPERADOR" sheetId="8" r:id="rId9"/>
    <sheet name="LOG_RETORNO" sheetId="10" r:id="rId10"/>
    <sheet name="PARAMETROS" sheetId="2" r:id="rId11"/>
    <sheet name="AUX_PAINEIS" sheetId="13" r:id="rId12"/>
  </sheets>
  <functionGroups builtInGroupCount="19"/>
  <definedNames>
    <definedName name="_xlnm._FilterDatabase" localSheetId="2" hidden="1">EMISSAO!$A$11:$G$235</definedName>
    <definedName name="_xlnm._FilterDatabase" localSheetId="3" hidden="1">RETORNO_BAIXA!$A$11:$I$34</definedName>
    <definedName name="_xlpm.b" hidden="1" xlm="1">#NAME?</definedName>
    <definedName name="_xlpm.f" hidden="1" xlm="1">#NAME?</definedName>
    <definedName name="_xlpm.p" hidden="1" xlm="1">#NAME?</definedName>
    <definedName name="_xlnm.Print_Area" localSheetId="8">FICHA_OPERADOR!$A$1:$J$29</definedName>
    <definedName name="ListaOperadores">PARAMETROS!$S$5:$S$9</definedName>
    <definedName name="ListaRetornoPendente">PARAMETROS!$Q$5:$Q$22</definedName>
    <definedName name="_xlnm.Print_Titles" localSheetId="8">FICHA_OPERADOR!$1:$9</definedName>
  </definedNames>
  <calcPr calcId="191028" forceFullCalc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4" l="1"/>
  <c r="F8" i="4"/>
  <c r="E8" i="4"/>
  <c r="D8" i="4"/>
  <c r="G7" i="4"/>
  <c r="F7" i="4"/>
  <c r="E7" i="4"/>
  <c r="D7" i="4"/>
  <c r="G6" i="4"/>
  <c r="F6" i="4"/>
  <c r="E6" i="4"/>
  <c r="D6" i="4"/>
  <c r="A13" i="11"/>
  <c r="A14" i="11"/>
  <c r="B14" i="11" s="1"/>
  <c r="A15" i="11"/>
  <c r="B15" i="11" s="1"/>
  <c r="A16" i="11"/>
  <c r="D16" i="11" s="1"/>
  <c r="A17" i="11"/>
  <c r="I17" i="11" s="1"/>
  <c r="A18" i="11"/>
  <c r="E18" i="11" s="1"/>
  <c r="A19" i="11"/>
  <c r="B19" i="11" s="1"/>
  <c r="D5" i="4"/>
  <c r="E7" i="11" a="1"/>
  <c r="E7" i="11" s="1"/>
  <c r="E5" i="9"/>
  <c r="E4" i="9"/>
  <c r="E8" i="7"/>
  <c r="G5" i="4"/>
  <c r="F5" i="4"/>
  <c r="E5" i="4"/>
  <c r="B6" i="9"/>
  <c r="A59" i="11"/>
  <c r="I59" i="11" s="1"/>
  <c r="A58" i="11"/>
  <c r="B58" i="11" s="1"/>
  <c r="A57" i="11"/>
  <c r="I57" i="11" s="1"/>
  <c r="A56" i="11"/>
  <c r="D56" i="11" s="1"/>
  <c r="A55" i="11"/>
  <c r="G55" i="11" s="1"/>
  <c r="A54" i="11"/>
  <c r="F54" i="11" s="1"/>
  <c r="A53" i="11"/>
  <c r="I53" i="11" s="1"/>
  <c r="A52" i="11"/>
  <c r="H52" i="11" s="1"/>
  <c r="A51" i="11"/>
  <c r="H51" i="11" s="1"/>
  <c r="A50" i="11"/>
  <c r="H50" i="11" s="1"/>
  <c r="A49" i="11"/>
  <c r="C49" i="11" s="1"/>
  <c r="A48" i="11"/>
  <c r="F48" i="11" s="1"/>
  <c r="A47" i="11"/>
  <c r="E47" i="11" s="1"/>
  <c r="A46" i="11"/>
  <c r="H46" i="11" s="1"/>
  <c r="A45" i="11"/>
  <c r="C45" i="11" s="1"/>
  <c r="A44" i="11"/>
  <c r="I44" i="11" s="1"/>
  <c r="A43" i="11"/>
  <c r="I43" i="11" s="1"/>
  <c r="A42" i="11"/>
  <c r="B42" i="11" s="1"/>
  <c r="A41" i="11"/>
  <c r="I41" i="11" s="1"/>
  <c r="A40" i="11"/>
  <c r="D40" i="11" s="1"/>
  <c r="A39" i="11"/>
  <c r="G39" i="11" s="1"/>
  <c r="A38" i="11"/>
  <c r="F38" i="11" s="1"/>
  <c r="A37" i="11"/>
  <c r="I37" i="11" s="1"/>
  <c r="A36" i="11"/>
  <c r="F36" i="11" s="1"/>
  <c r="A35" i="11"/>
  <c r="H35" i="11" s="1"/>
  <c r="A34" i="11"/>
  <c r="D34" i="11" s="1"/>
  <c r="A33" i="11"/>
  <c r="D33" i="11" s="1"/>
  <c r="A32" i="11"/>
  <c r="F32" i="11" s="1"/>
  <c r="A31" i="11"/>
  <c r="E31" i="11" s="1"/>
  <c r="A30" i="11"/>
  <c r="H30" i="11" s="1"/>
  <c r="A29" i="11"/>
  <c r="E29" i="11" s="1"/>
  <c r="A28" i="11"/>
  <c r="I28" i="11" s="1"/>
  <c r="A27" i="11"/>
  <c r="I27" i="11" s="1"/>
  <c r="A26" i="11"/>
  <c r="B26" i="11" s="1"/>
  <c r="A25" i="11"/>
  <c r="H25" i="11" s="1"/>
  <c r="A24" i="11"/>
  <c r="D24" i="11" s="1"/>
  <c r="A23" i="11"/>
  <c r="G23" i="11" s="1"/>
  <c r="A22" i="11"/>
  <c r="E22" i="11" s="1"/>
  <c r="A21" i="11"/>
  <c r="I21" i="11" s="1"/>
  <c r="A20" i="11"/>
  <c r="B20" i="11" s="1"/>
  <c r="A12" i="11"/>
  <c r="C7" i="11"/>
  <c r="A4" i="11"/>
  <c r="B7" i="9"/>
  <c r="B5" i="9"/>
  <c r="B6" i="7"/>
  <c r="B5" i="7"/>
  <c r="I8" i="4" l="1"/>
  <c r="H15" i="11" s="1"/>
  <c r="J8" i="4"/>
  <c r="I15" i="11" s="1"/>
  <c r="H8" i="4"/>
  <c r="G15" i="11" s="1"/>
  <c r="J7" i="4"/>
  <c r="I14" i="11" s="1"/>
  <c r="I7" i="4"/>
  <c r="H14" i="11" s="1"/>
  <c r="H7" i="4"/>
  <c r="G14" i="11" s="1"/>
  <c r="I6" i="4"/>
  <c r="H13" i="11" s="1"/>
  <c r="J6" i="4"/>
  <c r="I13" i="11" s="1"/>
  <c r="H6" i="4"/>
  <c r="G13" i="11" s="1"/>
  <c r="E13" i="11"/>
  <c r="F13" i="11"/>
  <c r="C16" i="11"/>
  <c r="D18" i="11"/>
  <c r="D17" i="11"/>
  <c r="D15" i="11"/>
  <c r="D14" i="11"/>
  <c r="D13" i="11"/>
  <c r="C19" i="11"/>
  <c r="C18" i="11"/>
  <c r="C17" i="11"/>
  <c r="C15" i="11"/>
  <c r="C14" i="11"/>
  <c r="D19" i="11"/>
  <c r="C13" i="11"/>
  <c r="H27" i="11"/>
  <c r="H26" i="11"/>
  <c r="B18" i="11"/>
  <c r="B17" i="11"/>
  <c r="I26" i="11"/>
  <c r="B16" i="11"/>
  <c r="E17" i="11"/>
  <c r="I25" i="11"/>
  <c r="B13" i="11"/>
  <c r="I20" i="11"/>
  <c r="I24" i="11"/>
  <c r="I23" i="11"/>
  <c r="I22" i="11"/>
  <c r="I19" i="11"/>
  <c r="I18" i="11"/>
  <c r="I16" i="11"/>
  <c r="H24" i="11"/>
  <c r="H22" i="11"/>
  <c r="H21" i="11"/>
  <c r="H20" i="11"/>
  <c r="F25" i="11"/>
  <c r="H19" i="11"/>
  <c r="H18" i="11"/>
  <c r="G26" i="11"/>
  <c r="H17" i="11"/>
  <c r="G25" i="11"/>
  <c r="H16" i="11"/>
  <c r="G24" i="11"/>
  <c r="H23" i="11"/>
  <c r="G21" i="11"/>
  <c r="G22" i="11"/>
  <c r="G19" i="11"/>
  <c r="G17" i="11"/>
  <c r="G20" i="11"/>
  <c r="G16" i="11"/>
  <c r="G18" i="11"/>
  <c r="E20" i="11"/>
  <c r="F24" i="11"/>
  <c r="F23" i="11"/>
  <c r="F22" i="11"/>
  <c r="F20" i="11"/>
  <c r="F19" i="11"/>
  <c r="F18" i="11"/>
  <c r="F17" i="11"/>
  <c r="F21" i="11"/>
  <c r="F16" i="11"/>
  <c r="E24" i="11"/>
  <c r="F15" i="11"/>
  <c r="E23" i="11"/>
  <c r="F14" i="11"/>
  <c r="E21" i="11"/>
  <c r="E19" i="11"/>
  <c r="E16" i="11"/>
  <c r="E15" i="11"/>
  <c r="E14" i="11"/>
  <c r="D20" i="11"/>
  <c r="D22" i="11"/>
  <c r="D23" i="11"/>
  <c r="D21" i="11"/>
  <c r="I5" i="4"/>
  <c r="H12" i="11" s="1"/>
  <c r="H5" i="4"/>
  <c r="G12" i="11" s="1"/>
  <c r="J5" i="4"/>
  <c r="A7" i="11"/>
  <c r="G33" i="11"/>
  <c r="I33" i="11"/>
  <c r="H33" i="11"/>
  <c r="F33" i="11"/>
  <c r="I49" i="11"/>
  <c r="G38" i="11"/>
  <c r="E33" i="11"/>
  <c r="G29" i="11"/>
  <c r="F42" i="11"/>
  <c r="G54" i="11"/>
  <c r="D35" i="11"/>
  <c r="I35" i="11"/>
  <c r="I46" i="11"/>
  <c r="G57" i="11"/>
  <c r="B33" i="11"/>
  <c r="H57" i="11"/>
  <c r="F29" i="11"/>
  <c r="C42" i="11"/>
  <c r="H29" i="11"/>
  <c r="B35" i="11"/>
  <c r="F35" i="11"/>
  <c r="F57" i="11"/>
  <c r="C25" i="11"/>
  <c r="C33" i="11"/>
  <c r="E42" i="11"/>
  <c r="I29" i="11"/>
  <c r="C35" i="11"/>
  <c r="E35" i="11"/>
  <c r="C57" i="11"/>
  <c r="C52" i="11"/>
  <c r="E26" i="11"/>
  <c r="C58" i="11"/>
  <c r="E43" i="11"/>
  <c r="E52" i="11"/>
  <c r="F43" i="11"/>
  <c r="G40" i="11"/>
  <c r="G48" i="11"/>
  <c r="G50" i="11"/>
  <c r="D58" i="11"/>
  <c r="C26" i="11"/>
  <c r="I39" i="11"/>
  <c r="B50" i="11"/>
  <c r="D26" i="11"/>
  <c r="G47" i="11"/>
  <c r="I30" i="11"/>
  <c r="F40" i="11"/>
  <c r="C34" i="11"/>
  <c r="G58" i="11"/>
  <c r="D43" i="11"/>
  <c r="C50" i="11"/>
  <c r="I52" i="11"/>
  <c r="F50" i="11"/>
  <c r="D27" i="11"/>
  <c r="F27" i="11"/>
  <c r="E34" i="11"/>
  <c r="G41" i="11"/>
  <c r="E45" i="11"/>
  <c r="B49" i="11"/>
  <c r="C51" i="11"/>
  <c r="H58" i="11"/>
  <c r="D12" i="11"/>
  <c r="C20" i="11"/>
  <c r="G32" i="11"/>
  <c r="F34" i="11"/>
  <c r="H36" i="11"/>
  <c r="H41" i="11"/>
  <c r="F45" i="11"/>
  <c r="D49" i="11"/>
  <c r="D51" i="11"/>
  <c r="E12" i="11"/>
  <c r="B29" i="11"/>
  <c r="H32" i="11"/>
  <c r="G34" i="11"/>
  <c r="I36" i="11"/>
  <c r="G45" i="11"/>
  <c r="E49" i="11"/>
  <c r="E51" i="11"/>
  <c r="E56" i="11"/>
  <c r="B59" i="11"/>
  <c r="H39" i="11"/>
  <c r="F47" i="11"/>
  <c r="D52" i="11"/>
  <c r="E40" i="11"/>
  <c r="E50" i="11"/>
  <c r="F26" i="11"/>
  <c r="D48" i="11"/>
  <c r="E27" i="11"/>
  <c r="B34" i="11"/>
  <c r="C41" i="11"/>
  <c r="E36" i="11"/>
  <c r="F41" i="11"/>
  <c r="D45" i="11"/>
  <c r="D32" i="11"/>
  <c r="G36" i="11"/>
  <c r="I55" i="11"/>
  <c r="H45" i="11"/>
  <c r="F49" i="11"/>
  <c r="F51" i="11"/>
  <c r="D59" i="11"/>
  <c r="D29" i="11"/>
  <c r="I34" i="11"/>
  <c r="D42" i="11"/>
  <c r="I45" i="11"/>
  <c r="G49" i="11"/>
  <c r="G51" i="11"/>
  <c r="G56" i="11"/>
  <c r="E59" i="11"/>
  <c r="F31" i="11"/>
  <c r="C36" i="11"/>
  <c r="B45" i="11"/>
  <c r="H48" i="11"/>
  <c r="I50" i="11"/>
  <c r="E58" i="11"/>
  <c r="G31" i="11"/>
  <c r="D36" i="11"/>
  <c r="I48" i="11"/>
  <c r="F58" i="11"/>
  <c r="B51" i="11"/>
  <c r="H55" i="11"/>
  <c r="F12" i="11"/>
  <c r="C29" i="11"/>
  <c r="I32" i="11"/>
  <c r="H34" i="11"/>
  <c r="F56" i="11"/>
  <c r="H49" i="11"/>
  <c r="I51" i="11"/>
  <c r="F59" i="11"/>
  <c r="D28" i="11"/>
  <c r="I31" i="11"/>
  <c r="D44" i="11"/>
  <c r="B46" i="11"/>
  <c r="I47" i="11"/>
  <c r="C53" i="11"/>
  <c r="H56" i="11"/>
  <c r="B23" i="11"/>
  <c r="E28" i="11"/>
  <c r="C30" i="11"/>
  <c r="D37" i="11"/>
  <c r="B39" i="11"/>
  <c r="I40" i="11"/>
  <c r="G42" i="11"/>
  <c r="E44" i="11"/>
  <c r="C46" i="11"/>
  <c r="D53" i="11"/>
  <c r="B55" i="11"/>
  <c r="I56" i="11"/>
  <c r="C23" i="11"/>
  <c r="F28" i="11"/>
  <c r="D30" i="11"/>
  <c r="B32" i="11"/>
  <c r="G35" i="11"/>
  <c r="E37" i="11"/>
  <c r="C39" i="11"/>
  <c r="H42" i="11"/>
  <c r="F44" i="11"/>
  <c r="D46" i="11"/>
  <c r="B48" i="11"/>
  <c r="E53" i="11"/>
  <c r="C55" i="11"/>
  <c r="B25" i="11"/>
  <c r="G28" i="11"/>
  <c r="E30" i="11"/>
  <c r="C32" i="11"/>
  <c r="F37" i="11"/>
  <c r="D39" i="11"/>
  <c r="B41" i="11"/>
  <c r="I42" i="11"/>
  <c r="G44" i="11"/>
  <c r="E46" i="11"/>
  <c r="C48" i="11"/>
  <c r="F53" i="11"/>
  <c r="D55" i="11"/>
  <c r="B57" i="11"/>
  <c r="I58" i="11"/>
  <c r="B28" i="11"/>
  <c r="H38" i="11"/>
  <c r="B44" i="11"/>
  <c r="H54" i="11"/>
  <c r="B21" i="11"/>
  <c r="H31" i="11"/>
  <c r="B37" i="11"/>
  <c r="I38" i="11"/>
  <c r="C44" i="11"/>
  <c r="H47" i="11"/>
  <c r="C21" i="11"/>
  <c r="B30" i="11"/>
  <c r="C37" i="11"/>
  <c r="H28" i="11"/>
  <c r="F30" i="11"/>
  <c r="E39" i="11"/>
  <c r="H44" i="11"/>
  <c r="F46" i="11"/>
  <c r="G53" i="11"/>
  <c r="C28" i="11"/>
  <c r="B53" i="11"/>
  <c r="I54" i="11"/>
  <c r="H40" i="11"/>
  <c r="G37" i="11"/>
  <c r="E55" i="11"/>
  <c r="B12" i="11"/>
  <c r="D25" i="11"/>
  <c r="B27" i="11"/>
  <c r="G30" i="11"/>
  <c r="E32" i="11"/>
  <c r="H37" i="11"/>
  <c r="F39" i="11"/>
  <c r="D41" i="11"/>
  <c r="B43" i="11"/>
  <c r="G46" i="11"/>
  <c r="E48" i="11"/>
  <c r="H53" i="11"/>
  <c r="F55" i="11"/>
  <c r="D57" i="11"/>
  <c r="C12" i="11"/>
  <c r="E25" i="11"/>
  <c r="C27" i="11"/>
  <c r="B36" i="11"/>
  <c r="E41" i="11"/>
  <c r="C43" i="11"/>
  <c r="D50" i="11"/>
  <c r="B52" i="11"/>
  <c r="E57" i="11"/>
  <c r="C59" i="11"/>
  <c r="B24" i="11"/>
  <c r="G27" i="11"/>
  <c r="C31" i="11"/>
  <c r="D38" i="11"/>
  <c r="B40" i="11"/>
  <c r="G43" i="11"/>
  <c r="C47" i="11"/>
  <c r="F52" i="11"/>
  <c r="D54" i="11"/>
  <c r="B56" i="11"/>
  <c r="G59" i="11"/>
  <c r="B22" i="11"/>
  <c r="B54" i="11"/>
  <c r="C22" i="11"/>
  <c r="G52" i="11"/>
  <c r="E54" i="11"/>
  <c r="C56" i="11"/>
  <c r="H59" i="11"/>
  <c r="B38" i="11"/>
  <c r="B31" i="11"/>
  <c r="C38" i="11"/>
  <c r="B47" i="11"/>
  <c r="C54" i="11"/>
  <c r="C24" i="11"/>
  <c r="D31" i="11"/>
  <c r="E38" i="11"/>
  <c r="C40" i="11"/>
  <c r="H43" i="11"/>
  <c r="D47" i="11"/>
  <c r="E4" i="11" l="1"/>
  <c r="C4" i="11"/>
  <c r="I12" i="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<sst xmlns="http://schemas.openxmlformats.org/spreadsheetml/2006/main" count="55893" uniqueCount="3988">
  <si>
    <t>CONTROLE DE NESTINGS - FLUXO AUTOMATIZADO</t>
  </si>
  <si>
    <t>Fluxo sugerido: 1) cole sua base em BASE_DADOS; 2) rode Cadastrar_Balsa_e_Carregar_Base; 3) em EMISSAO escolha a balsa e filtros opcionais; 4) rode Carregar_Lista_Emissao; 5) marque os nestings e rode Emitir_Selecionados_e_Gerar_PDF; 6) depois use RETORNO_BAIXA com Carregar_Retorno_Emissao e Finalizar_Retorno.</t>
  </si>
  <si>
    <t>1. Cole ou atualize sua base na aba BASE_DADOS. Cada linha da base representa uma peça vinculada a um nesting.</t>
  </si>
  <si>
    <t>2. Rode o macro Cadastrar_Balsa_e_Carregar_Base. Escolha o tipo (BOX/RAKE) e informe o nome da balsa.</t>
  </si>
  <si>
    <t>3. O macro cria a balsa na aba CAD_BALSA e copia toda a base daquele tipo para CONTROLE_NESTINGS, vinculando ao nome da balsa.</t>
  </si>
  <si>
    <t>4. Na aba EMISSAO, selecione o ID da balsa, máquina e turno. BLOCO e PAINEL são filtros opcionais.</t>
  </si>
  <si>
    <t>5. Clique em Carregar_Lista_Emissao: se BLOCO/PAINEL estiverem vazios, aparecem todos os nestings não processados da balsa.</t>
  </si>
  <si>
    <t>6. Marque com X os nestings que deseja emitir. Nestings iguais são agrupados em uma única linha; na EMISSAO aparecem as peças agrupadas e, na FICHA_OPERADOR, aparece somente o tempo de cada nesting e o tempo total da emissão.</t>
  </si>
  <si>
    <t>7. Clique em Emitir_Selecionados_e_Gerar_PDF. O sistema grava a emissão, marca o nesting como Em processamento e abre a janela para salvar o PDF da ficha do operador.</t>
  </si>
  <si>
    <t>8. Quando a ficha retornar, vá em RETORNO_BAIXA, selecione o ID_EMISSAO, carregue o retorno, preencha os dados e clique em Finalizar_Retorno.</t>
  </si>
  <si>
    <t>9. O nesting será marcado como Finalizado e o dashboard da balsa será atualizado automaticamente.</t>
  </si>
  <si>
    <t>10. Para usar os botões, salve o arquivo como .xlsm e importe o módulo .bas entregue junto.</t>
  </si>
  <si>
    <t>CADASTRO E CONTROLE DAS BALSAS</t>
  </si>
  <si>
    <t>Use o macro Cadastrar_Balsa_e_Carregar_Base para criar a balsa e puxar automaticamente toda a base do tipo selecionado.</t>
  </si>
  <si>
    <t>ID_BALSA</t>
  </si>
  <si>
    <t>TIPO_BALSA</t>
  </si>
  <si>
    <t>NOME_BALSA</t>
  </si>
  <si>
    <t>DATA_CADASTRO</t>
  </si>
  <si>
    <t>TOTAL_NESTINGS</t>
  </si>
  <si>
    <t>EMITIDOS</t>
  </si>
  <si>
    <t>FINALIZADOS</t>
  </si>
  <si>
    <t>PENDENTES</t>
  </si>
  <si>
    <t>%CONCLUIDO</t>
  </si>
  <si>
    <t>STATUS_BALSA</t>
  </si>
  <si>
    <t>RAKE-13</t>
  </si>
  <si>
    <t>RAKE</t>
  </si>
  <si>
    <t>BOX-15</t>
  </si>
  <si>
    <t>BOX</t>
  </si>
  <si>
    <t>RAKE-14</t>
  </si>
  <si>
    <t>BOX-16</t>
  </si>
  <si>
    <t>EMISSAO DE NESTINGS</t>
  </si>
  <si>
    <t>BLOCO e PAINEL são filtros opcionais. Se deixá-los vazios, a lista mostra todos os nestings não processados da balsa. A emissão exibe as peças agrupadas e o tempo de corte de cada nesting.</t>
  </si>
  <si>
    <t>MAQUINA</t>
  </si>
  <si>
    <t>TURNO</t>
  </si>
  <si>
    <t>D</t>
  </si>
  <si>
    <t>DATA_EMISSAO</t>
  </si>
  <si>
    <t>ID_EMISSAO</t>
  </si>
  <si>
    <t>SELECIONAR</t>
  </si>
  <si>
    <t>NESTING</t>
  </si>
  <si>
    <t>PEÇAS DO NESTING</t>
  </si>
  <si>
    <t>ESPESSURA</t>
  </si>
  <si>
    <t>TEMPO DE CORTE</t>
  </si>
  <si>
    <t>BLOCO</t>
  </si>
  <si>
    <t>PAINEL</t>
  </si>
  <si>
    <t>HASTILHA</t>
  </si>
  <si>
    <t>HASTILHA C/ CHANFRO 1875</t>
  </si>
  <si>
    <t>BDF2(10)/BDF3(13)</t>
  </si>
  <si>
    <t>BDF3(7)/BDF4(16)</t>
  </si>
  <si>
    <t>HASTILHA TESTE 1875</t>
  </si>
  <si>
    <t>BDF1(23)</t>
  </si>
  <si>
    <t>BDF1(15)/BDF2(8)</t>
  </si>
  <si>
    <t>BDF2(23)</t>
  </si>
  <si>
    <t>BDF2(20)/BDF3(3)</t>
  </si>
  <si>
    <t>BDF3(23)</t>
  </si>
  <si>
    <t>HASTILHA S/ CHANFRO 1875</t>
  </si>
  <si>
    <t>BDF2(19)/BDF3(4)</t>
  </si>
  <si>
    <t>BDF3(16)/BDF4(7)</t>
  </si>
  <si>
    <t>BDF3(2)/BDF4(21)</t>
  </si>
  <si>
    <t>BDF4(23)</t>
  </si>
  <si>
    <t>ANTSP-RF17P,33P,61S,77S-H2P, ANTSS-RF17,33S,61P,77P-H2S</t>
  </si>
  <si>
    <t>ANTEPARA</t>
  </si>
  <si>
    <t>ANTSP-RF17P,33P,61S,77S-H1P, ANTSS-RF17,33S,61P,77P-H1S, ANTSP-RF17P,33P,61S,77S-H1P- LADO A, ANTSP-RF17P,33P,61S,77S-H1P-LADO B</t>
  </si>
  <si>
    <t>ANTSP-RF17P,33P,61S,77S-H1P, ANTSS-RF17,33S,61P,77P-H1S, ANTSP-RF17P,33P,61S,77S-H1P-LADO A-Extra, ANTSP-RF17P,33P,61S,77S-H1P-LADO-B-Extra, ANTSP-RF17P,33P,61S,77S-H1P-1-Extra</t>
  </si>
  <si>
    <t>ANTSP-RF17P,33P,61S,77S-H2P, ANTSS-RF17,33S,61P,77P-H1S, ANTSS-RF17,33S,61P,77P-H2S, ANTSP-RF17P,33P,61S,77S-H1P- LADO A</t>
  </si>
  <si>
    <t>BPR-RFR85-H1,_H10-_TESTE</t>
  </si>
  <si>
    <t>BPR</t>
  </si>
  <si>
    <t>RFR85</t>
  </si>
  <si>
    <t>BPR-RFR85-H2,_H9 teste, BPR-RFR85-H2,_H9-Extra</t>
  </si>
  <si>
    <t>RETORNO E FINALIZACAO DOS NESTINGS</t>
  </si>
  <si>
    <t>0427-603-D-RAKE-14-064</t>
  </si>
  <si>
    <t>0;43</t>
  </si>
  <si>
    <t>DATA_BAIXA</t>
  </si>
  <si>
    <t>SEQ</t>
  </si>
  <si>
    <t>PECAS</t>
  </si>
  <si>
    <t>OPERADOR</t>
  </si>
  <si>
    <t>HORA INI</t>
  </si>
  <si>
    <t>HORA FIM</t>
  </si>
  <si>
    <t>PARADA</t>
  </si>
  <si>
    <t>MOTIVO</t>
  </si>
  <si>
    <t>OBS</t>
  </si>
  <si>
    <t>CARREIRA CHAPA</t>
  </si>
  <si>
    <t>RL1-HB2B-C, RL1-H40, B31, B17</t>
  </si>
  <si>
    <t>R-BCB3-RL1-H2P-R2</t>
  </si>
  <si>
    <t>R-BCE3-RL1-H2S</t>
  </si>
  <si>
    <t>BCE3-H2S-R2</t>
  </si>
  <si>
    <t>B1-C, RD-HB23D-B, RFR0/RFR94-HB53-B, RL1-H39</t>
  </si>
  <si>
    <t>RD-HB19C-C, R-BCB3-RL1-H1P-R2.DWG</t>
  </si>
  <si>
    <t>RL1-H19</t>
  </si>
  <si>
    <t>B1-C, RL2-HB6B-B, B24-C, BPR-RD2C-HB3, BPR-RP-HB1BP, HASTILHA S/ CHANFRO 1875, RL1-H33</t>
  </si>
  <si>
    <t>B1-B, RD-HB19C-C, RD-HB20D-C, R-BCE3-RL1-H3S</t>
  </si>
  <si>
    <t>B1-C, R-BCB3-RD-H1P-R4</t>
  </si>
  <si>
    <t>BCE1-RD-H2S-R3</t>
  </si>
  <si>
    <t>BCB1-RL1-H5</t>
  </si>
  <si>
    <t>BCB1-RL1-H6</t>
  </si>
  <si>
    <t>BCB1-RD-H1P-R2</t>
  </si>
  <si>
    <t>BCB2-RD-H1P-R1</t>
  </si>
  <si>
    <t>BCB2-RL1-H18</t>
  </si>
  <si>
    <t>BCE1-RL1-H10</t>
  </si>
  <si>
    <t>BCB4-RD-H1P-R1, B30-C, B12, HASTILHA TESTE 1875</t>
  </si>
  <si>
    <t>BCB4-RL1-H34, RD-HB73-B.IGS, BPR-RD1-HE1</t>
  </si>
  <si>
    <t>BCE2-H2S-R1</t>
  </si>
  <si>
    <t>RL1-H22</t>
  </si>
  <si>
    <t>BCE2-RL1-H23</t>
  </si>
  <si>
    <t>BCE4-H2S-R1, B17, HASTILHA S/ CHANFRO 1875</t>
  </si>
  <si>
    <t>LOG DE EMISSOES</t>
  </si>
  <si>
    <t>Cada linha desta tabela representa 1 nesting emitido. Quando houver peças diferentes com o mesmo nesting, elas são agrupadas em uma única emissão.</t>
  </si>
  <si>
    <t>PECAS_AGRUPADAS</t>
  </si>
  <si>
    <t>QTDE_PECAS</t>
  </si>
  <si>
    <t>DESCRICAO_AGRUPADA</t>
  </si>
  <si>
    <t>ESPESSURA_MM</t>
  </si>
  <si>
    <t>STATUS_PROCESSO</t>
  </si>
  <si>
    <t>OBS_EMISSAO</t>
  </si>
  <si>
    <t>CHAVE_NESTING</t>
  </si>
  <si>
    <t>0401-603-D-RAKE-13-001</t>
  </si>
  <si>
    <t>BCB1</t>
  </si>
  <si>
    <t>RL1</t>
  </si>
  <si>
    <t>1.767 x 12.000</t>
  </si>
  <si>
    <t>Finalizado</t>
  </si>
  <si>
    <t>RAKE-13|4490</t>
  </si>
  <si>
    <t>12.000 x 1.860</t>
  </si>
  <si>
    <t>RAKE-13|4491</t>
  </si>
  <si>
    <t>BDF3, BCB3</t>
  </si>
  <si>
    <t>HASTILHA, RL1</t>
  </si>
  <si>
    <t>2.267 x 508 | 1.767 x 12.000</t>
  </si>
  <si>
    <t>RAKE-13|4081</t>
  </si>
  <si>
    <t>BCB4, BDF3, BCE3</t>
  </si>
  <si>
    <t>RL1, HASTILHA</t>
  </si>
  <si>
    <t>564 x 391 | 2.267 x 508 | 2.000 x 508 | 1.767 x 12.000</t>
  </si>
  <si>
    <t>RAKE-13|4258</t>
  </si>
  <si>
    <t>BCB3</t>
  </si>
  <si>
    <t>RAKE-13|3798</t>
  </si>
  <si>
    <t>BCE3</t>
  </si>
  <si>
    <t>RAKE-13|3800</t>
  </si>
  <si>
    <t>BCE1</t>
  </si>
  <si>
    <t>RAKE-13|4496</t>
  </si>
  <si>
    <t>BCB4, BPP, BPR</t>
  </si>
  <si>
    <t>RL1, RD, RD1</t>
  </si>
  <si>
    <t>11.600 x 1.860 | 1.793 x 330 | 144 x 72</t>
  </si>
  <si>
    <t>RAKE-13|4500</t>
  </si>
  <si>
    <t>BCB4, BCE4, BPP, BPR, BDF2(1)</t>
  </si>
  <si>
    <t>RL2, BPP, RD2C, RP, HASTILHA, RL1</t>
  </si>
  <si>
    <t>564 x 391 | 957 x 337 | 780 x 449 | 942 x 333 | 963 x 337 | 1.875 x 508 | 1.767 x 11.600</t>
  </si>
  <si>
    <t>RAKE-13|4252</t>
  </si>
  <si>
    <t>BCB4, BDF4, BPP, BCE4</t>
  </si>
  <si>
    <t>RL2, HASTILHA, RFR0/RFR94, RL1</t>
  </si>
  <si>
    <t>564 x 391 | 2.850 x 508 | 2.827 x 337 | 1.767 x 11.600</t>
  </si>
  <si>
    <t>RAKE-13|4053</t>
  </si>
  <si>
    <t>BCE2</t>
  </si>
  <si>
    <t>RAKE-13|4503</t>
  </si>
  <si>
    <t>RAKE-13|4504</t>
  </si>
  <si>
    <t>BCB2</t>
  </si>
  <si>
    <t>RAKE-13|4096</t>
  </si>
  <si>
    <t>PCAS DE TETO</t>
  </si>
  <si>
    <t>RL1-H11</t>
  </si>
  <si>
    <t>RAKE-13|4071</t>
  </si>
  <si>
    <t>BCE4, BPP, BPR</t>
  </si>
  <si>
    <t>RL1, RFR1, BPR</t>
  </si>
  <si>
    <t>958 x 337 | 11.600 x 1.860 | 252 x 146 | 703 x 364</t>
  </si>
  <si>
    <t>RAKE-13|3472</t>
  </si>
  <si>
    <t>0328-605-D-RAKE-13-016</t>
  </si>
  <si>
    <t>BCB2, BDF4, BPR, BPP</t>
  </si>
  <si>
    <t>RD, HASTILHA, RD1, RD2B, RS, RFR1</t>
  </si>
  <si>
    <t>BCB2-RD-H2P-R1, RD-HB23C-B, BPR-RD1-H33~H45, BPR-RD1-H46~H47-R1, BPR-RD1-H48~H49-R1, BPR-RD2B-H1-R5, B25-C, B30-C, RD-HB24C-B</t>
  </si>
  <si>
    <t>12.000 x 1.015 | 2.400 x 508 | 1.420 x 102 | 1.230 x 102 | 1.266 x 102 | 6.456 x 749 | 806 x 539 | 615 x 310 | 2.000 x 508</t>
  </si>
  <si>
    <t>RAKE-13|3423</t>
  </si>
  <si>
    <t>BCE2, BCE4, BPP, BPR</t>
  </si>
  <si>
    <t>RL1, RD, RFR0, BPP, RD1</t>
  </si>
  <si>
    <t>BCE2-RL1-H24, RD-TZ7-BE, B36, BPP-RD2-H4B4-R2, BPR-RD1-HE1</t>
  </si>
  <si>
    <t>12.000 x 1.389 | 422 x 2.775 | 300 x 170 | 775 x 440 | 144 x 72</t>
  </si>
  <si>
    <t>RAKE-13|3980</t>
  </si>
  <si>
    <t>BCB2, BPP, BPR</t>
  </si>
  <si>
    <t>RL1, RD, RFR1, BPP, RD1</t>
  </si>
  <si>
    <t>BCB2-RL1-H17, RD-TZ3-BB, B31, BPP-RD2-H4B3-R2, BPR-RD1-HT2E-R3</t>
  </si>
  <si>
    <t>12.000 x 1.389 | 422 x 3.000 | 252 x 146 | 4.345 x 440 | 1.480 x 383</t>
  </si>
  <si>
    <t>RAKE-13|3981</t>
  </si>
  <si>
    <t>BCB1, BCB2, BPR</t>
  </si>
  <si>
    <t>RL1, RD, RD1, RD2A, RD2C</t>
  </si>
  <si>
    <t>BCB1-RL1-H7, RD-TZ3-BB, BPR-RD1-71~76,_78~82, BPR-RD2A-TZ2-R4, BPR-RD2C-TZ2-R4, RD-HB41-C</t>
  </si>
  <si>
    <t>12.000 x 1.389 | 422 x 3.000 | 682 x 76 | 422 x 2.469 | 2.469 x 422 | 942 x 333</t>
  </si>
  <si>
    <t>RAKE-13|3984</t>
  </si>
  <si>
    <t>BCE4, BCE2, BDF4, BPP, BPR</t>
  </si>
  <si>
    <t>RL2, RD, HASTILHA, RFR1, BPR, RD1, RD2B, RFR85</t>
  </si>
  <si>
    <t>RL2-HB6B-B, BCE2-H1S-R1, RD-HB23A-B, RD-HB24D-B, B31, B12, B17, B8, BPR-RD1-H20~H32, BPR-RD1-HT1G-R1, BPR-RD1-HT2D-R2, BPR-RD2B-H2C~H7C,H9C~H13C, BPR-RFR85-H1~H27</t>
  </si>
  <si>
    <t>957 x 337 | 12.000 x 1.015 | 2.850 x 508 | 2.000 x 508 | 252 x 146 | 637 x 244 | 703 x 364 | 415 x 228 | 930 x 102 | 2.920 x 383 | 742 x 203 | 742 x 102</t>
  </si>
  <si>
    <t>RAKE-13|4007</t>
  </si>
  <si>
    <t>RL1, RFR0/RFR94, RFR1/RFR93, RD1, RFR85</t>
  </si>
  <si>
    <t>BCE4-RL1-H41, RFR0/RFR94-HB54-B, RFR0/RFR94-HB55-C, RFR1/RFR93-HB58-C, BPR-RD1-71~76,_78~82, BPR-RD1-H48~H49-R1, BPR-RFR85-H1~H27</t>
  </si>
  <si>
    <t>11.600 x 1.389 | 2.827 x 337 | 3.295 x 333 | 682 x 76 | 1.266 x 102 | 742 x 102</t>
  </si>
  <si>
    <t>RAKE-13|4052</t>
  </si>
  <si>
    <t>BCB1, BCE4, BCB4, BPP, BPR, BDF1(1)</t>
  </si>
  <si>
    <t>RD, RL1, RL2, RFR0/RFR94, RD2B, RD2C, HASTILHA</t>
  </si>
  <si>
    <t>BCB1-RD-H2P-R1, RL1-HB2A-C, RL2-HB5A-C, RL2-HB6B-B, RD-TZ6-BB, RFR0/RFR94-HB56-C, BPR-RD2B-H2C~H7C,H9C~H13C, BPR-RD2B-H8C, BPR-RD2C-H16C, HASTILHA TESTE 1875</t>
  </si>
  <si>
    <t>12.000 x 1.015 | 2.987 x 337 | 2.988 x 337 | 957 x 337 | 422 x 2.775 | 2.827 x 337 | 742 x 203 | 734 x 203 | 592 x 203 | 1.875 x 508</t>
  </si>
  <si>
    <t>RAKE-13|4059</t>
  </si>
  <si>
    <t>BCE2, BCE1, BCB3</t>
  </si>
  <si>
    <t>RD, RL1</t>
  </si>
  <si>
    <t>RD-TZ2-BE, BCE1-RL1-H12, RD-TZ4-BB-R1</t>
  </si>
  <si>
    <t>422 x 3.000 | 12.000 x 1.389 | 422 x 2.810</t>
  </si>
  <si>
    <t>RAKE-13|4085</t>
  </si>
  <si>
    <t>BCE4, BPP, BCB4</t>
  </si>
  <si>
    <t>RD, RL2, BPP, RL1</t>
  </si>
  <si>
    <t>RD-HB8-B, RL2-HB6B-B, BPP-RD2-H4B2-R2, RL1-H35</t>
  </si>
  <si>
    <t>3.000 x 337 | 957 x 337 | 775 x 440 | 11.600 x 1.389</t>
  </si>
  <si>
    <t>RAKE-13|4087</t>
  </si>
  <si>
    <t>BCE4, BCB3, BDF3</t>
  </si>
  <si>
    <t>RL1, RD, HASTILHA</t>
  </si>
  <si>
    <t>RL1-HB2B-C, BCB3-RD-H2P-R2, RD-HB19A-C, RD-HB19D-C, RD-HB20C-C</t>
  </si>
  <si>
    <t>958 x 337 | 11.810 x 1.015 | 2.850 x 508 | 2.500 x 508</t>
  </si>
  <si>
    <t>RAKE-13|4090</t>
  </si>
  <si>
    <t>BCE4, BCE3</t>
  </si>
  <si>
    <t>RL1, RL2</t>
  </si>
  <si>
    <t>RL1-HB2B-C, RL2-HB6A-B, R-BCE3-RL1-H1S</t>
  </si>
  <si>
    <t>958 x 337 | 2.988 x 337 | 12.000 x 1.389</t>
  </si>
  <si>
    <t>RAKE-13|4094</t>
  </si>
  <si>
    <t>BCB4, BPP, BCE1, BDF4(1)</t>
  </si>
  <si>
    <t>RL1, RD1, RD, HASTILHA</t>
  </si>
  <si>
    <t>B1-B, RL1-HB1A-B, B33-B, BCE1-RD-H1S-R1, HASTILHA TESTE 1875</t>
  </si>
  <si>
    <t>564 x 391 | 2.987 x 337 | 721 x 410 | 12.000 x 1.015 | 1.875 x 508</t>
  </si>
  <si>
    <t>RAKE-13|4259</t>
  </si>
  <si>
    <t>BCE4, BPP, BPR, BCE3, BDF3</t>
  </si>
  <si>
    <t>RL1, RFR1, RFR0, RD1, BPR, RD, HASTILHA</t>
  </si>
  <si>
    <t>RL1-HB2B-C, B30-C, B31, B36, B37, BPP-RD1-H7, B10, B14, B8, BCE3-H1S-R2, RD-HB20A-C, RD-HB20C-C, RD-HB20D-C</t>
  </si>
  <si>
    <t>958 x 337 | 615 x 310 | 252 x 146 | 300 x 170 | 288 x 171 | 3.708 x 51 | 881 x 447 | 415 x 228 | 11.810 x 1.015 | 2.000 x 508 | 2.500 x 508</t>
  </si>
  <si>
    <t>RAKE-13|4262</t>
  </si>
  <si>
    <t>BCE4, BCB3, BCB1, BCE3</t>
  </si>
  <si>
    <t>RL1, RD</t>
  </si>
  <si>
    <t>RL1-HB2B-C, R-BCB3-RL1-H3P-R2, RD-TZ1-BB, RD-TZ5-BE-R1</t>
  </si>
  <si>
    <t>958 x 337 | 12.000 x 1.389 | 422 x 3.000 | 422 x 2.810</t>
  </si>
  <si>
    <t>RAKE-13|4314</t>
  </si>
  <si>
    <t>BCB4, BCE4, BPR, BDF1(3), BDF1(1)</t>
  </si>
  <si>
    <t>RL1, RD, BPR, HASTILHA</t>
  </si>
  <si>
    <t>B1-B, BCE4-H1S-R1, B8, HASTILHA C/ CHANFRO 1875, HASTILHA S/ CHANFRO 1875, HASTILHA TESTE 1875</t>
  </si>
  <si>
    <t>564 x 391 | 11.100 x 1.015 | 415 x 228 | 1.875 x 508</t>
  </si>
  <si>
    <t>RAKE-13|4512</t>
  </si>
  <si>
    <t>BCB4, BPR, BDF1(1)</t>
  </si>
  <si>
    <t>RD, HASTILHA, RD2B</t>
  </si>
  <si>
    <t>RD-HB7-C, BCB4-RD-H2P-R1, BPR-RD1-HT1E-R1, BPR-RD2B-H2C~H7C,H9C~H13C, HASTILHA TESTE 1875</t>
  </si>
  <si>
    <t>3.000 x 337 | 11.100 x 1.015 | 2.267 x 508 | 742 x 203 | 1.875 x 508</t>
  </si>
  <si>
    <t>RAKE-13|4516</t>
  </si>
  <si>
    <t>0402-605-D-RAKE-13-032</t>
  </si>
  <si>
    <t>BPR, BCB4, BCE4, BPP, BDF1(2)</t>
  </si>
  <si>
    <t>BPR, RL1, RD, RFR1/RFR93, RD2C, HASTILHA</t>
  </si>
  <si>
    <t>B16, B1-B, RD-HB7-C, RD-HB8-B, BPP-RFR1/RFR93-H5-R2, B14, BPR-RD2C-HB1-R1, HASTILHA TESTE 1875</t>
  </si>
  <si>
    <t>918 x 463 | 564 x 391 | 3.000 x 337 | 8.275 x 1.758 | 881 x 447 | 3.000 x 333 | 1.875 x 508</t>
  </si>
  <si>
    <t>0402-605-D-RAKE-13-032|4518</t>
  </si>
  <si>
    <t>ACESS_DEFENCA, BDF3, BPP, BPR</t>
  </si>
  <si>
    <t>ACESS_DEFENCA, BDF3, RFR1/RFR93, BPR, RD2A, RD2B, RD2C, RP</t>
  </si>
  <si>
    <t>DEFENÇA-W-S_150_X_1830, B19, RFR1/RFR93-HB57-C, B18, B6, BPR-RD2A-H1B-R4, BPR-RD2B-H9, BPR-RD2A-TZ3-R4, BPR-RD2B-H8, BPR-RD2A-TZ4-R6, BPR-RD2C-H2B-R6, BPR-RD2C-TZ3-R4, BPR-RD2C-TZ4-R6, BPR-RP-14~15</t>
  </si>
  <si>
    <t>1.830 x 150 | 580 x 342 | 625 x 327 | 695 x 362 | 405 x 212 | 5.465 x 1.140 | 1.000 x 1.000 | 450 x 2.133 | 2.034 x 450 | 2.133 x 450 | 450 x 2.034 | 2.805 x 102</t>
  </si>
  <si>
    <t>0402-605-D-RAKE-13-032|3350</t>
  </si>
  <si>
    <t>BCB4, BDF4, BCE4, BPP, BPR</t>
  </si>
  <si>
    <t>RL1, BDF4, RD1, BPP, RD, RD2A, RD2C</t>
  </si>
  <si>
    <t>RL1-H36, BDF4-H10, BDF4-H11, RL1-H42, BPP-QD1P-H1, BPP-QD1P-H5, BPP-QD1S-H1, BPP-QD1P-H4, BPP-QD1S-H4, BPP-QD1S-H5, BPP-RD2-H1-R8, BPP-RD2-H3B, BPP-RD2-H5B, BPP-RD2-H7-R5, RD-TZ16-BE, BPR-QD-H1S, BPR-QD-H1P, BPR-QD-H6P, BPR-QD-H6S, BPR-RD1-69~70, BPR-RD2A-5A, BPR-RD2A-5B, BPR-RD2A-C2A~C6A, BPR-RD2C-5A, BPR-RD2C-C2A~C6A, BPR-RD2C-HB2A~HB2B-R1, BPR-RD2C-HB2C~HB2D-R1, RD-HB31-C, RD-HB32-C</t>
  </si>
  <si>
    <t>2.500 x 850 | 584 x 432 | 592 x 432 | 925 x 732 | 734 x 234 | 580 x 450 | 3.574 x 945 | 958 x 687 | 527 x 1.607 | 690 x 234 | 1.595 x 102 | 600 x 102 | 500 x 102 | 512 x 102 | 1.416 x 349 | 1.398 x 349</t>
  </si>
  <si>
    <t>0402-605-D-RAKE-13-032|3351</t>
  </si>
  <si>
    <t>BDF3, BDF4, BPP, BPR</t>
  </si>
  <si>
    <t>BDF3, BDF4, RD, RD1, RFR1/RFR93, BPR, RD2A, RD2C, RL1P, RL1S</t>
  </si>
  <si>
    <t>B19, RD-H11, B21, BDF4-QD-H2-R1, BDF4-H16, BPP-QD1-H1-R1, BPP-RD1-H5~H6-R2, BPP-RFR1/RFR93-H7~H8-R1, RD-HB74-B_R1.IGS, RD-HB76-C.IGS, B18, BPR-RD1-B1-R2, BPR-RD1-B1A, BPR-RD1-B1B, BPR-RD1-B1C, BPR-RD1-B1D, BPR-RD1-B2-R2, BPR-RD1-H9~H17-R2, BPR-RD2A-C2A~C6A, BPR-RD2C-HB4C~HB4D, BPR-RL1P-H3-R1, BPR-RL1S-H3-R2, RD-HB34-C</t>
  </si>
  <si>
    <t>580 x 342 | 592 x 432 | 572 x 342 | 590 x 440 | 592 x 350 | 590 x 442 | 590 x 350 | 1.015 x 566 | 1.013 x 344 | 695 x 362 | 1.600 x 710 | 2.174 x 921 | 2.171 x 1.093 | 2.183 x 1.093 | 592 x 450 | 512 x 102 | 641 x 349 | 1.156 x 2.199 | 1.156 x 2.198 | 584 x 349</t>
  </si>
  <si>
    <t>0402-605-D-RAKE-13-032|3352</t>
  </si>
  <si>
    <t>ACESS_DEFENCA, BPP, BPR</t>
  </si>
  <si>
    <t>ACESS_DEFENCA, RD, RD1, RD2A, RD2C</t>
  </si>
  <si>
    <t>DEFENÇA-W-S_150_X_1830, RD-HB45-C, RD-HB46-C, RD-HB48B-C, RD-HB49A-B, BPR-RD1-69~70, BPR-RD2A-5C, BPR-RD2A-B1-R2, BPR-RD2A-C2A~C6A, BPR-RD2C-5C, BPR-RD2A-H2B-R4, BPR-RD2C-5B, BPR-RD2C-C2A~C6A, BPR-RD2C-B1-R3, BPR-RD2C-H1B-R4, RD-HB30-C</t>
  </si>
  <si>
    <t>1.830 x 150 | 584 x 349 | 1.000 x 349 | 1.595 x 102 | 300 x 102 | 1.600 x 615 | 512 x 102 | 4.865 x 1.396 | 600 x 102 | 4.860 x 1.398 | 1.416 x 349</t>
  </si>
  <si>
    <t>0402-605-D-RAKE-13-032|3353</t>
  </si>
  <si>
    <t>ACESS_DEFENCA, BPR, BPP</t>
  </si>
  <si>
    <t>ACESS_DEFENCA, RD, BPP</t>
  </si>
  <si>
    <t>DEFENÇA-W-S_150_X_1830, RD-HB39-C, RD-HB40-C, BPP-RD2-BVS-R6.., BPP-RD2-BVP-R3, RD-TZ17-C, RD-TZ18-C, RD-TZ12-C-R1, RD-HB48C-C</t>
  </si>
  <si>
    <t>1.830 x 150 | 1.017 x 349 | 641 x 349 | 997 x 1.465 | 1.551 x 2.557 | 1.551 x 2.882 | 1.400 x 1.639 | 900 x 349</t>
  </si>
  <si>
    <t>0402-605-D-RAKE-13-032|3355</t>
  </si>
  <si>
    <t>ACESS_DEFENCA, BDF3, RD1, RFR0/RFR94, RD, RFR1/RFR93, RD2C, RP, RS</t>
  </si>
  <si>
    <t>DEFENÇA-W-S_150_X_1830, RD-H10, BPP-QD1S-H2, BPP-QD1P-H3, BPP-QD1P-H2, BPP-QD1S-H3, BPR-RFR0/RFR94-BVP1A, BPR-RFR0/RFR94-BVS1A, RD-HB48A-C, RFR1/RFR93-HB59-B, BPR-QD-H4S, BPR-QD-H4P, BPR-QD-H2P, BPR-QD-H2S, BPR-RD2C-HB1A~HB1D,HB3A~HB3B, BPR-RD2C-HB1~HB2, BPR-RD2C-HB2D-R1, BPR-RP-R2, BPR-RS-B1-R2, BPR-RS-14~15, BPR-RS-BV-R1, RD-HB39-C, RD-HB48C-C</t>
  </si>
  <si>
    <t>1.830 x 150 | 584 x 432 | 580 x 450 | 734 x 580 | 1.169 x 2.029 | 1.182 x 2.034 | 1.000 x 349 | 625 x 327 | 520 x 450 | 1.017 x 349 | 584 x 349 | 1.398 x 349 | 2.076 x 1.000 | 2.805 x 102 | 1.960 x 2.055 | 900 x 349</t>
  </si>
  <si>
    <t>0402-605-D-RAKE-13-032|3356</t>
  </si>
  <si>
    <t>PCAS DE TETO, BPP</t>
  </si>
  <si>
    <t>PCAS DE TETO, RD</t>
  </si>
  <si>
    <t>RD-H9, RD-BJ9-C</t>
  </si>
  <si>
    <t>9.066 x 1.790 | 2.829 x 898</t>
  </si>
  <si>
    <t>0402-605-D-RAKE-13-032|4656</t>
  </si>
  <si>
    <t>ACESS_DEFENCA, BCE3, BDF3, BCB3, BPP, BPR</t>
  </si>
  <si>
    <t>ACESS_DEFENCA, RL1, RD, RFR1/RFR93, RP, BPP, RD1</t>
  </si>
  <si>
    <t>DEFENÇA-W-S_150_X_1830, R-BCE3-RL1-H4S, RD-HB19B-C, R-BCB3-RL1-H4P, RD-TZ13-BB, RD-TZ14-BB, RD-TZ15-BE, RFR1/RFR93-HB59-B, BPR-QD-H6P, BPR-QD-H6S, BPR-RP-BV-R4, BPP-RD2-H3-R4, BPP-RD2-H5-R5, BPR-RD1-HT1F-R1_3, BPR-RD1-HT1B-R1_3</t>
  </si>
  <si>
    <t>1.830 x 150 | 2.500 x 1.150 | 1.250 x 607 | 527 x 1.219 | 527 x 1.607 | 527 x 1.218 | 625 x 327 | 690 x 234 | 1.960 x 2.055 | 3.409 x 687 | 1.250 x 527</t>
  </si>
  <si>
    <t>0402-605-D-RAKE-13-032|3522</t>
  </si>
  <si>
    <t>BDF4, BPP, BDF1(1)</t>
  </si>
  <si>
    <t>RD, BPP, RFR1/RFR93, HASTILHA</t>
  </si>
  <si>
    <t>BDF4-RD-H13, B35, RFR1/RFR93-HB63-C, HASTILHA C/ CHANFRO 1875</t>
  </si>
  <si>
    <t>11.100 x 1.860 | 559 x 317 | 1.240 x 337 | 1.875 x 508</t>
  </si>
  <si>
    <t>0402-605-D-RAKE-13-032|4478</t>
  </si>
  <si>
    <t>BDF4-RD-H13, B35, RFR1/RFR93-HB61-B, HASTILHA C/ CHANFRO 1875</t>
  </si>
  <si>
    <t>0402-605-D-RAKE-13-032|4509</t>
  </si>
  <si>
    <t>BDF4, BPP, BCB3, BDF1(1)</t>
  </si>
  <si>
    <t>RD, RFR1/RFR93, HASTILHA</t>
  </si>
  <si>
    <t>BDF4-RD-H13, RFR1/RFR93-HB67-C, RD-TZ5-BB, HASTILHA TESTE 1875</t>
  </si>
  <si>
    <t>11.100 x 1.860 | 1.187 x 337 | 422 x 350 | 1.875 x 508</t>
  </si>
  <si>
    <t>0402-605-D-RAKE-13-032|4510</t>
  </si>
  <si>
    <t>BCE4, BDF4, BPP, BPR, BDF1(1)</t>
  </si>
  <si>
    <t>RL2, RD, RFR1/RFR93, RD1, HASTILHA</t>
  </si>
  <si>
    <t>RL2-HB6A-B, RD-H14, RD-HB43-C, RD-HB52-B, RFR1/RFR93-HB62-B, RFR1/RFR93-HB64-C, BPR-RD1-HT2B-R2, BPR-RD1-HT2C-R1, HASTILHA TESTE 1875, BPR-RD1-HT1C-R1</t>
  </si>
  <si>
    <t>2.988 x 337 | 11.100 x 1.040 | 2.900 x 342 | 1.095 x 347 | 3.000 x 337 | 2.920 x 383 | 3.000 x 383 | 1.875 x 508 | 2.267 x 508</t>
  </si>
  <si>
    <t>0402-605-D-RAKE-13-032|4515</t>
  </si>
  <si>
    <t>BPR, BCE4, BDF4, BPP</t>
  </si>
  <si>
    <t>RP, RL2, HASTILHA, BPP, RFR1, RFR0, RD1, BPR</t>
  </si>
  <si>
    <t>BPR-RP-H2-R1, RL2-HB6B-B, RD-HB24A-B, B34, B31, B36, BPP-RD1-H1, B15, B8, B16</t>
  </si>
  <si>
    <t>1.860 x 9.245 | 957 x 337 | 2.000 x 508 | 629 x 423 | 252 x 146 | 300 x 170 | 2.051 x 1.817 | 903 x 458 | 415 x 228 | 918 x 463</t>
  </si>
  <si>
    <t>0402-605-D-RAKE-13-032|3453</t>
  </si>
  <si>
    <t>BCE4, BPP, BCE3, BDF1(1)</t>
  </si>
  <si>
    <t>RL2, RFR1/RFR93, RD, HASTILHA</t>
  </si>
  <si>
    <t>BCE4-RL2-H38, RFR1/RFR93-HB66-B, RD-TZ6-BE, HASTILHA TESTE 1875</t>
  </si>
  <si>
    <t>11.100 x 1.760 | 1.187 x 337 | 422 x 350 | 1.875 x 508</t>
  </si>
  <si>
    <t>0402-605-D-RAKE-13-032|4316</t>
  </si>
  <si>
    <t>BCB4, BPP, BPR, BDF1(1)</t>
  </si>
  <si>
    <t>RD, RFR1, BPR, HASTILHA</t>
  </si>
  <si>
    <t>11.100 x 1.860 | 615 x 310 | 637 x 244 | 1.875 x 508</t>
  </si>
  <si>
    <t>0402-605-D-RAKE-13-032|4499</t>
  </si>
  <si>
    <t>BPP, BPR</t>
  </si>
  <si>
    <t>RP, RFR1, RFR0, RFR1/RFR93, BPR, RD1, RD2B</t>
  </si>
  <si>
    <t>B26-C, B30-C, B31, B36, BPP-RFR1/RFR93-H2-R3, B15, BPR-RD1-H20~H32, BPR-RD2B-HB1A</t>
  </si>
  <si>
    <t>806 x 539 | 615 x 310 | 252 x 146 | 300 x 170 | 11.900 x 1.860 | 903 x 458 | 930 x 102 | 908 x 333</t>
  </si>
  <si>
    <t>0402-605-D-RAKE-13-032|4249</t>
  </si>
  <si>
    <t>BCB4, BCE4, BDF4, BPP, BPR, BDF1(1)</t>
  </si>
  <si>
    <t>RL1, RL2, RD, RFR0, BPP, RFR1/RFR93, RD1, HASTILHA</t>
  </si>
  <si>
    <t>B1-B, RL2-HB6B-B, BDF4-QD-H3, B36, BPP-RD2-H4A-R1, BPP-RFR1/RFR93-H1-R2, BPR-RD1-71~76,_78~82, HASTILHA TESTE 1875</t>
  </si>
  <si>
    <t>564 x 391 | 957 x 337 | 525 x 100 | 300 x 170 | 8.004 x 1.860 | 3.100 x 1.860 | 682 x 76 | 1.875 x 508</t>
  </si>
  <si>
    <t>0402-605-D-RAKE-13-032|4511</t>
  </si>
  <si>
    <t>RFR1/RFR93, RD1, HASTILHA, RD2B, RFR85</t>
  </si>
  <si>
    <t>RFR1/RFR93-HB58-C, RFR1/RFR93-HB60-B, BPR-RD1-H5-R1, BPR-RD1-HT1D-R1, BPR-RD2B-HB1B, BPR-RD2B-HB1D, BPR-RFR85-H31~H32</t>
  </si>
  <si>
    <t>3.295 x 333 | 1.040 x 11.913 | 2.267 x 508 | 3.000 x 333 | 2.242 x 102</t>
  </si>
  <si>
    <t>0402-605-D-RAKE-13-032|4054</t>
  </si>
  <si>
    <t>RFR1/RFR93, RS, RD1, RFR85</t>
  </si>
  <si>
    <t>BPP-RFR1/RFR93-H3-R1, BPP-RS-H2-R2, BPR-RD1-HE1, BPR-RFR85-H1~H27</t>
  </si>
  <si>
    <t>8.275 x 1.860 | 3.446 x 1.860 | 144 x 72 | 742 x 102</t>
  </si>
  <si>
    <t>0402-605-D-RAKE-13-032|4009</t>
  </si>
  <si>
    <t>RL2, RFR1, RFR1/RFR93, RD2A, RD2C, RL1S</t>
  </si>
  <si>
    <t>B1-C, B30-C, BPP-RFR1/RFR93-H6-R2, BPR-RD2A-TZ1-R3, BPR-RD2C-H1A-R7, BPR-RL1S-H2-R4</t>
  </si>
  <si>
    <t>564 x 391 | 615 x 310 | 6.025 x 1.758 | 422 x 2.476 | 4.945 x 1.854 | 3.862 x 960</t>
  </si>
  <si>
    <t>0402-605-D-RAKE-13-032|4253</t>
  </si>
  <si>
    <t>RL1, RFR1, RFR0, RD1, RD2A, RD2B, RS</t>
  </si>
  <si>
    <t>B1-B, B31, B36, BPR-RD1-71~76,_78~82, BPR-RD2A-H2A-R6, BPR-RD2B-H3-R2, RS-HB27-C</t>
  </si>
  <si>
    <t>564 x 391 | 252 x 146 | 300 x 170 | 682 x 76 | 4.945 x 1.854 | 6.960 x 1.860 | 3.000 x 337</t>
  </si>
  <si>
    <t>0402-605-D-RAKE-13-032|4026</t>
  </si>
  <si>
    <t>BPR, BCB3, BPP, BCB4, BCE4</t>
  </si>
  <si>
    <t>RD2B, RL1P, RD, RD1, BPP, RFR1/RFR93, RL1, RL2</t>
  </si>
  <si>
    <t>BPR-RD2B-HB1C, BPR-RL1P-H2-R4, BCB3-RD-H3P-R1, BPP-RD1-H4-R1, BPP-RD2-H4B1-R2, BPP-RFR1/RFR93-H4-R1, B1-B, RL2-HB6B-B, B24-C</t>
  </si>
  <si>
    <t>3.000 x 333 | 3.862 x 960 | 350 x 2.875 | 2.054 x 1.022 | 2.095 x 440 | 6.025 x 1.860 | 564 x 391 | 957 x 337 | 780 x 449</t>
  </si>
  <si>
    <t>0402-605-D-RAKE-13-032|4060</t>
  </si>
  <si>
    <t>BCB2, BPP, BPR, BDF2, PCAS DE TETO</t>
  </si>
  <si>
    <t>RL1, RD, RFR85, RP, RS, PCAS DE TETO</t>
  </si>
  <si>
    <t>RL1-HB9, RD-BJ10-C, RD-BJ8-C, BPR-RFR85-HB1, RD-BJ2-BE, RP-BJ7-BB, RS-BJ6-BE, BPR-RFR85-HB2, RD-H3_D</t>
  </si>
  <si>
    <t>1.500 x 392 | 3.196 x 899 | 3.206 x 899 | 3.000 x 894 | 3.258 x 895 | 1.150 x 392 | 766 x 1.790</t>
  </si>
  <si>
    <t>0402-605-D-RAKE-13-032|3718</t>
  </si>
  <si>
    <t>0402-606-D-RAKE-13-056</t>
  </si>
  <si>
    <t>BPP, BCB4, BPR</t>
  </si>
  <si>
    <t>BPP, RL1, RD1, BPR</t>
  </si>
  <si>
    <t>B23-B, B1-B, B33-B, B24-C, B17, BPR-RD1-HB1~HB7-R1, BPR-RD1-HB8~HB13-R1</t>
  </si>
  <si>
    <t>780 x 449 | 564 x 391 | 721 x 410 | 703 x 364 | 3.070 x 1.654</t>
  </si>
  <si>
    <t>0402-606-D-RAKE-13-056|4255</t>
  </si>
  <si>
    <t>BPR, BCB4, BCE4, BDF4, BPP</t>
  </si>
  <si>
    <t>RD, RP, RL1, RL2, HASTILHA, RS, RD2A, RD2C, RL1P, RL1S</t>
  </si>
  <si>
    <t>RD-HB29-C, BPR-RP-HB1AP, B1-B, RL2-HB6A-B, RD-HB23C-B, BPP-RP-H1-R2, BPP-RS-H1-R2, BPR-RD2A-H1A-R3, BPR-RD2C-TZ1-R3, BPR-RL1P-HB1AP, BPR-RL1S-HB1AS</t>
  </si>
  <si>
    <t>3.000 x 333 | 3.000 x 337 | 564 x 391 | 2.988 x 337 | 2.400 x 508 | 3.446 x 965 | 4.945 x 1.025 | 2.476 x 422</t>
  </si>
  <si>
    <t>0402-606-D-RAKE-13-056|4068</t>
  </si>
  <si>
    <t>BDF1(3), BPP, BPR</t>
  </si>
  <si>
    <t>HASTILHA, RD1, RD2A, RD2B, RFR89, RP, RS</t>
  </si>
  <si>
    <t>HASTILHA TESTE 1875, B32-C, BPR-RD2A-H15C, BPR-RD2B-H1C,_H14C, BPR-RD2B-H2C~H7C,H9C~H13C, BPR-RFR89-H6, BPR-RP-H3-R2.IGS, BPR-RS-H3-R2</t>
  </si>
  <si>
    <t>1.875 x 508 | 721 x 410 | 592 x 203 | 600 x 203 | 742 x 203 | 9.908 x 487 | 9.252 x 982</t>
  </si>
  <si>
    <t>0402-606-D-RAKE-13-056|3475</t>
  </si>
  <si>
    <t>BPP</t>
  </si>
  <si>
    <t>RD1</t>
  </si>
  <si>
    <t>BPP-RD1-H2</t>
  </si>
  <si>
    <t>12.000 x 1.817</t>
  </si>
  <si>
    <t>0402-606-D-RAKE-13-056|3425</t>
  </si>
  <si>
    <t>RD, BPP, HASTILHA</t>
  </si>
  <si>
    <t>BDF4-RD-H13, B35, HASTILHA C/ CHANFRO 1875</t>
  </si>
  <si>
    <t>11.100 x 1.860 | 559 x 317 | 1.875 x 508</t>
  </si>
  <si>
    <t>0402-606-D-RAKE-13-056|4475</t>
  </si>
  <si>
    <t>BCB4, BPP, BDF1(1)</t>
  </si>
  <si>
    <t>RL2, RD, HASTILHA</t>
  </si>
  <si>
    <t>BCB4-RL2-H31, RD-HB75-C.IGS, HASTILHA TESTE 1875</t>
  </si>
  <si>
    <t>11.100 x 1.760 | 1.790 x 331 | 1.875 x 508</t>
  </si>
  <si>
    <t>0402-606-D-RAKE-13-056|4317</t>
  </si>
  <si>
    <t>RD, HASTILHA</t>
  </si>
  <si>
    <t>BDF4-RD-H13, RD-HB75-C.IGS, HASTILHA TESTE 1875</t>
  </si>
  <si>
    <t>11.100 x 1.860 | 1.790 x 331 | 1.875 x 508</t>
  </si>
  <si>
    <t>0402-606-D-RAKE-13-056|3993</t>
  </si>
  <si>
    <t>BDF4-RD-H13, RD-HB73-B.IGS, HASTILHA TESTE 1875</t>
  </si>
  <si>
    <t>11.100 x 1.860 | 1.793 x 330 | 1.875 x 508</t>
  </si>
  <si>
    <t>0402-606-D-RAKE-13-056|3994</t>
  </si>
  <si>
    <t>BPR, BDF4, BPP, BCB4, BCE4, BCE2</t>
  </si>
  <si>
    <t>RD1, RD2C, HASTILHA, RP, RL1, RL2, RD</t>
  </si>
  <si>
    <t>BPR-RD1-HB8~HB13-R1, BPR-RD2C-H2A-R3, RD-HB24A-B, B26-C, B1-B, RL2-HB6A-B, RD-TZ2-BE</t>
  </si>
  <si>
    <t>3.070 x 1.654 | 4.945 x 1.025 | 2.000 x 508 | 806 x 539 | 564 x 391 | 2.988 x 337 | 422 x 3.000</t>
  </si>
  <si>
    <t>0402-606-D-RAKE-13-056|4069</t>
  </si>
  <si>
    <t>0402-606-D-RAKE-13-056|3995</t>
  </si>
  <si>
    <t>BCB4, BCE4, BPP, BPR, BDF1(1)</t>
  </si>
  <si>
    <t>RL1, RD, RFR0, RD1, RFR85, HASTILHA</t>
  </si>
  <si>
    <t>B1-B, RD-HB7-C, RD-HB8-B, B36, BPP-RD1-H3-R1, BPR-RFR85-HB11, BPR-RFR85-H1~H27, BPR-RFR85-HB4-R1, BPR-RFR85-HB5-R1, HASTILHA TESTE 1875</t>
  </si>
  <si>
    <t>564 x 391 | 3.000 x 337 | 300 x 170 | 11.997 x 1.022 | 964 x 337 | 742 x 102 | 3.118 x 337 | 1.875 x 508</t>
  </si>
  <si>
    <t>0402-606-D-RAKE-13-056|4063</t>
  </si>
  <si>
    <t>BPP, BCE1</t>
  </si>
  <si>
    <t>RD1, RL2</t>
  </si>
  <si>
    <t>BPP-RD1-H8, BCE1-RL2-H13</t>
  </si>
  <si>
    <t>3.692 x 51 | 12.000 x 1.686</t>
  </si>
  <si>
    <t>0402-606-D-RAKE-13-056|4089</t>
  </si>
  <si>
    <t>RD, RL1, RD1, HASTILHA, RFR0/RFR94</t>
  </si>
  <si>
    <t>RD-HB7-C, RL1-HB2B-C, RD-TZ6-BB, RD-HB43-C, RD-HB44-B, BPR-RD1-H20~H32, BPR-RD1-H33~H45, BPR-RD1-HT1A-R1, BPP- RFR0/RFR94-H1, HASTILHA C/ CHANFRO 1875</t>
  </si>
  <si>
    <t>3.000 x 337 | 958 x 337 | 422 x 2.775 | 2.900 x 342 | 2.900 x 337 | 930 x 102 | 1.420 x 102 | 2.850 x 508 | 916 x 12.000 | 1.875 x 508</t>
  </si>
  <si>
    <t>0402-606-D-RAKE-13-056|4008</t>
  </si>
  <si>
    <t>BDF4, BPP, BPR</t>
  </si>
  <si>
    <t>RD, BPP, RFR0/RFR94, RFR85, RFR89, RS, RP</t>
  </si>
  <si>
    <t>BDF4-QD-H3, B23-B, B24-C, BPP-RFR0/RFR94-H3-R1, BPR-RFR85-H28~H30, BPR-RFR85-H1~H27, BPR-RFR89-H5, BPR-RFR89-H7, BPR-RS-H1-R1, BPR-RP-H1-R1..</t>
  </si>
  <si>
    <t>525 x 100 | 780 x 449 | 1.868 x 1.598 | 734 x 102 | 742 x 102 | 2.547 x 487 | 2.546 x 487 | 7.283 x 1.349 | 1.349 x 7.315</t>
  </si>
  <si>
    <t>0402-606-D-RAKE-13-056|4251</t>
  </si>
  <si>
    <t>RFR0/RFR94, RP, RD2B, RFR85, RL1S</t>
  </si>
  <si>
    <t>BPP-RFR0/RFR94-H2-R1, BPP-RP-H2-R2, BPR-RD2B-H2C~H7C,H9C~H13C, BPR-RFR85-H6-R2, BPR-RFR85-HB10, BPR-RFR85-H1~H27, BPR-RL1S-H1-R3</t>
  </si>
  <si>
    <t>1.598 x 916 | 3.446 x 1.860 | 742 x 203 | 3.225 x 1.860 | 964 x 337 | 742 x 102 | 3.862 x 1.860</t>
  </si>
  <si>
    <t>0402-606-D-RAKE-13-056|4017</t>
  </si>
  <si>
    <t>BPP, BPR, BDF1(3)</t>
  </si>
  <si>
    <t>RFR0, RD2B, RFR89, RL1P, HASTILHA</t>
  </si>
  <si>
    <t>B37, BPR-RD2B-H2C~H7C,H9C~H13C, BPR-RFR89-H2-R4, BPR-RL1P-H1-R3, BPR-RFR89-H3-R1, HASTILHA TESTE 1875</t>
  </si>
  <si>
    <t>288 x 171 | 742 x 203 | 3.100 x 1.860 | 3.862 x 1.860 | 1.875 x 508</t>
  </si>
  <si>
    <t>0402-606-D-RAKE-13-056|4513</t>
  </si>
  <si>
    <t>BPP, BPR, BDF1(3), BDF1(1)</t>
  </si>
  <si>
    <t>BPP, RFR85, HASTILHA</t>
  </si>
  <si>
    <t>B34, BPR-RFR85-H5-R2, BPR-RFR85-H7-R2, HASTILHA S/ CHANFRO 1875, HASTILHA TESTE 1875</t>
  </si>
  <si>
    <t>629 x 423 | 5.475 x 1.860 | 5.475 x 1.133 | 1.875 x 508</t>
  </si>
  <si>
    <t>0402-606-D-RAKE-13-056|4514</t>
  </si>
  <si>
    <t>RFR0/RFR94</t>
  </si>
  <si>
    <t>BPP-RFR0/RFR94-H4</t>
  </si>
  <si>
    <t>12.000 x 1.868</t>
  </si>
  <si>
    <t>0402-606-D-RAKE-13-056|3982</t>
  </si>
  <si>
    <t>BCB4, BDF4, BPP, BPR, BDF1</t>
  </si>
  <si>
    <t>RL2, HASTILHA, RP, RD1, RD2A, RD2B, RD2C, RFR85, RD</t>
  </si>
  <si>
    <t>B1-C, RD-HB23C-B, RD-HB24C-B, B26-C, BPP-QD1-H2, BPR-RD1-71~76,_78~82, BPR-RD2A-H17C, BPR-RD2B-H1C,_H14C, BPR-RD2B-H7-R2, BPR-RD2C-H18C, BPR-RFR85-H28~H30, BPR-RFR85-H1~H27, RD-H2</t>
  </si>
  <si>
    <t>564 x 391 | 2.400 x 508 | 2.000 x 508 | 806 x 539 | 590 x 100 | 682 x 76 | 742 x 203 | 600 x 203 | 6.456 x 756 | 596 x 203 | 734 x 102 | 742 x 102 | 12.000 x 1.040</t>
  </si>
  <si>
    <t>0402-606-D-RAKE-13-056|3983</t>
  </si>
  <si>
    <t>BCB4, BCE4, BPP, BPR, BDF1(4)</t>
  </si>
  <si>
    <t>RL1, RS, HASTILHA</t>
  </si>
  <si>
    <t>B1-B, RL1-HB2B-C, B25-C, BPR-RS-H2-R1.IGS, HASTILHA C/ CHANFRO 1875</t>
  </si>
  <si>
    <t>564 x 391 | 958 x 337 | 806 x 539 | 9.252 x 1.860 | 1.875 x 508</t>
  </si>
  <si>
    <t>0402-606-D-RAKE-13-056|4056</t>
  </si>
  <si>
    <t>BCB4, BCE4, BPP, BPR</t>
  </si>
  <si>
    <t>RL2, RL1, RD1</t>
  </si>
  <si>
    <t>B1-C, B1-B, RL1-HB2B-C, B33-B, BPR-RD1-HB1~HB7-R1</t>
  </si>
  <si>
    <t>564 x 391 | 958 x 337 | 721 x 410 | 3.070 x 1.654</t>
  </si>
  <si>
    <t>0402-606-D-RAKE-13-056|3487</t>
  </si>
  <si>
    <t>0406-606-D-RAKE-13-077</t>
  </si>
  <si>
    <t>BCE4, BCB4, BPP, BPR</t>
  </si>
  <si>
    <t>RL2, BPP, RD1, BPR, RD2B</t>
  </si>
  <si>
    <t>B2-B, B2-C, B3, BPR-RD1-H3C~H19C-A, B7, BPR-RD1-H1B-H21B-A, B9, BPR-RD2B-B1~B7-R2, BPR-RD2B-B8~B13-R2, C3</t>
  </si>
  <si>
    <t>993 x 516 | 288 x 174 | 3.976 x 5.284 | 424 x 237 | 573 x 2.390 | 408 x 256 | 1.265 x 382 | 1.295 x 382 | 200 x 155</t>
  </si>
  <si>
    <t>0406-606-D-RAKE-13-077|3381</t>
  </si>
  <si>
    <t>RL2, BPP, RFR1, RFR1/RFR93, BPR, RD1</t>
  </si>
  <si>
    <t>B2-C, B3, B27, BPP-RFR1/RFR93-H9, B11, B13, BPR-RD1-H1B-H21B-B, BPR-RD1-H3C~H19C-B</t>
  </si>
  <si>
    <t>993 x 516 | 288 x 174 | 300 x 454 | 4.867 x 750 | 690 x 276 | 384 x 295 | 2.428 x 146 | 6.640 x 146</t>
  </si>
  <si>
    <t>0406-606-D-RAKE-13-077|3382</t>
  </si>
  <si>
    <t>RL2, BPP, RFR1, RD1</t>
  </si>
  <si>
    <t>B2-B, B2-C, B3, B28, BPR-RD1-H3C~H19C-A, BPR-RD1-H1A~H8A-A, BPR-RD1-H1C~H2C,H20C~H21C-A</t>
  </si>
  <si>
    <t>993 x 516 | 288 x 174 | 424 x 198 | 3.976 x 5.284 | 229 x 2.400 | 4.709 x 2.344</t>
  </si>
  <si>
    <t>0406-606-D-RAKE-13-077|3383</t>
  </si>
  <si>
    <t>RL2, BPP, RD1, BPR</t>
  </si>
  <si>
    <t>B2-B, B3, BPR-RD1-H3C~H19C-A, B13, B7, BPR-RD1-H1B-H21B-A, B9</t>
  </si>
  <si>
    <t>993 x 516 | 288 x 174 | 3.976 x 5.284 | 384 x 295 | 424 x 237 | 573 x 2.390 | 408 x 256</t>
  </si>
  <si>
    <t>0406-606-D-RAKE-13-077|3384</t>
  </si>
  <si>
    <t>RL2, BPP, RD1</t>
  </si>
  <si>
    <t>B2-B, B3, BPR-RD1-H1A~H8A-B, BPR-RD1-H1C~H2C,H20C~H21C-B, BPR-RD1-H1B-H21B-B, BPR-RD1-H3C~H19C-B</t>
  </si>
  <si>
    <t>993 x 516 | 288 x 174 | 2.402 x 146 | 5.200 x 146 | 2.428 x 146 | 6.640 x 146</t>
  </si>
  <si>
    <t>0406-606-D-RAKE-13-077|3385</t>
  </si>
  <si>
    <t>RL2, BPP, RFR1, RD1, BPR, RD2B, RD2C, RFR85, RD</t>
  </si>
  <si>
    <t>B2-B, B3, B28, BPR-RD1-H3C~H19C-A, B13, B7, BPR-RD1-H1B-H21B-A, B9, BPR-RD2B-B1~B7-R2, BPR-RD2B-B8~B13-R2, BPR-RD2C-B2~B3, BPR-RFR85-H33, BPR-RFR85-H4-R2, C3, RD-HB42-C</t>
  </si>
  <si>
    <t>993 x 516 | 288 x 174 | 424 x 198 | 3.976 x 5.284 | 384 x 295 | 424 x 237 | 573 x 2.390 | 408 x 256 | 1.265 x 382 | 1.295 x 382 | 3.572 x 750 | 9.400 x 540 | 200 x 155</t>
  </si>
  <si>
    <t>0406-606-D-RAKE-13-077|3386</t>
  </si>
  <si>
    <t>BCE4, BPR</t>
  </si>
  <si>
    <t>RL2, RFR85, RD1</t>
  </si>
  <si>
    <t>B2-B, BPR-RFR85-H3-R2, BPR-RD1-H1A~H8A-A</t>
  </si>
  <si>
    <t>993 x 516 | 9.400 x 1.860 | 229 x 2.400</t>
  </si>
  <si>
    <t>0406-606-D-RAKE-13-077|3387</t>
  </si>
  <si>
    <t>ACESS_DEFENCA, RD, RD2A, RD2C, BPP</t>
  </si>
  <si>
    <t>DEFENÇA-W-S_150_X_1830, RD-HB74-B_R1.IGS, BPR-RD2A-H2C-R1, BPR-RD2C-H1C-R2, RD-HB39-C, BPP-RD2-H2-R3, BPP-RD2-H6-R3</t>
  </si>
  <si>
    <t>1.830 x 150 | 1.013 x 344 | 1.497 x 1.398 | 1.017 x 349 | 4.371 x 1.860</t>
  </si>
  <si>
    <t>0406-606-D-RAKE-13-077|3523</t>
  </si>
  <si>
    <t>BCE4, BCB4, BPR</t>
  </si>
  <si>
    <t>RL2, BPR, RD2B, RD1</t>
  </si>
  <si>
    <t>B2-B, B2-C, B9, BPR-RD2B-B1~B7-R2, BPR-RD1-H1A~H8A-A</t>
  </si>
  <si>
    <t>993 x 516 | 408 x 256 | 1.265 x 382 | 229 x 2.400</t>
  </si>
  <si>
    <t>0406-606-D-RAKE-13-077|3705</t>
  </si>
  <si>
    <t>ACESS_DEFENCA, BDF3, BDF4, BPP, BPR</t>
  </si>
  <si>
    <t>ACESS_DEFENCA, RD, RFR0/RFR94, RFR94, RD1, RS</t>
  </si>
  <si>
    <t>DEFENÇA-W-S_150_X_1830, RD-HB19B-C, RD-HB23B-B, BPR-RFR0/RFR94-BVS1B, BPR-RFR94-BVP1B, RD-HB48A-C, RD-HB74-B_R1.IGS, RD-HB76-C.IGS, BPR-QD-H3S, BPR-QD-H3P, BPR-RD1-H9~H17-R2, BPR-RS-14~15, RD-HB40-C, RD-TZ13-C-R1, RD-HB49C-B, RD-HB48C-C, RD-HB49B-B</t>
  </si>
  <si>
    <t>1.830 x 150 | 1.250 x 607 | 1.050 x 607 | 1.220 x 1.319 | 1.208 x 1.318 | 1.000 x 349 | 1.013 x 344 | 690 x 520 | 592 x 450 | 2.805 x 102 | 641 x 349 | 2.524 x 1.639 | 900 x 349</t>
  </si>
  <si>
    <t>0406-606-D-RAKE-13-077|4519</t>
  </si>
  <si>
    <t>0406-603-D-RAKE-13-087</t>
  </si>
  <si>
    <t>RFR89</t>
  </si>
  <si>
    <t>BPR-RFR89-H4-R1</t>
  </si>
  <si>
    <t>11.900 x 1.860</t>
  </si>
  <si>
    <t>0406-603-D-RAKE-13-087|3431</t>
  </si>
  <si>
    <t>BPR-RFR89-H1-R4</t>
  </si>
  <si>
    <t>0406-603-D-RAKE-13-087|3476</t>
  </si>
  <si>
    <t>RL2</t>
  </si>
  <si>
    <t>BCE3-RL2-H26</t>
  </si>
  <si>
    <t>12.000 x 1.760</t>
  </si>
  <si>
    <t>0406-603-D-RAKE-13-087|3802</t>
  </si>
  <si>
    <t>BCB1-RL2-H9</t>
  </si>
  <si>
    <t>0406-603-D-RAKE-13-087|3816</t>
  </si>
  <si>
    <t>BCB3-RL2-H1P-R1</t>
  </si>
  <si>
    <t>1.686 x 12.000</t>
  </si>
  <si>
    <t>0406-603-D-RAKE-13-087|3819</t>
  </si>
  <si>
    <t>RL2, BPR, HASTILHA</t>
  </si>
  <si>
    <t>BCB4-RL2-H32, B17, HASTILHA S/ CHANFRO 1875</t>
  </si>
  <si>
    <t>1.686 x 11.100 | 703 x 364 | 1.875 x 508</t>
  </si>
  <si>
    <t>0406-603-D-RAKE-13-087|3986</t>
  </si>
  <si>
    <t>BDF2</t>
  </si>
  <si>
    <t>RD</t>
  </si>
  <si>
    <t>BDF2-RD-H16</t>
  </si>
  <si>
    <t>0406-603-D-RAKE-13-087|3990</t>
  </si>
  <si>
    <t>0406-603-D-RAKE-13-087|3996</t>
  </si>
  <si>
    <t>0406-603-D-RAKE-13-087|3997</t>
  </si>
  <si>
    <t>0406-603-D-RAKE-13-087|3998</t>
  </si>
  <si>
    <t>0406-603-D-RAKE-13-087|3999</t>
  </si>
  <si>
    <t>0406-603-D-RAKE-13-087|4000</t>
  </si>
  <si>
    <t>0406-603-D-RAKE-13-087|4001</t>
  </si>
  <si>
    <t>BPR-RD1-H8-R1..</t>
  </si>
  <si>
    <t>11.913 x 1.860</t>
  </si>
  <si>
    <t>0406-603-D-RAKE-13-087|4006</t>
  </si>
  <si>
    <t>BPR-RD1-H2~H4,H6~H7-R01..</t>
  </si>
  <si>
    <t>0406-603-D-RAKE-13-087|4010</t>
  </si>
  <si>
    <t>0406-603-D-RAKE-13-087|4011</t>
  </si>
  <si>
    <t>0406-603-D-RAKE-13-087|4012</t>
  </si>
  <si>
    <t>0406-603-D-RAKE-13-087|4013</t>
  </si>
  <si>
    <t>0406-603-D-RAKE-13-087|4014</t>
  </si>
  <si>
    <t>BDF3</t>
  </si>
  <si>
    <t>RD-H7</t>
  </si>
  <si>
    <t>0406-603-D-RAKE-13-087|4073</t>
  </si>
  <si>
    <t>0406-603-D-RAKE-13-087|4075</t>
  </si>
  <si>
    <t>0406-603-D-RAKE-13-087|4076</t>
  </si>
  <si>
    <t>0406-603-D-RAKE-13-087|4077</t>
  </si>
  <si>
    <t>0406-603-D-RAKE-13-087|4078</t>
  </si>
  <si>
    <t>0406-603-D-RAKE-13-087|4079</t>
  </si>
  <si>
    <t>0406-603-D-RAKE-13-087|4080</t>
  </si>
  <si>
    <t>BCB3-RL2-H2P-R1</t>
  </si>
  <si>
    <t>0406-603-D-RAKE-13-087|4084</t>
  </si>
  <si>
    <t>BCE3-RL2-H25</t>
  </si>
  <si>
    <t>0406-603-D-RAKE-13-087|4092</t>
  </si>
  <si>
    <t>BPR, RD1</t>
  </si>
  <si>
    <t>B8, BPR-RD1-77, BPR-RD1-H1</t>
  </si>
  <si>
    <t>415 x 228 | 600 x 76 | 1.860 x 11.913</t>
  </si>
  <si>
    <t>0406-603-D-RAKE-13-087|4246</t>
  </si>
  <si>
    <t>BCE4, BPR, BDF1(1)</t>
  </si>
  <si>
    <t>BCE4-RL2-H37, B17, HASTILHA S/ CHANFRO 1875</t>
  </si>
  <si>
    <t>0406-603-D-RAKE-13-087|4473</t>
  </si>
  <si>
    <t>BDF1</t>
  </si>
  <si>
    <t>RD-H1</t>
  </si>
  <si>
    <t>0406-603-D-RAKE-13-087|4482</t>
  </si>
  <si>
    <t>0406-603-D-RAKE-13-087|4483</t>
  </si>
  <si>
    <t>0406-603-D-RAKE-13-087|4484</t>
  </si>
  <si>
    <t>0406-603-D-RAKE-13-087|4485</t>
  </si>
  <si>
    <t>0406-603-D-RAKE-13-087|4486</t>
  </si>
  <si>
    <t>0406-603-D-RAKE-13-087|4487</t>
  </si>
  <si>
    <t>0406-603-D-RAKE-13-087|4489</t>
  </si>
  <si>
    <t>BCB1-RL2-H8</t>
  </si>
  <si>
    <t>12.000 x 1.686</t>
  </si>
  <si>
    <t>0406-603-D-RAKE-13-087|4493</t>
  </si>
  <si>
    <t>BCB2-RL2-H15</t>
  </si>
  <si>
    <t>0406-603-D-RAKE-13-087|4497</t>
  </si>
  <si>
    <t>BCB2-RL2-H16</t>
  </si>
  <si>
    <t>0406-603-D-RAKE-13-087|4498</t>
  </si>
  <si>
    <t>BCE1-RL2-H14</t>
  </si>
  <si>
    <t>0406-603-D-RAKE-13-087|4501</t>
  </si>
  <si>
    <t>BCE2-RL2-H20</t>
  </si>
  <si>
    <t>0406-603-D-RAKE-13-087|4505</t>
  </si>
  <si>
    <t>BCE2-RL2-H21</t>
  </si>
  <si>
    <t>0406-603-D-RAKE-13-087|4506</t>
  </si>
  <si>
    <t>0406-605-D-RAKE-13-130</t>
  </si>
  <si>
    <t>BPP, RD2A, RD2C, RD</t>
  </si>
  <si>
    <t>BPP-RD2-11A~11D,_14A~14D), BPP-RD2-15A~15F,_16A~16F), BPR-RD2A-B2A~B6A-R3, BPR-RD2A-B2B~B6B-R1, BPR-RD2C-B5A~B5E, BPR-RD2A-B5A~B5E, BPR-RD2C-B2B~B6B-R5, BPR-RD2C-B2A~B6A-R3, RD-TZ11-C-R1, BPP-RD2-11A~11D, 14A~14D)_EXTRA, BPP-RD2-15A~15F, 16A~16F)_Extra</t>
  </si>
  <si>
    <t>1.200 x 203 | 361 x 203 | 680 x 600 | 584 x 257 | 321 x 152 | 328 x 152 | 584 x 259 | 1.642 x 1.489 | 203 x 1.200</t>
  </si>
  <si>
    <t>0406-605-D-RAKE-13-130|4465</t>
  </si>
  <si>
    <t>BPR, BDF2, BPP, BDF1(6)</t>
  </si>
  <si>
    <t>RD1, RD, RS, RFR85, HASTILHA</t>
  </si>
  <si>
    <t>BPR-RD1-H33~H45, RD-H17, B25-C, BPR-RFR85-H1~H27, HASTILHA S/ CHANFRO 1875</t>
  </si>
  <si>
    <t>1.420 x 102 | 12.000 x 1.040 | 806 x 539 | 742 x 102 | 1.875 x 508</t>
  </si>
  <si>
    <t>0406-605-D-RAKE-13-130|4057</t>
  </si>
  <si>
    <t>BCB4, BDF2, BCB2, BPP, BPR</t>
  </si>
  <si>
    <t>RD, BDF2, RL1, RFR1/RFR93, RD2B, RD1</t>
  </si>
  <si>
    <t>RD-H15, RD-H3, RL1-HB9, RFR1/RFR93-HB69-A, RFR1/RFR93-HB69-B, BPR-RD2B-HB6A-R1, BPR-RD2B-HB7B-R1, BPR-RD1-BJ14P-R4, BPR-RD1-BJ14S-R3</t>
  </si>
  <si>
    <t>746 x 430 | 9.066 x 1.790 | 1.500 x 392 | 524 x 75 | 327 x 327 | 190 x 178 | 298 x 190 | 699 x 886</t>
  </si>
  <si>
    <t>0406-605-D-RAKE-13-130|3367</t>
  </si>
  <si>
    <t>BCE4, ACESS-TRAVESSEIRO, BPR</t>
  </si>
  <si>
    <t>RL1, ACESS-TRAVESSEIRO, RD1, RD</t>
  </si>
  <si>
    <t>RL1-HB4-B, ACCESS-TRAVESSEIRO, BPR-RD1-H19-R2, RD-HB35-C, RD-HB37-B</t>
  </si>
  <si>
    <t>1.187 x 354 | 1.172 x 600 | 9.060 x 1.860 | 600 x 178</t>
  </si>
  <si>
    <t>0406-605-D-RAKE-13-130|3368</t>
  </si>
  <si>
    <t>BDF2, BCB4, BPP, BPR</t>
  </si>
  <si>
    <t>BDF2, RD, RFR1/RFR93, RD2A, RD2B</t>
  </si>
  <si>
    <t>RD-H3, RD-HB17-B, RD-HB18-C, RFR1/RFR93-HB69-B, RFR1/RFR93-HB70-B, RFR1/RFR93-HB72-B, RFR1/RFR93-HB77-B, RFR1/RFR93-HB78-B, BPR-RD2A-7C-R1, BPR-RD2B-7C-R1, RD-HB36-C</t>
  </si>
  <si>
    <t>9.066 x 1.790 | 592 x 190 | 327 x 327 | 1.500 x 392 | 392 x 1.000 | 1.200 x 392 | 746 x 430 | 592 x 178</t>
  </si>
  <si>
    <t>0406-605-D-RAKE-13-130|3370</t>
  </si>
  <si>
    <t>BDF2, BPR</t>
  </si>
  <si>
    <t>BDF2, RD1, RFR85</t>
  </si>
  <si>
    <t>RD-H3, BPR-RD1-BJ15S, BPR-RD1-BJ7P-R3, BPR-RD1-BJ7S-R4, BPR-RD1-BJ8P-R3, BPR-RD1-BJ8S-R4, BPR-RD1-BJ9P-R3, BPR-RD1-BJ9S-R4, BPR-RFR85-HB6~HB7, BPR-RFR85-HB9,_HB12-R1</t>
  </si>
  <si>
    <t>9.066 x 1.790 | 731 x 377 | 891 x 599 | 599 x 889 | 600 x 886 | 886 x 600 | 392 x 1.000 | 964 x 390</t>
  </si>
  <si>
    <t>0406-605-D-RAKE-13-130|3372</t>
  </si>
  <si>
    <t>RD, RL1, RFR1/RFR93, RD1, RL1S, BDF1</t>
  </si>
  <si>
    <t>RD-H15, RL1-HB3-C, RD-BJ4-BB, RFR1/RFR93-HB68-C, BPR-RD1-H18-R1, BPR-RL1S-HB3S-R3, RD-H5</t>
  </si>
  <si>
    <t>746 x 430 | 1.187 x 354 | 2.775 x 894 | 1.187 x 357 | 9.060 x 995 | 1.163 x 353 | 9.066 x 590</t>
  </si>
  <si>
    <t>0406-605-D-RAKE-13-130|3377</t>
  </si>
  <si>
    <t>RD, BPR, HASTILHA</t>
  </si>
  <si>
    <t>11.100 x 1.860 | 703 x 364 | 1.875 x 508</t>
  </si>
  <si>
    <t>0406-605-D-RAKE-13-130|4508</t>
  </si>
  <si>
    <t>BCE4, BCE2, BCB4, BPR, BCE3, BCB1, BDF4(1)</t>
  </si>
  <si>
    <t>RD, RL1, BPR, RD1, RD2B, HASTILHA</t>
  </si>
  <si>
    <t>RD-HB8-B, RL1-HB2B-C, RD-TZ2-BE, RD-TZ6-BB, B8, BPR-RD1-HT2A-R3, BPR-RD2B-H10, BPR-RD2B-H11, BCE3-HS3-R1, RD-TZ1-BB, HASTILHA TESTE 1875</t>
  </si>
  <si>
    <t>3.000 x 337 | 958 x 337 | 422 x 3.000 | 422 x 2.775 | 415 x 228 | 1.480 x 383 | 645 x 500 | 350 x 2.875 | 1.875 x 508</t>
  </si>
  <si>
    <t>0406-605-D-RAKE-13-130|4095</t>
  </si>
  <si>
    <t>BCB4, BCE4, BPR, BDF1(3)</t>
  </si>
  <si>
    <t>RL2, RD2B, HASTILHA</t>
  </si>
  <si>
    <t>RL2-HB5A-C, RL2-HB6A-B, BPR-RD2B-H2-R5, HASTILHA C/ CHANFRO 1875</t>
  </si>
  <si>
    <t>2.988 x 337 | 6.960 x 1.860 | 1.875 x 508</t>
  </si>
  <si>
    <t>0406-605-D-RAKE-13-130|4479</t>
  </si>
  <si>
    <t>BCB4, BPR, BDF1(3)</t>
  </si>
  <si>
    <t>RL1, RD2B, HASTILHA</t>
  </si>
  <si>
    <t>RL1-HB1A-B, BPR-RD2B-H6-R6, HASTILHA C/ CHANFRO 1875</t>
  </si>
  <si>
    <t>2.987 x 337 | 6.960 x 1.860 | 1.875 x 508</t>
  </si>
  <si>
    <t>0406-605-D-RAKE-13-130|4480</t>
  </si>
  <si>
    <t>BCB4, BDF4, BPR, BDF1(2)</t>
  </si>
  <si>
    <t>RD, HASTILHA, RD1, RD2B, RFR85</t>
  </si>
  <si>
    <t>RD-HB7-C, RD-HB24D-B, BPR-RD1-H33~H45, BPR-RD2B-H5-R3, BPR-RFR85-H1~H27, HASTILHA S/ CHANFRO 1875</t>
  </si>
  <si>
    <t>3.000 x 337 | 2.000 x 508 | 1.420 x 102 | 6.960 x 1.860 | 742 x 102 | 1.875 x 508</t>
  </si>
  <si>
    <t>0406-605-D-RAKE-13-130|4021</t>
  </si>
  <si>
    <t>RD-H3_A</t>
  </si>
  <si>
    <t>2.800 x 1.790</t>
  </si>
  <si>
    <t>0406-605-D-RAKE-13-130|4336</t>
  </si>
  <si>
    <t>0406-605-D-RAKE-13-130|4337</t>
  </si>
  <si>
    <t>0406-605-D-RAKE-13-130|4338</t>
  </si>
  <si>
    <t>RD-H3_B</t>
  </si>
  <si>
    <t>0406-605-D-RAKE-13-130|4339</t>
  </si>
  <si>
    <t>0406-605-D-RAKE-13-130|4340</t>
  </si>
  <si>
    <t>0406-605-D-RAKE-13-130|4341</t>
  </si>
  <si>
    <t>BCE4, BPR, BDF1(3)</t>
  </si>
  <si>
    <t>RD, RL1, RL2, RD2B, RFR85, RS, HASTILHA</t>
  </si>
  <si>
    <t>RD-HB8-B, RL1-HB2B-C, RL2-HB6A-B, RL2-HB6B-B, BPR-RD2B-H4-R2, BPR-RFR85-H8-R2, RS-HB28-C, HASTILHA S/ CHANFRO 1875</t>
  </si>
  <si>
    <t>3.000 x 337 | 958 x 337 | 2.988 x 337 | 957 x 337 | 6.960 x 963 | 3.225 x 1.133 | 963 x 337 | 1.875 x 508</t>
  </si>
  <si>
    <t>0406-605-D-RAKE-13-130|4058</t>
  </si>
  <si>
    <t>RD-H3_C</t>
  </si>
  <si>
    <t>2.700 x 1.790</t>
  </si>
  <si>
    <t>0406-605-D-RAKE-13-130|4342</t>
  </si>
  <si>
    <t>0406-605-D-RAKE-13-130|4343</t>
  </si>
  <si>
    <t>0406-605-D-RAKE-13-130|4344</t>
  </si>
  <si>
    <t>PCAS DE TETO, BPR</t>
  </si>
  <si>
    <t>PCAS DE TETO, RD1, RD2C</t>
  </si>
  <si>
    <t>BDF-H3, BPR-RD1-BJ3S-R2, BPR-RD1-BJ4P-R3, BPR-RD1-BJ4S-R2, BPR-RD1-BJ5P-R3, BPR-RD1-BJ5S-R4, BPR-RD1-BJ6P-R3, BPR-RD1-BJ6S-R3, BPR-RD2C-7C-R1</t>
  </si>
  <si>
    <t>9.066 x 1.790 | 1.000 x 894 | 699 x 893 | 894 x 699 | 893 x 599 | 746 x 430</t>
  </si>
  <si>
    <t>0406-605-D-RAKE-13-130|4521</t>
  </si>
  <si>
    <t>BCB4, PCAS DE TETO, BPR</t>
  </si>
  <si>
    <t>RD, PCAS DE TETO, RD1</t>
  </si>
  <si>
    <t>RD-H15, BDF-H3, BPR-RD1-BJ1S-R2.IGS, BPR-RD1-BJ2P-R3, BPR-RD1-BJ2S-R2, BPR-RD1-BJ3P-R3</t>
  </si>
  <si>
    <t>746 x 430 | 9.066 x 1.790 | 1.573 x 894 | 1.244 x 892 | 1.245 x 894 | 1.000 x 894</t>
  </si>
  <si>
    <t>0406-605-D-RAKE-13-130|4523</t>
  </si>
  <si>
    <t>PCAS DE TETO, BPP, BPR</t>
  </si>
  <si>
    <t>PCAS DE TETO, RFR1, RFR1/RFR93, RD1, RD2B</t>
  </si>
  <si>
    <t>BDF-H3, RFR1-RFR93-HB71-B-1, RFR1/RFR93-HB69-B, BPR-RD1-BJ10P-R3, BPR-RD1-BJ11P-R4, BPR-RD1-BJ12S-R5, BPR-RD1-BJ13P-R3, BPR-RD1-BJ10S-R4, BPR-RD1-BJ11S-R5, BPR-RD1-BJ12P-R3, BPR-RD1-BJ13S-R4, BPR-RD2B-HB6B-R1</t>
  </si>
  <si>
    <t>9.066 x 1.790 | 1.300 x 392 | 327 x 327 | 599 x 885 | 599 x 886 | 600 x 886 | 190 x 174</t>
  </si>
  <si>
    <t>0406-605-D-RAKE-13-130|4657</t>
  </si>
  <si>
    <t>0413-606-D-RAKE-13-155</t>
  </si>
  <si>
    <t>BCB2, PCAS DE TETO, BPP, BPR</t>
  </si>
  <si>
    <t>RL1, PCAS DE TETO, BPP, RD2C</t>
  </si>
  <si>
    <t>RL1-HB9, BDF-H3, BPP-RD2-17~18-R1, BPR-RD2C-3-R3</t>
  </si>
  <si>
    <t>1.500 x 392 | 9.066 x 1.790 | 2.550 x 102</t>
  </si>
  <si>
    <t>0413-606-D-RAKE-13-155|4520</t>
  </si>
  <si>
    <t>BCE2, PCAS DE TETO, BPP</t>
  </si>
  <si>
    <t>RL1, PCAS DE TETO, RD</t>
  </si>
  <si>
    <t>RL1-HB10, BDF-H3, RD-HB49-C, RD-HB48-B</t>
  </si>
  <si>
    <t>1.500 x 392 | 9.066 x 1.790 | 726 x 190 | 474 x 190</t>
  </si>
  <si>
    <t>0413-606-D-RAKE-13-155|4524</t>
  </si>
  <si>
    <t>BDF1, BCE2, BPP, BPR</t>
  </si>
  <si>
    <t>BDF1, RL1, RD</t>
  </si>
  <si>
    <t>RD-H4, RL1-HB10, RD-HB47-C, RD-HB38-B</t>
  </si>
  <si>
    <t>9.066 x 1.698 | 1.500 x 392 | 474 x 190 | 592 x 178</t>
  </si>
  <si>
    <t>0413-606-D-RAKE-13-155|4658</t>
  </si>
  <si>
    <t>BDF2, BCB4, BCE4, BPR</t>
  </si>
  <si>
    <t>BDF2, RD, RL1, RFR85, RL1P</t>
  </si>
  <si>
    <t>RD-H3, RD-HB16-C, RL1-HB24, RL1-HB25, BPR-RFR85-HB3~HB5, BPR-RL1P-HB2AP, BPR-RL1P-HB2BP</t>
  </si>
  <si>
    <t>9.066 x 1.790 | 600 x 190 | 1.450 x 392 | 392 x 1.450 | 1.415 x 392 | 392 x 1.415</t>
  </si>
  <si>
    <t>0413-606-D-RAKE-13-155|3369</t>
  </si>
  <si>
    <t>BDF2, RD, RL1, RD2B, RD2C</t>
  </si>
  <si>
    <t>RD-H3, RD-HB17-B, RD-HB18-C, RL1-HB4-B, BPR-RD2B-HB5A, BPR-RD2C-HB4B</t>
  </si>
  <si>
    <t>9.066 x 1.790 | 592 x 190 | 1.187 x 354 | 740 x 190 | 592 x 178</t>
  </si>
  <si>
    <t>0413-606-D-RAKE-13-155|3371</t>
  </si>
  <si>
    <t>BDF2, BCB4, BCE4, BPP, BPR</t>
  </si>
  <si>
    <t>BDF2, RL1, BPP, RD1, RD2A, RD2C, RD2B</t>
  </si>
  <si>
    <t>RD-H3, RL1-HB3-C, RL1-HB4-B, BPP-RD2-15~16-R2, BPR-RD1-BJ15P, BPR-RD2A-4-R2, BPR-RD2C-4-R2, BPR-RDB2-HB7A-R1</t>
  </si>
  <si>
    <t>9.066 x 1.790 | 1.187 x 354 | 200 x 102 | 731 x 377 | 200 x 122 | 200 x 121 | 298 x 190</t>
  </si>
  <si>
    <t>0413-606-D-RAKE-13-155|3373</t>
  </si>
  <si>
    <t>BCB4, BDF2, BPP</t>
  </si>
  <si>
    <t>RD, BDF2, RL1, RFR1/RFR93</t>
  </si>
  <si>
    <t>RD-H15, RD-H3, RL1-HB3-C, RD-BJ9-C, RFR1/RFR93-HB65-B</t>
  </si>
  <si>
    <t>746 x 430 | 9.066 x 1.790 | 1.187 x 354 | 2.829 x 898 | 1.187 x 365</t>
  </si>
  <si>
    <t>0413-606-D-RAKE-13-155|3374</t>
  </si>
  <si>
    <t>BCB4, BDF2, BDF4</t>
  </si>
  <si>
    <t>RD, BDF2, RL1</t>
  </si>
  <si>
    <t>RD-H15, RD-H3, RL1-HB3-C, RD-BJ3-BE_0</t>
  </si>
  <si>
    <t>746 x 430 | 9.066 x 1.790 | 1.187 x 354 | 2.775 x 894</t>
  </si>
  <si>
    <t>0413-606-D-RAKE-13-155|3375</t>
  </si>
  <si>
    <t>BCB4, ACESS-TRAVESSEIRO, BPR, BDF2, PCAS DE TETO</t>
  </si>
  <si>
    <t>RL1, ACESS-TRAVESSEIRO, RD1, RD2B, RL1S, RD, RFR85, PCAS DE TETO</t>
  </si>
  <si>
    <t>RL1-HB3-C, ACCESS-TRAVESSEIRO, BPR-RD1-BJ1P-R3.IGS, BPR-RD2B-HB5B, BPR-RL1S-HB2AS, BPR-RL1S-HB2BS, RD-BJ2-BE, BPR-RFR85-HB2, RD-H3_D</t>
  </si>
  <si>
    <t>1.187 x 354 | 1.172 x 600 | 1.573 x 894 | 734 x 190 | 392 x 1.415 | 3.000 x 894 | 1.150 x 392 | 766 x 1.790</t>
  </si>
  <si>
    <t>0413-606-D-RAKE-13-155|3376</t>
  </si>
  <si>
    <t>BDF2, BCB4, BDF4, BPP, BPR</t>
  </si>
  <si>
    <t>BDF2, RD, BPP, RD2A, RD2C</t>
  </si>
  <si>
    <t>RD-H20, RD-BJ1-BB, RD-HB15-B, RD-BJ4-BB, BPP-RD2-17~18-R1, RD-HB50-B, BPR-RD2A-3-R3, BPR-RD2C-3-R3</t>
  </si>
  <si>
    <t>9.066 x 590 | 3.000 x 894 | 600 x 190 | 2.775 x 894 | 2.550 x 102 | 742 x 190</t>
  </si>
  <si>
    <t>0413-606-D-RAKE-13-155|3378</t>
  </si>
  <si>
    <t>BDF2, BDF4</t>
  </si>
  <si>
    <t>RD-BJ1-BB, RD-BJ3-BE_0, RD-BJ4-BB, RD-BJ2-BE</t>
  </si>
  <si>
    <t>3.000 x 894 | 2.775 x 894</t>
  </si>
  <si>
    <t>0413-606-D-RAKE-13-155|3379</t>
  </si>
  <si>
    <t>BCB4, BDF4, BPP, BPR, BDF2, BDF1, PCAS DE TETO</t>
  </si>
  <si>
    <t>RD, RFR1/RFR93, RD2C, RFR85, BDF1, PCAS DE TETO</t>
  </si>
  <si>
    <t>RD-HB16-C, RD-BJ3-BE_0, RFR1/RFR93-HB69-A, BPR-RD2C-3-R3, BPR-RD2C-HB5B, BPR-RFR85-HB8-R1, BPR-RFR85-HB9,_HB12-R1, RD-BJ2-BE, RD-H5, RD-H3_D</t>
  </si>
  <si>
    <t>600 x 190 | 2.775 x 894 | 524 x 75 | 2.550 x 102 | 592 x 178 | 960 x 390 | 964 x 390 | 3.000 x 894 | 9.066 x 590 | 766 x 1.790</t>
  </si>
  <si>
    <t>0413-606-D-RAKE-13-155|4467</t>
  </si>
  <si>
    <t>ACESS-TRAVESSEIRO, BPR, PCAS DE TETO</t>
  </si>
  <si>
    <t>ACESS-TRAVESSEIRO, RL1P, PCAS DE TETO</t>
  </si>
  <si>
    <t>ACCESS-TRAVESSEIRO, BPR-RL1P-HB3P-R2, RAKE-H1~H5, RAKE-H3</t>
  </si>
  <si>
    <t>1.172 x 600 | 1.161 x 357 | 7.196 x 627 | 9.066 x 590</t>
  </si>
  <si>
    <t>0413-606-D-RAKE-13-155|4269</t>
  </si>
  <si>
    <t>BDF2, BCE4, BCB2, ACESS-TRAVESSEIRO</t>
  </si>
  <si>
    <t>BDF2, RL1, ACESS-TRAVESSEIRO</t>
  </si>
  <si>
    <t>RD-H3, RL1-HB4-B, RL1-HB9, ACCESS-TRAVESSEIRO</t>
  </si>
  <si>
    <t>9.066 x 1.790 | 1.187 x 354 | 1.500 x 392 | 1.172 x 600</t>
  </si>
  <si>
    <t>0413-606-D-RAKE-13-155|3709</t>
  </si>
  <si>
    <t>0413-606-D-RAKE-13-155|3710</t>
  </si>
  <si>
    <t>BDF2, BCB4, BCB2, ACESS-TRAVESSEIRO</t>
  </si>
  <si>
    <t>RD-H3, RL1-HB3-C, RL1-HB9, ACCESS-TRAVESSEIRO</t>
  </si>
  <si>
    <t>0413-606-D-RAKE-13-155|3711</t>
  </si>
  <si>
    <t>BDF2, BCE2, BCB4, BCE4, BPR</t>
  </si>
  <si>
    <t>BDF2, RL1, RFR85</t>
  </si>
  <si>
    <t>RD-H3, RL1-HB10, RL1-HB3-C, RL1-HB4-B, BPR-RFR85-HB2</t>
  </si>
  <si>
    <t>9.066 x 1.790 | 1.500 x 392 | 1.187 x 354 | 1.150 x 392</t>
  </si>
  <si>
    <t>0413-606-D-RAKE-13-155|3714</t>
  </si>
  <si>
    <t>BDF2, BCE2, BCB4</t>
  </si>
  <si>
    <t>BDF2, RL1</t>
  </si>
  <si>
    <t>RD-H3, RL1-HB10, RL1-HB3-C</t>
  </si>
  <si>
    <t>9.066 x 1.790 | 1.500 x 392 | 1.187 x 354</t>
  </si>
  <si>
    <t>0413-606-D-RAKE-13-155|3712</t>
  </si>
  <si>
    <t>BCE2, BCB2, PCAS DE TETO, BPR</t>
  </si>
  <si>
    <t>RL1, PCAS DE TETO, RD2C</t>
  </si>
  <si>
    <t>RL1-HB10, RL1-HB9, RD-H9, BPR-RD2C-HB4A, BPR-RD2C-HB5A</t>
  </si>
  <si>
    <t>1.500 x 392 | 9.066 x 1.790 | 600 x 178</t>
  </si>
  <si>
    <t>0413-606-D-RAKE-13-155|4334</t>
  </si>
  <si>
    <t>BDF2, BCB4, BCE4</t>
  </si>
  <si>
    <t>RD-BJ1-BB, RD-HB15-B, RL1-HB25, RD-BJ2-BE</t>
  </si>
  <si>
    <t>3.000 x 894 | 600 x 190 | 1.450 x 392</t>
  </si>
  <si>
    <t>0413-606-D-RAKE-13-155|3716</t>
  </si>
  <si>
    <t>BCB4, PCAS DE TETO</t>
  </si>
  <si>
    <t>RD, RL1, PCAS DE TETO</t>
  </si>
  <si>
    <t>RD-HB15-B, RD-HB16-C, RL1-HB24, RAKE-H3, RAKE-600</t>
  </si>
  <si>
    <t>600 x 190 | 1.450 x 392 | 9.066 x 590 | 9.066 x 600</t>
  </si>
  <si>
    <t>0413-606-D-RAKE-13-155|4335</t>
  </si>
  <si>
    <t>0413-603-D-RAKE-13-176</t>
  </si>
  <si>
    <t>0413-603-D-RAKE-13-176|4481</t>
  </si>
  <si>
    <t>0413-603-D-RAKE-13-176|4492</t>
  </si>
  <si>
    <t>0413-603-D-RAKE-13-176|4494</t>
  </si>
  <si>
    <t>0413-603-D-RAKE-13-176|4495</t>
  </si>
  <si>
    <t>BCB4, BCB3</t>
  </si>
  <si>
    <t>RL2, RD</t>
  </si>
  <si>
    <t>564 x 391 | 11.810 x 1.860</t>
  </si>
  <si>
    <t>0413-603-D-RAKE-13-176|4260</t>
  </si>
  <si>
    <t>0413-603-D-RAKE-13-176|4502</t>
  </si>
  <si>
    <t>11.810 x 1.860</t>
  </si>
  <si>
    <t>0413-603-D-RAKE-13-176|4027</t>
  </si>
  <si>
    <t>BCE4, BCB4, BDF3</t>
  </si>
  <si>
    <t>RL1, RL2, RD</t>
  </si>
  <si>
    <t>RL1-HB2A-C, RL2-HB5A-C, RL1-HB1A-B, RD-H8</t>
  </si>
  <si>
    <t>2.987 x 337 | 2.988 x 337 | 12.000 x 1.040</t>
  </si>
  <si>
    <t>0413-603-D-RAKE-13-176|4074</t>
  </si>
  <si>
    <t>0416-603-D-BOX-15-001</t>
  </si>
  <si>
    <t>Em processamento</t>
  </si>
  <si>
    <t>0416-603-D-BOX-15-001|3909</t>
  </si>
  <si>
    <t>0416-603-D-BOX-15-001|3857</t>
  </si>
  <si>
    <t>0416-603-D-BOX-15-001|3560</t>
  </si>
  <si>
    <t>0416-603-D-BOX-15-001|3561</t>
  </si>
  <si>
    <t>0416-603-D-BOX-15-001|3562</t>
  </si>
  <si>
    <t>BCE1-RL2-H13</t>
  </si>
  <si>
    <t>0416-603-D-BOX-15-001|3565</t>
  </si>
  <si>
    <t>BCE4, BPP, BDF1(1)</t>
  </si>
  <si>
    <t>BCE4-RL2-H38, RD-HB75-C.IGS, HASTILHA TESTE 1875</t>
  </si>
  <si>
    <t>0416-603-D-BOX-15-001|3570</t>
  </si>
  <si>
    <t>0416-603-D-BOX-15-001|3571</t>
  </si>
  <si>
    <t>0416-603-D-BOX-15-001|3873</t>
  </si>
  <si>
    <t>0416-603-D-BOX-15-001|3590</t>
  </si>
  <si>
    <t>0416-603-D-BOX-15-001|3879</t>
  </si>
  <si>
    <t>0416-603-D-BOX-15-001|3598</t>
  </si>
  <si>
    <t>BCE4, BCB4, BDF1(1)</t>
  </si>
  <si>
    <t>RL2, HASTILHA</t>
  </si>
  <si>
    <t>RL2-HB6B-B, BCB4-RL2-H32, HASTILHA TESTE 1875</t>
  </si>
  <si>
    <t>957 x 337 | 1.686 x 11.100 | 1.875 x 508</t>
  </si>
  <si>
    <t>0416-603-D-BOX-15-001|4348</t>
  </si>
  <si>
    <t>BDF4, BDF1(1)</t>
  </si>
  <si>
    <t>BDF4-RD-H13, HASTILHA TESTE 1875</t>
  </si>
  <si>
    <t>11.100 x 1.860 | 1.875 x 508</t>
  </si>
  <si>
    <t>0416-603-D-BOX-15-001|4349</t>
  </si>
  <si>
    <t>0416-603-D-BOX-15-001|4354</t>
  </si>
  <si>
    <t>0416-603-D-BOX-15-001|4355</t>
  </si>
  <si>
    <t>BDF4-RD-H13, RFR1/RFR93-HB66-B, HASTILHA TESTE 1875</t>
  </si>
  <si>
    <t>11.100 x 1.860 | 1.187 x 337 | 1.875 x 508</t>
  </si>
  <si>
    <t>0416-603-D-BOX-15-001|4353</t>
  </si>
  <si>
    <t>0416-603-D-BOX-15-001|4352</t>
  </si>
  <si>
    <t>BDF4-RD-H13, RD-HB52-B, HASTILHA TESTE 1875</t>
  </si>
  <si>
    <t>11.100 x 1.860 | 1.095 x 347 | 1.875 x 508</t>
  </si>
  <si>
    <t>0416-603-D-BOX-15-001|4356</t>
  </si>
  <si>
    <t>0416-603-D-BOX-15-001|4357</t>
  </si>
  <si>
    <t>BCE4, BDF1(1)</t>
  </si>
  <si>
    <t>BCE4-RL2-H37, HASTILHA TESTE 1875</t>
  </si>
  <si>
    <t>1.686 x 11.100 | 1.875 x 508</t>
  </si>
  <si>
    <t>0416-603-D-BOX-15-001|4358</t>
  </si>
  <si>
    <t>0416-603-D-BOX-15-001|3944</t>
  </si>
  <si>
    <t>BCB4, BDF3(1)</t>
  </si>
  <si>
    <t>BCB4-RL2-H31, HASTILHA TESTE 1875</t>
  </si>
  <si>
    <t>11.100 x 1.760 | 1.875 x 508</t>
  </si>
  <si>
    <t>0416-603-D-BOX-15-001|4288</t>
  </si>
  <si>
    <t>0416-605-D-BOX-16-001</t>
  </si>
  <si>
    <t>BCB4, BPP, BPP(1)</t>
  </si>
  <si>
    <t>RL1, RD1, RFR1/RFR93</t>
  </si>
  <si>
    <t>B1-B, B33-B, B32-C, BPP-RFR1/RFR93-H2-R3</t>
  </si>
  <si>
    <t>564 x 391 | 721 x 410 | 11.900 x 1.860</t>
  </si>
  <si>
    <t>0416-605-D-BOX-16-001|3641</t>
  </si>
  <si>
    <t>0416-605-D-BOX-16-001|3847</t>
  </si>
  <si>
    <t>BPP(1)</t>
  </si>
  <si>
    <t>0416-605-D-BOX-16-001|3896</t>
  </si>
  <si>
    <t>BPP(1), BPP</t>
  </si>
  <si>
    <t>RD1, BPP, RFR0/RFR94</t>
  </si>
  <si>
    <t>BPP-RD1-H1, BPP-RD2-H4A-R1, BPP-RFR0/RFR94-H3-R1</t>
  </si>
  <si>
    <t>2.051 x 1.817 | 8.004 x 1.860 | 1.868 x 1.598</t>
  </si>
  <si>
    <t>0416-605-D-BOX-16-001|3899</t>
  </si>
  <si>
    <t>BCB4, BPP, BPP(2), BPP(1), BDF1(1), BCE2</t>
  </si>
  <si>
    <t>RL2, BPP, RD1, RFR0/RFR94, RFR1/RFR93, HASTILHA, BCE2</t>
  </si>
  <si>
    <t>B1-C, B24-C, B32-C, BPP-RFR0/RFR94-H3-R1, BPP-RFR1/RFR93-H1-R2, BPP-RFR1/RFR93-H4-R1, HASTILHA TESTE 1875, B22</t>
  </si>
  <si>
    <t>564 x 391 | 780 x 449 | 721 x 410 | 1.868 x 1.598 | 3.100 x 1.860 | 6.025 x 1.860 | 1.875 x 508 | 71 x 35</t>
  </si>
  <si>
    <t>0416-605-D-BOX-16-001|3900</t>
  </si>
  <si>
    <t>BPP(1), BPP, BDF1(3)</t>
  </si>
  <si>
    <t>RD1, BPP, RFR1/RFR93, RD, HASTILHA</t>
  </si>
  <si>
    <t>BPP-RD1-H4-R1, BPP-RD2-H4B1-R2, BPP-RFR1/RFR93-H3-R1, RD-HB73-B.IGS, HASTILHA TESTE 1875</t>
  </si>
  <si>
    <t>2.054 x 1.002 | 2.095 x 440 | 8.275 x 1.860 | 1.793 x 330 | 1.875 x 508</t>
  </si>
  <si>
    <t>0416-605-D-BOX-16-001|3907</t>
  </si>
  <si>
    <t>BCE4, BDF4, BPP, BPP(2)</t>
  </si>
  <si>
    <t>RD, HASTILHA, RFR0, RFR1/RFR93, RP</t>
  </si>
  <si>
    <t>RD-HB8-B, RD-HB23C-B, RD-HB24C-B, B36, BPP-RFR1/RFR93-H6-R2, BPP-RP-H2-R2</t>
  </si>
  <si>
    <t>3.000 x 337 | 2.400 x 508 | 2.000 x 508 | 300 x 170 | 6.025 x 1.758 | 3.446 x 1.860</t>
  </si>
  <si>
    <t>0416-605-D-BOX-16-001|3934</t>
  </si>
  <si>
    <t>BCB4, BDF4, BPP, BPP(1)</t>
  </si>
  <si>
    <t>RL2, HASTILHA, RFR1, BPP, RD1, RFR0, RD, RFR1/RFR93</t>
  </si>
  <si>
    <t>RL2-HB5A-C, RD-HB23C-B, B31, B35, B32-C, B36, BPP-RD1-H3-R1, BPP-RD2-H4B2-R2, BPP-RD2-H4B4-R2, RD-HB52-B, RFR1/RFR93-HB64-C</t>
  </si>
  <si>
    <t>2.988 x 337 | 2.400 x 508 | 252 x 146 | 559 x 317 | 721 x 410 | 300 x 170 | 11.997 x 1.002 | 775 x 440 | 1.095 x 347 | 3.000 x 337</t>
  </si>
  <si>
    <t>0416-605-D-BOX-16-001|4227</t>
  </si>
  <si>
    <t>BPP, BDF1(6)</t>
  </si>
  <si>
    <t>RFR0/RFR94, RD, RFR1/RFR93, HASTILHA</t>
  </si>
  <si>
    <t>BPP- RFR0/RFR94-H1, RD-HB73-B.IGS, RFR1/RFR93-HB60-B, HASTILHA TESTE 1875</t>
  </si>
  <si>
    <t>916 x 12.000 | 1.793 x 330 | 3.295 x 333 | 1.875 x 508</t>
  </si>
  <si>
    <t>0416-605-D-BOX-16-001|4281</t>
  </si>
  <si>
    <t>BCE4, BPP, BPP(2), BCB5, BDF1(7)</t>
  </si>
  <si>
    <t>RL2, BPP, RD1, RFR1/RFR93, RD, HASTILHA</t>
  </si>
  <si>
    <t>RL2-HB6B-B, B23-B, B33-B, BPP-RFR1/RFR93-H5-R2, RFR1/RFR93-HB60-B, RD-TZ8-BB, HASTILHA TESTE 1875</t>
  </si>
  <si>
    <t>957 x 337 | 780 x 449 | 721 x 410 | 8.275 x 1.758 | 3.295 x 333 | 422 x 2.367 | 1.875 x 508</t>
  </si>
  <si>
    <t>0416-605-D-BOX-16-001|4282</t>
  </si>
  <si>
    <t>BPP, BPP(2)</t>
  </si>
  <si>
    <t>BPP, RS, RFR1/RFR93</t>
  </si>
  <si>
    <t>B23-B, B24-C, B25-C, BPP-RFR1/RFR93-H2-R3</t>
  </si>
  <si>
    <t>780 x 449 | 806 x 539 | 11.900 x 1.860</t>
  </si>
  <si>
    <t>0416-605-D-BOX-16-001|4374</t>
  </si>
  <si>
    <t>0416-606-D-BOX-16-012</t>
  </si>
  <si>
    <t>BCB4, BPP</t>
  </si>
  <si>
    <t>RL2, RFR1, BPP</t>
  </si>
  <si>
    <t>B2-C, B28, B3</t>
  </si>
  <si>
    <t>993 x 516 | 424 x 198 | 288 x 174</t>
  </si>
  <si>
    <t>0416-606-D-BOX-16-012|3131</t>
  </si>
  <si>
    <t>BCB4, BCE4, BPP</t>
  </si>
  <si>
    <t>RL2, BPP</t>
  </si>
  <si>
    <t>B2-C, B2-B, B3</t>
  </si>
  <si>
    <t>993 x 516 | 288 x 174</t>
  </si>
  <si>
    <t>0416-606-D-BOX-16-012|3132</t>
  </si>
  <si>
    <t>BPP, ACESS_DEFENCA, BDF5, BDF4</t>
  </si>
  <si>
    <t>RD1, RFR94, ACESS_DEFENCA, RD, RFR1/RFR93, BDF4</t>
  </si>
  <si>
    <t>BPP-QD1P-H2, BPP-QD1P-H4, BPP-QD1S-H2, BPR-RFR94-BVP1B, DEFENÇA-W-S_150_X_1830, RD-HB49A-B, RD-TZ13-BB, RD-TZ15-BE, RD-TZ16-BE, RD-TZ17-C, RD-TZ18-C, RFR1/RFR93-HB59-B, BDF5-RD-H9B,_H9D, BDF5-RD-H10B,_H10D~H11B,_H11D, BDF5-QD-H2-R1, BDF4-H10, BDF4-H16, BDF4-H11, BDF4-QD-H2-R1, RD-HB49B-B</t>
  </si>
  <si>
    <t>580 x 450 | 1.208 x 1.318 | 1.830 x 150 | 1.000 x 349 | 527 x 1.219 | 527 x 1.218 | 527 x 1.587 | 1.551 x 2.557 | 1.551 x 2.882 | 625 x 327 | 572 x 342 | 590 x 350 | 590 x 440 | 584 x 432 | 592 x 350 | 592 x 432</t>
  </si>
  <si>
    <t>0416-606-D-BOX-16-012|3761</t>
  </si>
  <si>
    <t>BPP, BPP(1), ACESS_DEFENCA</t>
  </si>
  <si>
    <t>RD1, BPP, ACESS_DEFENCA, RD, RFR1/RFR93</t>
  </si>
  <si>
    <t>BPP-QD1P-H5, BPP-QD1S-H5, BPP-RD2-H2-R3, BPP-RD2-H6-R3, DEFENÇA-W-S_150_X_1830, RD-HB74-B_R1.IGS, RD-TZ17-C, RFR1/RFR93-HB57-C</t>
  </si>
  <si>
    <t>734 x 234 | 4.351 x 1.860 | 1.830 x 150 | 1.013 x 344 | 1.551 x 2.557 | 625 x 327</t>
  </si>
  <si>
    <t>0416-606-D-BOX-16-012|3762</t>
  </si>
  <si>
    <t>BCB4, BCE4, BPP, BPP(1)BPP(2)</t>
  </si>
  <si>
    <t>RL2, RFR1, RFR1/RFR93, BPP</t>
  </si>
  <si>
    <t>B2-C, B2-B, B27, B28, BPP-RFR1/RFR93-H9, B3</t>
  </si>
  <si>
    <t>993 x 516 | 300 x 454 | 424 x 198 | 4.867 x 750 | 288 x 174</t>
  </si>
  <si>
    <t>0416-606-D-BOX-16-012|3845</t>
  </si>
  <si>
    <t>RD1, BPP, RD, RFR1/RFR93</t>
  </si>
  <si>
    <t>BPP-QD1-H1-R1, BPP-QD1P-H2, BPP-QD1P-H3, BPP-QD1S-H2, BPP-QD1S-H4, BPP-RD1-H5~H6-R2, BPP-RD2-H2-R3, BPP-RD2-H6-R3, RD-HB45-C, RD-HB46-C, RD-TZ13-BB, RD-TZ15-BE, RFR1/RFR93-HB57-C, RFR1/RFR93-HB59-B</t>
  </si>
  <si>
    <t>590 x 442 | 580 x 450 | 734 x 580 | 590 x 350 | 4.351 x 1.860 | 584 x 349 | 527 x 1.219 | 527 x 1.218 | 625 x 327</t>
  </si>
  <si>
    <t>0416-606-D-BOX-16-012|4184</t>
  </si>
  <si>
    <t>BPP(2), ACESS_DEFENCA, BPP, BDF5, BDF4</t>
  </si>
  <si>
    <t>BPP, ACESS_DEFENCA, RD, RFR1/RFR93, BDF4</t>
  </si>
  <si>
    <t>BPP-RD2-H3-R4, BPP-RD2-H5-R5, DEFENÇA-W-S_150_X_1830, RD-HB76-C.IGS, RD-TZ17-C, RD-TZ18-C, RFR1/RFR93-HB59-B, BDF5-RD-H9B,_H9D, B21, RD-HB49B-B</t>
  </si>
  <si>
    <t>3.409 x 687 | 1.830 x 150 | 1.013 x 344 | 1.551 x 2.557 | 1.551 x 2.882 | 625 x 327 | 572 x 342 | 1.000 x 349</t>
  </si>
  <si>
    <t>0416-606-D-BOX-16-012|4185</t>
  </si>
  <si>
    <t>BPP, BPP(2), BPP(1)BPP(2), ACESS_DEFENCA, BDF5</t>
  </si>
  <si>
    <t>RD1, BPP, RFR1/RFR93, RFR0/RFR94, RFR94, ACESS_DEFENCA, RD</t>
  </si>
  <si>
    <t>BPP-QD1P-H3, BPP-QD1P-H5, BPP-QD1S-H3, BPP-RD1-H5~H6-R2, BPP-RD2-H1-R8, BPP-RD2-H3B, BPP-RD2-H5B, BPP-RD2-H7-R5, BPP-RFR1/RFR93-H7~H8-R1, BPR-RFR0/RFR94-BVS1B, BPR-RFR94-BVP1B, DEFENÇA-W-S_150_X_1830, RD-HB45-C, RD-HB46-C, RD-HB48A-C, RD-HB48B-C, RD-HB74-B_R1.IGS, RD-HB76-C.IGS, RD-TZ14-BB, RFR1/RFR93-HB59-B, BDF5-RD-H9B,_H9D, RD-HB49C-B, RD-HB49B-B</t>
  </si>
  <si>
    <t>734 x 580 | 734 x 234 | 590 x 350 | 3.554 x 945 | 938 x 687 | 1.015 x 566 | 1.220 x 1.319 | 1.208 x 1.318 | 1.830 x 150 | 584 x 349 | 1.000 x 349 | 1.013 x 344 | 527 x 1.587 | 625 x 327 | 572 x 342 | 900 x 349</t>
  </si>
  <si>
    <t>0416-606-D-BOX-16-012|4186</t>
  </si>
  <si>
    <t>BPP, BPP(1), BDF5, BDF4</t>
  </si>
  <si>
    <t>RD1, BPP, RD, BDF4</t>
  </si>
  <si>
    <t>BPP-QD1S-H1, BPP-QD1P-H1, BPP-RD2-BVP-R3, BPP-RD2-BVS-R6.., BPP-RD2-H1-R8, BPP-RD2-H3-R4, BPP-RD2-H3B, BPP-RD2-H5-R5, BPP-RD2-H7-R5, RD-HB48A-C, RD-HB48B-C, RD-HB49A-B, RD-HB74-B_R1.IGS, RD-HB76-C.IGS, BDF5-RD-H9B,_H9D, B21, RD-HB49C-B, RD-HB48C-C</t>
  </si>
  <si>
    <t>925 x 732 | 997 x 1.465 | 3.554 x 945 | 3.409 x 687 | 938 x 687 | 1.000 x 349 | 1.013 x 344 | 572 x 342 | 900 x 349</t>
  </si>
  <si>
    <t>0416-606-D-BOX-16-012|4188</t>
  </si>
  <si>
    <t>0422-603-D-BOX-15-024</t>
  </si>
  <si>
    <t>0422-603-D-BOX-15-024|3850</t>
  </si>
  <si>
    <t>0422-603-D-BOX-15-024|3852</t>
  </si>
  <si>
    <t>0422-603-D-BOX-15-024|3853</t>
  </si>
  <si>
    <t>0422-603-D-BOX-15-024|3859</t>
  </si>
  <si>
    <t>0422-603-D-BOX-15-024|3860</t>
  </si>
  <si>
    <t>0422-603-D-BOX-15-024|3861</t>
  </si>
  <si>
    <t>0422-603-D-BOX-15-024|3862</t>
  </si>
  <si>
    <t>0422-603-D-BOX-15-024|3863</t>
  </si>
  <si>
    <t>0422-603-D-BOX-15-024|3864</t>
  </si>
  <si>
    <t>0422-603-D-BOX-15-024|3865</t>
  </si>
  <si>
    <t>0422-603-D-BOX-15-024|3870</t>
  </si>
  <si>
    <t>0422-603-D-BOX-15-024|3872</t>
  </si>
  <si>
    <t>0422-603-D-BOX-15-024|3874</t>
  </si>
  <si>
    <t>0422-603-D-BOX-15-024|3875</t>
  </si>
  <si>
    <t>0422-603-D-BOX-15-024|3877</t>
  </si>
  <si>
    <t>0422-603-D-BOX-15-024|3878</t>
  </si>
  <si>
    <t>0422-603-D-BOX-15-024|3883</t>
  </si>
  <si>
    <t>0422-603-D-BOX-15-024|3904</t>
  </si>
  <si>
    <t>0422-603-D-BOX-15-024|3905</t>
  </si>
  <si>
    <t>0422-603-D-BOX-15-024|3906</t>
  </si>
  <si>
    <t>0422-603-D-BOX-15-024|3964</t>
  </si>
  <si>
    <t>0421-603-D-BOX-15-045</t>
  </si>
  <si>
    <t>ANTSP-RF17P,33P,61S,77S-H2P</t>
  </si>
  <si>
    <t>3.884 x 1.857</t>
  </si>
  <si>
    <t>0421-603-D-BOX-15-045|3122</t>
  </si>
  <si>
    <t>0421-603-D-BOX-15-045|3123</t>
  </si>
  <si>
    <t>ANTSP-RF17P,33P,61S,77S-H1P-LADO B, ANTSP-RF17P,33P,61S,77S-H1P, ANTSS-RF17,33S,61P,77P-H1S, ANTSP-RF17P,33P,61S,77S-H1P-LADO A</t>
  </si>
  <si>
    <t>3.883 x 552 | 3.883 x 1.138 | 3.883 x 587</t>
  </si>
  <si>
    <t>0421-603-D-BOX-15-045|3124</t>
  </si>
  <si>
    <t>ANTSS-RF17,33S,61P,77P-H1S, ANTSS-RF17,33S,61P,77P-H2S, ANTSP-RF17P,33P,61S,77S-H1P-LADO A</t>
  </si>
  <si>
    <t>3.883 x 1.138 | 3.884 x 1.857 | 3.883 x 587</t>
  </si>
  <si>
    <t>0421-603-D-BOX-15-045|3125</t>
  </si>
  <si>
    <t>ANTEPARA, PCAS EXTRA</t>
  </si>
  <si>
    <t>ANTSP-RF17P,33P,61S,77S-H1P, ANTSP-RF17P,33P,61S,77S-H1P-LADO_A-Extra, ANTSP-RF17P,33P,61S,77S-H1P-LADO_B-Extra, ANTSS-RF17,33S,61P,77P-H1S, ANTSP-RF17P,33P,61S,77S-H1P-Extra</t>
  </si>
  <si>
    <t>3.883 x 1.138 | 3.883 x 587 | 3.883 x 552</t>
  </si>
  <si>
    <t>0421-603-D-BOX-15-045|3126</t>
  </si>
  <si>
    <t>0410-603-D-BOX-15-050</t>
  </si>
  <si>
    <t>BCB4, BCB3, BPP</t>
  </si>
  <si>
    <t>RL1, RD1, RFR0/RFR94</t>
  </si>
  <si>
    <t>RL1-HB1A-B, B-BCB3-RL1-H3P-R2, BPP-RD1-H7, BPP-RD1-H8, RFR0/RFR94-HB53-B, RFR0/RFR94-HB54-B</t>
  </si>
  <si>
    <t>2.987 x 337 | 12.000 x 1.389 | 3.708 x 51 | 3.692 x 51 | 2.827 x 337</t>
  </si>
  <si>
    <t>0410-603-D-BOX-15-050|3529</t>
  </si>
  <si>
    <t>BCE4, BCE3, BPP</t>
  </si>
  <si>
    <t>RL1, RFR0/RFR94</t>
  </si>
  <si>
    <t>RL1-HB2A-C, B-RL1-H29, RFR0/RFR94-HB55-C, RFR0/RFR94-HB56-C</t>
  </si>
  <si>
    <t>2.987 x 337 | 12.000 x 1.389 | 2.827 x 337</t>
  </si>
  <si>
    <t>0410-603-D-BOX-15-050|3531</t>
  </si>
  <si>
    <t>BCE1, BCB4, BCE3</t>
  </si>
  <si>
    <t>BCE1-RL1-H12, RL2-HB5A-C, BCE3-RL1-HB1AS~HB3AS-R1, RD-TZ6-BB</t>
  </si>
  <si>
    <t>12.000 x 1.389 | 2.988 x 337 | 2.987 x 337 | 422 x 2.775</t>
  </si>
  <si>
    <t>0410-603-D-BOX-15-050|3601</t>
  </si>
  <si>
    <t>BCB1, BCE4, BPP</t>
  </si>
  <si>
    <t>RL1, RD, RD1, BPP</t>
  </si>
  <si>
    <t>BCB1-RL1-H7, RD-TZ7-BE, B32-C, BPP-RD2-H4B3-R2</t>
  </si>
  <si>
    <t>12.000 x 1.389 | 422 x 2.775 | 721 x 410 | 4.345 x 440</t>
  </si>
  <si>
    <t>0410-603-D-BOX-15-050|3911</t>
  </si>
  <si>
    <t>BCE4, BCB4, BPP</t>
  </si>
  <si>
    <t>RL1, RFR0, RD, RFR1/RFR93</t>
  </si>
  <si>
    <t>RL1-HB2A-C, BCB4-RL1-H35, B36, RD-HB52-B, RFR1/RFR93-HB60-B, RFR1/RFR93-HB61-B</t>
  </si>
  <si>
    <t>2.987 x 337 | 11.600 x 1.389 | 300 x 170 | 1.095 x 347 | 3.295 x 333 | 1.240 x 337</t>
  </si>
  <si>
    <t>0410-603-D-BOX-15-050|3917</t>
  </si>
  <si>
    <t>BCB4, BCB1, BCE2</t>
  </si>
  <si>
    <t>RD-HB7-C, RD-TZ1-BB, BCE2-RL1-H24</t>
  </si>
  <si>
    <t>3.000 x 337 | 422 x 3.000 | 12.000 x 1.389</t>
  </si>
  <si>
    <t>0410-603-D-BOX-15-050|3921</t>
  </si>
  <si>
    <t>BCB4, BCE4, BCE3, BPP</t>
  </si>
  <si>
    <t>RL2, RD, RL1, RD1, RFR0/RFR94</t>
  </si>
  <si>
    <t>B1-C, RD-HB8-B, RL1-HB2B-C, BCE3-RL1-HB1BS~HB3BS-R1, BCE4-RL1-H41, B32-C, RD-HB73-B.IGS, RFR0/RFR94-HB56-C</t>
  </si>
  <si>
    <t>564 x 391 | 3.000 x 337 | 958 x 337 | 11.600 x 1.389 | 721 x 410 | 1.793 x 330 | 2.827 x 337</t>
  </si>
  <si>
    <t>0410-603-D-BOX-15-050|3928</t>
  </si>
  <si>
    <t>BCB4, BCE4, BCB2</t>
  </si>
  <si>
    <t>RL1-HB1A-B, RL1-HB2A-C, RL2-HB6A-B, RD-TZ6-BB, RL1-H17</t>
  </si>
  <si>
    <t>2.987 x 337 | 2.988 x 337 | 422 x 2.775 | 1.389 x 12.000</t>
  </si>
  <si>
    <t>0410-603-D-BOX-15-050|4226</t>
  </si>
  <si>
    <t>0408-606-D-BOX-15-058</t>
  </si>
  <si>
    <t>BCE2, BCE4, BPP, BCB5</t>
  </si>
  <si>
    <t>RD, RL1, RL2, RFR1/RFR93</t>
  </si>
  <si>
    <t>RD-TZ2-BE, RL1-HB2B-C, RL2-HB6B-B, RD-HB43-C, RD-HB44-B, RD-HB75-C.IGS, BCB5-H1P-R1, RFR1/RFR93-HB58-C</t>
  </si>
  <si>
    <t>422 x 3.000 | 958 x 337 | 957 x 337 | 2.900 x 342 | 2.900 x 337 | 1.790 x 331 | 7.100 x 1.860 | 3.295 x 333</t>
  </si>
  <si>
    <t>0408-606-D-BOX-15-058|3943</t>
  </si>
  <si>
    <t>BPP, BPP(1), BCB5</t>
  </si>
  <si>
    <t>RFR0/RFR94, RS, RL1</t>
  </si>
  <si>
    <t>BPP-RFR0/RFR94-H2-R1, BPP-RS-H2-R2, BCB5-RL1-H46</t>
  </si>
  <si>
    <t>1.598 x 916 | 3.446 x 1.860 | 7.600 x 1.860</t>
  </si>
  <si>
    <t>0408-606-D-BOX-15-058|3947</t>
  </si>
  <si>
    <t>BPP, BPP(1), BCE5, BDF2(2)</t>
  </si>
  <si>
    <t>BPP, RP, RFR1/RFR93, RL2, HASTILHA</t>
  </si>
  <si>
    <t>B35, BPP-RP-H2-R2, RFR1/RFR93-HB63-C, BCE5-RL2-49, HASTILHA TESTE 1875</t>
  </si>
  <si>
    <t>559 x 317 | 3.446 x 1.860 | 1.240 x 337 | 1.686 x 7.100 | 1.875 x 508</t>
  </si>
  <si>
    <t>0408-606-D-BOX-15-058|3950</t>
  </si>
  <si>
    <t>BCE5, BDF2(8)</t>
  </si>
  <si>
    <t>BCE5-RL1-H52, HASTILHA TESTE 1875</t>
  </si>
  <si>
    <t>7.600 x 1.860 | 1.875 x 508</t>
  </si>
  <si>
    <t>0408-606-D-BOX-15-058|3952</t>
  </si>
  <si>
    <t>RFR1, RD1, RFR0/RFR94, RP, RD, RL2, HASTILHA</t>
  </si>
  <si>
    <t>B31, B32-C, BPP-RFR0/RFR94-H2-R1, BPP-RP-H1-R2, RD-HB43-C, BCE5-RL2-50, HASTILHA TESTE 1875</t>
  </si>
  <si>
    <t>252 x 146 | 721 x 410 | 1.598 x 916 | 3.446 x 945 | 2.900 x 342 | 7.100 x 1.760 | 1.875 x 508</t>
  </si>
  <si>
    <t>0408-606-D-BOX-15-058|4235</t>
  </si>
  <si>
    <t>BCB4, BCE4, BCE3, BDF4, BPP, BPP(2), BDF5, BCE5, BDF2(1)</t>
  </si>
  <si>
    <t>RL1, RD, RD1, RFR0, BPP, HASTILHA</t>
  </si>
  <si>
    <t>B1-B, RL1-HB2B-C, BCE3-RL1-HB1BS~HB3BS-R1, BDF4-QD-H3, B32-C, B37, BPP-QD1-H2, BPP-RD1-H4-R1, BPP-RD2-H4B1-R2, BPP-RD2-H4B3-R2, RD-HB51-C, RD-HB20A-C, RD-HB20D-C, BDF5-QD-H3, BCE5-RL1-H53, HASTILHA TESTE 1875</t>
  </si>
  <si>
    <t>564 x 391 | 958 x 337 | 525 x 100 | 721 x 410 | 288 x 171 | 590 x 100 | 2.054 x 1.002 | 2.095 x 440 | 4.345 x 440 | 1.095 x 347 | 2.000 x 508 | 7.600 x 1.389 | 1.875 x 508</t>
  </si>
  <si>
    <t>0408-606-D-BOX-15-058|4236</t>
  </si>
  <si>
    <t>BCB5, BDF2(9)</t>
  </si>
  <si>
    <t>BCB5-RL2-H44, HASTILHA TESTE 1875</t>
  </si>
  <si>
    <t>7.100 x 1.760 | 1.875 x 508</t>
  </si>
  <si>
    <t>0408-606-D-BOX-15-058|4238</t>
  </si>
  <si>
    <t>BCE2, BDF4, BPP, BDF5, BCB5, BDF1(3)</t>
  </si>
  <si>
    <t>RD, HASTILHA, RD1, RFR0/RFR94</t>
  </si>
  <si>
    <t>RD-TZ2-BE, RD-HB24A-B, RD-HB24D-B, B33-B, RD-HB51-C, RD-HB52-B, RFR0/RFR94-HB54-B, RD-HB20C-C, BCB5-RD-H2P-R1, HASTILHA TESTE 1875</t>
  </si>
  <si>
    <t>422 x 3.000 | 2.000 x 508 | 721 x 410 | 1.095 x 347 | 2.827 x 337 | 2.500 x 508 | 7.100 x 1.015 | 1.875 x 508</t>
  </si>
  <si>
    <t>0408-606-D-BOX-15-058|4283</t>
  </si>
  <si>
    <t>BPP, BDF2(9), BCE5</t>
  </si>
  <si>
    <t>RS, HASTILHA, RL1</t>
  </si>
  <si>
    <t>B25-C, HASTILHA TESTE 1875, BCE5-RL1-H51</t>
  </si>
  <si>
    <t>806 x 539 | 1.875 x 508 | 1.767 x 7.593</t>
  </si>
  <si>
    <t>0408-606-D-BOX-15-058|4325</t>
  </si>
  <si>
    <t>BPP, BPP(1), BCB5, BCE5, BDF2(1)</t>
  </si>
  <si>
    <t>BPP, RP, RD, RL1, HASTILHA</t>
  </si>
  <si>
    <t>B35, BPP-RP-H2-R2, RD-HB73-B.IGS, RD-TZ8-BB, RD-TZ9-BE, BCB5-RL1-H47, HASTILHA TESTE 1875</t>
  </si>
  <si>
    <t>559 x 317 | 3.446 x 1.860 | 1.793 x 330 | 422 x 2.367 | 7.600 x 1.389 | 1.875 x 508</t>
  </si>
  <si>
    <t>0408-606-D-BOX-15-058|4359</t>
  </si>
  <si>
    <t>BCE2, BPP, BCE5, BDF2(9)</t>
  </si>
  <si>
    <t>RD, RD1, RFR1/RFR93, HASTILHA</t>
  </si>
  <si>
    <t>RD-TZ2-BE, B33-B, RFR1/RFR93-HB62-B, BCE5-H1S-R1, HASTILHA TESTE 1875</t>
  </si>
  <si>
    <t>422 x 3.000 | 721 x 410 | 3.000 x 337 | 7.100 x 1.015 | 1.875 x 508</t>
  </si>
  <si>
    <t>0408-606-D-BOX-15-058|4360</t>
  </si>
  <si>
    <t>BCB4, BPP, BDF2(7), BCB5</t>
  </si>
  <si>
    <t>RL1, BPP, HASTILHA</t>
  </si>
  <si>
    <t>RL1-HB1A-B, B24-C, HASTILHA TESTE 1875, BCB5-RL1-H45</t>
  </si>
  <si>
    <t>2.987 x 337 | 780 x 449 | 1.875 x 508 | 1.767 x 7.593</t>
  </si>
  <si>
    <t>0408-606-D-BOX-15-058|4362</t>
  </si>
  <si>
    <t>BPP(1), BCB5, BDF2(3)</t>
  </si>
  <si>
    <t>RFR1/RFR93, RL2, HASTILHA</t>
  </si>
  <si>
    <t>BPP-RFR1/RFR93-H1-R2, BCB5-RL2-H43, HASTILHA TESTE 1875</t>
  </si>
  <si>
    <t>3.100 x 1.860 | 7.100 x 1.686 | 1.875 x 508</t>
  </si>
  <si>
    <t>0408-606-D-BOX-15-058|4363</t>
  </si>
  <si>
    <t>BCE5, BDF5(9)</t>
  </si>
  <si>
    <t>BCE5-H2S-R1, HASTILHA TESTE 1875</t>
  </si>
  <si>
    <t>7.100 x 1.860 | 1.875 x 508</t>
  </si>
  <si>
    <t>0408-606-D-BOX-15-058|4754</t>
  </si>
  <si>
    <t>0408-603-D-BOX-16-021</t>
  </si>
  <si>
    <t>0408-603-D-BOX-16-021|3560</t>
  </si>
  <si>
    <t>0408-603-D-BOX-16-021|3561</t>
  </si>
  <si>
    <t>0408-603-D-BOX-16-021|3562</t>
  </si>
  <si>
    <t>0408-603-D-BOX-16-021|3565</t>
  </si>
  <si>
    <t>0408-603-D-BOX-16-021|3571</t>
  </si>
  <si>
    <t>0408-603-D-BOX-16-021|3590</t>
  </si>
  <si>
    <t>0408-603-D-BOX-16-021|3598</t>
  </si>
  <si>
    <t>0408-603-D-BOX-16-021|3857</t>
  </si>
  <si>
    <t>0408-603-D-BOX-16-021|3873</t>
  </si>
  <si>
    <t>0408-603-D-BOX-16-021|3879</t>
  </si>
  <si>
    <t>0408-603-D-BOX-16-021|3909</t>
  </si>
  <si>
    <t>BCE4, BCE3, BDF4, BPP, BDF1(5)</t>
  </si>
  <si>
    <t>RL2, RL1, HASTILHA, RD1, RFR0/RFR94, RFR1/RFR93</t>
  </si>
  <si>
    <t>RL2-HB6A-B, BCE3-RL1-HB1AS~HB3AS-R1, RD-HB24A-B, B33-B, BPP- RFR0/RFR94-H1, HASTILHA TESTE 1875, RFR1/RFR93-HB58-C</t>
  </si>
  <si>
    <t>2.988 x 337 | 2.987 x 337 | 2.000 x 508 | 721 x 410 | 916 x 12.000 | 1.875 x 508 | 3.295 x 333</t>
  </si>
  <si>
    <t>0408-603-D-BOX-16-021|4244</t>
  </si>
  <si>
    <t>0408-603-D-BOX-16-021|4349</t>
  </si>
  <si>
    <t>0408-603-D-BOX-16-021|4352</t>
  </si>
  <si>
    <t>0408-603-D-BOX-16-021|4353</t>
  </si>
  <si>
    <t>0408-603-D-BOX-16-021|4354</t>
  </si>
  <si>
    <t>0408-603-D-BOX-16-021|4355</t>
  </si>
  <si>
    <t>0408-603-D-BOX-16-021|4356</t>
  </si>
  <si>
    <t>0408-603-D-BOX-16-021|4357</t>
  </si>
  <si>
    <t>0421-606-D-BOX-15-072</t>
  </si>
  <si>
    <t>0421-606-D-BOX-15-072|4184</t>
  </si>
  <si>
    <t>0421-606-D-BOX-15-072|4185</t>
  </si>
  <si>
    <t>0421-606-D-BOX-15-072|4186</t>
  </si>
  <si>
    <t>0421-606-D-BOX-15-072|4188</t>
  </si>
  <si>
    <t>BPP, BPP(1)BPP(2), BDF4, BCB4, BCE4, BDF5, BCB5, BCE5</t>
  </si>
  <si>
    <t>RD1, BPP, RFR1/RFR93, RD, RL1, BDF4</t>
  </si>
  <si>
    <t>BPP-QD1-H1-R1, BPP-QD1S-H1, BPP-QD1P-H1, BPP-QD1S-H5, BPP-RD2-H5B, BPP-RFR1/RFR93-H7~H8-R1, RD-HB48A-C, RD-HB48B-C, RD-HB74-B_R1.IGS, RD-HB23B-B, RL1-H36, RL1-H42, BDF5-RD-HT12F-R1, BDF5-RD-HT12B-R1, BDF5-RD-H10B,_H10D~H11B,_H11D, BDF5-RD-H11A,_H11E, BDF5-RD-H10A,_H10E, BDF5-RD-H9A,_H9C,_H9E-R2, BDF5-QD-H2-R1, BDF4-QD-H2-R1, BCB5-RL1-H48, BCE5-RL1-H54, B21, RD-HB49C-B, RD-HB48C-C</t>
  </si>
  <si>
    <t>590 x 442 | 925 x 732 | 734 x 234 | 938 x 687 | 1.015 x 566 | 1.000 x 349 | 1.013 x 344 | 1.050 x 607 | 2.500 x 850 | 590 x 350 | 580 x 445 | 590 x 445 | 572 x 342 | 590 x 440 | 2.500 x 853 | 900 x 349</t>
  </si>
  <si>
    <t>0421-606-D-BOX-15-072|4189</t>
  </si>
  <si>
    <t>0421-606-D-BOX-15-072|3761</t>
  </si>
  <si>
    <t>0421-606-D-BOX-15-072|3762</t>
  </si>
  <si>
    <t>BPP, ACESS_DEFENCA, PCAS EXTRA</t>
  </si>
  <si>
    <t>RD1, BPP, ACESS_DEFENCA, RD, PCAS EXTRA</t>
  </si>
  <si>
    <t>BPP-RD1-H5~H6-R2, BPP-RD2-BVP-R3, BPP-RD2-BVS-R6.., DEFENÇA-W-S_150_X_1830, RD-HB49A-B, RD-HB48C-C, BPP-RD2-BVS-R6- Extra, BPP-RD2-BVP-R3-Extra, BPP-RD1-H5~H6-R2-Extra, RD-HB49A-B-Extra, RD-HB48C-C-Extra</t>
  </si>
  <si>
    <t>590 x 350 | 997 x 1.465 | 1.830 x 150 | 1.000 x 349 | 900 x 349</t>
  </si>
  <si>
    <t>0421-606-D-BOX-15-072|4826</t>
  </si>
  <si>
    <t>0425-605-D-BOX-15-080</t>
  </si>
  <si>
    <t>ACESS-TRAVESSEIRO, BCB4, BPP, BDF5, PCAS DE TETO</t>
  </si>
  <si>
    <t>ACESS-TRAVESSEIRO, RD, RS, PCAS DE TETO</t>
  </si>
  <si>
    <t>ACCESS-TRAVESSEIRO, RD-H15, RD-HB16-C, RD-BJ8-C, RD-HB48-B, RS-BJ6-BE, BDF5-RD-BJ3S, BDF5-RD-BJ2S, RD-H20- LADO D, RD-H5-LADO D</t>
  </si>
  <si>
    <t>1.172 x 600 | 746 x 430 | 595 x 190 | 3.206 x 899 | 474 x 190 | 3.238 x 895 | 2.350 x 894 | 383 x 590</t>
  </si>
  <si>
    <t>0425-605-D-BOX-15-080|4453</t>
  </si>
  <si>
    <t>ACESS-TRAVESSEIRO, BDF2, BCB4, BPP</t>
  </si>
  <si>
    <t>ACESS-TRAVESSEIRO, RD, RFR1/RFR93</t>
  </si>
  <si>
    <t>ACCESS-TRAVESSEIRO, RD-BJ1-BB, RD-H15, RFR1/RFR93-HB72-B</t>
  </si>
  <si>
    <t>1.172 x 600 | 3.000 x 894 | 746 x 430 | 392 x 1.000</t>
  </si>
  <si>
    <t>0425-605-D-BOX-15-080|4663</t>
  </si>
  <si>
    <t>BDF5, BDF2(9)</t>
  </si>
  <si>
    <t>BDF5-RD-H18, HASTILHA TESTE 1875</t>
  </si>
  <si>
    <t>0425-605-D-BOX-15-080|3960</t>
  </si>
  <si>
    <t>0425-605-D-BOX-15-080|3961</t>
  </si>
  <si>
    <t>0425-605-D-BOX-15-080|3962</t>
  </si>
  <si>
    <t>BDF5, BDF2(3)/BDF3(6)</t>
  </si>
  <si>
    <t>0425-605-D-BOX-15-080|3963</t>
  </si>
  <si>
    <t>BDF4(13)/BDF5(9), BDF1(1)</t>
  </si>
  <si>
    <t>HASTILHA C/ CHANFRO 1875, HASTILHA TESTE 1875</t>
  </si>
  <si>
    <t>1.875 x 508</t>
  </si>
  <si>
    <t>0425-605-D-BOX-15-080|4240</t>
  </si>
  <si>
    <t>BPP, BDF5, BDF2(12)</t>
  </si>
  <si>
    <t>RFR0, RD, HASTILHA</t>
  </si>
  <si>
    <t>B37, BDF5-RD-H19, HASTILHA TESTE 1875</t>
  </si>
  <si>
    <t>288 x 171 | 7.100 x 1.040 | 1.875 x 508</t>
  </si>
  <si>
    <t>0425-605-D-BOX-15-080|4324</t>
  </si>
  <si>
    <t>0425-605-D-BOX-15-080|4366</t>
  </si>
  <si>
    <t>0425-605-D-BOX-15-080|4367</t>
  </si>
  <si>
    <t>0414-605-D-BOX-15-090</t>
  </si>
  <si>
    <t>BCE4, BCE2, BPP(2), BPP</t>
  </si>
  <si>
    <t>RD, RD1, RFR0/RFR94</t>
  </si>
  <si>
    <t>RD-HB8-B, RD-TZ2-BE, RD-TZ7-BE, BPP-RD1-H3-R1, RFR0/RFR94-HB55-C</t>
  </si>
  <si>
    <t>3.000 x 337 | 422 x 3.000 | 422 x 2.775 | 11.997 x 1.002 | 2.827 x 337</t>
  </si>
  <si>
    <t>0414-605-D-BOX-15-090|3635</t>
  </si>
  <si>
    <t>0414-605-D-BOX-15-090|3641</t>
  </si>
  <si>
    <t>0414-605-D-BOX-15-090|3847</t>
  </si>
  <si>
    <t>0414-605-D-BOX-15-090|3868</t>
  </si>
  <si>
    <t>0414-605-D-BOX-15-090|3896</t>
  </si>
  <si>
    <t>0414-605-D-BOX-15-090|3899</t>
  </si>
  <si>
    <t>0414-605-D-BOX-15-090|3900</t>
  </si>
  <si>
    <t>0414-605-D-BOX-15-090|3907</t>
  </si>
  <si>
    <t>BPP(2)</t>
  </si>
  <si>
    <t>RD1, RFR1/RFR93, RS</t>
  </si>
  <si>
    <t>BPP-RD1-H1, BPP-RFR1/RFR93-H4-R1, BPP-RS-H2-R2</t>
  </si>
  <si>
    <t>2.051 x 1.817 | 6.025 x 1.860 | 3.446 x 1.860</t>
  </si>
  <si>
    <t>0414-605-D-BOX-15-090|3924</t>
  </si>
  <si>
    <t>0414-605-D-BOX-15-090|3934</t>
  </si>
  <si>
    <t>RFR0, RFR1/RFR93, RP</t>
  </si>
  <si>
    <t>B37, BPP-RFR1/RFR93-H3-R1, BPP-RP-H2-R2</t>
  </si>
  <si>
    <t>288 x 171 | 8.275 x 1.860 | 3.446 x 1.860</t>
  </si>
  <si>
    <t>0414-605-D-BOX-15-090|3939</t>
  </si>
  <si>
    <t>0414-605-D-BOX-15-090|4227</t>
  </si>
  <si>
    <t>0414-605-D-BOX-15-090|4244</t>
  </si>
  <si>
    <t>0414-605-D-BOX-15-090|4281</t>
  </si>
  <si>
    <t>0414-605-D-BOX-15-090|4282</t>
  </si>
  <si>
    <t>BCE4, BPP, BPP(2), BPP(1)BPP(2), BDF5(8)</t>
  </si>
  <si>
    <t>RD, BPP, RS, RP, HASTILHA</t>
  </si>
  <si>
    <t>RD-HB8-B, B24-C, B25-C, BPP-RP-H1-R2, BPP-RS-H1-R2, HASTILHA TESTE 1875</t>
  </si>
  <si>
    <t>3.000 x 337 | 780 x 449 | 806 x 539 | 3.446 x 945 | 1.875 x 508</t>
  </si>
  <si>
    <t>0414-605-D-BOX-15-090|4368</t>
  </si>
  <si>
    <t>0414-605-D-BOX-15-090|4374</t>
  </si>
  <si>
    <t>0413-603-D-BOX-15-107</t>
  </si>
  <si>
    <t>B-BCB3-RL1-H2P-R2</t>
  </si>
  <si>
    <t>0413-603-D-BOX-15-107|3527</t>
  </si>
  <si>
    <t>B-RL1-H28</t>
  </si>
  <si>
    <t>0413-603-D-BOX-15-107|3528</t>
  </si>
  <si>
    <t>BCE4, BPP</t>
  </si>
  <si>
    <t>RL1-H40, RD-HB73-B.IGS</t>
  </si>
  <si>
    <t>11.600 x 1.860 | 1.793 x 330</t>
  </si>
  <si>
    <t>0413-603-D-BOX-15-107|3549</t>
  </si>
  <si>
    <t>0413-603-D-BOX-15-107|3558</t>
  </si>
  <si>
    <t>0413-603-D-BOX-15-107|3563</t>
  </si>
  <si>
    <t>0413-603-D-BOX-15-107|3566</t>
  </si>
  <si>
    <t>BCB4-RL1-H34, RD-HB73-B.IGS</t>
  </si>
  <si>
    <t>0413-603-D-BOX-15-107|3567</t>
  </si>
  <si>
    <t>0413-603-D-BOX-15-107|3568</t>
  </si>
  <si>
    <t>BOX-BCB3-RD-H1P-R2</t>
  </si>
  <si>
    <t>0413-603-D-BOX-15-107|3592</t>
  </si>
  <si>
    <t>0413-603-D-BOX-15-107|3751</t>
  </si>
  <si>
    <t>0413-603-D-BOX-15-107|3855</t>
  </si>
  <si>
    <t>0413-603-D-BOX-15-107|3856</t>
  </si>
  <si>
    <t>0413-603-D-BOX-15-107|3869</t>
  </si>
  <si>
    <t>0413-603-D-BOX-15-107|3885</t>
  </si>
  <si>
    <t>0413-603-D-BOX-15-107|3892</t>
  </si>
  <si>
    <t>0413-603-D-BOX-15-107|3908</t>
  </si>
  <si>
    <t>0413-603-D-BOX-15-107|3910</t>
  </si>
  <si>
    <t>BDF1(1), BCB4</t>
  </si>
  <si>
    <t>HASTILHA TESTE 1875, RL1-H33</t>
  </si>
  <si>
    <t>1.875 x 508 | 1.767 x 11.600</t>
  </si>
  <si>
    <t>0413-603-D-BOX-15-107|3915</t>
  </si>
  <si>
    <t>B-BCE3-RL1-H27</t>
  </si>
  <si>
    <t>12.000 x 1.767</t>
  </si>
  <si>
    <t>0413-603-D-BOX-15-107|3940</t>
  </si>
  <si>
    <t>B-BCB3-RL1-H1P-R2</t>
  </si>
  <si>
    <t>0413-603-D-BOX-15-107|3966</t>
  </si>
  <si>
    <t>BCE4-H2S-R1, HASTILHA TESTE 1875</t>
  </si>
  <si>
    <t>0413-603-D-BOX-15-107|4347</t>
  </si>
  <si>
    <t>BCB4, BDF1(1)</t>
  </si>
  <si>
    <t>BCB4-RD-H1P-R1, HASTILHA TESTE 1875</t>
  </si>
  <si>
    <t>0413-603-D-BOX-15-107|4375</t>
  </si>
  <si>
    <t>0410-605-D-BOX-15-129</t>
  </si>
  <si>
    <t>BCB4, BCB2, BCE4, BPP, BDF1(1)</t>
  </si>
  <si>
    <t>RL2, RD, RS, HASTILHA</t>
  </si>
  <si>
    <t>B1-C, BCB2-RD-H2P-R1, RL2-HB6A-B, B25-C, HASTILHA TESTE 1875</t>
  </si>
  <si>
    <t>564 x 391 | 12.000 x 1.015 | 2.988 x 337 | 806 x 539 | 1.875 x 508</t>
  </si>
  <si>
    <t>0410-605-D-BOX-15-129|3605</t>
  </si>
  <si>
    <t>BCB4, BCE2</t>
  </si>
  <si>
    <t>RL2-HB5A-C, BCE2-H1S-R1</t>
  </si>
  <si>
    <t>2.988 x 337 | 12.000 x 1.015</t>
  </si>
  <si>
    <t>0410-605-D-BOX-15-129|3606</t>
  </si>
  <si>
    <t>0410-605-D-BOX-15-129|3826</t>
  </si>
  <si>
    <t>BCB1, BDF1(6)</t>
  </si>
  <si>
    <t>BCB1-RD-H2P-R1, HASTILHA TESTE 1875</t>
  </si>
  <si>
    <t>12.000 x 1.015 | 1.875 x 508</t>
  </si>
  <si>
    <t>0410-605-D-BOX-15-129|3913</t>
  </si>
  <si>
    <t>RL1-HB2A-C, BCB4-RD-H2P-R1, B33-B, B32-C</t>
  </si>
  <si>
    <t>2.987 x 337 | 11.100 x 1.015 | 721 x 410</t>
  </si>
  <si>
    <t>0410-605-D-BOX-15-129|3916</t>
  </si>
  <si>
    <t>RD-HB7-C, BCB3-RD-H2P-R1, RD-HB44-B</t>
  </si>
  <si>
    <t>3.000 x 337 | 12.000 x 1.015 | 2.900 x 337</t>
  </si>
  <si>
    <t>0410-605-D-BOX-15-129|3920</t>
  </si>
  <si>
    <t>BCB4, BCE1, BDF4</t>
  </si>
  <si>
    <t>RD-HB7-C, BCE1-RD-H1S-R1, RD-HB23A-B</t>
  </si>
  <si>
    <t>3.000 x 337 | 12.000 x 1.015 | 2.850 x 508</t>
  </si>
  <si>
    <t>0410-605-D-BOX-15-129|3925</t>
  </si>
  <si>
    <t>BCB4, BCE4, BPP, BCB5, BCE5</t>
  </si>
  <si>
    <t>RL1, RD, RS, RD1, RFR0/RFR94, RFR1/RFR93</t>
  </si>
  <si>
    <t>B1-B, RD-HB8-B, RL1-HB1A-B, BCE4-H1S-R1, RD-TZ7-BE, B25-C, B32-C, RFR0/RFR94-HB53-B, RFR1/RFR93-HB61-B, RD-TZ8-BB, RD-TZ9-BE</t>
  </si>
  <si>
    <t>564 x 391 | 3.000 x 337 | 2.987 x 337 | 11.100 x 1.015 | 422 x 2.775 | 806 x 539 | 721 x 410 | 2.827 x 337 | 1.240 x 337 | 422 x 2.367</t>
  </si>
  <si>
    <t>0410-605-D-BOX-15-129|3926</t>
  </si>
  <si>
    <t>0423-606-D-BOX-16-050</t>
  </si>
  <si>
    <t>BCB4, BCE4, BDF2, BPP, PCAS DE TETO</t>
  </si>
  <si>
    <t>RD, RL1, BPP, RFR1/RFR93, PCAS DE TETO</t>
  </si>
  <si>
    <t>RD-H15, RL1-HB3-C, RL1-HB4-B, RD-BJ2-BE, BPP-RD2-17~18-R1, RFR1/RFR93-HB68-C, RFR1/RFR93-HB69-B, BOX-H2~H4- LADO B</t>
  </si>
  <si>
    <t>746 x 430 | 1.187 x 354 | 3.000 x 894 | 2.550 x 102 | 1.187 x 357 | 327 x 327 | 2.890 x 590</t>
  </si>
  <si>
    <t>0423-606-D-BOX-16-050|3970</t>
  </si>
  <si>
    <t>BDF2, BDF5, PCAS DE TETO, PCAS EXTRA</t>
  </si>
  <si>
    <t>RD, PCAS DE TETO, PCAS EXTRA</t>
  </si>
  <si>
    <t>RD-BJ2-BE, BDF5-RD-BJ1S, BDF5-RD-BJ2P, RD-H5-LADO D, RL1-HB4-B-Extra</t>
  </si>
  <si>
    <t>3.000 x 894 | 2.392 x 894 | 2.350 x 894 | 383 x 590 | 1.187 x 354</t>
  </si>
  <si>
    <t>0423-606-D-BOX-16-050|3971</t>
  </si>
  <si>
    <t>BDF2, BPP, BDF5, PCAS DE TETO</t>
  </si>
  <si>
    <t>RD, RFR1/RFR93, RP, PCAS DE TETO</t>
  </si>
  <si>
    <t>RD-BJ1-BB, RFR1/RFR93-HB72-B, RP-BJ7-BB, BDF5-RD-BJ3P, BDF5-RD-BJ1P, BOX-H2~H4- LADO D, RD-H5-LADO-A, RD-H5-LADO-B</t>
  </si>
  <si>
    <t>3.000 x 894 | 392 x 1.000 | 3.238 x 895 | 2.350 x 894 | 2.392 x 894 | 383 x 590 | 2.890 x 590</t>
  </si>
  <si>
    <t>0423-606-D-BOX-16-050|3972</t>
  </si>
  <si>
    <t>BDF2, BCB4, BPP, BCE5</t>
  </si>
  <si>
    <t>RD, RL1, BPP, RFR1, RFR1/RFR93</t>
  </si>
  <si>
    <t>RD-BJ1-BB, RD-HB17-B, RL1-HB3-C, RD-BJ10-C, BPP-RD2-15~16-R2, RFR1-RFR93-HB71-B-1, RFR1/RFR93-HB69-A, RFR1/RFR93-HB69-B, RFR1/RFR93-HB78-B, RL1-HB26</t>
  </si>
  <si>
    <t>3.000 x 894 | 587 x 190 | 1.187 x 354 | 3.196 x 899 | 200 x 102 | 1.300 x 392 | 524 x 75 | 327 x 327 | 1.200 x 392 | 1.267 x 393</t>
  </si>
  <si>
    <t>0423-606-D-BOX-16-050|3973</t>
  </si>
  <si>
    <t>0423-606-D-BOX-16-050|4453</t>
  </si>
  <si>
    <t>0423-606-D-BOX-16-050|4663</t>
  </si>
  <si>
    <t>0423-605-D-BOX-16-046</t>
  </si>
  <si>
    <t>0423-605-D-BOX-16-046|3632</t>
  </si>
  <si>
    <t>BCB4, BCE2, BPP(2), BPP, BDF1(1)</t>
  </si>
  <si>
    <t>RL1, RD, BPP, RFR1/RFR93, HASTILHA</t>
  </si>
  <si>
    <t>B1-B, RD-TZ2-BE, BPP-RD2-H4A-R1, RFR1/RFR93-HB66-B, HASTILHA TESTE 1875</t>
  </si>
  <si>
    <t>564 x 391 | 422 x 3.000 | 8.004 x 1.860 | 1.187 x 337 | 1.875 x 508</t>
  </si>
  <si>
    <t>0423-605-D-BOX-16-046|3634</t>
  </si>
  <si>
    <t>0423-605-D-BOX-16-046|3635</t>
  </si>
  <si>
    <t>BDF1(15), BDF5(8)</t>
  </si>
  <si>
    <t>HASTILHA C/ CHANFRO 1875, HASTILHA S/ CHANFRO 1875</t>
  </si>
  <si>
    <t>0423-605-D-BOX-16-046|3669</t>
  </si>
  <si>
    <t>BDF1(3)/BDF2(20)</t>
  </si>
  <si>
    <t>0423-605-D-BOX-16-046|3670</t>
  </si>
  <si>
    <t>BDF3(20)/BDF4(3)</t>
  </si>
  <si>
    <t>0423-605-D-BOX-16-046|3671</t>
  </si>
  <si>
    <t>0423-605-D-BOX-16-046|3924</t>
  </si>
  <si>
    <t>0423-605-D-BOX-16-046|3939</t>
  </si>
  <si>
    <t>BDF5, BDF1(2), BDF1(8)</t>
  </si>
  <si>
    <t>RD-HB20A-C, RD-HB20C-C, RD-HB20D-C, BDF5-RD-HT12E-R1, BDF5-RD-HT12C-R1, BDF5-RD-HT12G-R1, BDF5-RD-HT12A-R1, HASTILHA C/ CHANFRO 1875, HASTILHA S/ CHANFRO 1875</t>
  </si>
  <si>
    <t>2.000 x 508 | 2.500 x 508 | 2.100 x 508 | 2.850 x 508 | 1.875 x 508</t>
  </si>
  <si>
    <t>0423-605-D-BOX-16-046|3941</t>
  </si>
  <si>
    <t>0423-605-D-BOX-16-046|4240</t>
  </si>
  <si>
    <t>BDF3(6)/BDF4(16)/BDF5(1)</t>
  </si>
  <si>
    <t>0423-605-D-BOX-16-046|4241</t>
  </si>
  <si>
    <t>BDF2(9)/BDF3(14)</t>
  </si>
  <si>
    <t>0423-605-D-BOX-16-046|4242</t>
  </si>
  <si>
    <t>BDF1(12)/BDF2(11)</t>
  </si>
  <si>
    <t>0423-605-D-BOX-16-046|4243</t>
  </si>
  <si>
    <t>0423-605-D-BOX-16-046|4368</t>
  </si>
  <si>
    <t>0424-603-D-BOX-16-060</t>
  </si>
  <si>
    <t>0424-603-D-BOX-16-060|3850</t>
  </si>
  <si>
    <t>0424-603-D-BOX-16-060|3852</t>
  </si>
  <si>
    <t>0424-603-D-BOX-16-060|3853</t>
  </si>
  <si>
    <t>0424-603-D-BOX-16-060|3859</t>
  </si>
  <si>
    <t>0424-603-D-BOX-16-060|3860</t>
  </si>
  <si>
    <t>0424-603-D-BOX-16-060|3861</t>
  </si>
  <si>
    <t>0424-603-D-BOX-16-060|3862</t>
  </si>
  <si>
    <t>0424-603-D-BOX-16-060|3863</t>
  </si>
  <si>
    <t>0424-603-D-BOX-16-060|3864</t>
  </si>
  <si>
    <t>0424-603-D-BOX-16-060|3865</t>
  </si>
  <si>
    <t>0424-603-D-BOX-16-060|3870</t>
  </si>
  <si>
    <t>0424-603-D-BOX-16-060|3872</t>
  </si>
  <si>
    <t>0424-603-D-BOX-16-060|3874</t>
  </si>
  <si>
    <t>0424-603-D-BOX-16-060|3875</t>
  </si>
  <si>
    <t>0424-603-D-BOX-16-060|3877</t>
  </si>
  <si>
    <t>0424-603-D-BOX-16-060|3878</t>
  </si>
  <si>
    <t>0424-603-D-BOX-16-060|3883</t>
  </si>
  <si>
    <t>0424-603-D-BOX-16-060|3904</t>
  </si>
  <si>
    <t>0424-603-D-BOX-16-060|3905</t>
  </si>
  <si>
    <t>0424-603-D-BOX-16-060|3906</t>
  </si>
  <si>
    <t>0424-603-D-BOX-16-060|3964</t>
  </si>
  <si>
    <t>0414-605-D-BOX-16-081</t>
  </si>
  <si>
    <t>0414-605-D-BOX-16-081|3943</t>
  </si>
  <si>
    <t>0414-605-D-BOX-16-081|3947</t>
  </si>
  <si>
    <t>0414-605-D-BOX-16-081|3950</t>
  </si>
  <si>
    <t>0414-605-D-BOX-16-081|4235</t>
  </si>
  <si>
    <t>0414-605-D-BOX-16-081|4236</t>
  </si>
  <si>
    <t>0414-605-D-BOX-16-081|4283</t>
  </si>
  <si>
    <t>0414-605-D-BOX-16-081|4325</t>
  </si>
  <si>
    <t>0414-605-D-BOX-16-081|4359</t>
  </si>
  <si>
    <t>0414-605-D-BOX-16-081|4360</t>
  </si>
  <si>
    <t>0414-605-D-BOX-16-081|4362</t>
  </si>
  <si>
    <t>0414-605-D-BOX-16-081|4363</t>
  </si>
  <si>
    <t>0420-606-D-RAKE-14-015</t>
  </si>
  <si>
    <t>0420-606-D-RAKE-14-015|3350</t>
  </si>
  <si>
    <t>0420-606-D-RAKE-14-015|3351</t>
  </si>
  <si>
    <t>0420-606-D-RAKE-14-015|3352</t>
  </si>
  <si>
    <t>0420-606-D-RAKE-14-015|3353</t>
  </si>
  <si>
    <t>0420-606-D-RAKE-14-015|3355</t>
  </si>
  <si>
    <t>0420-606-D-RAKE-14-015|3356</t>
  </si>
  <si>
    <t>0420-606-D-RAKE-14-015|3368</t>
  </si>
  <si>
    <t>0420-606-D-RAKE-14-015|3376</t>
  </si>
  <si>
    <t>0420-606-D-RAKE-14-015|3377</t>
  </si>
  <si>
    <t>0420-606-D-RAKE-14-015|3378</t>
  </si>
  <si>
    <t>0420-606-D-RAKE-14-015|3379</t>
  </si>
  <si>
    <t>0420-606-D-RAKE-14-015|3522</t>
  </si>
  <si>
    <t>0420-606-D-RAKE-14-015|3523</t>
  </si>
  <si>
    <t>0420-606-D-RAKE-14-015|3716</t>
  </si>
  <si>
    <t>0420-606-D-RAKE-14-015|3718</t>
  </si>
  <si>
    <t>0420-606-D-RAKE-14-015|4269</t>
  </si>
  <si>
    <t>0420-606-D-RAKE-14-015|4335</t>
  </si>
  <si>
    <t>0420-606-D-RAKE-14-015|4465</t>
  </si>
  <si>
    <t>0420-606-D-RAKE-14-015|4467</t>
  </si>
  <si>
    <t>0420-606-D-RAKE-14-015|4519</t>
  </si>
  <si>
    <t>0424-605-D-RAKE-14-035</t>
  </si>
  <si>
    <t>0424-605-D-RAKE-14-035|3381</t>
  </si>
  <si>
    <t>0424-605-D-RAKE-14-035|3382</t>
  </si>
  <si>
    <t>0424-605-D-RAKE-14-035|3383</t>
  </si>
  <si>
    <t>0424-605-D-RAKE-14-035|3384</t>
  </si>
  <si>
    <t>0424-605-D-RAKE-14-035|3385</t>
  </si>
  <si>
    <t>0424-605-D-RAKE-14-035|3386</t>
  </si>
  <si>
    <t>0424-605-D-RAKE-14-035|3487</t>
  </si>
  <si>
    <t>0424-605-D-RAKE-14-035|3705</t>
  </si>
  <si>
    <t>0424-605-D-RAKE-14-035|3980</t>
  </si>
  <si>
    <t>0424-605-D-RAKE-14-035|3981</t>
  </si>
  <si>
    <t>0424-605-D-RAKE-14-035|3983</t>
  </si>
  <si>
    <t>0424-605-D-RAKE-14-035|3994</t>
  </si>
  <si>
    <t>0424-605-D-RAKE-14-035|4007</t>
  </si>
  <si>
    <t>0424-605-D-RAKE-14-035|4052</t>
  </si>
  <si>
    <t>0424-605-D-RAKE-14-035|4057</t>
  </si>
  <si>
    <t>0424-605-D-RAKE-14-035|4059</t>
  </si>
  <si>
    <t>0424-605-D-RAKE-14-035|4069</t>
  </si>
  <si>
    <t>0424-605-D-RAKE-14-035|4074</t>
  </si>
  <si>
    <t>0424-605-D-RAKE-14-035|4085</t>
  </si>
  <si>
    <t>0424-605-D-RAKE-14-035|4087</t>
  </si>
  <si>
    <t>0424-605-D-RAKE-14-035|4090</t>
  </si>
  <si>
    <t>0424-605-D-RAKE-14-035|4094</t>
  </si>
  <si>
    <t>0424-605-D-RAKE-14-035|4095</t>
  </si>
  <si>
    <t>0424-605-D-RAKE-14-035|4259</t>
  </si>
  <si>
    <t>0424-605-D-RAKE-14-035|4262</t>
  </si>
  <si>
    <t>0424-605-D-RAKE-14-035|4314</t>
  </si>
  <si>
    <t>0424-605-D-RAKE-14-035|4512</t>
  </si>
  <si>
    <t>0424-605-D-RAKE-14-035|4515</t>
  </si>
  <si>
    <t>0424-605-D-RAKE-14-035|4516</t>
  </si>
  <si>
    <t>0421-605-D-BOX-15-137</t>
  </si>
  <si>
    <t>BDF2, BCB4, BCE2, BPP</t>
  </si>
  <si>
    <t>BDF2, RD, RL1</t>
  </si>
  <si>
    <t>RD-H3, RD-HB18-C, RL1-HB10, RD-HB50-B</t>
  </si>
  <si>
    <t>9.066 x 1.790 | 587 x 190 | 1.500 x 392 | 742 x 190</t>
  </si>
  <si>
    <t>0421-605-D-BOX-15-137|3317</t>
  </si>
  <si>
    <t>BPP, BCE5, BCB5, BDF5</t>
  </si>
  <si>
    <t>BPP, RD, RL1</t>
  </si>
  <si>
    <t>BPP-RD2-15~16-R2, RD-HB50-B, RD-HB49-C, RL1-HB26, RL1-HB27, BDF5-RD-H11~H12-R3</t>
  </si>
  <si>
    <t>200 x 102 | 742 x 190 | 726 x 190 | 1.267 x 393 | 9.066 x 1.790</t>
  </si>
  <si>
    <t>0421-605-D-BOX-15-137|3754</t>
  </si>
  <si>
    <t>BDF5, PCAS DE TETO</t>
  </si>
  <si>
    <t>RD, PCAS DE TETO</t>
  </si>
  <si>
    <t>BDF5-RD-H13-R4, RD-H20-LADO A, RD-H20-LADO B, RD-H20-LADO C</t>
  </si>
  <si>
    <t>9.066 x 1.797 | 2.890 x 590</t>
  </si>
  <si>
    <t>0421-605-D-BOX-15-137|3757</t>
  </si>
  <si>
    <t>0421-605-D-BOX-15-137|3971</t>
  </si>
  <si>
    <t>0421-605-D-BOX-15-137|3973</t>
  </si>
  <si>
    <t>RD-H3, RD-HB18-C, RL1-HB10, RL1-HB24, RD-HB49-C</t>
  </si>
  <si>
    <t>9.066 x 1.790 | 587 x 190 | 1.500 x 392 | 1.450 x 392 | 726 x 190</t>
  </si>
  <si>
    <t>0421-605-D-BOX-15-137|4410</t>
  </si>
  <si>
    <t>0421-605-D-BOX-15-143</t>
  </si>
  <si>
    <t>0421-605-D-BOX-15-143|3632</t>
  </si>
  <si>
    <t>BCE4, BDF2, BCB4, BPP</t>
  </si>
  <si>
    <t>RL1, RD, RFR0/RFR94</t>
  </si>
  <si>
    <t>RL1-HB2A-C, RD-H17, RD-TZ6-BB, RFR0/RFR94-HB55-C</t>
  </si>
  <si>
    <t>2.987 x 337 | 12.000 x 1.040 | 422 x 2.775 | 2.827 x 337</t>
  </si>
  <si>
    <t>0421-605-D-BOX-15-143|3866</t>
  </si>
  <si>
    <t>RL2, RL1, BPP, RD1, RFR1/RFR93, RFR0/RFR94</t>
  </si>
  <si>
    <t>B1-C, B1-B, B24-C, B33-B, BPP-RD1-H7, BPP-RD1-H8, BPP-RFR1/RFR93-H5-R2, BPP-RFR1/RFR93-H6-R2, RFR0/RFR94-HB55-C, RFR1/RFR93-HB64-C</t>
  </si>
  <si>
    <t>564 x 391 | 780 x 449 | 721 x 410 | 3.708 x 51 | 3.692 x 51 | 8.275 x 1.758 | 6.025 x 1.758 | 2.827 x 337 | 3.000 x 337</t>
  </si>
  <si>
    <t>0421-605-D-BOX-15-143|3903</t>
  </si>
  <si>
    <t>BCE4, BCB1, BDF1(1), BDF1</t>
  </si>
  <si>
    <t>RD, RL2, HASTILHA</t>
  </si>
  <si>
    <t>RD-HB8-B, RL2-HB6A-B, RD-TZ1-BB, HASTILHA TESTE 1875, RD-H2</t>
  </si>
  <si>
    <t>3.000 x 337 | 2.988 x 337 | 422 x 3.000 | 1.875 x 508 | 12.000 x 1.040</t>
  </si>
  <si>
    <t>0421-605-D-BOX-15-143|3914</t>
  </si>
  <si>
    <t>BCB1, BCE3, BDF4, BPP, BDF1(1)</t>
  </si>
  <si>
    <t>RD, RL1, HASTILHA, RFR0</t>
  </si>
  <si>
    <t>RD-TZ1-BB, BCE3-RD-HB1S~HB5S-R1, BCE3-RL1-HB1AS~HB3AS-R1, RD-H14, RD-HB24D-B, B36, HASTILHA TESTE 1875</t>
  </si>
  <si>
    <t>422 x 3.000 | 3.000 x 337 | 2.987 x 337 | 11.100 x 1.040 | 2.000 x 508 | 300 x 170 | 1.875 x 508</t>
  </si>
  <si>
    <t>0421-605-D-BOX-15-143|3938</t>
  </si>
  <si>
    <t>BPP, BDF1(1), BCE4</t>
  </si>
  <si>
    <t>RS, RD, RFR1/RFR93, HASTILHA, RL1</t>
  </si>
  <si>
    <t>B25-C, RD-HB51-C, RFR1/RFR93-HB63-C, HASTILHA TESTE 1875, RL1-H39</t>
  </si>
  <si>
    <t>806 x 539 | 1.095 x 347 | 1.240 x 337 | 1.875 x 508 | 1.767 x 11.600</t>
  </si>
  <si>
    <t>0421-605-D-BOX-15-143|4228</t>
  </si>
  <si>
    <t>RL2, RD1, HASTILHA</t>
  </si>
  <si>
    <t>RL2-HB5A-C, RD-H8, HASTILHA TESTE 1875</t>
  </si>
  <si>
    <t>2.988 x 337 | 12.000 x 1.040 | 1.875 x 508</t>
  </si>
  <si>
    <t>0421-605-D-BOX-15-143|4229</t>
  </si>
  <si>
    <t>0421-605-D-BOX-15-143|4365</t>
  </si>
  <si>
    <t>BCB4, BCE4, BCE3, BDF4</t>
  </si>
  <si>
    <t>RD-HB7-C, RD-HB8-B, BCE3-H1S-R1, RD-HB23D-B</t>
  </si>
  <si>
    <t>0421-605-D-BOX-15-143|4370</t>
  </si>
  <si>
    <t>0421-605-D-RAKE-14-050</t>
  </si>
  <si>
    <t>0421-605-D-RAKE-14-050|3387</t>
  </si>
  <si>
    <t>0421-605-D-RAKE-14-050|3423</t>
  </si>
  <si>
    <t>0421-605-D-RAKE-14-050|3431</t>
  </si>
  <si>
    <t>0421-605-D-RAKE-14-050|3475</t>
  </si>
  <si>
    <t>0421-605-D-RAKE-14-050|3476</t>
  </si>
  <si>
    <t>3.884 x 1.138 | 3.883 x 1.138 | 569 x 3.884</t>
  </si>
  <si>
    <t>0421-605-D-RAKE-14-050|3693</t>
  </si>
  <si>
    <t>4.408 x 930</t>
  </si>
  <si>
    <t>0421-605-D-RAKE-14-050|3695</t>
  </si>
  <si>
    <t>0421-605-D-RAKE-14-050|4001</t>
  </si>
  <si>
    <t>0421-605-D-RAKE-14-050|4026</t>
  </si>
  <si>
    <t>0421-605-D-RAKE-14-050|4058</t>
  </si>
  <si>
    <t>0421-605-D-RAKE-14-050|4479</t>
  </si>
  <si>
    <t>0421-605-D-RAKE-14-050|4480</t>
  </si>
  <si>
    <t>0421-605-D-RAKE-14-050|4513</t>
  </si>
  <si>
    <t>0421-605-D-RAKE-14-050|4514</t>
  </si>
  <si>
    <t>0427-603-D-RAKE-14-064|3472</t>
  </si>
  <si>
    <t>0427-603-D-RAKE-14-064|3798</t>
  </si>
  <si>
    <t>0427-603-D-RAKE-14-064|3800</t>
  </si>
  <si>
    <t>0427-603-D-RAKE-14-064|4027</t>
  </si>
  <si>
    <t>0427-603-D-RAKE-14-064|4053</t>
  </si>
  <si>
    <t>0427-603-D-RAKE-14-064|4081</t>
  </si>
  <si>
    <t>0427-603-D-RAKE-14-064|4096</t>
  </si>
  <si>
    <t>0427-603-D-RAKE-14-064|4252</t>
  </si>
  <si>
    <t>0427-603-D-RAKE-14-064|4258</t>
  </si>
  <si>
    <t>0427-603-D-RAKE-14-064|4260</t>
  </si>
  <si>
    <t>0427-603-D-RAKE-14-064|4481</t>
  </si>
  <si>
    <t>0427-603-D-RAKE-14-064|4490</t>
  </si>
  <si>
    <t>0427-603-D-RAKE-14-064|4491</t>
  </si>
  <si>
    <t>0427-603-D-RAKE-14-064|4492</t>
  </si>
  <si>
    <t>0427-603-D-RAKE-14-064|4494</t>
  </si>
  <si>
    <t>0427-603-D-RAKE-14-064|4495</t>
  </si>
  <si>
    <t>0427-603-D-RAKE-14-064|4496</t>
  </si>
  <si>
    <t>0427-603-D-RAKE-14-064|4499</t>
  </si>
  <si>
    <t>0427-603-D-RAKE-14-064|4500</t>
  </si>
  <si>
    <t>0427-603-D-RAKE-14-064|4502</t>
  </si>
  <si>
    <t>0427-603-D-RAKE-14-064|4503</t>
  </si>
  <si>
    <t>0427-603-D-RAKE-14-064|4504</t>
  </si>
  <si>
    <t>0427-603-D-RAKE-14-064|4508</t>
  </si>
  <si>
    <t>0427-605-D-RAKE-14-087</t>
  </si>
  <si>
    <t>0427-605-D-RAKE-14-087|4336</t>
  </si>
  <si>
    <t>0427-605-D-RAKE-14-087|4337</t>
  </si>
  <si>
    <t>0427-605-D-RAKE-14-087|4338</t>
  </si>
  <si>
    <t>0427-605-D-RAKE-14-087|4339</t>
  </si>
  <si>
    <t>0427-605-D-RAKE-14-087|4340</t>
  </si>
  <si>
    <t>0427-605-D-RAKE-14-087|4341</t>
  </si>
  <si>
    <t>0427-605-D-RAKE-14-087|4342</t>
  </si>
  <si>
    <t>0427-605-D-RAKE-14-087|4343</t>
  </si>
  <si>
    <t>0427-605-D-RAKE-14-087|4344</t>
  </si>
  <si>
    <t>0427-606-D-BOX-16-092</t>
  </si>
  <si>
    <t>0427-606-D-BOX-16-092|4842</t>
  </si>
  <si>
    <t>0427-606-D-BOX-16-092|4843</t>
  </si>
  <si>
    <t>0427-606-D-BOX-16-092|4844</t>
  </si>
  <si>
    <t>0427-606-D-BOX-16-092|4845</t>
  </si>
  <si>
    <t>0427-606-D-BOX-16-092|4846</t>
  </si>
  <si>
    <t>0427-606-D-BOX-16-092|4847</t>
  </si>
  <si>
    <t>0427-606-D-BOX-16-092|4848</t>
  </si>
  <si>
    <t>0427-606-D-BOX-16-092|4849</t>
  </si>
  <si>
    <t>0427-606-D-BOX-16-092|4850</t>
  </si>
  <si>
    <t>0427-606-D-BOX-16-092|4851</t>
  </si>
  <si>
    <t>0427-606-D-BOX-16-092|4852</t>
  </si>
  <si>
    <t>0427-606-D-BOX-16-092|4854</t>
  </si>
  <si>
    <t>0427-606-D-BOX-16-092|4855</t>
  </si>
  <si>
    <t>0427-606-D-BOX-16-092|4856</t>
  </si>
  <si>
    <t>BCE4, PCAS DE TETO, PCAS EXTRA</t>
  </si>
  <si>
    <t>RL1, PCAS DE TETO, PCAS EXTRA</t>
  </si>
  <si>
    <t>RL1-HB4-B, RD-H3_D, RL1-HB4-B-Extra</t>
  </si>
  <si>
    <t>1.187 x 354 | 753 x 1.790</t>
  </si>
  <si>
    <t>0427-606-D-BOX-16-092|4862</t>
  </si>
  <si>
    <t>PCAS DE TETO, PCAS EXTRA</t>
  </si>
  <si>
    <t>RD-H3_D, RL1-HB4-B-Extra, RD-HB17-B-Extra</t>
  </si>
  <si>
    <t>753 x 1.790 | 1.187 x 354 | 587 x 190</t>
  </si>
  <si>
    <t>0427-606-D-BOX-16-092|4863</t>
  </si>
  <si>
    <t>0427-606-D-BOX-16-092|4865</t>
  </si>
  <si>
    <t>0427-603-D-RAKE-14-096</t>
  </si>
  <si>
    <t>3.884 x 1.858 | 3.884 x 1.857</t>
  </si>
  <si>
    <t>0427-603-D-RAKE-14-096|3696</t>
  </si>
  <si>
    <t>0427-603-D-RAKE-14-096|3697</t>
  </si>
  <si>
    <t>0427-603-D-RAKE-14-096|3692</t>
  </si>
  <si>
    <t>3.884 x 1.858 | 3.883 x 1.138 | 3.884 x 1.857 | 569 x 3.884</t>
  </si>
  <si>
    <t>0427-603-D-RAKE-14-096|3690</t>
  </si>
  <si>
    <t>0429-603-D-RAKE-14-100</t>
  </si>
  <si>
    <t>0429-603-D-RAKE-14-100|3990</t>
  </si>
  <si>
    <t>0429-603-D-RAKE-14-100|3996</t>
  </si>
  <si>
    <t>0429-603-D-RAKE-14-100|3997</t>
  </si>
  <si>
    <t>0429-603-D-RAKE-14-100|3998</t>
  </si>
  <si>
    <t>0429-603-D-RAKE-14-100|3999</t>
  </si>
  <si>
    <t>0429-603-D-RAKE-14-100|4000</t>
  </si>
  <si>
    <t>0429-603-D-RAKE-14-100|4073</t>
  </si>
  <si>
    <t>0429-603-D-RAKE-14-100|4075</t>
  </si>
  <si>
    <t>0429-603-D-RAKE-14-100|4076</t>
  </si>
  <si>
    <t>0429-603-D-RAKE-14-100|4077</t>
  </si>
  <si>
    <t>0429-603-D-RAKE-14-100|4078</t>
  </si>
  <si>
    <t>0429-603-D-RAKE-14-100|4079</t>
  </si>
  <si>
    <t>0429-603-D-RAKE-14-100|4080</t>
  </si>
  <si>
    <t>0429-603-D-RAKE-14-100|4482</t>
  </si>
  <si>
    <t>0429-603-D-RAKE-14-100|4483</t>
  </si>
  <si>
    <t>0429-603-D-RAKE-14-100|4484</t>
  </si>
  <si>
    <t>0429-603-D-RAKE-14-100|4485</t>
  </si>
  <si>
    <t>0429-603-D-RAKE-14-100|4486</t>
  </si>
  <si>
    <t>0429-603-D-RAKE-14-100|4487</t>
  </si>
  <si>
    <t>0429-603-D-RAKE-14-100|4489</t>
  </si>
  <si>
    <t>0428-603-D-RAKE-14-120</t>
  </si>
  <si>
    <t>0428-603-D-RAKE-14-120|3425</t>
  </si>
  <si>
    <t>0428-603-D-RAKE-14-120|3802</t>
  </si>
  <si>
    <t>0428-603-D-RAKE-14-120|3816</t>
  </si>
  <si>
    <t>0428-603-D-RAKE-14-120|3819</t>
  </si>
  <si>
    <t>0428-603-D-RAKE-14-120|3982</t>
  </si>
  <si>
    <t>0428-603-D-RAKE-14-120|4006</t>
  </si>
  <si>
    <t>0428-603-D-RAKE-14-120|4010</t>
  </si>
  <si>
    <t>0428-603-D-RAKE-14-120|4011</t>
  </si>
  <si>
    <t>0428-603-D-RAKE-14-120|4012</t>
  </si>
  <si>
    <t>0428-603-D-RAKE-14-120|4013</t>
  </si>
  <si>
    <t>0428-603-D-RAKE-14-120|4014</t>
  </si>
  <si>
    <t>0428-603-D-RAKE-14-120|4071</t>
  </si>
  <si>
    <t>0428-603-D-RAKE-14-120|4084</t>
  </si>
  <si>
    <t>0428-603-D-RAKE-14-120|4089</t>
  </si>
  <si>
    <t>0428-603-D-RAKE-14-120|4092</t>
  </si>
  <si>
    <t>0428-603-D-RAKE-14-120|4246</t>
  </si>
  <si>
    <t>0428-603-D-RAKE-14-120|4249</t>
  </si>
  <si>
    <t>0428-603-D-RAKE-14-120|4493</t>
  </si>
  <si>
    <t>0428-603-D-RAKE-14-120|4497</t>
  </si>
  <si>
    <t>0428-603-D-RAKE-14-120|4498</t>
  </si>
  <si>
    <t>0428-603-D-RAKE-14-120|4501</t>
  </si>
  <si>
    <t>0428-603-D-RAKE-14-120|4505</t>
  </si>
  <si>
    <t>0428-603-D-RAKE-14-120|4506</t>
  </si>
  <si>
    <t>0428-605-D-RAKE-14-143</t>
  </si>
  <si>
    <t>0428-605-D-RAKE-14-143|3986</t>
  </si>
  <si>
    <t>0428-605-D-RAKE-14-143|3993</t>
  </si>
  <si>
    <t>0428-605-D-RAKE-14-143|3995</t>
  </si>
  <si>
    <t>0428-605-D-RAKE-14-143|4316</t>
  </si>
  <si>
    <t>0428-605-D-RAKE-14-143|4317</t>
  </si>
  <si>
    <t>0428-605-D-RAKE-14-143|4473</t>
  </si>
  <si>
    <t>0428-605-D-RAKE-14-143|4475</t>
  </si>
  <si>
    <t>0428-605-D-RAKE-14-143|4478</t>
  </si>
  <si>
    <t>0428-605-D-RAKE-14-143|4509</t>
  </si>
  <si>
    <t>0428-605-D-RAKE-14-143|4510</t>
  </si>
  <si>
    <t>DASHBOARD GERAL</t>
  </si>
  <si>
    <t>SELECIONE A BALSA</t>
  </si>
  <si>
    <t>LISTA_BALSA</t>
  </si>
  <si>
    <t>TODAS</t>
  </si>
  <si>
    <t>TOTAL DE BALSAS</t>
  </si>
  <si>
    <t>BALSAS EM ANDAMENTO</t>
  </si>
  <si>
    <t>BALSAS CONCLUIDAS</t>
  </si>
  <si>
    <t>DASHBOARD DE PAINÉIS - RAKE-13</t>
  </si>
  <si>
    <t>TOTAL DE NESTINGS PLANEJADOS</t>
  </si>
  <si>
    <t>NESTINGS EM PROCESSAMENTO</t>
  </si>
  <si>
    <t>NESTINGS FINALIZADOS</t>
  </si>
  <si>
    <t>TOTAL DE PAINÉIS</t>
  </si>
  <si>
    <t>PAINÉIS EM ANDAMENTO</t>
  </si>
  <si>
    <t>PAINÉIS CONCLUÍDOS</t>
  </si>
  <si>
    <t>% CONCLUÍDO</t>
  </si>
  <si>
    <t>Resumo por balsa (preenchido automaticamente conforme cadastro e retornos):</t>
  </si>
  <si>
    <t>LISTA DE PAINÉIS</t>
  </si>
  <si>
    <t>TOTAL</t>
  </si>
  <si>
    <t>PROCESSADOS</t>
  </si>
  <si>
    <t>CONCLUÍDOS</t>
  </si>
  <si>
    <t>%PROCESSADO</t>
  </si>
  <si>
    <t>%CONCLUÍDO</t>
  </si>
  <si>
    <t>STATUS</t>
  </si>
  <si>
    <t>ACESS-TRAVESSEIRO</t>
  </si>
  <si>
    <t>Em andamento</t>
  </si>
  <si>
    <t>ACESS_DEFENCA</t>
  </si>
  <si>
    <t>Concluído</t>
  </si>
  <si>
    <t>Não iniciado</t>
  </si>
  <si>
    <t>BDF4</t>
  </si>
  <si>
    <t>RD2A</t>
  </si>
  <si>
    <t>RD2B</t>
  </si>
  <si>
    <t>RD2C</t>
  </si>
  <si>
    <t>RFR0</t>
  </si>
  <si>
    <t>RFR1</t>
  </si>
  <si>
    <t>RFR1/RFR93</t>
  </si>
  <si>
    <t>RFR94</t>
  </si>
  <si>
    <t>RL1P</t>
  </si>
  <si>
    <t>RL1S</t>
  </si>
  <si>
    <t>RP</t>
  </si>
  <si>
    <t>RS</t>
  </si>
  <si>
    <t>BASE DE DADOS - UMA LINHA POR PEÇA / NESTING</t>
  </si>
  <si>
    <t>TEMPO DE CORTE TOTAL</t>
  </si>
  <si>
    <t>QTD</t>
  </si>
  <si>
    <t>PECA</t>
  </si>
  <si>
    <t>DESCRICAO</t>
  </si>
  <si>
    <t>PESO_KG</t>
  </si>
  <si>
    <t>PESO_TOTAL_KG</t>
  </si>
  <si>
    <t>OBS_BASE</t>
  </si>
  <si>
    <t>BPP-RD2-11A~11D,_14A~14D)</t>
  </si>
  <si>
    <t>1.200 x 203</t>
  </si>
  <si>
    <t>19</t>
  </si>
  <si>
    <t>4465</t>
  </si>
  <si>
    <t>R1</t>
  </si>
  <si>
    <t>BPP-RD2-15A~15F,_16A~16F)</t>
  </si>
  <si>
    <t>361 x 203</t>
  </si>
  <si>
    <t>BPR-RD2A-B2A~B6A-R3</t>
  </si>
  <si>
    <t>680 x 600</t>
  </si>
  <si>
    <t>BPR-RD2A-B2B~B6B-R1</t>
  </si>
  <si>
    <t>584 x 257</t>
  </si>
  <si>
    <t>BCB2-RD-H2P-R1</t>
  </si>
  <si>
    <t>12.000 x 1.015</t>
  </si>
  <si>
    <t>8</t>
  </si>
  <si>
    <t>3423</t>
  </si>
  <si>
    <t>RD-HB23C-B</t>
  </si>
  <si>
    <t>2.400 x 508</t>
  </si>
  <si>
    <t>BPR-RD1-H33~H45</t>
  </si>
  <si>
    <t>1.420 x 102</t>
  </si>
  <si>
    <t>BPR-RD1-H46~H47-R1</t>
  </si>
  <si>
    <t>1.230 x 102</t>
  </si>
  <si>
    <t>BPR-RD1-H48~H49-R1</t>
  </si>
  <si>
    <t>1.266 x 102</t>
  </si>
  <si>
    <t>BPR-RD2B-H1-R5</t>
  </si>
  <si>
    <t>6.456 x 749</t>
  </si>
  <si>
    <t>B25-C</t>
  </si>
  <si>
    <t>806 x 539</t>
  </si>
  <si>
    <t>DEFENÇA-W-S_150_X_1830</t>
  </si>
  <si>
    <t>1.830 x 150</t>
  </si>
  <si>
    <t>16</t>
  </si>
  <si>
    <t>3350</t>
  </si>
  <si>
    <t>B19</t>
  </si>
  <si>
    <t>580 x 342</t>
  </si>
  <si>
    <t>RFR1/RFR93-HB57-C</t>
  </si>
  <si>
    <t>625 x 327</t>
  </si>
  <si>
    <t>B18</t>
  </si>
  <si>
    <t>695 x 362</t>
  </si>
  <si>
    <t>B6</t>
  </si>
  <si>
    <t>405 x 212</t>
  </si>
  <si>
    <t>BPR-RD2A-H1B-R4</t>
  </si>
  <si>
    <t>5.465 x 1.140</t>
  </si>
  <si>
    <t>BPR-RD2B-H9</t>
  </si>
  <si>
    <t>1.000 x 1.000</t>
  </si>
  <si>
    <t>BPR-RD2A-TZ3-R4</t>
  </si>
  <si>
    <t>450 x 2.133</t>
  </si>
  <si>
    <t>BPR-RD2B-H8</t>
  </si>
  <si>
    <t>BPR-RD2A-TZ4-R6</t>
  </si>
  <si>
    <t>2.034 x 450</t>
  </si>
  <si>
    <t>BPR-RD2C-H2B-R6</t>
  </si>
  <si>
    <t>BPR-RD2C-TZ3-R4</t>
  </si>
  <si>
    <t>2.133 x 450</t>
  </si>
  <si>
    <t>BPR-RD2C-TZ4-R6</t>
  </si>
  <si>
    <t>450 x 2.034</t>
  </si>
  <si>
    <t>BPR-RP-14~15</t>
  </si>
  <si>
    <t>2.805 x 102</t>
  </si>
  <si>
    <t>RL1-H36</t>
  </si>
  <si>
    <t>2.500 x 850</t>
  </si>
  <si>
    <t>BCB4</t>
  </si>
  <si>
    <t>3351</t>
  </si>
  <si>
    <t>BDF4-H10</t>
  </si>
  <si>
    <t>584 x 432</t>
  </si>
  <si>
    <t>BDF4-H11</t>
  </si>
  <si>
    <t>592 x 432</t>
  </si>
  <si>
    <t>RL1-H42</t>
  </si>
  <si>
    <t>BCE4</t>
  </si>
  <si>
    <t>BPP-QD1P-H1</t>
  </si>
  <si>
    <t>925 x 732</t>
  </si>
  <si>
    <t>BPP-QD1P-H5</t>
  </si>
  <si>
    <t>734 x 234</t>
  </si>
  <si>
    <t>BPP-QD1S-H1</t>
  </si>
  <si>
    <t>BPP-QD1P-H4</t>
  </si>
  <si>
    <t>580 x 450</t>
  </si>
  <si>
    <t>BPP-QD1S-H4</t>
  </si>
  <si>
    <t>BPP-QD1S-H5</t>
  </si>
  <si>
    <t>BPP-RD2-H1-R8</t>
  </si>
  <si>
    <t>3.574 x 945</t>
  </si>
  <si>
    <t>BPP-RD2-H3B</t>
  </si>
  <si>
    <t>958 x 687</t>
  </si>
  <si>
    <t>BPP-RD2-H5B</t>
  </si>
  <si>
    <t>BPP-RD2-H7-R5</t>
  </si>
  <si>
    <t>RD-TZ16-BE</t>
  </si>
  <si>
    <t>527 x 1.607</t>
  </si>
  <si>
    <t>BPR-QD-H1S</t>
  </si>
  <si>
    <t>BPR-QD-H1P</t>
  </si>
  <si>
    <t>BPR-QD-H6P</t>
  </si>
  <si>
    <t>690 x 234</t>
  </si>
  <si>
    <t>BPR-QD-H6S</t>
  </si>
  <si>
    <t>BPR-RD1-69~70</t>
  </si>
  <si>
    <t>1.595 x 102</t>
  </si>
  <si>
    <t>BPR-RD2A-5A</t>
  </si>
  <si>
    <t>600 x 102</t>
  </si>
  <si>
    <t>BPR-RD2A-5B</t>
  </si>
  <si>
    <t>500 x 102</t>
  </si>
  <si>
    <t>BPR-RD2A-C2A~C6A</t>
  </si>
  <si>
    <t>512 x 102</t>
  </si>
  <si>
    <t>BPR-RD2C-5A</t>
  </si>
  <si>
    <t>BPR-RD2C-C2A~C6A</t>
  </si>
  <si>
    <t>BPR-RD2C-HB2A~HB2B-R1</t>
  </si>
  <si>
    <t>1.416 x 349</t>
  </si>
  <si>
    <t>BPR-RD2C-HB2C~HB2D-R1</t>
  </si>
  <si>
    <t>RD-HB31-C</t>
  </si>
  <si>
    <t>RD-HB32-C</t>
  </si>
  <si>
    <t>1.398 x 349</t>
  </si>
  <si>
    <t>3352</t>
  </si>
  <si>
    <t>RD-H11</t>
  </si>
  <si>
    <t>B21</t>
  </si>
  <si>
    <t>572 x 342</t>
  </si>
  <si>
    <t>BDF4-QD-H2-R1</t>
  </si>
  <si>
    <t>590 x 440</t>
  </si>
  <si>
    <t>BDF4-H16</t>
  </si>
  <si>
    <t>592 x 350</t>
  </si>
  <si>
    <t>BPP-QD1-H1-R1</t>
  </si>
  <si>
    <t>590 x 442</t>
  </si>
  <si>
    <t>BPP-RD1-H5~H6-R2</t>
  </si>
  <si>
    <t>590 x 350</t>
  </si>
  <si>
    <t>BPP-RFR1/RFR93-H7~H8-R1</t>
  </si>
  <si>
    <t>1.015 x 566</t>
  </si>
  <si>
    <t>RD-HB74-B_R1.IGS</t>
  </si>
  <si>
    <t>1.013 x 344</t>
  </si>
  <si>
    <t>RD-HB76-C.IGS</t>
  </si>
  <si>
    <t>BPR-RD1-B1-R2</t>
  </si>
  <si>
    <t>1.600 x 710</t>
  </si>
  <si>
    <t>BPR-RD1-B1A</t>
  </si>
  <si>
    <t>2.174 x 921</t>
  </si>
  <si>
    <t>BPR-RD1-B1B</t>
  </si>
  <si>
    <t>2.171 x 1.093</t>
  </si>
  <si>
    <t>BPR-RD1-B1C</t>
  </si>
  <si>
    <t>2.183 x 1.093</t>
  </si>
  <si>
    <t>BPR-RD1-B1D</t>
  </si>
  <si>
    <t>BPR-RD1-B2-R2</t>
  </si>
  <si>
    <t>BPR-RD1-H9~H17-R2</t>
  </si>
  <si>
    <t>592 x 450</t>
  </si>
  <si>
    <t>BPR-RD2C-HB4C~HB4D</t>
  </si>
  <si>
    <t>641 x 349</t>
  </si>
  <si>
    <t>BPR-RL1P-H3-R1</t>
  </si>
  <si>
    <t>1.156 x 2.199</t>
  </si>
  <si>
    <t>BPR-RL1S-H3-R2</t>
  </si>
  <si>
    <t>1.156 x 2.198</t>
  </si>
  <si>
    <t>RD-HB34-C</t>
  </si>
  <si>
    <t>584 x 349</t>
  </si>
  <si>
    <t>3353</t>
  </si>
  <si>
    <t>RD-HB45-C</t>
  </si>
  <si>
    <t>RD-HB46-C</t>
  </si>
  <si>
    <t>RD-HB48B-C</t>
  </si>
  <si>
    <t>1.000 x 349</t>
  </si>
  <si>
    <t>RD-HB49A-B</t>
  </si>
  <si>
    <t>BPR-RD2A-5C</t>
  </si>
  <si>
    <t>300 x 102</t>
  </si>
  <si>
    <t>BPR-RD2A-B1-R2</t>
  </si>
  <si>
    <t>1.600 x 615</t>
  </si>
  <si>
    <t>BPR-RD2C-5C</t>
  </si>
  <si>
    <t>BPR-RD2A-H2B-R4</t>
  </si>
  <si>
    <t>4.865 x 1.396</t>
  </si>
  <si>
    <t>BPR-RD2C-5B</t>
  </si>
  <si>
    <t>BPR-RD2C-B1-R3</t>
  </si>
  <si>
    <t>BPR-RD2C-H1B-R4</t>
  </si>
  <si>
    <t>4.860 x 1.398</t>
  </si>
  <si>
    <t>RD-HB30-C</t>
  </si>
  <si>
    <t>3355</t>
  </si>
  <si>
    <t>RD-HB39-C</t>
  </si>
  <si>
    <t>1.017 x 349</t>
  </si>
  <si>
    <t>RD-HB40-C</t>
  </si>
  <si>
    <t>BPP-RD2-BVS-R6..</t>
  </si>
  <si>
    <t>997 x 1.465</t>
  </si>
  <si>
    <t>BPP-RD2-BVP-R3</t>
  </si>
  <si>
    <t>RD-TZ17-C</t>
  </si>
  <si>
    <t>1.551 x 2.557</t>
  </si>
  <si>
    <t>RD-TZ18-C</t>
  </si>
  <si>
    <t>1.551 x 2.882</t>
  </si>
  <si>
    <t>RD-TZ12-C-R1</t>
  </si>
  <si>
    <t>1.400 x 1.639</t>
  </si>
  <si>
    <t>RD-HB48C-C</t>
  </si>
  <si>
    <t>900 x 349</t>
  </si>
  <si>
    <t>3356</t>
  </si>
  <si>
    <t>RD-H10</t>
  </si>
  <si>
    <t>BPP-QD1S-H2</t>
  </si>
  <si>
    <t>BPP-QD1P-H3</t>
  </si>
  <si>
    <t>734 x 580</t>
  </si>
  <si>
    <t>BPP-QD1P-H2</t>
  </si>
  <si>
    <t>BPP-QD1S-H3</t>
  </si>
  <si>
    <t>BPR-RFR0/RFR94-BVP1A</t>
  </si>
  <si>
    <t>1.169 x 2.029</t>
  </si>
  <si>
    <t>BPR-RFR0/RFR94-BVS1A</t>
  </si>
  <si>
    <t>1.182 x 2.034</t>
  </si>
  <si>
    <t>RD-HB48A-C</t>
  </si>
  <si>
    <t>RFR1/RFR93-HB59-B</t>
  </si>
  <si>
    <t>BPR-QD-H4S</t>
  </si>
  <si>
    <t>520 x 450</t>
  </si>
  <si>
    <t>BPR-QD-H4P</t>
  </si>
  <si>
    <t>BPR-QD-H2P</t>
  </si>
  <si>
    <t>BPR-QD-H2S</t>
  </si>
  <si>
    <t>BPR-RD2C-HB1A~HB1D,HB3A~HB3B</t>
  </si>
  <si>
    <t>BPR-RD2C-HB1~HB2</t>
  </si>
  <si>
    <t>BPR-RD2C-HB2D-R1</t>
  </si>
  <si>
    <t>BPR-RP-R2</t>
  </si>
  <si>
    <t>2.076 x 1.000</t>
  </si>
  <si>
    <t>BPR-RS-B1-R2</t>
  </si>
  <si>
    <t>BPR-RS-14~15</t>
  </si>
  <si>
    <t>BPR-RS-BV-R1</t>
  </si>
  <si>
    <t>1.960 x 2.055</t>
  </si>
  <si>
    <t>RL1-HB9</t>
  </si>
  <si>
    <t>1.500 x 392</t>
  </si>
  <si>
    <t>12</t>
  </si>
  <si>
    <t>4520</t>
  </si>
  <si>
    <t>BDF-H3</t>
  </si>
  <si>
    <t>9.066 x 1.790</t>
  </si>
  <si>
    <t>BPP-RD2-17~18-R1</t>
  </si>
  <si>
    <t>2.550 x 102</t>
  </si>
  <si>
    <t>BPR-RD2C-3-R3</t>
  </si>
  <si>
    <t>4521</t>
  </si>
  <si>
    <t>BPR-RD1-BJ3S-R2</t>
  </si>
  <si>
    <t>1.000 x 894</t>
  </si>
  <si>
    <t>BPR-RD1-BJ4P-R3</t>
  </si>
  <si>
    <t>699 x 893</t>
  </si>
  <si>
    <t>BPR-RD1-BJ4S-R2</t>
  </si>
  <si>
    <t>BPR-RD1-BJ5P-R3</t>
  </si>
  <si>
    <t>894 x 699</t>
  </si>
  <si>
    <t>BPR-RD1-BJ5S-R4</t>
  </si>
  <si>
    <t>BPR-RD1-BJ6P-R3</t>
  </si>
  <si>
    <t>893 x 599</t>
  </si>
  <si>
    <t>BPR-RD1-BJ6S-R3</t>
  </si>
  <si>
    <t>BPR-RD2C-7C-R1</t>
  </si>
  <si>
    <t>746 x 430</t>
  </si>
  <si>
    <t>RD-H15</t>
  </si>
  <si>
    <t>4523</t>
  </si>
  <si>
    <t>BPR-RD1-BJ1S-R2.IGS</t>
  </si>
  <si>
    <t>1.573 x 894</t>
  </si>
  <si>
    <t>BPR-RD1-BJ2P-R3</t>
  </si>
  <si>
    <t>1.244 x 892</t>
  </si>
  <si>
    <t>BPR-RD1-BJ2S-R2</t>
  </si>
  <si>
    <t>1.245 x 894</t>
  </si>
  <si>
    <t>BPR-RD1-BJ3P-R3</t>
  </si>
  <si>
    <t>RL1-HB10</t>
  </si>
  <si>
    <t>4524</t>
  </si>
  <si>
    <t>RD-HB49-C</t>
  </si>
  <si>
    <t>726 x 190</t>
  </si>
  <si>
    <t>RD-HB48-B</t>
  </si>
  <si>
    <t>474 x 190</t>
  </si>
  <si>
    <t>RD-H9</t>
  </si>
  <si>
    <t>4656</t>
  </si>
  <si>
    <t>RD-BJ9-C</t>
  </si>
  <si>
    <t>2.829 x 898</t>
  </si>
  <si>
    <t>4657</t>
  </si>
  <si>
    <t>RFR1-RFR93-HB71-B-1</t>
  </si>
  <si>
    <t>1.300 x 392</t>
  </si>
  <si>
    <t>RFR1/RFR93-HB69-B</t>
  </si>
  <si>
    <t>327 x 327</t>
  </si>
  <si>
    <t>BPR-RD1-BJ10P-R3</t>
  </si>
  <si>
    <t>599 x 885</t>
  </si>
  <si>
    <t>BPR-RD1-BJ11P-R4</t>
  </si>
  <si>
    <t>BPR-RD1-BJ12S-R5</t>
  </si>
  <si>
    <t>BPR-RD1-BJ13P-R3</t>
  </si>
  <si>
    <t>599 x 886</t>
  </si>
  <si>
    <t>BPR-RD1-BJ10S-R4</t>
  </si>
  <si>
    <t>BPR-RD1-BJ11S-R5</t>
  </si>
  <si>
    <t>BPR-RD1-BJ12P-R3</t>
  </si>
  <si>
    <t>BPR-RD1-BJ13S-R4</t>
  </si>
  <si>
    <t>600 x 886</t>
  </si>
  <si>
    <t>BPR-RD2B-HB6B-R1</t>
  </si>
  <si>
    <t>190 x 174</t>
  </si>
  <si>
    <t>RD-H4</t>
  </si>
  <si>
    <t>9.066 x 1.698</t>
  </si>
  <si>
    <t>4658</t>
  </si>
  <si>
    <t>RD-HB47-C</t>
  </si>
  <si>
    <t>RD-HB38-B</t>
  </si>
  <si>
    <t>592 x 178</t>
  </si>
  <si>
    <t>3367</t>
  </si>
  <si>
    <t>RD-H3</t>
  </si>
  <si>
    <t>RFR1/RFR93-HB69-A</t>
  </si>
  <si>
    <t>524 x 75</t>
  </si>
  <si>
    <t>BPR-RD2B-HB6A-R1</t>
  </si>
  <si>
    <t>190 x 178</t>
  </si>
  <si>
    <t>BPR-RD2B-HB7B-R1</t>
  </si>
  <si>
    <t>298 x 190</t>
  </si>
  <si>
    <t>BPR-RD1-BJ14P-R4</t>
  </si>
  <si>
    <t>699 x 886</t>
  </si>
  <si>
    <t>BPR-RD1-BJ14S-R3</t>
  </si>
  <si>
    <t>RL1-HB4-B</t>
  </si>
  <si>
    <t>1.187 x 354</t>
  </si>
  <si>
    <t>3368</t>
  </si>
  <si>
    <t>ACCESS-TRAVESSEIRO</t>
  </si>
  <si>
    <t>1.172 x 600</t>
  </si>
  <si>
    <t>BPR-RD1-H19-R2</t>
  </si>
  <si>
    <t>9.060 x 1.860</t>
  </si>
  <si>
    <t>RD-HB35-C</t>
  </si>
  <si>
    <t>600 x 178</t>
  </si>
  <si>
    <t>RD-HB37-B</t>
  </si>
  <si>
    <t>3369</t>
  </si>
  <si>
    <t>RD-HB16-C</t>
  </si>
  <si>
    <t>600 x 190</t>
  </si>
  <si>
    <t>RL1-HB24</t>
  </si>
  <si>
    <t>1.450 x 392</t>
  </si>
  <si>
    <t>RL1-HB25</t>
  </si>
  <si>
    <t>BPR-RFR85-HB3~HB5</t>
  </si>
  <si>
    <t>392 x 1.450</t>
  </si>
  <si>
    <t>BPR-RL1P-HB2AP</t>
  </si>
  <si>
    <t>1.415 x 392</t>
  </si>
  <si>
    <t>BPR-RL1P-HB2BP</t>
  </si>
  <si>
    <t>392 x 1.415</t>
  </si>
  <si>
    <t>3370</t>
  </si>
  <si>
    <t>RD-HB17-B</t>
  </si>
  <si>
    <t>592 x 190</t>
  </si>
  <si>
    <t>RD-HB18-C</t>
  </si>
  <si>
    <t>RFR1/RFR93-HB70-B</t>
  </si>
  <si>
    <t>RFR1/RFR93-HB72-B</t>
  </si>
  <si>
    <t>392 x 1.000</t>
  </si>
  <si>
    <t>RFR1/RFR93-HB77-B</t>
  </si>
  <si>
    <t>RFR1/RFR93-HB78-B</t>
  </si>
  <si>
    <t>1.200 x 392</t>
  </si>
  <si>
    <t>BPR-RD2A-7C-R1</t>
  </si>
  <si>
    <t>BPR-RD2B-7C-R1</t>
  </si>
  <si>
    <t>RD-HB36-C</t>
  </si>
  <si>
    <t>3371</t>
  </si>
  <si>
    <t>BPR-RD2B-HB5A</t>
  </si>
  <si>
    <t>740 x 190</t>
  </si>
  <si>
    <t>BPR-RD2C-HB4B</t>
  </si>
  <si>
    <t>3372</t>
  </si>
  <si>
    <t>BPR-RD1-BJ15S</t>
  </si>
  <si>
    <t>731 x 377</t>
  </si>
  <si>
    <t>BPR-RD1-BJ7P-R3</t>
  </si>
  <si>
    <t>891 x 599</t>
  </si>
  <si>
    <t>BPR-RD1-BJ7S-R4</t>
  </si>
  <si>
    <t>BPR-RD1-BJ8P-R3</t>
  </si>
  <si>
    <t>599 x 889</t>
  </si>
  <si>
    <t>BPR-RD1-BJ8S-R4</t>
  </si>
  <si>
    <t>BPR-RD1-BJ9P-R3</t>
  </si>
  <si>
    <t>BPR-RD1-BJ9S-R4</t>
  </si>
  <si>
    <t>886 x 600</t>
  </si>
  <si>
    <t>BPR-RFR85-HB6~HB7</t>
  </si>
  <si>
    <t>BPR-RFR85-HB9,_HB12-R1</t>
  </si>
  <si>
    <t>964 x 390</t>
  </si>
  <si>
    <t>3373</t>
  </si>
  <si>
    <t>RL1-HB3-C</t>
  </si>
  <si>
    <t>BPP-RD2-15~16-R2</t>
  </si>
  <si>
    <t>200 x 102</t>
  </si>
  <si>
    <t>BPR-RD1-BJ15P</t>
  </si>
  <si>
    <t>BPR-RD2A-4-R2</t>
  </si>
  <si>
    <t>200 x 122</t>
  </si>
  <si>
    <t>BPR-RD2C-4-R2</t>
  </si>
  <si>
    <t>200 x 121</t>
  </si>
  <si>
    <t>BPR-RDB2-HB7A-R1</t>
  </si>
  <si>
    <t>3374</t>
  </si>
  <si>
    <t>RFR1/RFR93-HB65-B</t>
  </si>
  <si>
    <t>1.187 x 365</t>
  </si>
  <si>
    <t>3375</t>
  </si>
  <si>
    <t>RD-BJ3-BE_0</t>
  </si>
  <si>
    <t>2.775 x 894</t>
  </si>
  <si>
    <t>3376</t>
  </si>
  <si>
    <t>BPR-RD1-BJ1P-R3.IGS</t>
  </si>
  <si>
    <t>BPR-RD2B-HB5B</t>
  </si>
  <si>
    <t>734 x 190</t>
  </si>
  <si>
    <t>BPR-RL1S-HB2AS</t>
  </si>
  <si>
    <t>BPR-RL1S-HB2BS</t>
  </si>
  <si>
    <t>RD-BJ2-BE</t>
  </si>
  <si>
    <t>3.000 x 894</t>
  </si>
  <si>
    <t>BPR-RFR85-HB2</t>
  </si>
  <si>
    <t>1.150 x 392</t>
  </si>
  <si>
    <t>RD-H3_D</t>
  </si>
  <si>
    <t>766 x 1.790</t>
  </si>
  <si>
    <t>3377</t>
  </si>
  <si>
    <t>RD-BJ4-BB</t>
  </si>
  <si>
    <t>RFR1/RFR93-HB68-C</t>
  </si>
  <si>
    <t>1.187 x 357</t>
  </si>
  <si>
    <t>BPR-RD1-H18-R1</t>
  </si>
  <si>
    <t>9.060 x 995</t>
  </si>
  <si>
    <t>BPR-RL1S-HB3S-R3</t>
  </si>
  <si>
    <t>1.163 x 353</t>
  </si>
  <si>
    <t>RD-H5</t>
  </si>
  <si>
    <t>9.066 x 590</t>
  </si>
  <si>
    <t>B2-B</t>
  </si>
  <si>
    <t>993 x 516</t>
  </si>
  <si>
    <t>10</t>
  </si>
  <si>
    <t>3381</t>
  </si>
  <si>
    <t>B2-C</t>
  </si>
  <si>
    <t>B3</t>
  </si>
  <si>
    <t>288 x 174</t>
  </si>
  <si>
    <t>BPR-RD1-H3C~H19C-A</t>
  </si>
  <si>
    <t>3.976 x 5.284</t>
  </si>
  <si>
    <t>B7</t>
  </si>
  <si>
    <t>424 x 237</t>
  </si>
  <si>
    <t>BPR-RD1-H1B-H21B-A</t>
  </si>
  <si>
    <t>573 x 2.390</t>
  </si>
  <si>
    <t>B9</t>
  </si>
  <si>
    <t>408 x 256</t>
  </si>
  <si>
    <t>BPR-RD2B-B1~B7-R2</t>
  </si>
  <si>
    <t>1.265 x 382</t>
  </si>
  <si>
    <t>BPR-RD2B-B8~B13-R2</t>
  </si>
  <si>
    <t>1.295 x 382</t>
  </si>
  <si>
    <t>C3</t>
  </si>
  <si>
    <t>200 x 155</t>
  </si>
  <si>
    <t>3382</t>
  </si>
  <si>
    <t>B27</t>
  </si>
  <si>
    <t>300 x 454</t>
  </si>
  <si>
    <t>BPP-RFR1/RFR93-H9</t>
  </si>
  <si>
    <t>4.867 x 750</t>
  </si>
  <si>
    <t>B11</t>
  </si>
  <si>
    <t>690 x 276</t>
  </si>
  <si>
    <t>B13</t>
  </si>
  <si>
    <t>384 x 295</t>
  </si>
  <si>
    <t>BPR-RD1-H1B-H21B-B</t>
  </si>
  <si>
    <t>2.428 x 146</t>
  </si>
  <si>
    <t>BPR-RD1-H3C~H19C-B</t>
  </si>
  <si>
    <t>6.640 x 146</t>
  </si>
  <si>
    <t>3383</t>
  </si>
  <si>
    <t>B28</t>
  </si>
  <si>
    <t>424 x 198</t>
  </si>
  <si>
    <t>BPR-RD1-H1A~H8A-A</t>
  </si>
  <si>
    <t>229 x 2.400</t>
  </si>
  <si>
    <t>BPR-RD1-H1C~H2C,H20C~H21C-A</t>
  </si>
  <si>
    <t>4.709 x 2.344</t>
  </si>
  <si>
    <t>3384</t>
  </si>
  <si>
    <t>3385</t>
  </si>
  <si>
    <t>BPR-RD1-H1A~H8A-B</t>
  </si>
  <si>
    <t>2.402 x 146</t>
  </si>
  <si>
    <t>BPR-RD1-H1C~H2C,H20C~H21C-B</t>
  </si>
  <si>
    <t>5.200 x 146</t>
  </si>
  <si>
    <t>3386</t>
  </si>
  <si>
    <t>BPR-RD2C-B2~B3</t>
  </si>
  <si>
    <t>BPR-RFR85-H33</t>
  </si>
  <si>
    <t>3.572 x 750</t>
  </si>
  <si>
    <t>BPR-RFR85-H4-R2</t>
  </si>
  <si>
    <t>9.400 x 540</t>
  </si>
  <si>
    <t>RD-HB42-C</t>
  </si>
  <si>
    <t>RD-H20</t>
  </si>
  <si>
    <t>3378</t>
  </si>
  <si>
    <t>RD-BJ1-BB</t>
  </si>
  <si>
    <t>RD-HB15-B</t>
  </si>
  <si>
    <t>RD-HB50-B</t>
  </si>
  <si>
    <t>742 x 190</t>
  </si>
  <si>
    <t>BPR-RD2A-3-R3</t>
  </si>
  <si>
    <t>3379</t>
  </si>
  <si>
    <t>4467</t>
  </si>
  <si>
    <t>BPR-RD2C-HB5B</t>
  </si>
  <si>
    <t>BPR-RFR85-HB8-R1</t>
  </si>
  <si>
    <t>960 x 390</t>
  </si>
  <si>
    <t>3387</t>
  </si>
  <si>
    <t>BPR-RFR85-H3-R2</t>
  </si>
  <si>
    <t>9.400 x 1.860</t>
  </si>
  <si>
    <t>B30-C</t>
  </si>
  <si>
    <t>615 x 310</t>
  </si>
  <si>
    <t>RD-HB24C-B</t>
  </si>
  <si>
    <t>2.000 x 508</t>
  </si>
  <si>
    <t>3425</t>
  </si>
  <si>
    <t>3431</t>
  </si>
  <si>
    <t>BPR-RP-H2-R1</t>
  </si>
  <si>
    <t>1.860 x 9.245</t>
  </si>
  <si>
    <t>3453</t>
  </si>
  <si>
    <t>RL2-HB6B-B</t>
  </si>
  <si>
    <t>957 x 337</t>
  </si>
  <si>
    <t>RD-HB24A-B</t>
  </si>
  <si>
    <t>B34</t>
  </si>
  <si>
    <t>629 x 423</t>
  </si>
  <si>
    <t>B31</t>
  </si>
  <si>
    <t>252 x 146</t>
  </si>
  <si>
    <t>B36</t>
  </si>
  <si>
    <t>300 x 170</t>
  </si>
  <si>
    <t>BPP-RD1-H1</t>
  </si>
  <si>
    <t>2.051 x 1.817</t>
  </si>
  <si>
    <t>B15</t>
  </si>
  <si>
    <t>903 x 458</t>
  </si>
  <si>
    <t>3523</t>
  </si>
  <si>
    <t>BPR-RD2A-H2C-R1</t>
  </si>
  <si>
    <t>1.497 x 1.398</t>
  </si>
  <si>
    <t>BPR-RD2C-H1C-R2</t>
  </si>
  <si>
    <t>BPP-RD2-H2-R3</t>
  </si>
  <si>
    <t>4.371 x 1.860</t>
  </si>
  <si>
    <t>BPP-RD2-H6-R3</t>
  </si>
  <si>
    <t>3522</t>
  </si>
  <si>
    <t>R-BCE3-RL1-H4S</t>
  </si>
  <si>
    <t>2.500 x 1.150</t>
  </si>
  <si>
    <t>RD-HB19B-C</t>
  </si>
  <si>
    <t>1.250 x 607</t>
  </si>
  <si>
    <t>R-BCB3-RL1-H4P</t>
  </si>
  <si>
    <t>RD-TZ13-BB</t>
  </si>
  <si>
    <t>527 x 1.219</t>
  </si>
  <si>
    <t>B8</t>
  </si>
  <si>
    <t>415 x 228</t>
  </si>
  <si>
    <t>B16</t>
  </si>
  <si>
    <t>918 x 463</t>
  </si>
  <si>
    <t>RL1-HB2B-C</t>
  </si>
  <si>
    <t>958 x 337</t>
  </si>
  <si>
    <t>3472</t>
  </si>
  <si>
    <t>RL1-H40</t>
  </si>
  <si>
    <t>11.600 x 1.860</t>
  </si>
  <si>
    <t>B17</t>
  </si>
  <si>
    <t>703 x 364</t>
  </si>
  <si>
    <t>BDF1(3)</t>
  </si>
  <si>
    <t>3475</t>
  </si>
  <si>
    <t>B32-C</t>
  </si>
  <si>
    <t>721 x 410</t>
  </si>
  <si>
    <t>BPR-RD2A-H15C</t>
  </si>
  <si>
    <t>592 x 203</t>
  </si>
  <si>
    <t>BPR-RD2B-H1C,_H14C</t>
  </si>
  <si>
    <t>600 x 203</t>
  </si>
  <si>
    <t>BPR-RD2B-H2C~H7C,H9C~H13C</t>
  </si>
  <si>
    <t>742 x 203</t>
  </si>
  <si>
    <t>BPR-RFR89-H6</t>
  </si>
  <si>
    <t>9.908 x 487</t>
  </si>
  <si>
    <t>BPR-RP-H3-R2.IGS</t>
  </si>
  <si>
    <t>9.252 x 982</t>
  </si>
  <si>
    <t>BPR-RS-H3-R2</t>
  </si>
  <si>
    <t>3476</t>
  </si>
  <si>
    <t>B1-C</t>
  </si>
  <si>
    <t>564 x 391</t>
  </si>
  <si>
    <t>3487</t>
  </si>
  <si>
    <t>B1-B</t>
  </si>
  <si>
    <t>B33-B</t>
  </si>
  <si>
    <t>BPR-RD1-HB1~HB7-R1</t>
  </si>
  <si>
    <t>3.070 x 1.654</t>
  </si>
  <si>
    <t>3497</t>
  </si>
  <si>
    <t>3498</t>
  </si>
  <si>
    <t>3499</t>
  </si>
  <si>
    <t>3500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</si>
  <si>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</si>
  <si>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</si>
  <si>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</si>
  <si>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</si>
  <si>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</si>
  <si>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</si>
  <si>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</si>
  <si>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</si>
  <si>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</si>
  <si>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</si>
  <si>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</si>
  <si>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3798</t>
  </si>
  <si>
    <t>3800</t>
  </si>
  <si>
    <t>3802</t>
  </si>
  <si>
    <t>3816</t>
  </si>
  <si>
    <t>3819</t>
  </si>
  <si>
    <t>BCE2-RL1-H24</t>
  </si>
  <si>
    <t>12.000 x 1.389</t>
  </si>
  <si>
    <t>3980</t>
  </si>
  <si>
    <t>BPR-RD2C-B5A~B5E</t>
  </si>
  <si>
    <t>321 x 152</t>
  </si>
  <si>
    <t>BPR-RD2A-B5A~B5E</t>
  </si>
  <si>
    <t>328 x 152</t>
  </si>
  <si>
    <t>BPR-RD2C-B2B~B6B-R5</t>
  </si>
  <si>
    <t>BPR-RD2C-B2A~B6A-R3</t>
  </si>
  <si>
    <t>584 x 259</t>
  </si>
  <si>
    <t>RD-TZ11-C-R1</t>
  </si>
  <si>
    <t>1.642 x 1.489</t>
  </si>
  <si>
    <t>BPP-RD2-11A~11D, 14A~14D)_EXTRA</t>
  </si>
  <si>
    <t>203 x 1.200</t>
  </si>
  <si>
    <t>BPP-RD2-15A~15F, 16A~16F)_Extra</t>
  </si>
  <si>
    <t>RD-TZ7-BE</t>
  </si>
  <si>
    <t>422 x 2.775</t>
  </si>
  <si>
    <t>BPP-RD2-H4B4-R2</t>
  </si>
  <si>
    <t>775 x 440</t>
  </si>
  <si>
    <t>BPR-RD1-HE1</t>
  </si>
  <si>
    <t>144 x 72</t>
  </si>
  <si>
    <t>BCB2-RL1-H17</t>
  </si>
  <si>
    <t>3981</t>
  </si>
  <si>
    <t>RD-TZ3-BB</t>
  </si>
  <si>
    <t>422 x 3.000</t>
  </si>
  <si>
    <t>BPP-RD2-H4B3-R2</t>
  </si>
  <si>
    <t>4.345 x 440</t>
  </si>
  <si>
    <t>BPR-RD1-HT2E-R3</t>
  </si>
  <si>
    <t>1.480 x 383</t>
  </si>
  <si>
    <t>3982</t>
  </si>
  <si>
    <t>3983</t>
  </si>
  <si>
    <t>B26-C</t>
  </si>
  <si>
    <t>BPP-QD1-H2</t>
  </si>
  <si>
    <t>590 x 100</t>
  </si>
  <si>
    <t>BPR-RD1-71~76,_78~82</t>
  </si>
  <si>
    <t>682 x 76</t>
  </si>
  <si>
    <t>BPR-RD2A-H17C</t>
  </si>
  <si>
    <t>BPR-RD2B-H7-R2</t>
  </si>
  <si>
    <t>6.456 x 756</t>
  </si>
  <si>
    <t>BPR-RD2C-H18C</t>
  </si>
  <si>
    <t>596 x 203</t>
  </si>
  <si>
    <t>BPR-RFR85-H28~H30</t>
  </si>
  <si>
    <t>734 x 102</t>
  </si>
  <si>
    <t>BPR-RFR85-H1~H27</t>
  </si>
  <si>
    <t>742 x 102</t>
  </si>
  <si>
    <t>RD-H2</t>
  </si>
  <si>
    <t>12.000 x 1.040</t>
  </si>
  <si>
    <t>BCB1-RL1-H7</t>
  </si>
  <si>
    <t>3984</t>
  </si>
  <si>
    <t>BPR-RD2A-TZ2-R4</t>
  </si>
  <si>
    <t>422 x 2.469</t>
  </si>
  <si>
    <t>BPR-RD2C-TZ2-R4</t>
  </si>
  <si>
    <t>2.469 x 422</t>
  </si>
  <si>
    <t>RD-HB41-C</t>
  </si>
  <si>
    <t>942 x 333</t>
  </si>
  <si>
    <t>BCB4-RL2-H32</t>
  </si>
  <si>
    <t>1.686 x 11.100</t>
  </si>
  <si>
    <t>3986</t>
  </si>
  <si>
    <t>BDF1(1)</t>
  </si>
  <si>
    <t>3990</t>
  </si>
  <si>
    <t>BDF4-RD-H13</t>
  </si>
  <si>
    <t>11.100 x 1.860</t>
  </si>
  <si>
    <t>3993</t>
  </si>
  <si>
    <t>RD-HB75-C.IGS</t>
  </si>
  <si>
    <t>1.790 x 331</t>
  </si>
  <si>
    <t>3994</t>
  </si>
  <si>
    <t>RD-HB73-B.IGS</t>
  </si>
  <si>
    <t>1.793 x 330</t>
  </si>
  <si>
    <t>3995</t>
  </si>
  <si>
    <t>3996</t>
  </si>
  <si>
    <t>3997</t>
  </si>
  <si>
    <t>3998</t>
  </si>
  <si>
    <t>3999</t>
  </si>
  <si>
    <t>4000</t>
  </si>
  <si>
    <t>4001</t>
  </si>
  <si>
    <t>4006</t>
  </si>
  <si>
    <t>4007</t>
  </si>
  <si>
    <t>BCE2-H1S-R1</t>
  </si>
  <si>
    <t>RD-HB23A-B</t>
  </si>
  <si>
    <t>2.850 x 508</t>
  </si>
  <si>
    <t>RD-HB24D-B</t>
  </si>
  <si>
    <t>B12</t>
  </si>
  <si>
    <t>637 x 244</t>
  </si>
  <si>
    <t>BPR-RD1-H20~H32</t>
  </si>
  <si>
    <t>930 x 102</t>
  </si>
  <si>
    <t>BPR-RD1-HT1G-R1</t>
  </si>
  <si>
    <t>BPR-RD1-HT2D-R2</t>
  </si>
  <si>
    <t>2.920 x 383</t>
  </si>
  <si>
    <t>RD-HB7-C</t>
  </si>
  <si>
    <t>3.000 x 337</t>
  </si>
  <si>
    <t>4008</t>
  </si>
  <si>
    <t>RD-TZ6-BB</t>
  </si>
  <si>
    <t>RD-HB43-C</t>
  </si>
  <si>
    <t>2.900 x 342</t>
  </si>
  <si>
    <t>RD-HB44-B</t>
  </si>
  <si>
    <t>2.900 x 337</t>
  </si>
  <si>
    <t>BPR-RD1-HT1A-R1</t>
  </si>
  <si>
    <t>BPP- RFR0/RFR94-H1</t>
  </si>
  <si>
    <t>916 x 12.000</t>
  </si>
  <si>
    <t>BPP-RFR1/RFR93-H3-R1</t>
  </si>
  <si>
    <t>8.275 x 1.860</t>
  </si>
  <si>
    <t>4009</t>
  </si>
  <si>
    <t>BPP-RS-H2-R2</t>
  </si>
  <si>
    <t>3.446 x 1.860</t>
  </si>
  <si>
    <t>4010</t>
  </si>
  <si>
    <t>4011</t>
  </si>
  <si>
    <t>4012</t>
  </si>
  <si>
    <t>4013</t>
  </si>
  <si>
    <t>4014</t>
  </si>
  <si>
    <t>BPP-RFR0/RFR94-H2-R1</t>
  </si>
  <si>
    <t>1.598 x 916</t>
  </si>
  <si>
    <t>4017</t>
  </si>
  <si>
    <t>BPP-RP-H2-R2</t>
  </si>
  <si>
    <t>BPR-RFR85-H6-R2</t>
  </si>
  <si>
    <t>3.225 x 1.860</t>
  </si>
  <si>
    <t>BPR-RFR85-HB10</t>
  </si>
  <si>
    <t>964 x 337</t>
  </si>
  <si>
    <t>BPR-RL1S-H1-R3</t>
  </si>
  <si>
    <t>3.862 x 1.860</t>
  </si>
  <si>
    <t>4021</t>
  </si>
  <si>
    <t>BPR-RD2B-H5-R3</t>
  </si>
  <si>
    <t>6.960 x 1.860</t>
  </si>
  <si>
    <t>BDF1(2)</t>
  </si>
  <si>
    <t>4026</t>
  </si>
  <si>
    <t>BPR-RD2A-H2A-R6</t>
  </si>
  <si>
    <t>4.945 x 1.854</t>
  </si>
  <si>
    <t>BPR-RD2B-H3-R2</t>
  </si>
  <si>
    <t>RS-HB27-C</t>
  </si>
  <si>
    <t>4027</t>
  </si>
  <si>
    <t>BCE4-RL1-H41</t>
  </si>
  <si>
    <t>11.600 x 1.389</t>
  </si>
  <si>
    <t>4052</t>
  </si>
  <si>
    <t>RFR0/RFR94-HB54-B</t>
  </si>
  <si>
    <t>2.827 x 337</t>
  </si>
  <si>
    <t>RFR0/RFR94-HB55-C</t>
  </si>
  <si>
    <t>RFR1/RFR93-HB58-C</t>
  </si>
  <si>
    <t>3.295 x 333</t>
  </si>
  <si>
    <t>4053</t>
  </si>
  <si>
    <t>RD-HB23D-B</t>
  </si>
  <si>
    <t>RFR0/RFR94-HB53-B</t>
  </si>
  <si>
    <t>RL1-H39</t>
  </si>
  <si>
    <t>1.767 x 11.600</t>
  </si>
  <si>
    <t>4054</t>
  </si>
  <si>
    <t>RFR1/RFR93-HB60-B</t>
  </si>
  <si>
    <t>BPR-RD1-H5-R1</t>
  </si>
  <si>
    <t>1.040 x 11.913</t>
  </si>
  <si>
    <t>BPR-RD1-HT1D-R1</t>
  </si>
  <si>
    <t>2.267 x 508</t>
  </si>
  <si>
    <t>BPR-RD2B-HB1B</t>
  </si>
  <si>
    <t>3.000 x 333</t>
  </si>
  <si>
    <t>BPR-RD2B-HB1D</t>
  </si>
  <si>
    <t>BPR-RFR85-H31~H32</t>
  </si>
  <si>
    <t>2.242 x 102</t>
  </si>
  <si>
    <t>4056</t>
  </si>
  <si>
    <t>BPR-RS-H2-R1.IGS</t>
  </si>
  <si>
    <t>9.252 x 1.860</t>
  </si>
  <si>
    <t>BDF1(4)</t>
  </si>
  <si>
    <t>4057</t>
  </si>
  <si>
    <t>RD-H17</t>
  </si>
  <si>
    <t>BDF1(6)</t>
  </si>
  <si>
    <t>RD-HB8-B</t>
  </si>
  <si>
    <t>4058</t>
  </si>
  <si>
    <t>RL2-HB6A-B</t>
  </si>
  <si>
    <t>2.988 x 337</t>
  </si>
  <si>
    <t>BPR-RD2B-H4-R2</t>
  </si>
  <si>
    <t>6.960 x 963</t>
  </si>
  <si>
    <t>BPR-RFR85-H8-R2</t>
  </si>
  <si>
    <t>3.225 x 1.133</t>
  </si>
  <si>
    <t>RS-HB28-C</t>
  </si>
  <si>
    <t>963 x 337</t>
  </si>
  <si>
    <t>BCB1-RD-H2P-R1</t>
  </si>
  <si>
    <t>4059</t>
  </si>
  <si>
    <t>RL1-HB2A-C</t>
  </si>
  <si>
    <t>2.987 x 337</t>
  </si>
  <si>
    <t>RL2-HB5A-C</t>
  </si>
  <si>
    <t>RFR0/RFR94-HB56-C</t>
  </si>
  <si>
    <t>BPR-RD2B-H8C</t>
  </si>
  <si>
    <t>734 x 203</t>
  </si>
  <si>
    <t>BPR-RD2C-H16C</t>
  </si>
  <si>
    <t>BPR-RD2B-HB1C</t>
  </si>
  <si>
    <t>4060</t>
  </si>
  <si>
    <t>BPR-RL1P-H2-R4</t>
  </si>
  <si>
    <t>3.862 x 960</t>
  </si>
  <si>
    <t>BCB3-RD-H3P-R1</t>
  </si>
  <si>
    <t>350 x 2.875</t>
  </si>
  <si>
    <t>BPP-RD1-H4-R1</t>
  </si>
  <si>
    <t>2.054 x 1.022</t>
  </si>
  <si>
    <t>BPP-RD2-H4B1-R2</t>
  </si>
  <si>
    <t>2.095 x 440</t>
  </si>
  <si>
    <t>BPP-RFR1/RFR93-H4-R1</t>
  </si>
  <si>
    <t>6.025 x 1.860</t>
  </si>
  <si>
    <t>B24-C</t>
  </si>
  <si>
    <t>780 x 449</t>
  </si>
  <si>
    <t>4063</t>
  </si>
  <si>
    <t>BPP-RD1-H3-R1</t>
  </si>
  <si>
    <t>11.997 x 1.022</t>
  </si>
  <si>
    <t>BPR-RFR85-HB11</t>
  </si>
  <si>
    <t>BPR-RFR85-HB4-R1</t>
  </si>
  <si>
    <t>3.118 x 337</t>
  </si>
  <si>
    <t>BPR-RFR85-HB5-R1</t>
  </si>
  <si>
    <t>RD-HB29-C</t>
  </si>
  <si>
    <t>4068</t>
  </si>
  <si>
    <t>BPR-RP-HB1AP</t>
  </si>
  <si>
    <t>BPP-RP-H1-R2</t>
  </si>
  <si>
    <t>3.446 x 965</t>
  </si>
  <si>
    <t>BPP-RS-H1-R2</t>
  </si>
  <si>
    <t>BPR-RD2A-H1A-R3</t>
  </si>
  <si>
    <t>4.945 x 1.025</t>
  </si>
  <si>
    <t>BPR-RD2C-TZ1-R3</t>
  </si>
  <si>
    <t>2.476 x 422</t>
  </si>
  <si>
    <t>BPR-RL1P-HB1AP</t>
  </si>
  <si>
    <t>BPR-RL1S-HB1AS</t>
  </si>
  <si>
    <t>BPR-RD1-HB8~HB13-R1</t>
  </si>
  <si>
    <t>4069</t>
  </si>
  <si>
    <t>BPR-RD2C-H2A-R3</t>
  </si>
  <si>
    <t>RD-TZ2-BE</t>
  </si>
  <si>
    <t>4071</t>
  </si>
  <si>
    <t>4073</t>
  </si>
  <si>
    <t>4074</t>
  </si>
  <si>
    <t>RL1-HB1A-B</t>
  </si>
  <si>
    <t>RD-H8</t>
  </si>
  <si>
    <t>4075</t>
  </si>
  <si>
    <t>4076</t>
  </si>
  <si>
    <t>4077</t>
  </si>
  <si>
    <t>4078</t>
  </si>
  <si>
    <t>4079</t>
  </si>
  <si>
    <t>4080</t>
  </si>
  <si>
    <t>RD-HB19C-C</t>
  </si>
  <si>
    <t>4081</t>
  </si>
  <si>
    <t>R-BCB3-RL1-H1P-R2.DWG</t>
  </si>
  <si>
    <t>4084</t>
  </si>
  <si>
    <t>4085</t>
  </si>
  <si>
    <t>BCE1-RL1-H12</t>
  </si>
  <si>
    <t>RD-TZ4-BB-R1</t>
  </si>
  <si>
    <t>422 x 2.810</t>
  </si>
  <si>
    <t>4087</t>
  </si>
  <si>
    <t>BPP-RD2-H4B2-R2</t>
  </si>
  <si>
    <t>RL1-H35</t>
  </si>
  <si>
    <t>BPP-RD1-H8</t>
  </si>
  <si>
    <t>3.692 x 51</t>
  </si>
  <si>
    <t>4089</t>
  </si>
  <si>
    <t>4090</t>
  </si>
  <si>
    <t>BCB3-RD-H2P-R2</t>
  </si>
  <si>
    <t>11.810 x 1.015</t>
  </si>
  <si>
    <t>RD-HB19A-C</t>
  </si>
  <si>
    <t>RD-HB19D-C</t>
  </si>
  <si>
    <t>RD-HB20C-C</t>
  </si>
  <si>
    <t>2.500 x 508</t>
  </si>
  <si>
    <t>4092</t>
  </si>
  <si>
    <t>4094</t>
  </si>
  <si>
    <t>R-BCE3-RL1-H1S</t>
  </si>
  <si>
    <t>4095</t>
  </si>
  <si>
    <t>BPR-RD1-HT2A-R3</t>
  </si>
  <si>
    <t>BPR-RD2B-H10</t>
  </si>
  <si>
    <t>645 x 500</t>
  </si>
  <si>
    <t>BPR-RD2B-H11</t>
  </si>
  <si>
    <t>BCE3-HS3-R1</t>
  </si>
  <si>
    <t>RD-TZ1-BB</t>
  </si>
  <si>
    <t>BDF4(1)</t>
  </si>
  <si>
    <t>4096</t>
  </si>
  <si>
    <t>BDF4(10)</t>
  </si>
  <si>
    <t>4098</t>
  </si>
  <si>
    <t>BDF1(3)/BDF2(10)</t>
  </si>
  <si>
    <t>4099</t>
  </si>
  <si>
    <t>4101</t>
  </si>
  <si>
    <t>4102</t>
  </si>
  <si>
    <t>4118</t>
  </si>
  <si>
    <t>4246</t>
  </si>
  <si>
    <t>BPR-RD1-77</t>
  </si>
  <si>
    <t>600 x 76</t>
  </si>
  <si>
    <t>BPR-RD1-H1</t>
  </si>
  <si>
    <t>1.860 x 11.913</t>
  </si>
  <si>
    <t>4249</t>
  </si>
  <si>
    <t>BPP-RFR1/RFR93-H2-R3</t>
  </si>
  <si>
    <t>BPR-RD2B-HB1A</t>
  </si>
  <si>
    <t>908 x 333</t>
  </si>
  <si>
    <t>BDF4-QD-H3</t>
  </si>
  <si>
    <t>525 x 100</t>
  </si>
  <si>
    <t>4251</t>
  </si>
  <si>
    <t>B23-B</t>
  </si>
  <si>
    <t>BPP-RFR0/RFR94-H3-R1</t>
  </si>
  <si>
    <t>1.868 x 1.598</t>
  </si>
  <si>
    <t>BPR-RFR89-H5</t>
  </si>
  <si>
    <t>2.547 x 487</t>
  </si>
  <si>
    <t>BPR-RFR89-H7</t>
  </si>
  <si>
    <t>2.546 x 487</t>
  </si>
  <si>
    <t>BPR-RS-H1-R1</t>
  </si>
  <si>
    <t>7.283 x 1.349</t>
  </si>
  <si>
    <t>BPR-RP-H1-R1..</t>
  </si>
  <si>
    <t>1.349 x 7.315</t>
  </si>
  <si>
    <t>4252</t>
  </si>
  <si>
    <t>BPR-RD2C-HB3</t>
  </si>
  <si>
    <t>BPR-RP-HB1BP</t>
  </si>
  <si>
    <t>BDF2(1)</t>
  </si>
  <si>
    <t>RL1-H33</t>
  </si>
  <si>
    <t>4253</t>
  </si>
  <si>
    <t>BPP-RFR1/RFR93-H6-R2</t>
  </si>
  <si>
    <t>6.025 x 1.758</t>
  </si>
  <si>
    <t>BPR-RD2A-TZ1-R3</t>
  </si>
  <si>
    <t>422 x 2.476</t>
  </si>
  <si>
    <t>BPR-RD2C-H1A-R7</t>
  </si>
  <si>
    <t>BPR-RL1S-H2-R4</t>
  </si>
  <si>
    <t>4255</t>
  </si>
  <si>
    <t>4256</t>
  </si>
  <si>
    <t>4257</t>
  </si>
  <si>
    <t>4258</t>
  </si>
  <si>
    <t>4269</t>
  </si>
  <si>
    <t>BPR-RL1P-HB3P-R2</t>
  </si>
  <si>
    <t>1.161 x 357</t>
  </si>
  <si>
    <t>RAKE-H1~H5</t>
  </si>
  <si>
    <t>7.196 x 627</t>
  </si>
  <si>
    <t>RD-HB20D-C</t>
  </si>
  <si>
    <t>R-BCE3-RL1-H3S</t>
  </si>
  <si>
    <t>4259</t>
  </si>
  <si>
    <t>BCE1-RD-H1S-R1</t>
  </si>
  <si>
    <t>4260</t>
  </si>
  <si>
    <t>R-BCB3-RD-H1P-R4</t>
  </si>
  <si>
    <t>4262</t>
  </si>
  <si>
    <t>B37</t>
  </si>
  <si>
    <t>288 x 171</t>
  </si>
  <si>
    <t>BPP-RD1-H7</t>
  </si>
  <si>
    <t>3.708 x 51</t>
  </si>
  <si>
    <t>B10</t>
  </si>
  <si>
    <t>B14</t>
  </si>
  <si>
    <t>881 x 447</t>
  </si>
  <si>
    <t>BCE3-H1S-R2</t>
  </si>
  <si>
    <t>RD-HB20A-C</t>
  </si>
  <si>
    <t>4289</t>
  </si>
  <si>
    <t>4314</t>
  </si>
  <si>
    <t>R-BCB3-RL1-H3P-R2</t>
  </si>
  <si>
    <t>RD-TZ5-BE-R1</t>
  </si>
  <si>
    <t>BDF4(9)</t>
  </si>
  <si>
    <t>4315</t>
  </si>
  <si>
    <t>BDF1(14)</t>
  </si>
  <si>
    <t>BCE4-RL2-H38</t>
  </si>
  <si>
    <t>11.100 x 1.760</t>
  </si>
  <si>
    <t>4316</t>
  </si>
  <si>
    <t>RFR1/RFR93-HB66-B</t>
  </si>
  <si>
    <t>1.187 x 337</t>
  </si>
  <si>
    <t>RD-TZ6-BE</t>
  </si>
  <si>
    <t>422 x 350</t>
  </si>
  <si>
    <t>BCB4-RL2-H31</t>
  </si>
  <si>
    <t>4317</t>
  </si>
  <si>
    <t>BCE4-RL2-H37</t>
  </si>
  <si>
    <t>4473</t>
  </si>
  <si>
    <t>4475</t>
  </si>
  <si>
    <t>B35</t>
  </si>
  <si>
    <t>559 x 317</t>
  </si>
  <si>
    <t>4478</t>
  </si>
  <si>
    <t>RFR1/RFR93-HB63-C</t>
  </si>
  <si>
    <t>1.240 x 337</t>
  </si>
  <si>
    <t>4479</t>
  </si>
  <si>
    <t>BPR-RD2B-H2-R5</t>
  </si>
  <si>
    <t>4480</t>
  </si>
  <si>
    <t>BPR-RD2B-H6-R6</t>
  </si>
  <si>
    <t>4481</t>
  </si>
  <si>
    <t>4482</t>
  </si>
  <si>
    <t>4483</t>
  </si>
  <si>
    <t>4484</t>
  </si>
  <si>
    <t>4485</t>
  </si>
  <si>
    <t>4486</t>
  </si>
  <si>
    <t>RD-TZ14-BB</t>
  </si>
  <si>
    <t>RD-TZ15-BE</t>
  </si>
  <si>
    <t>527 x 1.218</t>
  </si>
  <si>
    <t>BPR-RP-BV-R4</t>
  </si>
  <si>
    <t>BPP-RD2-H3-R4</t>
  </si>
  <si>
    <t>3.409 x 687</t>
  </si>
  <si>
    <t>BPP-RD2-H5-R5</t>
  </si>
  <si>
    <t>BPR-RD1-HT1F-R1_3</t>
  </si>
  <si>
    <t>1.250 x 527</t>
  </si>
  <si>
    <t>BPR-RD1-HT1B-R1_3</t>
  </si>
  <si>
    <t>3.884 x 1.858</t>
  </si>
  <si>
    <t>6</t>
  </si>
  <si>
    <t>3696</t>
  </si>
  <si>
    <t>ANTSS-RF17,33S,61P,77P-H2S</t>
  </si>
  <si>
    <t>3697</t>
  </si>
  <si>
    <t>ANTSP-RF17P,33P,61S,77S-H1P</t>
  </si>
  <si>
    <t>3.884 x 1.138</t>
  </si>
  <si>
    <t>3692</t>
  </si>
  <si>
    <t>ANTSS-RF17,33S,61P,77P-H1S</t>
  </si>
  <si>
    <t>3.883 x 1.138</t>
  </si>
  <si>
    <t>ANTSP-RF17P,33P,61S,77S-H1P- LADO A</t>
  </si>
  <si>
    <t>569 x 3.884</t>
  </si>
  <si>
    <t>ANTSP-RF17P,33P,61S,77S-H1P-LADO B</t>
  </si>
  <si>
    <t>3693</t>
  </si>
  <si>
    <t>ANTSP-RF17P,33P,61S,77S-H1P-LADO A-Extra</t>
  </si>
  <si>
    <t>ANTSP-RF17P,33P,61S,77S-H1P-LADO-B-Extra</t>
  </si>
  <si>
    <t>ANTSP-RF17P,33P,61S,77S-H1P-1-Extra</t>
  </si>
  <si>
    <t>3690</t>
  </si>
  <si>
    <t>4.455 x 1.870</t>
  </si>
  <si>
    <t>3694</t>
  </si>
  <si>
    <t>BPR-RFR85-H2,_H9 teste</t>
  </si>
  <si>
    <t>3695</t>
  </si>
  <si>
    <t>BPR-RFR85-H2,_H9-Extra</t>
  </si>
  <si>
    <t>3709</t>
  </si>
  <si>
    <t>3710</t>
  </si>
  <si>
    <t>3711</t>
  </si>
  <si>
    <t>3714</t>
  </si>
  <si>
    <t>3712</t>
  </si>
  <si>
    <t>4334</t>
  </si>
  <si>
    <t>BPR-RD2C-HB4A</t>
  </si>
  <si>
    <t>BPR-RD2C-HB5A</t>
  </si>
  <si>
    <t>3716</t>
  </si>
  <si>
    <t>3718</t>
  </si>
  <si>
    <t>RD-BJ10-C</t>
  </si>
  <si>
    <t>3.196 x 899</t>
  </si>
  <si>
    <t>RD-BJ8-C</t>
  </si>
  <si>
    <t>3.206 x 899</t>
  </si>
  <si>
    <t>BPR-RFR85-HB1</t>
  </si>
  <si>
    <t>RP-BJ7-BB</t>
  </si>
  <si>
    <t>3.258 x 895</t>
  </si>
  <si>
    <t>RS-BJ6-BE</t>
  </si>
  <si>
    <t>3705</t>
  </si>
  <si>
    <t>4487</t>
  </si>
  <si>
    <t>4489</t>
  </si>
  <si>
    <t>4490</t>
  </si>
  <si>
    <t>4491</t>
  </si>
  <si>
    <t>4492</t>
  </si>
  <si>
    <t>4493</t>
  </si>
  <si>
    <t>4494</t>
  </si>
  <si>
    <t>4495</t>
  </si>
  <si>
    <t>4496</t>
  </si>
  <si>
    <t>4497</t>
  </si>
  <si>
    <t>4498</t>
  </si>
  <si>
    <t>BCB4-RD-H1P-R1</t>
  </si>
  <si>
    <t>4499</t>
  </si>
  <si>
    <t>BCB4-RL1-H34</t>
  </si>
  <si>
    <t>4500</t>
  </si>
  <si>
    <t>4501</t>
  </si>
  <si>
    <t>4502</t>
  </si>
  <si>
    <t>4503</t>
  </si>
  <si>
    <t>4504</t>
  </si>
  <si>
    <t>4505</t>
  </si>
  <si>
    <t>4506</t>
  </si>
  <si>
    <t>BCE4-H2S-R1</t>
  </si>
  <si>
    <t>4508</t>
  </si>
  <si>
    <t>4509</t>
  </si>
  <si>
    <t>RFR1/RFR93-HB61-B</t>
  </si>
  <si>
    <t>4510</t>
  </si>
  <si>
    <t>RFR1/RFR93-HB67-C</t>
  </si>
  <si>
    <t>RD-TZ5-BB</t>
  </si>
  <si>
    <t>4511</t>
  </si>
  <si>
    <t>BPP-RD2-H4A-R1</t>
  </si>
  <si>
    <t>8.004 x 1.860</t>
  </si>
  <si>
    <t>BPP-RFR1/RFR93-H1-R2</t>
  </si>
  <si>
    <t>3.100 x 1.860</t>
  </si>
  <si>
    <t>4512</t>
  </si>
  <si>
    <t>BCE4-H1S-R1</t>
  </si>
  <si>
    <t>11.100 x 1.015</t>
  </si>
  <si>
    <t>4513</t>
  </si>
  <si>
    <t>BPR-RFR89-H2-R4</t>
  </si>
  <si>
    <t>BPR-RL1P-H1-R3</t>
  </si>
  <si>
    <t>BPR-RFR89-H3-R1</t>
  </si>
  <si>
    <t>4514</t>
  </si>
  <si>
    <t>BPR-RFR85-H5-R2</t>
  </si>
  <si>
    <t>5.475 x 1.860</t>
  </si>
  <si>
    <t>BPR-RFR85-H7-R2</t>
  </si>
  <si>
    <t>5.475 x 1.133</t>
  </si>
  <si>
    <t>4515</t>
  </si>
  <si>
    <t>RD-H14</t>
  </si>
  <si>
    <t>11.100 x 1.040</t>
  </si>
  <si>
    <t>RD-HB52-B</t>
  </si>
  <si>
    <t>1.095 x 347</t>
  </si>
  <si>
    <t>RFR1/RFR93-HB62-B</t>
  </si>
  <si>
    <t>RFR1/RFR93-HB64-C</t>
  </si>
  <si>
    <t>BPR-RD1-HT2B-R2</t>
  </si>
  <si>
    <t>BPR-RD1-HT2C-R1</t>
  </si>
  <si>
    <t>3.000 x 383</t>
  </si>
  <si>
    <t>BPR-RD1-HT1C-R1</t>
  </si>
  <si>
    <t>4516</t>
  </si>
  <si>
    <t>BCB4-RD-H2P-R1</t>
  </si>
  <si>
    <t>BPR-RD1-HT1E-R1</t>
  </si>
  <si>
    <t>4518</t>
  </si>
  <si>
    <t>BPP-RFR1/RFR93-H5-R2</t>
  </si>
  <si>
    <t>8.275 x 1.758</t>
  </si>
  <si>
    <t>BPR-RD2C-HB1-R1</t>
  </si>
  <si>
    <t>RAKE-H3</t>
  </si>
  <si>
    <t>4335</t>
  </si>
  <si>
    <t>RAKE-600</t>
  </si>
  <si>
    <t>9.066 x 600</t>
  </si>
  <si>
    <t>4336</t>
  </si>
  <si>
    <t>4339</t>
  </si>
  <si>
    <t>4340</t>
  </si>
  <si>
    <t>4337</t>
  </si>
  <si>
    <t>4341</t>
  </si>
  <si>
    <t>4338</t>
  </si>
  <si>
    <t>4344</t>
  </si>
  <si>
    <t>4342</t>
  </si>
  <si>
    <t>4343</t>
  </si>
  <si>
    <t>4519</t>
  </si>
  <si>
    <t>RD-HB23B-B</t>
  </si>
  <si>
    <t>1.050 x 607</t>
  </si>
  <si>
    <t>BPR-RFR0/RFR94-BVS1B</t>
  </si>
  <si>
    <t>1.220 x 1.319</t>
  </si>
  <si>
    <t>BPR-RFR94-BVP1B</t>
  </si>
  <si>
    <t>1.208 x 1.318</t>
  </si>
  <si>
    <t>BPR-QD-H3S</t>
  </si>
  <si>
    <t>690 x 520</t>
  </si>
  <si>
    <t>BPR-QD-H3P</t>
  </si>
  <si>
    <t>RD-TZ13-C-R1</t>
  </si>
  <si>
    <t>2.524 x 1.639</t>
  </si>
  <si>
    <t>RD-HB49C-B</t>
  </si>
  <si>
    <t>RD-HB49B-B</t>
  </si>
  <si>
    <t>3527</t>
  </si>
  <si>
    <t>4226</t>
  </si>
  <si>
    <t>RL1-H17</t>
  </si>
  <si>
    <t>1.389 x 12.000</t>
  </si>
  <si>
    <t>3528</t>
  </si>
  <si>
    <t>3529</t>
  </si>
  <si>
    <t>B-BCB3-RL1-H3P-R2</t>
  </si>
  <si>
    <t>3847</t>
  </si>
  <si>
    <t>3531</t>
  </si>
  <si>
    <t>B-RL1-H29</t>
  </si>
  <si>
    <t>4374</t>
  </si>
  <si>
    <t>3896</t>
  </si>
  <si>
    <t>4227</t>
  </si>
  <si>
    <t>11.997 x 1.002</t>
  </si>
  <si>
    <t>4281</t>
  </si>
  <si>
    <t>3899</t>
  </si>
  <si>
    <t>3900</t>
  </si>
  <si>
    <t>B22</t>
  </si>
  <si>
    <t>71 x 35</t>
  </si>
  <si>
    <t>3903</t>
  </si>
  <si>
    <t>3904</t>
  </si>
  <si>
    <t>3905</t>
  </si>
  <si>
    <t>3850</t>
  </si>
  <si>
    <t>3906</t>
  </si>
  <si>
    <t>3852</t>
  </si>
  <si>
    <t>3853</t>
  </si>
  <si>
    <t>2.054 x 1.002</t>
  </si>
  <si>
    <t>3907</t>
  </si>
  <si>
    <t>3908</t>
  </si>
  <si>
    <t>3855</t>
  </si>
  <si>
    <t>3909</t>
  </si>
  <si>
    <t>3549</t>
  </si>
  <si>
    <t>3885</t>
  </si>
  <si>
    <t>3910</t>
  </si>
  <si>
    <t>3892</t>
  </si>
  <si>
    <t>3856</t>
  </si>
  <si>
    <t>3857</t>
  </si>
  <si>
    <t>3558</t>
  </si>
  <si>
    <t>3911</t>
  </si>
  <si>
    <t>3560</t>
  </si>
  <si>
    <t>3561</t>
  </si>
  <si>
    <t>3562</t>
  </si>
  <si>
    <t>3563</t>
  </si>
  <si>
    <t>3565</t>
  </si>
  <si>
    <t>3566</t>
  </si>
  <si>
    <t>3567</t>
  </si>
  <si>
    <t>3568</t>
  </si>
  <si>
    <t>3570</t>
  </si>
  <si>
    <t>3571</t>
  </si>
  <si>
    <t>3859</t>
  </si>
  <si>
    <t>3860</t>
  </si>
  <si>
    <t>3861</t>
  </si>
  <si>
    <t>3862</t>
  </si>
  <si>
    <t>3863</t>
  </si>
  <si>
    <t>3864</t>
  </si>
  <si>
    <t>3865</t>
  </si>
  <si>
    <t>3866</t>
  </si>
  <si>
    <t>4375</t>
  </si>
  <si>
    <t>3868</t>
  </si>
  <si>
    <t>3869</t>
  </si>
  <si>
    <t>3870</t>
  </si>
  <si>
    <t>3872</t>
  </si>
  <si>
    <t>3873</t>
  </si>
  <si>
    <t>3874</t>
  </si>
  <si>
    <t>3875</t>
  </si>
  <si>
    <t>3590</t>
  </si>
  <si>
    <t>3592</t>
  </si>
  <si>
    <t>3877</t>
  </si>
  <si>
    <t>3883</t>
  </si>
  <si>
    <t>3878</t>
  </si>
  <si>
    <t>3879</t>
  </si>
  <si>
    <t>3598</t>
  </si>
  <si>
    <t>4228</t>
  </si>
  <si>
    <t>RD-HB51-C</t>
  </si>
  <si>
    <t>3601</t>
  </si>
  <si>
    <t>BCE3-RL1-HB1AS~HB3AS-R1</t>
  </si>
  <si>
    <t>4244</t>
  </si>
  <si>
    <t>BDF1(5)</t>
  </si>
  <si>
    <t>3913</t>
  </si>
  <si>
    <t>3605</t>
  </si>
  <si>
    <t>3606</t>
  </si>
  <si>
    <t>4347</t>
  </si>
  <si>
    <t>3914</t>
  </si>
  <si>
    <t>4348</t>
  </si>
  <si>
    <t>3915</t>
  </si>
  <si>
    <t>3916</t>
  </si>
  <si>
    <t>4282</t>
  </si>
  <si>
    <t>RD-TZ8-BB</t>
  </si>
  <si>
    <t>422 x 2.367</t>
  </si>
  <si>
    <t>BCB5</t>
  </si>
  <si>
    <t>BDF1(7)</t>
  </si>
  <si>
    <t>3917</t>
  </si>
  <si>
    <t>BCB4-RL1-H35</t>
  </si>
  <si>
    <t>4349</t>
  </si>
  <si>
    <t>4229</t>
  </si>
  <si>
    <t>3920</t>
  </si>
  <si>
    <t>BCB3-RD-H2P-R1</t>
  </si>
  <si>
    <t>3921</t>
  </si>
  <si>
    <t>3924</t>
  </si>
  <si>
    <t>3925</t>
  </si>
  <si>
    <t>3926</t>
  </si>
  <si>
    <t>RD-TZ9-BE</t>
  </si>
  <si>
    <t>BCE5</t>
  </si>
  <si>
    <t>3928</t>
  </si>
  <si>
    <t>BCE3-RL1-HB1BS~HB3BS-R1</t>
  </si>
  <si>
    <t>4370</t>
  </si>
  <si>
    <t>BCE3-H1S-R1</t>
  </si>
  <si>
    <t>4354</t>
  </si>
  <si>
    <t>4355</t>
  </si>
  <si>
    <t>4353</t>
  </si>
  <si>
    <t>4352</t>
  </si>
  <si>
    <t>3934</t>
  </si>
  <si>
    <t>3632</t>
  </si>
  <si>
    <t>4356</t>
  </si>
  <si>
    <t>3634</t>
  </si>
  <si>
    <t>3635</t>
  </si>
  <si>
    <t>4357</t>
  </si>
  <si>
    <t>4358</t>
  </si>
  <si>
    <t>3938</t>
  </si>
  <si>
    <t>BCE3-RD-HB1S~HB5S-R1</t>
  </si>
  <si>
    <t>3641</t>
  </si>
  <si>
    <t>3939</t>
  </si>
  <si>
    <t>3940</t>
  </si>
  <si>
    <t>BDF5</t>
  </si>
  <si>
    <t>3941</t>
  </si>
  <si>
    <t>BDF5-RD-HT12E-R1</t>
  </si>
  <si>
    <t>2.100 x 508</t>
  </si>
  <si>
    <t>BDF5-RD-HT12C-R1</t>
  </si>
  <si>
    <t>BDF5-RD-HT12G-R1</t>
  </si>
  <si>
    <t>BDF5-RD-HT12A-R1</t>
  </si>
  <si>
    <t>BDF1(8)</t>
  </si>
  <si>
    <t>4184</t>
  </si>
  <si>
    <t>4.351 x 1.860</t>
  </si>
  <si>
    <t>4185</t>
  </si>
  <si>
    <t>BDF5-RD-H9B,_H9D</t>
  </si>
  <si>
    <t>4186</t>
  </si>
  <si>
    <t>3.554 x 945</t>
  </si>
  <si>
    <t>938 x 687</t>
  </si>
  <si>
    <t>BPP(1)BPP(2)</t>
  </si>
  <si>
    <t>527 x 1.587</t>
  </si>
  <si>
    <t>3131</t>
  </si>
  <si>
    <t>3132</t>
  </si>
  <si>
    <t>3845</t>
  </si>
  <si>
    <t>4456</t>
  </si>
  <si>
    <t>4458</t>
  </si>
  <si>
    <t>4402</t>
  </si>
  <si>
    <t>4403</t>
  </si>
  <si>
    <t>4405</t>
  </si>
  <si>
    <t>3317</t>
  </si>
  <si>
    <t>587 x 190</t>
  </si>
  <si>
    <t>4410</t>
  </si>
  <si>
    <t>4398</t>
  </si>
  <si>
    <t>595 x 190</t>
  </si>
  <si>
    <t>4399</t>
  </si>
  <si>
    <t>4444</t>
  </si>
  <si>
    <t>4662</t>
  </si>
  <si>
    <t>RD-H5-LADO-B</t>
  </si>
  <si>
    <t>2.890 x 590</t>
  </si>
  <si>
    <t>RD-H5-LADO-C</t>
  </si>
  <si>
    <t>4445</t>
  </si>
  <si>
    <t>4446</t>
  </si>
  <si>
    <t>4447</t>
  </si>
  <si>
    <t>4448</t>
  </si>
  <si>
    <t>4449</t>
  </si>
  <si>
    <t>4450</t>
  </si>
  <si>
    <t>4451</t>
  </si>
  <si>
    <t>4452</t>
  </si>
  <si>
    <t>4453</t>
  </si>
  <si>
    <t>3.238 x 895</t>
  </si>
  <si>
    <t>BDF5-RD-BJ3S</t>
  </si>
  <si>
    <t>2.350 x 894</t>
  </si>
  <si>
    <t>BDF5-RD-BJ2S</t>
  </si>
  <si>
    <t>RD-H20- LADO D</t>
  </si>
  <si>
    <t>383 x 590</t>
  </si>
  <si>
    <t>RD-H5-LADO D</t>
  </si>
  <si>
    <t>4663</t>
  </si>
  <si>
    <t>3970</t>
  </si>
  <si>
    <t>BOX-H2~H4- LADO B</t>
  </si>
  <si>
    <t>3971</t>
  </si>
  <si>
    <t>BDF5-RD-BJ1S</t>
  </si>
  <si>
    <t>2.392 x 894</t>
  </si>
  <si>
    <t>BDF5-RD-BJ2P</t>
  </si>
  <si>
    <t>RL1-HB4-B-Extra</t>
  </si>
  <si>
    <t>PCAS EXTRA</t>
  </si>
  <si>
    <t>3972</t>
  </si>
  <si>
    <t>BDF5-RD-BJ3P</t>
  </si>
  <si>
    <t>BDF5-RD-BJ1P</t>
  </si>
  <si>
    <t>BOX-H2~H4- LADO D</t>
  </si>
  <si>
    <t>RD-H5-LADO-A</t>
  </si>
  <si>
    <t>3973</t>
  </si>
  <si>
    <t>RL1-HB26</t>
  </si>
  <si>
    <t>1.267 x 393</t>
  </si>
  <si>
    <t>4243</t>
  </si>
  <si>
    <t>4242</t>
  </si>
  <si>
    <t>4241</t>
  </si>
  <si>
    <t>BDF1(15)</t>
  </si>
  <si>
    <t>3669</t>
  </si>
  <si>
    <t>BDF5(8)</t>
  </si>
  <si>
    <t>3670</t>
  </si>
  <si>
    <t>3671</t>
  </si>
  <si>
    <t>BDF4(13)/BDF5(9)</t>
  </si>
  <si>
    <t>4240</t>
  </si>
  <si>
    <t>3686</t>
  </si>
  <si>
    <t>3687</t>
  </si>
  <si>
    <t>3688</t>
  </si>
  <si>
    <t>4188</t>
  </si>
  <si>
    <t>4189</t>
  </si>
  <si>
    <t>BDF5-RD-HT12F-R1</t>
  </si>
  <si>
    <t>BDF5-RD-HT12B-R1</t>
  </si>
  <si>
    <t>BDF5-RD-H10B,_H10D~H11B,_H11D</t>
  </si>
  <si>
    <t>BDF5-RD-H11A,_H11E</t>
  </si>
  <si>
    <t>580 x 445</t>
  </si>
  <si>
    <t>BDF5-RD-H10A,_H10E</t>
  </si>
  <si>
    <t>590 x 445</t>
  </si>
  <si>
    <t>BDF5-RD-H9A,_H9C,_H9E-R2</t>
  </si>
  <si>
    <t>BDF5-QD-H2-R1</t>
  </si>
  <si>
    <t>BCB5-RL1-H48</t>
  </si>
  <si>
    <t>2.500 x 853</t>
  </si>
  <si>
    <t>BCE5-RL1-H54</t>
  </si>
  <si>
    <t>3761</t>
  </si>
  <si>
    <t>3762</t>
  </si>
  <si>
    <t>3754</t>
  </si>
  <si>
    <t>RL1-HB27</t>
  </si>
  <si>
    <t>BDF5-RD-H11~H12-R3</t>
  </si>
  <si>
    <t>3763</t>
  </si>
  <si>
    <t>BPP-RD2-15A~15F,_16A~16F) - Extra</t>
  </si>
  <si>
    <t>BPP-RD2-11A~11D,_14A~14D) - Extra</t>
  </si>
  <si>
    <t>3756</t>
  </si>
  <si>
    <t>BDF5-RD-H14</t>
  </si>
  <si>
    <t>9.066 x 1.188</t>
  </si>
  <si>
    <t>BOX-H2~H4- LADO A</t>
  </si>
  <si>
    <t>3755</t>
  </si>
  <si>
    <t>BDF5-RD-H13-R4</t>
  </si>
  <si>
    <t>9.066 x 1.797</t>
  </si>
  <si>
    <t>3757</t>
  </si>
  <si>
    <t>RD-H20-LADO A</t>
  </si>
  <si>
    <t>RD-H20-LADO B</t>
  </si>
  <si>
    <t>RD-H20-LADO C</t>
  </si>
  <si>
    <t>4283</t>
  </si>
  <si>
    <t>BCB5-RD-H2P-R1</t>
  </si>
  <si>
    <t>7.100 x 1.015</t>
  </si>
  <si>
    <t>3943</t>
  </si>
  <si>
    <t>BCB5-H1P-R1</t>
  </si>
  <si>
    <t>7.100 x 1.860</t>
  </si>
  <si>
    <t>3944</t>
  </si>
  <si>
    <t>4362</t>
  </si>
  <si>
    <t>BDF2(7)</t>
  </si>
  <si>
    <t>BCB5-RL1-H45</t>
  </si>
  <si>
    <t>1.767 x 7.593</t>
  </si>
  <si>
    <t>BCB5-RL2-H44</t>
  </si>
  <si>
    <t>7.100 x 1.760</t>
  </si>
  <si>
    <t>4238</t>
  </si>
  <si>
    <t>BDF2(9)</t>
  </si>
  <si>
    <t>4363</t>
  </si>
  <si>
    <t>BCB5-RL2-H43</t>
  </si>
  <si>
    <t>7.100 x 1.686</t>
  </si>
  <si>
    <t>BDF2(3)</t>
  </si>
  <si>
    <t>3947</t>
  </si>
  <si>
    <t>BCB5-RL1-H46</t>
  </si>
  <si>
    <t>7.600 x 1.860</t>
  </si>
  <si>
    <t>4359</t>
  </si>
  <si>
    <t>BCB5-RL1-H47</t>
  </si>
  <si>
    <t>7.600 x 1.389</t>
  </si>
  <si>
    <t>4360</t>
  </si>
  <si>
    <t>BCE5-H1S-R1</t>
  </si>
  <si>
    <t>4236</t>
  </si>
  <si>
    <t>BDF5-QD-H3</t>
  </si>
  <si>
    <t>BCE5-RL1-H53</t>
  </si>
  <si>
    <t>3950</t>
  </si>
  <si>
    <t>BCE5-RL2-49</t>
  </si>
  <si>
    <t>1.686 x 7.100</t>
  </si>
  <si>
    <t>BDF2(2)</t>
  </si>
  <si>
    <t>4235</t>
  </si>
  <si>
    <t>3.446 x 945</t>
  </si>
  <si>
    <t>BCE5-RL2-50</t>
  </si>
  <si>
    <t>BCE5-RL1-H52</t>
  </si>
  <si>
    <t>3952</t>
  </si>
  <si>
    <t>BDF2(8)</t>
  </si>
  <si>
    <t>4325</t>
  </si>
  <si>
    <t>BCE5-RL1-H51</t>
  </si>
  <si>
    <t>BDF5-RD-H18</t>
  </si>
  <si>
    <t>4365</t>
  </si>
  <si>
    <t>4324</t>
  </si>
  <si>
    <t>BDF5-RD-H19</t>
  </si>
  <si>
    <t>7.100 x 1.040</t>
  </si>
  <si>
    <t>BDF2(12)</t>
  </si>
  <si>
    <t>4366</t>
  </si>
  <si>
    <t>4367</t>
  </si>
  <si>
    <t>3960</t>
  </si>
  <si>
    <t>3961</t>
  </si>
  <si>
    <t>3962</t>
  </si>
  <si>
    <t>3963</t>
  </si>
  <si>
    <t>BDF2(3)/BDF3(6)</t>
  </si>
  <si>
    <t>3964</t>
  </si>
  <si>
    <t>3751</t>
  </si>
  <si>
    <t>4288</t>
  </si>
  <si>
    <t>BDF3(1)</t>
  </si>
  <si>
    <t>3825</t>
  </si>
  <si>
    <t>3826</t>
  </si>
  <si>
    <t>3827</t>
  </si>
  <si>
    <t>3828</t>
  </si>
  <si>
    <t>BDF3(21)/BDF4(2)</t>
  </si>
  <si>
    <t>3829</t>
  </si>
  <si>
    <t>3830</t>
  </si>
  <si>
    <t>3831</t>
  </si>
  <si>
    <t>3832</t>
  </si>
  <si>
    <t>3833</t>
  </si>
  <si>
    <t>BDF4(2)/BDF5(21)</t>
  </si>
  <si>
    <t>3834</t>
  </si>
  <si>
    <t>BDF5(23)</t>
  </si>
  <si>
    <t>3835</t>
  </si>
  <si>
    <t>4368</t>
  </si>
  <si>
    <t>3966</t>
  </si>
  <si>
    <t>BCE5-H2S-R1</t>
  </si>
  <si>
    <t>4754</t>
  </si>
  <si>
    <t>BDF5(9)</t>
  </si>
  <si>
    <t>4826</t>
  </si>
  <si>
    <t>BPP-RD2-BVS-R6- Extra</t>
  </si>
  <si>
    <t>BPP-RD2-BVP-R3-Extra</t>
  </si>
  <si>
    <t>BPP-RD1-H5~H6-R2-Extra</t>
  </si>
  <si>
    <t>RD-HB49A-B-Extra</t>
  </si>
  <si>
    <t>RD-HB48C-C-Extra</t>
  </si>
  <si>
    <t>BOX-H2~H4-600-LADO A</t>
  </si>
  <si>
    <t>2.890 x 600</t>
  </si>
  <si>
    <t>4830</t>
  </si>
  <si>
    <t>BOX-H2~H4-600-LADO B</t>
  </si>
  <si>
    <t>BOX-H2~H4-600-LADO C</t>
  </si>
  <si>
    <t>4831</t>
  </si>
  <si>
    <t>BOX-H2~H4-600-LADO D</t>
  </si>
  <si>
    <t>383 x 600</t>
  </si>
  <si>
    <t>BOX-H1~H6-LADO B</t>
  </si>
  <si>
    <t>2.890 x 625</t>
  </si>
  <si>
    <t>RL1-HB10-Extra</t>
  </si>
  <si>
    <t>4832</t>
  </si>
  <si>
    <t>BOX-H1~H6-LADO C</t>
  </si>
  <si>
    <t>1.392 x 625</t>
  </si>
  <si>
    <t>4833</t>
  </si>
  <si>
    <t>4842</t>
  </si>
  <si>
    <t>4844</t>
  </si>
  <si>
    <t>4843</t>
  </si>
  <si>
    <t>4845</t>
  </si>
  <si>
    <t>4846</t>
  </si>
  <si>
    <t>4847</t>
  </si>
  <si>
    <t>4848</t>
  </si>
  <si>
    <t>4849</t>
  </si>
  <si>
    <t>4850</t>
  </si>
  <si>
    <t>4851</t>
  </si>
  <si>
    <t>4852</t>
  </si>
  <si>
    <t>4854</t>
  </si>
  <si>
    <t>4855</t>
  </si>
  <si>
    <t>4856</t>
  </si>
  <si>
    <t>4857</t>
  </si>
  <si>
    <t>BOX-H1~H6-LADO A</t>
  </si>
  <si>
    <t>BOX-H2~H4- LADO C</t>
  </si>
  <si>
    <t>4858</t>
  </si>
  <si>
    <t>4859</t>
  </si>
  <si>
    <t>4860</t>
  </si>
  <si>
    <t>4861</t>
  </si>
  <si>
    <t>4862</t>
  </si>
  <si>
    <t>753 x 1.790</t>
  </si>
  <si>
    <t>4863</t>
  </si>
  <si>
    <t>RD-HB17-B-Extra</t>
  </si>
  <si>
    <t>4865</t>
  </si>
  <si>
    <t>BOX-BCE3-H2S-R1</t>
  </si>
  <si>
    <t>4929</t>
  </si>
  <si>
    <t>3122</t>
  </si>
  <si>
    <t>3123</t>
  </si>
  <si>
    <t>3.883 x 552</t>
  </si>
  <si>
    <t>3124</t>
  </si>
  <si>
    <t>ANTSP-RF17P,33P,61S,77S-H1P-LADO A</t>
  </si>
  <si>
    <t>3.883 x 587</t>
  </si>
  <si>
    <t>3125</t>
  </si>
  <si>
    <t>3126</t>
  </si>
  <si>
    <t>ANTSP-RF17P,33P,61S,77S-H1P-LADO_A-Extra</t>
  </si>
  <si>
    <t>ANTSP-RF17P,33P,61S,77S-H1P-LADO_B-Extra</t>
  </si>
  <si>
    <t>ANTSP-RF17P,33P,61S,77S-H1P-Extra</t>
  </si>
  <si>
    <t>CONTROLE DETALHADO DOS NESTINGS POR BALSA</t>
  </si>
  <si>
    <t>Esta aba é alimentada pelo macro de cadastro. Aqui ficam todas as peças vinculadas à balsa, inclusive quando vários itens compõem o mesmo nesting.</t>
  </si>
  <si>
    <t>ID_ITEMCTRL</t>
  </si>
  <si>
    <t>TEMPO_CORTE_TOTAL</t>
  </si>
  <si>
    <t>DATA_FINALIZACAO</t>
  </si>
  <si>
    <t>HORA_INICIO</t>
  </si>
  <si>
    <t>HORA_FIM</t>
  </si>
  <si>
    <t>HOUVE_PARADA</t>
  </si>
  <si>
    <t>MOTIVO_PARADA</t>
  </si>
  <si>
    <t>OBSERVACAO</t>
  </si>
  <si>
    <t>CARREIRA_CHAPA</t>
  </si>
  <si>
    <t>Coluna1</t>
  </si>
  <si>
    <t>RAKE-13|4465</t>
  </si>
  <si>
    <t>MARCOS</t>
  </si>
  <si>
    <t>RAKE-13|4057</t>
  </si>
  <si>
    <t>RAKE-13|4518</t>
  </si>
  <si>
    <t>ALBERT ASTEN</t>
  </si>
  <si>
    <t>RAKE-13|4255</t>
  </si>
  <si>
    <t>RAKE-13|4068</t>
  </si>
  <si>
    <t>JAILSON</t>
  </si>
  <si>
    <t>RAKE-13|3475</t>
  </si>
  <si>
    <t>RAKE-13|3350</t>
  </si>
  <si>
    <t>RAKE-13|3351</t>
  </si>
  <si>
    <t>RAKE-13|3352</t>
  </si>
  <si>
    <t>RAKE-13|3353</t>
  </si>
  <si>
    <t>RAKE-13|3355</t>
  </si>
  <si>
    <t>RAKE-13|3356</t>
  </si>
  <si>
    <t>RAKE-13|4520</t>
  </si>
  <si>
    <t>RAKE-13|4521</t>
  </si>
  <si>
    <t>RAKE-13|4523</t>
  </si>
  <si>
    <t>RAKE-13|4524</t>
  </si>
  <si>
    <t>RAKE-13|4656</t>
  </si>
  <si>
    <t>RAKE-13|4657</t>
  </si>
  <si>
    <t>RAKE-13|4658</t>
  </si>
  <si>
    <t>RAKE-13|3367</t>
  </si>
  <si>
    <t>RAKE-13|3368</t>
  </si>
  <si>
    <t>RAKE-13|3369</t>
  </si>
  <si>
    <t>RAKE-13|3370</t>
  </si>
  <si>
    <t>RAKE-13|3371</t>
  </si>
  <si>
    <t>RAKE-13|3372</t>
  </si>
  <si>
    <t>RAKE-13|3373</t>
  </si>
  <si>
    <t>RAKE-13|3374</t>
  </si>
  <si>
    <t>RAKE-13|3375</t>
  </si>
  <si>
    <t>RAKE-13|3376</t>
  </si>
  <si>
    <t>RAKE-13|3377</t>
  </si>
  <si>
    <t>RAKE-13|3381</t>
  </si>
  <si>
    <t>RAKE-13|3382</t>
  </si>
  <si>
    <t>RAKE-13|3383</t>
  </si>
  <si>
    <t>RAKE-13|3384</t>
  </si>
  <si>
    <t>RAKE-13|3385</t>
  </si>
  <si>
    <t>RAKE-13|3386</t>
  </si>
  <si>
    <t>RAKE-13|3378</t>
  </si>
  <si>
    <t>RAKE-13|3379</t>
  </si>
  <si>
    <t>RAKE-13|4467</t>
  </si>
  <si>
    <t>RAKE-13|3387</t>
  </si>
  <si>
    <t>RAKE-13|4482</t>
  </si>
  <si>
    <t>MÁRCIO REBOUÇAS</t>
  </si>
  <si>
    <t>RAKE-13|4483</t>
  </si>
  <si>
    <t>RAKE-13|4484</t>
  </si>
  <si>
    <t>RAKE-13|4485</t>
  </si>
  <si>
    <t>RAKE-13|4486</t>
  </si>
  <si>
    <t>RAKE-13|4487</t>
  </si>
  <si>
    <t>RAKE-13|4489</t>
  </si>
  <si>
    <t>Disponivel</t>
  </si>
  <si>
    <t>RAKE-13|4098</t>
  </si>
  <si>
    <t>RAKE-13|4099</t>
  </si>
  <si>
    <t>RAKE-13|4289</t>
  </si>
  <si>
    <t>RAKE-13|3523</t>
  </si>
  <si>
    <t>RAKE-13|3522</t>
  </si>
  <si>
    <t>RAKE-13|4079</t>
  </si>
  <si>
    <t>RAKE-13|4080</t>
  </si>
  <si>
    <t>RAKE-13|3816</t>
  </si>
  <si>
    <t>RAKE-13|4481</t>
  </si>
  <si>
    <t>RAKE-13|4084</t>
  </si>
  <si>
    <t>RAKE-13|3819</t>
  </si>
  <si>
    <t>RAKE-13|3425</t>
  </si>
  <si>
    <t>RAKE-13|4473</t>
  </si>
  <si>
    <t>RAKE-13|3986</t>
  </si>
  <si>
    <t>RAKE-13|4475</t>
  </si>
  <si>
    <t>RAKE-13|4478</t>
  </si>
  <si>
    <t>RAKE-13|4492</t>
  </si>
  <si>
    <t>RAKE-13|4493</t>
  </si>
  <si>
    <t>RAKE-13|4509</t>
  </si>
  <si>
    <t>RAKE-13|3431</t>
  </si>
  <si>
    <t>RAKE-13|3990</t>
  </si>
  <si>
    <t>RAKE-13|4494</t>
  </si>
  <si>
    <t>RAKE-13|4102</t>
  </si>
  <si>
    <t>RAKE-13|4118</t>
  </si>
  <si>
    <t>RAKE-13|3497</t>
  </si>
  <si>
    <t>RAKE-13|4510</t>
  </si>
  <si>
    <t>RAKE-13|3498</t>
  </si>
  <si>
    <t>RAKE-13|3499</t>
  </si>
  <si>
    <t>RAKE-13|3500</t>
  </si>
  <si>
    <t>RAKE-13|3501</t>
  </si>
  <si>
    <t>RAKE-13|3502</t>
  </si>
  <si>
    <t>RAKE-13|3503</t>
  </si>
  <si>
    <t>RAKE-13|3504</t>
  </si>
  <si>
    <t>RAKE-13|4495</t>
  </si>
  <si>
    <t>RAKE-13|4315</t>
  </si>
  <si>
    <t>RAKE-13|4101</t>
  </si>
  <si>
    <t>RAKE-13|4317</t>
  </si>
  <si>
    <t>RAKE-13|3993</t>
  </si>
  <si>
    <t>RAKE-13|3994</t>
  </si>
  <si>
    <t>RAKE-13|4515</t>
  </si>
  <si>
    <t>RAKE-13|4069</t>
  </si>
  <si>
    <t>RAKE-13|4256</t>
  </si>
  <si>
    <t>RAKE-13|4257</t>
  </si>
  <si>
    <t>RAKE-13|3995</t>
  </si>
  <si>
    <t>RAKE-13|4246</t>
  </si>
  <si>
    <t>RAKE-13|4063</t>
  </si>
  <si>
    <t>RAKE-13|4260</t>
  </si>
  <si>
    <t>RAKE-13|3802</t>
  </si>
  <si>
    <t>RAKE-13|4089</t>
  </si>
  <si>
    <t>RAKE-13|3453</t>
  </si>
  <si>
    <t>RAKE-13|4008</t>
  </si>
  <si>
    <t>RAKE-13|4316</t>
  </si>
  <si>
    <t>RAKE-13|4497</t>
  </si>
  <si>
    <t>RAKE-13|4498</t>
  </si>
  <si>
    <t>RAKE-13|4499</t>
  </si>
  <si>
    <t>RAKE-13|3996</t>
  </si>
  <si>
    <t>RAKE-13|3997</t>
  </si>
  <si>
    <t>RAKE-13|3998</t>
  </si>
  <si>
    <t>RAKE-13|3999</t>
  </si>
  <si>
    <t>RAKE-13|4000</t>
  </si>
  <si>
    <t>RAKE-13|4001</t>
  </si>
  <si>
    <t>RAKE-13|4249</t>
  </si>
  <si>
    <t>RAKE-13|4511</t>
  </si>
  <si>
    <t>RAKE-13|4054</t>
  </si>
  <si>
    <t>RAKE-13|3505</t>
  </si>
  <si>
    <t>RAKE-13|3506</t>
  </si>
  <si>
    <t>RAKE-13|3507</t>
  </si>
  <si>
    <t>RAKE-13|3508</t>
  </si>
  <si>
    <t>RAKE-13|3509</t>
  </si>
  <si>
    <t>RAKE-13|3510</t>
  </si>
  <si>
    <t>RAKE-13|3511</t>
  </si>
  <si>
    <t>RAKE-13|4006</t>
  </si>
  <si>
    <t>RAKE-13|4092</t>
  </si>
  <si>
    <t>RAKE-13|4501</t>
  </si>
  <si>
    <t>RAKE-13|4502</t>
  </si>
  <si>
    <t>RAKE-13|4009</t>
  </si>
  <si>
    <t>RAKE-13|4010</t>
  </si>
  <si>
    <t>RAKE-13|4011</t>
  </si>
  <si>
    <t>RAKE-13|4012</t>
  </si>
  <si>
    <t>RAKE-13|4013</t>
  </si>
  <si>
    <t>RAKE-13|4014</t>
  </si>
  <si>
    <t>RAKE-13|4505</t>
  </si>
  <si>
    <t>RAKE-13|4506</t>
  </si>
  <si>
    <t>RAKE-13|4508</t>
  </si>
  <si>
    <t>RAKE-13|4251</t>
  </si>
  <si>
    <t>RAKE-13|4017</t>
  </si>
  <si>
    <t>RAKE-13|4095</t>
  </si>
  <si>
    <t>RAKE-13|4513</t>
  </si>
  <si>
    <t>RAKE-13|4479</t>
  </si>
  <si>
    <t>RAKE-13|4253</t>
  </si>
  <si>
    <t>RAKE-13|4027</t>
  </si>
  <si>
    <t>RAKE-13|4269</t>
  </si>
  <si>
    <t>RAKE-13|4480</t>
  </si>
  <si>
    <t>RAKE-13|4021</t>
  </si>
  <si>
    <t>RAKE-13|4514</t>
  </si>
  <si>
    <t>RAKE-13|4026</t>
  </si>
  <si>
    <t>RAKE-13|4060</t>
  </si>
  <si>
    <t>RAKE-13|3982</t>
  </si>
  <si>
    <t>RAKE-13|3983</t>
  </si>
  <si>
    <t>RAKE-13|3696</t>
  </si>
  <si>
    <t>RAKE-13|3697</t>
  </si>
  <si>
    <t>RAKE-13|3692</t>
  </si>
  <si>
    <t>RAKE-13|3693</t>
  </si>
  <si>
    <t>RAKE-13|3690</t>
  </si>
  <si>
    <t>RAKE-13|3694</t>
  </si>
  <si>
    <t>RAKE-13|3695</t>
  </si>
  <si>
    <t>RAKE-13|3709</t>
  </si>
  <si>
    <t>RAKE-13|3710</t>
  </si>
  <si>
    <t>RAKE-13|3711</t>
  </si>
  <si>
    <t>RAKE-13|3714</t>
  </si>
  <si>
    <t>RAKE-13|3712</t>
  </si>
  <si>
    <t>RAKE-13|4334</t>
  </si>
  <si>
    <t>RAKE-13|3716</t>
  </si>
  <si>
    <t>RAKE-13|3718</t>
  </si>
  <si>
    <t>RAKE-13|3705</t>
  </si>
  <si>
    <t>RAKE-13|4073</t>
  </si>
  <si>
    <t>RAKE-13|4074</t>
  </si>
  <si>
    <t>RAKE-13|4075</t>
  </si>
  <si>
    <t>RAKE-13|4076</t>
  </si>
  <si>
    <t>RAKE-13|4077</t>
  </si>
  <si>
    <t>RAKE-13|4078</t>
  </si>
  <si>
    <t>RAKE-13|4056</t>
  </si>
  <si>
    <t>RAKE-13|3487</t>
  </si>
  <si>
    <t>RAKE-13|4058</t>
  </si>
  <si>
    <t>RAKE-13|3476</t>
  </si>
  <si>
    <t>RAKE-13|4335</t>
  </si>
  <si>
    <t>RAKE-13|4336</t>
  </si>
  <si>
    <t>RAKE-13|4339</t>
  </si>
  <si>
    <t>RAKE-13|4340</t>
  </si>
  <si>
    <t>RAKE-13|4337</t>
  </si>
  <si>
    <t>RAKE-13|4341</t>
  </si>
  <si>
    <t>RAKE-13|4338</t>
  </si>
  <si>
    <t>RAKE-13|4344</t>
  </si>
  <si>
    <t>RAKE-13|4342</t>
  </si>
  <si>
    <t>RAKE-13|4343</t>
  </si>
  <si>
    <t>RAKE-13|4519</t>
  </si>
  <si>
    <t>BOX-15|3527</t>
  </si>
  <si>
    <t>BOX-15|4226</t>
  </si>
  <si>
    <t>BOX-15|3528</t>
  </si>
  <si>
    <t>BOX-15|3529</t>
  </si>
  <si>
    <t>BOX-15|3847</t>
  </si>
  <si>
    <t>BOX-15|3531</t>
  </si>
  <si>
    <t>BOX-15|4374</t>
  </si>
  <si>
    <t>BOX-15|3896</t>
  </si>
  <si>
    <t>BOX-15|4227</t>
  </si>
  <si>
    <t>BOX-15|4281</t>
  </si>
  <si>
    <t>BOX-15|3899</t>
  </si>
  <si>
    <t>BOX-15|3900</t>
  </si>
  <si>
    <t>BOX-15|3903</t>
  </si>
  <si>
    <t>BOX-15|3904</t>
  </si>
  <si>
    <t>BOX-15|3905</t>
  </si>
  <si>
    <t>BOX-15|3850</t>
  </si>
  <si>
    <t>BOX-15|3906</t>
  </si>
  <si>
    <t>BOX-15|3852</t>
  </si>
  <si>
    <t>BOX-15|3853</t>
  </si>
  <si>
    <t>BOX-15|3907</t>
  </si>
  <si>
    <t>BOX-15|3908</t>
  </si>
  <si>
    <t>BOX-15|3855</t>
  </si>
  <si>
    <t>BOX-15|3909</t>
  </si>
  <si>
    <t>BOX-15|3549</t>
  </si>
  <si>
    <t>BOX-15|3885</t>
  </si>
  <si>
    <t>BOX-15|3910</t>
  </si>
  <si>
    <t>BOX-15|3892</t>
  </si>
  <si>
    <t>BOX-15|3856</t>
  </si>
  <si>
    <t>BOX-15|3857</t>
  </si>
  <si>
    <t>BOX-15|3558</t>
  </si>
  <si>
    <t>BOX-15|3911</t>
  </si>
  <si>
    <t>BOX-15|3560</t>
  </si>
  <si>
    <t>BOX-15|3561</t>
  </si>
  <si>
    <t>BOX-15|3562</t>
  </si>
  <si>
    <t>BOX-15|3563</t>
  </si>
  <si>
    <t>BOX-15|3565</t>
  </si>
  <si>
    <t>BOX-15|3566</t>
  </si>
  <si>
    <t>BOX-15|3567</t>
  </si>
  <si>
    <t>BOX-15|3568</t>
  </si>
  <si>
    <t>BOX-15|3570</t>
  </si>
  <si>
    <t>BOX-15|3571</t>
  </si>
  <si>
    <t>BOX-15|3859</t>
  </si>
  <si>
    <t>BOX-15|3860</t>
  </si>
  <si>
    <t>BOX-15|3861</t>
  </si>
  <si>
    <t>BOX-15|3862</t>
  </si>
  <si>
    <t>BOX-15|3863</t>
  </si>
  <si>
    <t>BOX-15|3864</t>
  </si>
  <si>
    <t>BOX-15|3865</t>
  </si>
  <si>
    <t>BOX-15|3866</t>
  </si>
  <si>
    <t>BOX-15|4375</t>
  </si>
  <si>
    <t>BOX-15|3868</t>
  </si>
  <si>
    <t>BOX-15|3869</t>
  </si>
  <si>
    <t>BOX-15|3870</t>
  </si>
  <si>
    <t>BOX-15|3872</t>
  </si>
  <si>
    <t>BOX-15|3873</t>
  </si>
  <si>
    <t>BOX-15|3874</t>
  </si>
  <si>
    <t>BOX-15|3875</t>
  </si>
  <si>
    <t>BOX-15|3590</t>
  </si>
  <si>
    <t>BOX-15|3592</t>
  </si>
  <si>
    <t>BOX-15|3877</t>
  </si>
  <si>
    <t>BOX-15|3883</t>
  </si>
  <si>
    <t>BOX-15|3878</t>
  </si>
  <si>
    <t>BOX-15|3879</t>
  </si>
  <si>
    <t>BOX-15|3598</t>
  </si>
  <si>
    <t>BOX-15|4228</t>
  </si>
  <si>
    <t>BOX-15|3601</t>
  </si>
  <si>
    <t>BOX-15|4244</t>
  </si>
  <si>
    <t>BOX-15|3913</t>
  </si>
  <si>
    <t>BOX-15|3605</t>
  </si>
  <si>
    <t>BOX-15|3606</t>
  </si>
  <si>
    <t>BOX-15|4347</t>
  </si>
  <si>
    <t>BOX-15|3914</t>
  </si>
  <si>
    <t>BOX-15|4348</t>
  </si>
  <si>
    <t>BOX-15|3915</t>
  </si>
  <si>
    <t>BOX-15|3916</t>
  </si>
  <si>
    <t>BOX-15|4282</t>
  </si>
  <si>
    <t>BOX-15|3917</t>
  </si>
  <si>
    <t>BOX-15|4349</t>
  </si>
  <si>
    <t>BOX-15|4229</t>
  </si>
  <si>
    <t>BOX-15|3920</t>
  </si>
  <si>
    <t>BOX-15|3921</t>
  </si>
  <si>
    <t>BOX-15|3924</t>
  </si>
  <si>
    <t>BOX-15|3925</t>
  </si>
  <si>
    <t>BOX-15|3926</t>
  </si>
  <si>
    <t>BOX-15|3928</t>
  </si>
  <si>
    <t>BOX-15|4370</t>
  </si>
  <si>
    <t>BOX-15|4354</t>
  </si>
  <si>
    <t>BOX-15|4355</t>
  </si>
  <si>
    <t>BOX-15|4353</t>
  </si>
  <si>
    <t>BOX-15|4352</t>
  </si>
  <si>
    <t>BOX-15|3934</t>
  </si>
  <si>
    <t>BOX-15|3632</t>
  </si>
  <si>
    <t>BOX-15|4356</t>
  </si>
  <si>
    <t>BOX-15|3634</t>
  </si>
  <si>
    <t>BOX-15|3635</t>
  </si>
  <si>
    <t>BOX-15|4357</t>
  </si>
  <si>
    <t>BOX-15|4358</t>
  </si>
  <si>
    <t>BOX-15|3938</t>
  </si>
  <si>
    <t>BOX-15|3641</t>
  </si>
  <si>
    <t>BOX-15|3939</t>
  </si>
  <si>
    <t>BOX-15|3940</t>
  </si>
  <si>
    <t>BOX-15|3941</t>
  </si>
  <si>
    <t>BOX-15|4184</t>
  </si>
  <si>
    <t>BOX-15|4185</t>
  </si>
  <si>
    <t>BOX-15|4186</t>
  </si>
  <si>
    <t>BOX-15|3131</t>
  </si>
  <si>
    <t>BOX-15|3132</t>
  </si>
  <si>
    <t>BOX-15|3845</t>
  </si>
  <si>
    <t>BOX-15|4456</t>
  </si>
  <si>
    <t>BOX-15|4458</t>
  </si>
  <si>
    <t>BOX-15|4402</t>
  </si>
  <si>
    <t>BOX-15|4403</t>
  </si>
  <si>
    <t>BOX-15|4405</t>
  </si>
  <si>
    <t>BOX-15|3317</t>
  </si>
  <si>
    <t>BOX-15|4410</t>
  </si>
  <si>
    <t>BOX-15|4398</t>
  </si>
  <si>
    <t>BOX-15|4399</t>
  </si>
  <si>
    <t>BOX-15|4444</t>
  </si>
  <si>
    <t>BOX-15|4662</t>
  </si>
  <si>
    <t>BOX-15|4445</t>
  </si>
  <si>
    <t>BOX-15|4446</t>
  </si>
  <si>
    <t>BOX-15|4447</t>
  </si>
  <si>
    <t>BOX-15|4448</t>
  </si>
  <si>
    <t>BOX-15|4449</t>
  </si>
  <si>
    <t>BOX-15|4450</t>
  </si>
  <si>
    <t>BOX-15|4451</t>
  </si>
  <si>
    <t>BOX-15|4452</t>
  </si>
  <si>
    <t>BOX-15|4453</t>
  </si>
  <si>
    <t>BOX-15|4663</t>
  </si>
  <si>
    <t>BOX-15|3970</t>
  </si>
  <si>
    <t>BOX-15|3971</t>
  </si>
  <si>
    <t>BOX-15|3972</t>
  </si>
  <si>
    <t>BOX-15|3973</t>
  </si>
  <si>
    <t>BOX-15|4243</t>
  </si>
  <si>
    <t>BOX-15|4242</t>
  </si>
  <si>
    <t>BOX-15|4241</t>
  </si>
  <si>
    <t>BOX-15|3669</t>
  </si>
  <si>
    <t>BOX-15|3670</t>
  </si>
  <si>
    <t>BOX-15|3671</t>
  </si>
  <si>
    <t>BOX-15|4240</t>
  </si>
  <si>
    <t>BOX-15|3686</t>
  </si>
  <si>
    <t>BOX-15|3687</t>
  </si>
  <si>
    <t>BOX-15|3688</t>
  </si>
  <si>
    <t>BOX-15|4188</t>
  </si>
  <si>
    <t>BOX-15|4189</t>
  </si>
  <si>
    <t>BOX-15|3761</t>
  </si>
  <si>
    <t>BOX-15|3762</t>
  </si>
  <si>
    <t>BOX-15|3754</t>
  </si>
  <si>
    <t>BOX-15|3763</t>
  </si>
  <si>
    <t>BOX-15|3756</t>
  </si>
  <si>
    <t>BOX-15|3755</t>
  </si>
  <si>
    <t>BOX-15|3757</t>
  </si>
  <si>
    <t>BOX-15|4283</t>
  </si>
  <si>
    <t>BOX-15|3943</t>
  </si>
  <si>
    <t>BOX-15|3944</t>
  </si>
  <si>
    <t>BOX-15|4362</t>
  </si>
  <si>
    <t>BOX-15|4238</t>
  </si>
  <si>
    <t>BOX-15|4363</t>
  </si>
  <si>
    <t>BOX-15|3947</t>
  </si>
  <si>
    <t>BOX-15|4359</t>
  </si>
  <si>
    <t>BOX-15|4360</t>
  </si>
  <si>
    <t>BOX-15|4236</t>
  </si>
  <si>
    <t>BOX-15|3950</t>
  </si>
  <si>
    <t>BOX-15|4235</t>
  </si>
  <si>
    <t>BOX-15|3952</t>
  </si>
  <si>
    <t>BOX-15|4325</t>
  </si>
  <si>
    <t>BOX-15|4365</t>
  </si>
  <si>
    <t>BOX-15|4324</t>
  </si>
  <si>
    <t>BOX-15|4366</t>
  </si>
  <si>
    <t>BOX-15|4367</t>
  </si>
  <si>
    <t>BOX-15|3960</t>
  </si>
  <si>
    <t>BOX-15|3961</t>
  </si>
  <si>
    <t>BOX-15|3962</t>
  </si>
  <si>
    <t>BOX-15|3963</t>
  </si>
  <si>
    <t>BOX-15|3964</t>
  </si>
  <si>
    <t>BOX-15|3751</t>
  </si>
  <si>
    <t>BOX-15|4288</t>
  </si>
  <si>
    <t>BOX-15|3825</t>
  </si>
  <si>
    <t>BOX-15|3826</t>
  </si>
  <si>
    <t>BOX-15|3827</t>
  </si>
  <si>
    <t>BOX-15|3828</t>
  </si>
  <si>
    <t>BOX-15|3829</t>
  </si>
  <si>
    <t>BOX-15|3830</t>
  </si>
  <si>
    <t>BOX-15|3831</t>
  </si>
  <si>
    <t>BOX-15|3832</t>
  </si>
  <si>
    <t>BOX-15|3833</t>
  </si>
  <si>
    <t>BOX-15|3834</t>
  </si>
  <si>
    <t>BOX-15|3835</t>
  </si>
  <si>
    <t>BOX-15|4368</t>
  </si>
  <si>
    <t>BOX-15|3966</t>
  </si>
  <si>
    <t>BOX-15|4754</t>
  </si>
  <si>
    <t>BOX-15|4826</t>
  </si>
  <si>
    <t>BOX-15|4830</t>
  </si>
  <si>
    <t>BOX-15|4831</t>
  </si>
  <si>
    <t>BOX-15|4832</t>
  </si>
  <si>
    <t>BOX-15|4833</t>
  </si>
  <si>
    <t>BOX-15|4842</t>
  </si>
  <si>
    <t>BOX-15|4844</t>
  </si>
  <si>
    <t>BOX-15|4843</t>
  </si>
  <si>
    <t>BOX-15|4845</t>
  </si>
  <si>
    <t>BOX-15|4846</t>
  </si>
  <si>
    <t>BOX-15|4847</t>
  </si>
  <si>
    <t>BOX-15|4848</t>
  </si>
  <si>
    <t>BOX-15|4849</t>
  </si>
  <si>
    <t>BOX-15|4850</t>
  </si>
  <si>
    <t>BOX-15|4851</t>
  </si>
  <si>
    <t>BOX-15|4852</t>
  </si>
  <si>
    <t>BOX-15|4854</t>
  </si>
  <si>
    <t>BOX-15|4855</t>
  </si>
  <si>
    <t>BOX-15|4856</t>
  </si>
  <si>
    <t>BOX-15|4857</t>
  </si>
  <si>
    <t>BOX-15|4858</t>
  </si>
  <si>
    <t>BOX-15|4859</t>
  </si>
  <si>
    <t>BOX-15|4860</t>
  </si>
  <si>
    <t>BOX-15|4861</t>
  </si>
  <si>
    <t>BOX-15|4862</t>
  </si>
  <si>
    <t>BOX-15|4863</t>
  </si>
  <si>
    <t>BOX-15|4865</t>
  </si>
  <si>
    <t>BOX-15|4929</t>
  </si>
  <si>
    <t>BOX-15|3122</t>
  </si>
  <si>
    <t>BOX-15|3123</t>
  </si>
  <si>
    <t>BOX-15|3124</t>
  </si>
  <si>
    <t>BOX-15|3125</t>
  </si>
  <si>
    <t>BOX-15|3126</t>
  </si>
  <si>
    <t>RAKE-14|4465</t>
  </si>
  <si>
    <t>RAKE-14|3423</t>
  </si>
  <si>
    <t>RAKE-14|3350</t>
  </si>
  <si>
    <t>RAKE-14|3351</t>
  </si>
  <si>
    <t>RAKE-14|3352</t>
  </si>
  <si>
    <t>RAKE-14|3353</t>
  </si>
  <si>
    <t>RAKE-14|3355</t>
  </si>
  <si>
    <t>RAKE-14|3356</t>
  </si>
  <si>
    <t>RAKE-14|4520</t>
  </si>
  <si>
    <t>RAKE-14|4521</t>
  </si>
  <si>
    <t>RAKE-14|4523</t>
  </si>
  <si>
    <t>RAKE-14|4524</t>
  </si>
  <si>
    <t>RAKE-14|4656</t>
  </si>
  <si>
    <t>RAKE-14|4657</t>
  </si>
  <si>
    <t>RAKE-14|4658</t>
  </si>
  <si>
    <t>RAKE-14|3367</t>
  </si>
  <si>
    <t>RAKE-14|3368</t>
  </si>
  <si>
    <t>RAKE-14|3369</t>
  </si>
  <si>
    <t>RAKE-14|3370</t>
  </si>
  <si>
    <t>RAKE-14|3371</t>
  </si>
  <si>
    <t>RAKE-14|3372</t>
  </si>
  <si>
    <t>RAKE-14|3373</t>
  </si>
  <si>
    <t>RAKE-14|3374</t>
  </si>
  <si>
    <t>RAKE-14|3375</t>
  </si>
  <si>
    <t>RAKE-14|3376</t>
  </si>
  <si>
    <t>RAKE-14|3377</t>
  </si>
  <si>
    <t>RAKE-14|3381</t>
  </si>
  <si>
    <t>RAKE-14|3382</t>
  </si>
  <si>
    <t>RAKE-14|3383</t>
  </si>
  <si>
    <t>RAKE-14|3384</t>
  </si>
  <si>
    <t>RAKE-14|3385</t>
  </si>
  <si>
    <t>RAKE-14|3386</t>
  </si>
  <si>
    <t>RAKE-14|3378</t>
  </si>
  <si>
    <t>RAKE-14|3379</t>
  </si>
  <si>
    <t>RAKE-14|4467</t>
  </si>
  <si>
    <t>RAKE-14|3387</t>
  </si>
  <si>
    <t>RAKE-14|3425</t>
  </si>
  <si>
    <t>RAKE-14|3431</t>
  </si>
  <si>
    <t>RAKE-14|3453</t>
  </si>
  <si>
    <t>RAKE-14|3523</t>
  </si>
  <si>
    <t>RAKE-14|3522</t>
  </si>
  <si>
    <t>RAKE-14|3472</t>
  </si>
  <si>
    <t>RAKE-14|3475</t>
  </si>
  <si>
    <t>RAKE-14|3476</t>
  </si>
  <si>
    <t>RAKE-14|3487</t>
  </si>
  <si>
    <t>RAKE-14|3497</t>
  </si>
  <si>
    <t>RAKE-14|3498</t>
  </si>
  <si>
    <t>RAKE-14|3499</t>
  </si>
  <si>
    <t>RAKE-14|3500</t>
  </si>
  <si>
    <t>RAKE-14|3501</t>
  </si>
  <si>
    <t>RAKE-14|3502</t>
  </si>
  <si>
    <t>RAKE-14|3503</t>
  </si>
  <si>
    <t>RAKE-14|3504</t>
  </si>
  <si>
    <t>RAKE-14|3505</t>
  </si>
  <si>
    <t>RAKE-14|3506</t>
  </si>
  <si>
    <t>RAKE-14|3507</t>
  </si>
  <si>
    <t>RAKE-14|3508</t>
  </si>
  <si>
    <t>RAKE-14|3509</t>
  </si>
  <si>
    <t>RAKE-14|3510</t>
  </si>
  <si>
    <t>RAKE-14|3511</t>
  </si>
  <si>
    <t>RAKE-14|3798</t>
  </si>
  <si>
    <t>RAKE-14|3800</t>
  </si>
  <si>
    <t>RAKE-14|3802</t>
  </si>
  <si>
    <t>RAKE-14|3816</t>
  </si>
  <si>
    <t>RAKE-14|3819</t>
  </si>
  <si>
    <t>RAKE-14|3980</t>
  </si>
  <si>
    <t>RAKE-14|3981</t>
  </si>
  <si>
    <t>RAKE-14|3982</t>
  </si>
  <si>
    <t>RAKE-14|3983</t>
  </si>
  <si>
    <t>RAKE-14|3984</t>
  </si>
  <si>
    <t>RAKE-14|3986</t>
  </si>
  <si>
    <t>RAKE-14|3990</t>
  </si>
  <si>
    <t>RAKE-14|3993</t>
  </si>
  <si>
    <t>RAKE-14|3994</t>
  </si>
  <si>
    <t>RAKE-14|3995</t>
  </si>
  <si>
    <t>RAKE-14|3996</t>
  </si>
  <si>
    <t>RAKE-14|3997</t>
  </si>
  <si>
    <t>RAKE-14|3998</t>
  </si>
  <si>
    <t>RAKE-14|3999</t>
  </si>
  <si>
    <t>RAKE-14|4000</t>
  </si>
  <si>
    <t>RAKE-14|4001</t>
  </si>
  <si>
    <t>RAKE-14|4006</t>
  </si>
  <si>
    <t>RAKE-14|4007</t>
  </si>
  <si>
    <t>RAKE-14|4008</t>
  </si>
  <si>
    <t>RAKE-14|4009</t>
  </si>
  <si>
    <t>RAKE-14|4010</t>
  </si>
  <si>
    <t>RAKE-14|4011</t>
  </si>
  <si>
    <t>RAKE-14|4012</t>
  </si>
  <si>
    <t>RAKE-14|4013</t>
  </si>
  <si>
    <t>RAKE-14|4014</t>
  </si>
  <si>
    <t>RAKE-14|4017</t>
  </si>
  <si>
    <t>RAKE-14|4021</t>
  </si>
  <si>
    <t>RAKE-14|4026</t>
  </si>
  <si>
    <t>RAKE-14|4027</t>
  </si>
  <si>
    <t>RAKE-14|4052</t>
  </si>
  <si>
    <t>RAKE-14|4053</t>
  </si>
  <si>
    <t>RAKE-14|4054</t>
  </si>
  <si>
    <t>RAKE-14|4056</t>
  </si>
  <si>
    <t>RAKE-14|4057</t>
  </si>
  <si>
    <t>RAKE-14|4058</t>
  </si>
  <si>
    <t>RAKE-14|4059</t>
  </si>
  <si>
    <t>RAKE-14|4060</t>
  </si>
  <si>
    <t>RAKE-14|4063</t>
  </si>
  <si>
    <t>RAKE-14|4068</t>
  </si>
  <si>
    <t>RAKE-14|4069</t>
  </si>
  <si>
    <t>RAKE-14|4071</t>
  </si>
  <si>
    <t>RAKE-14|4073</t>
  </si>
  <si>
    <t>RAKE-14|4074</t>
  </si>
  <si>
    <t>RAKE-14|4075</t>
  </si>
  <si>
    <t>RAKE-14|4076</t>
  </si>
  <si>
    <t>RAKE-14|4077</t>
  </si>
  <si>
    <t>RAKE-14|4078</t>
  </si>
  <si>
    <t>RAKE-14|4079</t>
  </si>
  <si>
    <t>RAKE-14|4080</t>
  </si>
  <si>
    <t>RAKE-14|4081</t>
  </si>
  <si>
    <t>RAKE-14|4084</t>
  </si>
  <si>
    <t>RAKE-14|4085</t>
  </si>
  <si>
    <t>RAKE-14|4087</t>
  </si>
  <si>
    <t>RAKE-14|4089</t>
  </si>
  <si>
    <t>RAKE-14|4090</t>
  </si>
  <si>
    <t>RAKE-14|4092</t>
  </si>
  <si>
    <t>RAKE-14|4094</t>
  </si>
  <si>
    <t>RAKE-14|4095</t>
  </si>
  <si>
    <t>RAKE-14|4096</t>
  </si>
  <si>
    <t>RAKE-14|4098</t>
  </si>
  <si>
    <t>RAKE-14|4099</t>
  </si>
  <si>
    <t>RAKE-14|4101</t>
  </si>
  <si>
    <t>RAKE-14|4102</t>
  </si>
  <si>
    <t>RAKE-14|4118</t>
  </si>
  <si>
    <t>RAKE-14|4246</t>
  </si>
  <si>
    <t>RAKE-14|4249</t>
  </si>
  <si>
    <t>RAKE-14|4251</t>
  </si>
  <si>
    <t>RAKE-14|4252</t>
  </si>
  <si>
    <t>RAKE-14|4253</t>
  </si>
  <si>
    <t>RAKE-14|4255</t>
  </si>
  <si>
    <t>RAKE-14|4256</t>
  </si>
  <si>
    <t>RAKE-14|4257</t>
  </si>
  <si>
    <t>RAKE-14|4258</t>
  </si>
  <si>
    <t>RAKE-14|4269</t>
  </si>
  <si>
    <t>RAKE-14|4259</t>
  </si>
  <si>
    <t>RAKE-14|4260</t>
  </si>
  <si>
    <t>RAKE-14|4262</t>
  </si>
  <si>
    <t>RAKE-14|4289</t>
  </si>
  <si>
    <t>RAKE-14|4314</t>
  </si>
  <si>
    <t>RAKE-14|4315</t>
  </si>
  <si>
    <t>RAKE-14|4316</t>
  </si>
  <si>
    <t>RAKE-14|4317</t>
  </si>
  <si>
    <t>RAKE-14|4473</t>
  </si>
  <si>
    <t>RAKE-14|4475</t>
  </si>
  <si>
    <t>RAKE-14|4478</t>
  </si>
  <si>
    <t>RAKE-14|4479</t>
  </si>
  <si>
    <t>RAKE-14|4480</t>
  </si>
  <si>
    <t>RAKE-14|4481</t>
  </si>
  <si>
    <t>RAKE-14|4482</t>
  </si>
  <si>
    <t>RAKE-14|4483</t>
  </si>
  <si>
    <t>RAKE-14|4484</t>
  </si>
  <si>
    <t>RAKE-14|4485</t>
  </si>
  <si>
    <t>RAKE-14|4486</t>
  </si>
  <si>
    <t>RAKE-14|3696</t>
  </si>
  <si>
    <t>RAKE-14|3697</t>
  </si>
  <si>
    <t>RAKE-14|3692</t>
  </si>
  <si>
    <t>RAKE-14|3693</t>
  </si>
  <si>
    <t>RAKE-14|3690</t>
  </si>
  <si>
    <t>RAKE-14|3694</t>
  </si>
  <si>
    <t>RAKE-14|3695</t>
  </si>
  <si>
    <t>RAKE-14|3709</t>
  </si>
  <si>
    <t>RAKE-14|3710</t>
  </si>
  <si>
    <t>RAKE-14|3711</t>
  </si>
  <si>
    <t>RAKE-14|3714</t>
  </si>
  <si>
    <t>RAKE-14|3712</t>
  </si>
  <si>
    <t>RAKE-14|4334</t>
  </si>
  <si>
    <t>RAKE-14|3716</t>
  </si>
  <si>
    <t>RAKE-14|3718</t>
  </si>
  <si>
    <t>RAKE-14|3705</t>
  </si>
  <si>
    <t>RAKE-14|4487</t>
  </si>
  <si>
    <t>RAKE-14|4489</t>
  </si>
  <si>
    <t>RAKE-14|4490</t>
  </si>
  <si>
    <t>RAKE-14|4491</t>
  </si>
  <si>
    <t>RAKE-14|4492</t>
  </si>
  <si>
    <t>RAKE-14|4493</t>
  </si>
  <si>
    <t>RAKE-14|4494</t>
  </si>
  <si>
    <t>RAKE-14|4495</t>
  </si>
  <si>
    <t>RAKE-14|4496</t>
  </si>
  <si>
    <t>RAKE-14|4497</t>
  </si>
  <si>
    <t>RAKE-14|4498</t>
  </si>
  <si>
    <t>RAKE-14|4499</t>
  </si>
  <si>
    <t>RAKE-14|4500</t>
  </si>
  <si>
    <t>RAKE-14|4501</t>
  </si>
  <si>
    <t>RAKE-14|4502</t>
  </si>
  <si>
    <t>RAKE-14|4503</t>
  </si>
  <si>
    <t>RAKE-14|4504</t>
  </si>
  <si>
    <t>RAKE-14|4505</t>
  </si>
  <si>
    <t>RAKE-14|4506</t>
  </si>
  <si>
    <t>RAKE-14|4508</t>
  </si>
  <si>
    <t>RAKE-14|4509</t>
  </si>
  <si>
    <t>RAKE-14|4510</t>
  </si>
  <si>
    <t>RAKE-14|4511</t>
  </si>
  <si>
    <t>RAKE-14|4512</t>
  </si>
  <si>
    <t>RAKE-14|4513</t>
  </si>
  <si>
    <t>RAKE-14|4514</t>
  </si>
  <si>
    <t>RAKE-14|4515</t>
  </si>
  <si>
    <t>RAKE-14|4516</t>
  </si>
  <si>
    <t>RAKE-14|4518</t>
  </si>
  <si>
    <t>RAKE-14|4335</t>
  </si>
  <si>
    <t>RAKE-14|4336</t>
  </si>
  <si>
    <t>RAKE-14|4339</t>
  </si>
  <si>
    <t>RAKE-14|4340</t>
  </si>
  <si>
    <t>RAKE-14|4337</t>
  </si>
  <si>
    <t>RAKE-14|4341</t>
  </si>
  <si>
    <t>RAKE-14|4338</t>
  </si>
  <si>
    <t>RAKE-14|4344</t>
  </si>
  <si>
    <t>RAKE-14|4342</t>
  </si>
  <si>
    <t>RAKE-14|4343</t>
  </si>
  <si>
    <t>RAKE-14|4519</t>
  </si>
  <si>
    <t>BOX-16|3527</t>
  </si>
  <si>
    <t>BOX-16|4226</t>
  </si>
  <si>
    <t>BOX-16|3528</t>
  </si>
  <si>
    <t>BOX-16|3529</t>
  </si>
  <si>
    <t>BOX-16|3847</t>
  </si>
  <si>
    <t>BOX-16|3531</t>
  </si>
  <si>
    <t>BOX-16|4374</t>
  </si>
  <si>
    <t>BOX-16|3896</t>
  </si>
  <si>
    <t>BOX-16|4227</t>
  </si>
  <si>
    <t>BOX-16|4281</t>
  </si>
  <si>
    <t>BOX-16|3899</t>
  </si>
  <si>
    <t>BOX-16|3900</t>
  </si>
  <si>
    <t>BOX-16|3903</t>
  </si>
  <si>
    <t>BOX-16|3904</t>
  </si>
  <si>
    <t>BOX-16|3905</t>
  </si>
  <si>
    <t>BOX-16|3850</t>
  </si>
  <si>
    <t>BOX-16|3906</t>
  </si>
  <si>
    <t>BOX-16|3852</t>
  </si>
  <si>
    <t>BOX-16|3853</t>
  </si>
  <si>
    <t>BOX-16|3907</t>
  </si>
  <si>
    <t>BOX-16|3908</t>
  </si>
  <si>
    <t>BOX-16|3855</t>
  </si>
  <si>
    <t>BOX-16|3909</t>
  </si>
  <si>
    <t>BOX-16|3549</t>
  </si>
  <si>
    <t>BOX-16|3885</t>
  </si>
  <si>
    <t>BOX-16|3910</t>
  </si>
  <si>
    <t>BOX-16|3892</t>
  </si>
  <si>
    <t>BOX-16|3856</t>
  </si>
  <si>
    <t>BOX-16|3857</t>
  </si>
  <si>
    <t>BOX-16|3558</t>
  </si>
  <si>
    <t>BOX-16|3911</t>
  </si>
  <si>
    <t>BOX-16|3560</t>
  </si>
  <si>
    <t>BOX-16|3561</t>
  </si>
  <si>
    <t>BOX-16|3562</t>
  </si>
  <si>
    <t>BOX-16|3563</t>
  </si>
  <si>
    <t>BOX-16|3565</t>
  </si>
  <si>
    <t>BOX-16|3566</t>
  </si>
  <si>
    <t>BOX-16|3567</t>
  </si>
  <si>
    <t>BOX-16|3568</t>
  </si>
  <si>
    <t>BOX-16|3570</t>
  </si>
  <si>
    <t>BOX-16|3571</t>
  </si>
  <si>
    <t>BOX-16|3859</t>
  </si>
  <si>
    <t>BOX-16|3860</t>
  </si>
  <si>
    <t>BOX-16|3861</t>
  </si>
  <si>
    <t>BOX-16|3862</t>
  </si>
  <si>
    <t>BOX-16|3863</t>
  </si>
  <si>
    <t>BOX-16|3864</t>
  </si>
  <si>
    <t>BOX-16|3865</t>
  </si>
  <si>
    <t>BOX-16|3866</t>
  </si>
  <si>
    <t>BOX-16|4375</t>
  </si>
  <si>
    <t>BOX-16|3868</t>
  </si>
  <si>
    <t>BOX-16|3869</t>
  </si>
  <si>
    <t>BOX-16|3870</t>
  </si>
  <si>
    <t>BOX-16|3872</t>
  </si>
  <si>
    <t>BOX-16|3873</t>
  </si>
  <si>
    <t>BOX-16|3874</t>
  </si>
  <si>
    <t>BOX-16|3875</t>
  </si>
  <si>
    <t>BOX-16|3590</t>
  </si>
  <si>
    <t>BOX-16|3592</t>
  </si>
  <si>
    <t>BOX-16|3877</t>
  </si>
  <si>
    <t>BOX-16|3883</t>
  </si>
  <si>
    <t>BOX-16|3878</t>
  </si>
  <si>
    <t>BOX-16|3879</t>
  </si>
  <si>
    <t>BOX-16|3598</t>
  </si>
  <si>
    <t>BOX-16|4228</t>
  </si>
  <si>
    <t>BOX-16|3601</t>
  </si>
  <si>
    <t>BOX-16|4244</t>
  </si>
  <si>
    <t>BOX-16|3913</t>
  </si>
  <si>
    <t>BOX-16|3605</t>
  </si>
  <si>
    <t>BOX-16|3606</t>
  </si>
  <si>
    <t>BOX-16|4347</t>
  </si>
  <si>
    <t>BOX-16|3914</t>
  </si>
  <si>
    <t>BOX-16|4348</t>
  </si>
  <si>
    <t>BOX-16|3915</t>
  </si>
  <si>
    <t>BOX-16|3916</t>
  </si>
  <si>
    <t>BOX-16|4282</t>
  </si>
  <si>
    <t>BOX-16|3917</t>
  </si>
  <si>
    <t>BOX-16|4349</t>
  </si>
  <si>
    <t>BOX-16|4229</t>
  </si>
  <si>
    <t>BOX-16|3920</t>
  </si>
  <si>
    <t>BOX-16|3921</t>
  </si>
  <si>
    <t>BOX-16|3924</t>
  </si>
  <si>
    <t>BOX-16|3925</t>
  </si>
  <si>
    <t>BOX-16|3926</t>
  </si>
  <si>
    <t>BOX-16|3928</t>
  </si>
  <si>
    <t>BOX-16|4370</t>
  </si>
  <si>
    <t>BOX-16|4354</t>
  </si>
  <si>
    <t>BOX-16|4355</t>
  </si>
  <si>
    <t>BOX-16|4353</t>
  </si>
  <si>
    <t>BOX-16|4352</t>
  </si>
  <si>
    <t>BOX-16|3934</t>
  </si>
  <si>
    <t>BOX-16|3632</t>
  </si>
  <si>
    <t>BOX-16|4356</t>
  </si>
  <si>
    <t>BOX-16|3634</t>
  </si>
  <si>
    <t>BOX-16|3635</t>
  </si>
  <si>
    <t>BOX-16|4357</t>
  </si>
  <si>
    <t>BOX-16|4358</t>
  </si>
  <si>
    <t>BOX-16|3938</t>
  </si>
  <si>
    <t>BOX-16|3641</t>
  </si>
  <si>
    <t>BOX-16|3939</t>
  </si>
  <si>
    <t>BOX-16|3940</t>
  </si>
  <si>
    <t>BOX-16|3941</t>
  </si>
  <si>
    <t>BOX-16|4184</t>
  </si>
  <si>
    <t>BOX-16|4185</t>
  </si>
  <si>
    <t>BOX-16|4186</t>
  </si>
  <si>
    <t>BOX-16|3131</t>
  </si>
  <si>
    <t>BOX-16|3132</t>
  </si>
  <si>
    <t>BOX-16|3845</t>
  </si>
  <si>
    <t>BOX-16|4456</t>
  </si>
  <si>
    <t>BOX-16|4458</t>
  </si>
  <si>
    <t>BOX-16|4402</t>
  </si>
  <si>
    <t>BOX-16|4403</t>
  </si>
  <si>
    <t>BOX-16|4405</t>
  </si>
  <si>
    <t>BOX-16|3317</t>
  </si>
  <si>
    <t>BOX-16|4410</t>
  </si>
  <si>
    <t>BOX-16|4398</t>
  </si>
  <si>
    <t>BOX-16|4399</t>
  </si>
  <si>
    <t>BOX-16|4444</t>
  </si>
  <si>
    <t>BOX-16|4662</t>
  </si>
  <si>
    <t>BOX-16|4445</t>
  </si>
  <si>
    <t>BOX-16|4446</t>
  </si>
  <si>
    <t>BOX-16|4447</t>
  </si>
  <si>
    <t>BOX-16|4448</t>
  </si>
  <si>
    <t>BOX-16|4449</t>
  </si>
  <si>
    <t>BOX-16|4450</t>
  </si>
  <si>
    <t>BOX-16|4451</t>
  </si>
  <si>
    <t>BOX-16|4452</t>
  </si>
  <si>
    <t>BOX-16|4453</t>
  </si>
  <si>
    <t>BOX-16|4663</t>
  </si>
  <si>
    <t>BOX-16|3970</t>
  </si>
  <si>
    <t>BOX-16|3971</t>
  </si>
  <si>
    <t>BOX-16|3972</t>
  </si>
  <si>
    <t>BOX-16|3973</t>
  </si>
  <si>
    <t>BOX-16|4243</t>
  </si>
  <si>
    <t>BOX-16|4242</t>
  </si>
  <si>
    <t>BOX-16|4241</t>
  </si>
  <si>
    <t>BOX-16|3669</t>
  </si>
  <si>
    <t>BOX-16|3670</t>
  </si>
  <si>
    <t>BOX-16|3671</t>
  </si>
  <si>
    <t>BOX-16|4240</t>
  </si>
  <si>
    <t>BOX-16|3686</t>
  </si>
  <si>
    <t>BOX-16|3687</t>
  </si>
  <si>
    <t>BOX-16|3688</t>
  </si>
  <si>
    <t>BOX-16|4188</t>
  </si>
  <si>
    <t>BOX-16|4189</t>
  </si>
  <si>
    <t>BOX-16|3761</t>
  </si>
  <si>
    <t>BOX-16|3762</t>
  </si>
  <si>
    <t>BOX-16|3754</t>
  </si>
  <si>
    <t>BOX-16|3763</t>
  </si>
  <si>
    <t>BOX-16|3756</t>
  </si>
  <si>
    <t>BOX-16|3755</t>
  </si>
  <si>
    <t>BOX-16|3757</t>
  </si>
  <si>
    <t>BOX-16|4283</t>
  </si>
  <si>
    <t>BOX-16|3943</t>
  </si>
  <si>
    <t>BOX-16|3944</t>
  </si>
  <si>
    <t>BOX-16|4362</t>
  </si>
  <si>
    <t>BOX-16|4238</t>
  </si>
  <si>
    <t>BOX-16|4363</t>
  </si>
  <si>
    <t>BOX-16|3947</t>
  </si>
  <si>
    <t>BOX-16|4359</t>
  </si>
  <si>
    <t>BOX-16|4360</t>
  </si>
  <si>
    <t>BOX-16|4236</t>
  </si>
  <si>
    <t>BOX-16|3950</t>
  </si>
  <si>
    <t>BOX-16|4235</t>
  </si>
  <si>
    <t>BOX-16|3952</t>
  </si>
  <si>
    <t>BOX-16|4325</t>
  </si>
  <si>
    <t>BOX-16|4365</t>
  </si>
  <si>
    <t>BOX-16|4324</t>
  </si>
  <si>
    <t>BOX-16|4366</t>
  </si>
  <si>
    <t>BOX-16|4367</t>
  </si>
  <si>
    <t>BOX-16|3960</t>
  </si>
  <si>
    <t>BOX-16|3961</t>
  </si>
  <si>
    <t>BOX-16|3962</t>
  </si>
  <si>
    <t>BOX-16|3963</t>
  </si>
  <si>
    <t>BOX-16|3964</t>
  </si>
  <si>
    <t>BOX-16|3751</t>
  </si>
  <si>
    <t>BOX-16|4288</t>
  </si>
  <si>
    <t>BOX-16|3825</t>
  </si>
  <si>
    <t>BOX-16|3826</t>
  </si>
  <si>
    <t>BOX-16|3827</t>
  </si>
  <si>
    <t>BOX-16|3828</t>
  </si>
  <si>
    <t>BOX-16|3829</t>
  </si>
  <si>
    <t>BOX-16|3830</t>
  </si>
  <si>
    <t>BOX-16|3831</t>
  </si>
  <si>
    <t>BOX-16|3832</t>
  </si>
  <si>
    <t>BOX-16|3833</t>
  </si>
  <si>
    <t>BOX-16|3834</t>
  </si>
  <si>
    <t>BOX-16|3835</t>
  </si>
  <si>
    <t>BOX-16|4368</t>
  </si>
  <si>
    <t>BOX-16|3966</t>
  </si>
  <si>
    <t>BOX-16|4754</t>
  </si>
  <si>
    <t>BOX-16|4826</t>
  </si>
  <si>
    <t>BOX-16|4830</t>
  </si>
  <si>
    <t>BOX-16|4831</t>
  </si>
  <si>
    <t>BOX-16|4832</t>
  </si>
  <si>
    <t>BOX-16|4833</t>
  </si>
  <si>
    <t>BOX-16|4842</t>
  </si>
  <si>
    <t>BOX-16|4844</t>
  </si>
  <si>
    <t>BOX-16|4843</t>
  </si>
  <si>
    <t>BOX-16|4845</t>
  </si>
  <si>
    <t>BOX-16|4846</t>
  </si>
  <si>
    <t>BOX-16|4847</t>
  </si>
  <si>
    <t>BOX-16|4848</t>
  </si>
  <si>
    <t>BOX-16|4849</t>
  </si>
  <si>
    <t>BOX-16|4850</t>
  </si>
  <si>
    <t>BOX-16|4851</t>
  </si>
  <si>
    <t>BOX-16|4852</t>
  </si>
  <si>
    <t>BOX-16|4854</t>
  </si>
  <si>
    <t>BOX-16|4855</t>
  </si>
  <si>
    <t>BOX-16|4856</t>
  </si>
  <si>
    <t>BOX-16|4857</t>
  </si>
  <si>
    <t>BOX-16|4858</t>
  </si>
  <si>
    <t>BOX-16|4859</t>
  </si>
  <si>
    <t>BOX-16|4860</t>
  </si>
  <si>
    <t>BOX-16|4861</t>
  </si>
  <si>
    <t>BOX-16|4862</t>
  </si>
  <si>
    <t>BOX-16|4863</t>
  </si>
  <si>
    <t>BOX-16|4865</t>
  </si>
  <si>
    <t>BOX-16|4929</t>
  </si>
  <si>
    <t>BOX-16|3122</t>
  </si>
  <si>
    <t>BOX-16|3123</t>
  </si>
  <si>
    <t>BOX-16|3124</t>
  </si>
  <si>
    <t>BOX-16|3125</t>
  </si>
  <si>
    <t>BOX-16|3126</t>
  </si>
  <si>
    <t>LISTA DIARIA DE NESTINGS - PREENCHIMENTO MANUAL</t>
  </si>
  <si>
    <t>Todos os nestings nao processados</t>
  </si>
  <si>
    <t>TEMPO TOTAL DOS NESTINGS</t>
  </si>
  <si>
    <t>Seq.</t>
  </si>
  <si>
    <t>Nesting</t>
  </si>
  <si>
    <t>Tempo de corte</t>
  </si>
  <si>
    <t>Esp. (mm)</t>
  </si>
  <si>
    <t>Bloco</t>
  </si>
  <si>
    <t>Painel</t>
  </si>
  <si>
    <t>Carreira Chapa</t>
  </si>
  <si>
    <t>Hora início</t>
  </si>
  <si>
    <t>Hora fim</t>
  </si>
  <si>
    <t>Parada / Observações</t>
  </si>
  <si>
    <t>LOG DE RETORNO / FINALIZACAO</t>
  </si>
  <si>
    <t>Cada linha representa um nesting finalizado no retorno.</t>
  </si>
  <si>
    <t>STATUS_FINAL</t>
  </si>
  <si>
    <t>PARAMETROS DO SISTEMA</t>
  </si>
  <si>
    <t>Estas listas alimentam validações e macros. Você pode editar as máquinas, turnos e motivos conforme sua operação.</t>
  </si>
  <si>
    <t>OPERADORES</t>
  </si>
  <si>
    <t>SIM</t>
  </si>
  <si>
    <t>TROCA DE CONSUMIVEL</t>
  </si>
  <si>
    <t>N</t>
  </si>
  <si>
    <t>NAO</t>
  </si>
  <si>
    <t>MANUTENCAO</t>
  </si>
  <si>
    <t>IVANILTON</t>
  </si>
  <si>
    <t>FALTA DE CHAPA</t>
  </si>
  <si>
    <t>AJUSTE</t>
  </si>
  <si>
    <t>PROGRAMACAO</t>
  </si>
  <si>
    <t>OUTROS</t>
  </si>
  <si>
    <t>RICARDO</t>
  </si>
  <si>
    <t>CONCLUIDOS</t>
  </si>
  <si>
    <t>STATUS_PAINEL</t>
  </si>
  <si>
    <t>0428-605-D-RAKE-14-153</t>
  </si>
  <si>
    <t>0428-605-D-RAKE-14-153|3367</t>
  </si>
  <si>
    <t>0428-605-D-RAKE-14-153|3369</t>
  </si>
  <si>
    <t>0428-605-D-RAKE-14-153|3370</t>
  </si>
  <si>
    <t>0428-605-D-RAKE-14-153|3371</t>
  </si>
  <si>
    <t>0428-605-D-RAKE-14-153|3372</t>
  </si>
  <si>
    <t>0428-605-D-RAKE-14-153|3373</t>
  </si>
  <si>
    <t>0428-605-D-RAKE-14-153|3374</t>
  </si>
  <si>
    <t>0428-605-D-RAKE-14-153|3375</t>
  </si>
  <si>
    <t>0428-605-D-RAKE-14-153|3709</t>
  </si>
  <si>
    <t>0428-605-D-RAKE-14-153|3710</t>
  </si>
  <si>
    <t>0428-605-D-RAKE-14-153|3711</t>
  </si>
  <si>
    <t>0428-605-D-RAKE-14-153|3712</t>
  </si>
  <si>
    <t>0428-605-D-RAKE-14-153|3714</t>
  </si>
  <si>
    <t>0428-605-D-RAKE-14-153|4520</t>
  </si>
  <si>
    <t>0428-605-D-RAKE-14-153|4521</t>
  </si>
  <si>
    <t>0428-605-D-RAKE-14-153|4523</t>
  </si>
  <si>
    <t>0428-605-D-RAKE-14-153|4524</t>
  </si>
  <si>
    <t>0428-605-D-RAKE-14-153|4656</t>
  </si>
  <si>
    <t>0428-605-D-RAKE-14-153|4657</t>
  </si>
  <si>
    <t>0428-605-D-RAKE-14-153|4658</t>
  </si>
  <si>
    <t>BDF-H3, RD-BJ9-C</t>
  </si>
  <si>
    <t>PCAS DE TETO, BPP(2)</t>
  </si>
  <si>
    <t>RD-BJ4-BB, BDF-H3</t>
  </si>
  <si>
    <t>BDF4, PCAS DE TETO</t>
  </si>
  <si>
    <t>RD-BJ4-BB, RD-BJ3-BE_0, BDF-H3</t>
  </si>
  <si>
    <t>RD-BJ4-BB, BDF-H3, RD-BJ9-C</t>
  </si>
  <si>
    <t>BDF4, PCAS DE TETO, BPP(2)</t>
  </si>
  <si>
    <t>RD-BJ3-BE_0, BDF-H3</t>
  </si>
  <si>
    <t>RD-H3, RL1-HB24, RL1-HB25, RFR1/RFR93-HB68-C</t>
  </si>
  <si>
    <t>BDF2, BCB4, BCE4, BPP</t>
  </si>
  <si>
    <t>BDF2, RL1, RFR1/RFR93</t>
  </si>
  <si>
    <t>RD-HB15-B, RD-H3, RL1-HB9, RL1-HB25</t>
  </si>
  <si>
    <t>BCB4, BDF2, BCB2, BCE4</t>
  </si>
  <si>
    <t>RD-HB15-B, RD-H3, RL1-HB9</t>
  </si>
  <si>
    <t>BCB4, BDF2, BCB2</t>
  </si>
  <si>
    <t>RD-H3, RD-H5-LADO-B, RD-H5-LADO-C</t>
  </si>
  <si>
    <t>BDF2, PCAS DE TETO</t>
  </si>
  <si>
    <t>RD-H3, RD-HB18-C, RL1-HB10, BPP-RD2-15~16-R2</t>
  </si>
  <si>
    <t>BDF2, RD, RL1, BPP</t>
  </si>
  <si>
    <t>RD-H3, RD-HB16-C, RL1-HB10, RFR1/RFR93-HB77-B</t>
  </si>
  <si>
    <t>BDF2, RD, RL1, RFR1/RFR93</t>
  </si>
  <si>
    <t>ACCESS-TRAVESSEIRO, RD-H3, RL1-HB9, BPP-RD2-17~18-R1, RFR1/RFR93-HB65-B</t>
  </si>
  <si>
    <t>ACESS-TRAVESSEIRO, BDF2, BCB2, BPP</t>
  </si>
  <si>
    <t>ACESS-TRAVESSEIRO, BDF2, RL1, BPP, RFR1/RFR93</t>
  </si>
  <si>
    <t>RD-H3, RD-BJ9-C</t>
  </si>
  <si>
    <t>BDF2, BPP(1)</t>
  </si>
  <si>
    <t>BDF2, RD</t>
  </si>
  <si>
    <t>RD-H3, RD-HB16-C, BPP-RD2-15~16-R2, RD-BJ9-C, RFR1/RFR93-HB70-B, RFR1/RFR93-HB72-B</t>
  </si>
  <si>
    <t>BDF2, BCB4, BPP, BPP(1)</t>
  </si>
  <si>
    <t>BDF2, RD, BPP, RFR1/RFR93</t>
  </si>
  <si>
    <t>RD-HB16-C, RL1-HB9, RD-H9, RFR1/RFR93-HB69-A</t>
  </si>
  <si>
    <t>BCB4, BCB2, PCAS DE TETO, BPP</t>
  </si>
  <si>
    <t>RD, RL1, PCAS DE TETO, RFR1/RFR93</t>
  </si>
  <si>
    <t>RD-H15, RD-H4, RD-HB17-B, RL1-HB4-B, BPP-RD2-17~18-R1, RFR1-RFR93-HB71-B-1, RFR1/RFR93-HB70-B</t>
  </si>
  <si>
    <t>BCB4, BDF1, BCE4, BPP</t>
  </si>
  <si>
    <t>RD, BDF1, RL1, BPP, RFR1, RFR1/RFR93</t>
  </si>
  <si>
    <t>BPP-RD2-11A~11D,_14A~14D), BPP-RD2-15A~15F,_16A~16F), BPP-RD2-15A~15F,_16A~16F) - Extra, BPP-RD2-11A~11D,_14A~14D) - Extra</t>
  </si>
  <si>
    <t>BPP, PCAS EXTRA</t>
  </si>
  <si>
    <t>ACCESS-TRAVESSEIRO, RL1-HB3-C, RD-HB47-C, RD-HB48-B, RFR1/RFR93-HB69-A, BDF5-RD-H14, BOX-H2~H4- LADO A</t>
  </si>
  <si>
    <t>ACESS-TRAVESSEIRO, RL1, RD, RFR1/RFR93, PCAS DE TETO</t>
  </si>
  <si>
    <t>RL1-HB3-C, RFR1/RFR93-HB69-B, BDF5-RD-H11~H12-R3</t>
  </si>
  <si>
    <t>BCB4, BPP, BDF5</t>
  </si>
  <si>
    <t>RL1, RFR1/RFR93, RD</t>
  </si>
  <si>
    <t>BOX-H2~H4-600-LADO A, BOX-H2~H4-600-LADO B, BOX-H2~H4-600-LADO C</t>
  </si>
  <si>
    <t>BOX-H2~H4-600-LADO A, BOX-H2~H4-600-LADO D, BOX-H1~H6-LADO B, RL1-HB10-Extra</t>
  </si>
  <si>
    <t>BOX-H2~H4-600-LADO A, BOX-H2~H4-600-LADO B, BOX-H1~H6-LADO C</t>
  </si>
  <si>
    <t>RL1-HB10, RL1-HB10-Extra</t>
  </si>
  <si>
    <t>BCE2, PCAS EXTRA</t>
  </si>
  <si>
    <t>RL1, PCAS EXTRA</t>
  </si>
  <si>
    <t>BOX-H2~H4-600-LADO C, BOX-H1~H6-LADO A</t>
  </si>
  <si>
    <t>BOX-H2~H4- LADO C, RL1-HB4-B-Extra</t>
  </si>
  <si>
    <t>BOX-H2~H4-600-LADO B, BOX-H1~H6-LADO A, BOX-H1~H6-LADO B</t>
  </si>
  <si>
    <t>RD-BJ3-BE_0, BPP-RD2-15~16-R2, RD-HB47-C, RFR1/RFR93-HB65-B, RFR1/RFR93-HB77-B, RFR1/RFR93-HB78-B</t>
  </si>
  <si>
    <t>BDF4, BPP</t>
  </si>
  <si>
    <t>RD, BPP, RFR1/RFR93</t>
  </si>
  <si>
    <t>RD-HB17-B, RL1-HB4-B</t>
  </si>
  <si>
    <t>BCB4, BCE4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</si>
</sst>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.0%"/>
    <numFmt numFmtId="165" formatCode="[h]:mm"/>
    <numFmt numFmtId="166" formatCode="#,##0.000"/>
    <numFmt numFmtId="167" formatCode="0.##"/>
    <numFmt numFmtId="168" formatCode="h:mm;@"/>
    <numFmt numFmtId="169" formatCode="#,#00%"/>
  </numFmts>
  <fonts count="11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0"/>
      <color rgb="FF000000"/>
      <name val="Calibri"/>
      <family val="2"/>
    </font>
    <font>
      <i/>
      <sz val="9"/>
      <color rgb="FF666666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sz val="10"/>
      <color rgb="FF0000FF"/>
      <name val="Calibri"/>
      <family val="2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EEF5FB"/>
      </patternFill>
    </fill>
    <fill>
      <patternFill patternType="solid">
        <fgColor rgb="FFFFF2CC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</fills>
  <borders count="7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/>
      <bottom/>
      <diagonal/>
    </border>
    <border>
      <left style="thin">
        <color rgb="FFB7B7B7"/>
      </left>
      <right style="thin">
        <color rgb="FFB7B7B7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6" fillId="5" borderId="1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left" vertical="center" wrapText="1"/>
      <protection locked="0"/>
    </xf>
    <xf numFmtId="0" fontId="2" fillId="3" borderId="1" xfId="0" applyFont="1" applyFill="1" applyBorder="1" applyAlignment="1">
      <alignment horizontal="left" vertical="center"/>
    </xf>
    <xf numFmtId="14" fontId="2" fillId="3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left" vertical="center" wrapText="1"/>
    </xf>
    <xf numFmtId="165" fontId="2" fillId="3" borderId="1" xfId="0" applyNumberFormat="1" applyFont="1" applyFill="1" applyBorder="1" applyAlignment="1">
      <alignment horizontal="left" vertical="center"/>
    </xf>
    <xf numFmtId="0" fontId="2" fillId="3" borderId="1" xfId="0" applyFont="1" applyFill="1" applyBorder="1" applyAlignment="1">
      <alignment vertical="center" wrapText="1"/>
    </xf>
    <xf numFmtId="165" fontId="2" fillId="3" borderId="1" xfId="0" applyNumberFormat="1" applyFont="1" applyFill="1" applyBorder="1" applyAlignment="1">
      <alignment vertical="center" wrapText="1"/>
    </xf>
    <xf numFmtId="0" fontId="2" fillId="3" borderId="0" xfId="0" applyFont="1" applyFill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164" fontId="2" fillId="3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wrapText="1"/>
    </xf>
    <xf numFmtId="0" fontId="2" fillId="4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46" fontId="0" fillId="0" borderId="0" xfId="0" applyNumberFormat="1"/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0" borderId="0" xfId="0" applyAlignment="1">
      <alignment horizontal="center" vertical="center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5" fontId="2" fillId="3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7" fontId="2" fillId="3" borderId="1" xfId="0" applyNumberFormat="1" applyFont="1" applyFill="1" applyBorder="1" applyAlignment="1">
      <alignment vertical="center" wrapText="1"/>
    </xf>
    <xf numFmtId="14" fontId="5" fillId="2" borderId="1" xfId="0" applyNumberFormat="1" applyFont="1" applyFill="1" applyBorder="1" applyAlignment="1">
      <alignment horizontal="center" vertical="center" wrapText="1"/>
    </xf>
    <xf numFmtId="20" fontId="0" fillId="0" borderId="0" xfId="0" applyNumberFormat="1"/>
    <xf numFmtId="0" fontId="2" fillId="0" borderId="1" xfId="0" applyFont="1" applyBorder="1" applyAlignment="1">
      <alignment horizontal="left" vertical="center" wrapText="1"/>
    </xf>
    <xf numFmtId="0" fontId="2" fillId="5" borderId="0" xfId="0" applyFont="1" applyFill="1" applyAlignment="1" applyProtection="1">
      <alignment horizontal="left" vertical="center" wrapText="1"/>
      <protection locked="0"/>
    </xf>
    <xf numFmtId="0" fontId="2" fillId="3" borderId="0" xfId="0" applyFont="1" applyFill="1" applyAlignment="1">
      <alignment horizontal="center" vertical="center" wrapText="1"/>
    </xf>
    <xf numFmtId="165" fontId="2" fillId="3" borderId="0" xfId="0" applyNumberFormat="1" applyFont="1" applyFill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165" fontId="2" fillId="3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wrapText="1"/>
    </xf>
    <xf numFmtId="14" fontId="2" fillId="3" borderId="0" xfId="0" applyNumberFormat="1" applyFont="1" applyFill="1" applyAlignment="1">
      <alignment horizontal="left" vertical="center"/>
    </xf>
    <xf numFmtId="165" fontId="2" fillId="3" borderId="0" xfId="0" applyNumberFormat="1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 wrapText="1"/>
    </xf>
    <xf numFmtId="168" fontId="5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0" fontId="9" fillId="6" borderId="0" xfId="0" applyFont="1" applyFill="1" applyAlignment="1">
      <alignment horizontal="center" vertical="center"/>
    </xf>
    <xf numFmtId="169" fontId="9" fillId="6" borderId="0" xfId="0" applyNumberFormat="1" applyFont="1" applyFill="1" applyAlignment="1">
      <alignment horizontal="center" vertical="center"/>
    </xf>
    <xf numFmtId="169" fontId="0" fillId="0" borderId="0" xfId="0" applyNumberFormat="1"/>
    <xf numFmtId="0" fontId="8" fillId="7" borderId="6" xfId="0" applyFont="1" applyFill="1" applyBorder="1" applyAlignment="1">
      <alignment horizontal="center" vertical="center"/>
    </xf>
    <xf numFmtId="0" fontId="2" fillId="5" borderId="5" xfId="0" applyFont="1" applyFill="1" applyBorder="1" applyAlignment="1" applyProtection="1">
      <alignment horizontal="left" vertical="center" wrapText="1"/>
      <protection locked="0"/>
    </xf>
    <xf numFmtId="46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1" xfId="0" applyBorder="1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169" fontId="10" fillId="7" borderId="0" xfId="0" applyNumberFormat="1" applyFont="1" applyFill="1" applyAlignment="1">
      <alignment horizontal="left" vertical="center"/>
    </xf>
    <xf numFmtId="0" fontId="10" fillId="7" borderId="0" xfId="0" applyFont="1" applyFill="1" applyAlignment="1">
      <alignment horizontal="left" vertical="center"/>
    </xf>
  </cellXfs>
  <cellStyles count="1">
    <cellStyle name="Normal" xfId="0" builtinId="0"/>
  </cellStyles>
  <dxfs count="103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8" formatCode="h:mm;@"/>
      <protection locked="1" hidden="0"/>
    </dxf>
    <dxf>
      <numFmt numFmtId="168" formatCode="h:mm;@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9" formatCode="dd/mm/yyyy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numFmt numFmtId="166" formatCode="#,##0.000"/>
      <protection locked="1" hidden="0"/>
    </dxf>
    <dxf>
      <numFmt numFmtId="166" formatCode="#,##0.00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" formatCode="0"/>
      <protection locked="1" hidden="0"/>
    </dxf>
    <dxf>
      <numFmt numFmtId="31" formatCode="[h]:mm:ss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center" textRotation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164" formatCode="0.0%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9" formatCode="dd/mm/yyyy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1" defaultTableStyle="TableStyleMedium9" defaultPivotStyle="PivotStyleLight16">
    <tableStyle name="Invisible" pivot="0" table="0" count="0" xr9:uid="{6C145B08-3000-4A35-B947-A0916D4EC41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% Concluído por Painel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% Concluído</c:v>
          </c:tx>
          <c:invertIfNegative val="0"/>
          <c:cat>
            <c:strRef>
              <c:f>AUX_PAINEIS!$B$2:$B$30</c:f>
              <c:strCache>
                <c:ptCount val="29"/>
                <c:pt idx="0">
                  <c:v>ACESS-TRAVESSEIRO</c:v>
                </c:pt>
                <c:pt idx="1">
                  <c:v>ACESS_DEFENCA</c:v>
                </c:pt>
                <c:pt idx="2">
                  <c:v>ANTEPARA</c:v>
                </c:pt>
                <c:pt idx="3">
                  <c:v>BDF1</c:v>
                </c:pt>
                <c:pt idx="4">
                  <c:v>BDF2</c:v>
                </c:pt>
                <c:pt idx="5">
                  <c:v>BDF3</c:v>
                </c:pt>
                <c:pt idx="6">
                  <c:v>BDF4</c:v>
                </c:pt>
                <c:pt idx="7">
                  <c:v>BPP</c:v>
                </c:pt>
                <c:pt idx="8">
                  <c:v>BPR</c:v>
                </c:pt>
                <c:pt idx="9">
                  <c:v>HASTILHA</c:v>
                </c:pt>
                <c:pt idx="10">
                  <c:v>PCAS DE TETO</c:v>
                </c:pt>
                <c:pt idx="11">
                  <c:v>RD</c:v>
                </c:pt>
                <c:pt idx="12">
                  <c:v>RD1</c:v>
                </c:pt>
                <c:pt idx="13">
                  <c:v>RD2A</c:v>
                </c:pt>
                <c:pt idx="14">
                  <c:v>RD2B</c:v>
                </c:pt>
                <c:pt idx="15">
                  <c:v>RD2C</c:v>
                </c:pt>
                <c:pt idx="16">
                  <c:v>RFR0</c:v>
                </c:pt>
                <c:pt idx="17">
                  <c:v>RFR0/RFR94</c:v>
                </c:pt>
                <c:pt idx="18">
                  <c:v>RFR1</c:v>
                </c:pt>
                <c:pt idx="19">
                  <c:v>RFR1/RFR93</c:v>
                </c:pt>
                <c:pt idx="20">
                  <c:v>RFR85</c:v>
                </c:pt>
                <c:pt idx="21">
                  <c:v>RFR89</c:v>
                </c:pt>
                <c:pt idx="22">
                  <c:v>RFR94</c:v>
                </c:pt>
                <c:pt idx="23">
                  <c:v>RL1</c:v>
                </c:pt>
                <c:pt idx="24">
                  <c:v>RL1P</c:v>
                </c:pt>
                <c:pt idx="25">
                  <c:v>RL1S</c:v>
                </c:pt>
                <c:pt idx="26">
                  <c:v>RL2</c:v>
                </c:pt>
                <c:pt idx="27">
                  <c:v>RP</c:v>
                </c:pt>
                <c:pt idx="28">
                  <c:v>RS</c:v>
                </c:pt>
              </c:strCache>
            </c:strRef>
          </c:cat>
          <c:val>
            <c:numRef>
              <c:f>AUX_PAINEIS!$H$2:$H$30</c:f>
              <c:numCache>
                <c:formatCode>#,#00%</c:formatCode>
                <c:ptCount val="29"/>
                <c:pt idx="0">
                  <c:v>0.16666666666666666</c:v>
                </c:pt>
                <c:pt idx="1">
                  <c:v>1</c:v>
                </c:pt>
                <c:pt idx="2">
                  <c:v>0</c:v>
                </c:pt>
                <c:pt idx="3">
                  <c:v>0.33333333333333331</c:v>
                </c:pt>
                <c:pt idx="4">
                  <c:v>0.21428571428571427</c:v>
                </c:pt>
                <c:pt idx="5">
                  <c:v>1</c:v>
                </c:pt>
                <c:pt idx="6">
                  <c:v>1</c:v>
                </c:pt>
                <c:pt idx="7">
                  <c:v>0.88888888888888884</c:v>
                </c:pt>
                <c:pt idx="8">
                  <c:v>1</c:v>
                </c:pt>
                <c:pt idx="9">
                  <c:v>0.65217391304347827</c:v>
                </c:pt>
                <c:pt idx="10">
                  <c:v>0.68181818181818177</c:v>
                </c:pt>
                <c:pt idx="11">
                  <c:v>0.865979381443299</c:v>
                </c:pt>
                <c:pt idx="12">
                  <c:v>0.96610169491525422</c:v>
                </c:pt>
                <c:pt idx="13">
                  <c:v>0.8666666666666667</c:v>
                </c:pt>
                <c:pt idx="14">
                  <c:v>0.88888888888888884</c:v>
                </c:pt>
                <c:pt idx="15">
                  <c:v>0.73913043478260865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0.91666666666666663</c:v>
                </c:pt>
                <c:pt idx="20">
                  <c:v>0.72727272727272729</c:v>
                </c:pt>
                <c:pt idx="21">
                  <c:v>1</c:v>
                </c:pt>
                <c:pt idx="22">
                  <c:v>1</c:v>
                </c:pt>
                <c:pt idx="23">
                  <c:v>0.72727272727272729</c:v>
                </c:pt>
                <c:pt idx="24">
                  <c:v>0.66666666666666663</c:v>
                </c:pt>
                <c:pt idx="25">
                  <c:v>0.83333333333333337</c:v>
                </c:pt>
                <c:pt idx="26">
                  <c:v>0.97674418604651159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B7-43D4-8CD5-E835D7F1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5254015"/>
        <c:axId val="1375253535"/>
      </c:barChart>
      <c:catAx>
        <c:axId val="1375254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5253535"/>
        <c:crosses val="autoZero"/>
        <c:auto val="1"/>
        <c:lblAlgn val="ctr"/>
        <c:lblOffset val="100"/>
        <c:tickLblSkip val="1"/>
        <c:noMultiLvlLbl val="0"/>
      </c:catAx>
      <c:valAx>
        <c:axId val="1375253535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37525401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Pendentes por Painel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Pendentes</c:v>
          </c:tx>
          <c:invertIfNegative val="0"/>
          <c:cat>
            <c:strRef>
              <c:f>AUX_PAINEIS!$B$2:$B$30</c:f>
              <c:strCache>
                <c:ptCount val="29"/>
                <c:pt idx="0">
                  <c:v>ACESS-TRAVESSEIRO</c:v>
                </c:pt>
                <c:pt idx="1">
                  <c:v>ACESS_DEFENCA</c:v>
                </c:pt>
                <c:pt idx="2">
                  <c:v>ANTEPARA</c:v>
                </c:pt>
                <c:pt idx="3">
                  <c:v>BDF1</c:v>
                </c:pt>
                <c:pt idx="4">
                  <c:v>BDF2</c:v>
                </c:pt>
                <c:pt idx="5">
                  <c:v>BDF3</c:v>
                </c:pt>
                <c:pt idx="6">
                  <c:v>BDF4</c:v>
                </c:pt>
                <c:pt idx="7">
                  <c:v>BPP</c:v>
                </c:pt>
                <c:pt idx="8">
                  <c:v>BPR</c:v>
                </c:pt>
                <c:pt idx="9">
                  <c:v>HASTILHA</c:v>
                </c:pt>
                <c:pt idx="10">
                  <c:v>PCAS DE TETO</c:v>
                </c:pt>
                <c:pt idx="11">
                  <c:v>RD</c:v>
                </c:pt>
                <c:pt idx="12">
                  <c:v>RD1</c:v>
                </c:pt>
                <c:pt idx="13">
                  <c:v>RD2A</c:v>
                </c:pt>
                <c:pt idx="14">
                  <c:v>RD2B</c:v>
                </c:pt>
                <c:pt idx="15">
                  <c:v>RD2C</c:v>
                </c:pt>
                <c:pt idx="16">
                  <c:v>RFR0</c:v>
                </c:pt>
                <c:pt idx="17">
                  <c:v>RFR0/RFR94</c:v>
                </c:pt>
                <c:pt idx="18">
                  <c:v>RFR1</c:v>
                </c:pt>
                <c:pt idx="19">
                  <c:v>RFR1/RFR93</c:v>
                </c:pt>
                <c:pt idx="20">
                  <c:v>RFR85</c:v>
                </c:pt>
                <c:pt idx="21">
                  <c:v>RFR89</c:v>
                </c:pt>
                <c:pt idx="22">
                  <c:v>RFR94</c:v>
                </c:pt>
                <c:pt idx="23">
                  <c:v>RL1</c:v>
                </c:pt>
                <c:pt idx="24">
                  <c:v>RL1P</c:v>
                </c:pt>
                <c:pt idx="25">
                  <c:v>RL1S</c:v>
                </c:pt>
                <c:pt idx="26">
                  <c:v>RL2</c:v>
                </c:pt>
                <c:pt idx="27">
                  <c:v>RP</c:v>
                </c:pt>
                <c:pt idx="28">
                  <c:v>RS</c:v>
                </c:pt>
              </c:strCache>
            </c:strRef>
          </c:cat>
          <c:val>
            <c:numRef>
              <c:f>AUX_PAINEIS!$F$2:$F$30</c:f>
              <c:numCache>
                <c:formatCode>General</c:formatCode>
                <c:ptCount val="29"/>
                <c:pt idx="0">
                  <c:v>5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24</c:v>
                </c:pt>
                <c:pt idx="10">
                  <c:v>7</c:v>
                </c:pt>
                <c:pt idx="11">
                  <c:v>13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18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B-43D9-8969-3FFA70794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6774927"/>
        <c:axId val="1426776367"/>
      </c:barChart>
      <c:catAx>
        <c:axId val="14267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6776367"/>
        <c:crosses val="autoZero"/>
        <c:auto val="1"/>
        <c:lblAlgn val="ctr"/>
        <c:lblOffset val="100"/>
        <c:tickLblSkip val="1"/>
        <c:noMultiLvlLbl val="0"/>
      </c:catAx>
      <c:valAx>
        <c:axId val="142677636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267749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</xdr:row>
      <xdr:rowOff>47625</xdr:rowOff>
    </xdr:from>
    <xdr:to>
      <xdr:col>13</xdr:col>
      <xdr:colOff>247650</xdr:colOff>
      <xdr:row>3</xdr:row>
      <xdr:rowOff>314325</xdr:rowOff>
    </xdr:to>
    <xdr:sp macro="[0]!Cadastrar_Balsa_e_Carregar_Base" textlink="">
      <xdr:nvSpPr>
        <xdr:cNvPr id="2" name="Retângulo 1">
          <a:extLst>
            <a:ext uri="{FF2B5EF4-FFF2-40B4-BE49-F238E27FC236}">
              <a16:creationId xmlns:a16="http://schemas.microsoft.com/office/drawing/2014/main" id="{1E90B995-F50C-BDF3-A3EE-40EDE4A5193D}"/>
            </a:ext>
          </a:extLst>
        </xdr:cNvPr>
        <xdr:cNvSpPr/>
      </xdr:nvSpPr>
      <xdr:spPr>
        <a:xfrm>
          <a:off x="10382250" y="285750"/>
          <a:ext cx="116205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CADASTRAR</a:t>
          </a:r>
          <a:r>
            <a:rPr lang="pt-BR" sz="1100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4</xdr:row>
      <xdr:rowOff>120732</xdr:rowOff>
    </xdr:from>
    <xdr:to>
      <xdr:col>13</xdr:col>
      <xdr:colOff>66261</xdr:colOff>
      <xdr:row>7</xdr:row>
      <xdr:rowOff>182217</xdr:rowOff>
    </xdr:to>
    <xdr:sp macro="[0]!Emitir_Selecionados_e_Gerar_PDF" textlink="">
      <xdr:nvSpPr>
        <xdr:cNvPr id="3" name="Retângulo 2">
          <a:extLst>
            <a:ext uri="{FF2B5EF4-FFF2-40B4-BE49-F238E27FC236}">
              <a16:creationId xmlns:a16="http://schemas.microsoft.com/office/drawing/2014/main" id="{D22950D6-F81B-755E-7524-B3CD624202B3}"/>
            </a:ext>
          </a:extLst>
        </xdr:cNvPr>
        <xdr:cNvSpPr/>
      </xdr:nvSpPr>
      <xdr:spPr>
        <a:xfrm>
          <a:off x="13533783" y="932428"/>
          <a:ext cx="1101587" cy="63298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EMITIR</a:t>
          </a:r>
          <a:r>
            <a:rPr lang="pt-BR" sz="1400" b="1" baseline="0"/>
            <a:t> PDF</a:t>
          </a:r>
          <a:endParaRPr lang="pt-BR" sz="1400" b="1"/>
        </a:p>
      </xdr:txBody>
    </xdr:sp>
    <xdr:clientData/>
  </xdr:twoCellAnchor>
  <xdr:twoCellAnchor>
    <xdr:from>
      <xdr:col>14</xdr:col>
      <xdr:colOff>561975</xdr:colOff>
      <xdr:row>4</xdr:row>
      <xdr:rowOff>133350</xdr:rowOff>
    </xdr:from>
    <xdr:to>
      <xdr:col>16</xdr:col>
      <xdr:colOff>429453</xdr:colOff>
      <xdr:row>7</xdr:row>
      <xdr:rowOff>172692</xdr:rowOff>
    </xdr:to>
    <xdr:sp macro="[0]!AbrirFormCancelarEmissao_UI" textlink="">
      <xdr:nvSpPr>
        <xdr:cNvPr id="5" name="Retângulo 4">
          <a:extLst>
            <a:ext uri="{FF2B5EF4-FFF2-40B4-BE49-F238E27FC236}">
              <a16:creationId xmlns:a16="http://schemas.microsoft.com/office/drawing/2014/main" id="{5C1200CE-99DE-439A-A141-7BF9C4296333}"/>
            </a:ext>
          </a:extLst>
        </xdr:cNvPr>
        <xdr:cNvSpPr/>
      </xdr:nvSpPr>
      <xdr:spPr>
        <a:xfrm>
          <a:off x="12153900" y="942975"/>
          <a:ext cx="1086678" cy="6108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  <a:r>
            <a:rPr lang="pt-BR" sz="1400" b="1" baseline="0"/>
            <a:t> EMISSÃO</a:t>
          </a:r>
          <a:endParaRPr lang="pt-BR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6</xdr:row>
      <xdr:rowOff>38100</xdr:rowOff>
    </xdr:from>
    <xdr:to>
      <xdr:col>12</xdr:col>
      <xdr:colOff>133350</xdr:colOff>
      <xdr:row>9</xdr:row>
      <xdr:rowOff>114300</xdr:rowOff>
    </xdr:to>
    <xdr:sp macro="[0]!Finalizar_Retorno" textlink="">
      <xdr:nvSpPr>
        <xdr:cNvPr id="2" name="Retângulo 1">
          <a:extLst>
            <a:ext uri="{FF2B5EF4-FFF2-40B4-BE49-F238E27FC236}">
              <a16:creationId xmlns:a16="http://schemas.microsoft.com/office/drawing/2014/main" id="{9640D4D2-7209-CD7D-2083-A268C39B669E}"/>
            </a:ext>
          </a:extLst>
        </xdr:cNvPr>
        <xdr:cNvSpPr/>
      </xdr:nvSpPr>
      <xdr:spPr>
        <a:xfrm>
          <a:off x="14135100" y="1228725"/>
          <a:ext cx="139065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FINALIZAR</a:t>
          </a:r>
          <a:r>
            <a:rPr lang="pt-BR" sz="1400" b="1" baseline="0"/>
            <a:t> EMISSÃO</a:t>
          </a:r>
          <a:endParaRPr lang="pt-BR" sz="1400" b="1"/>
        </a:p>
      </xdr:txBody>
    </xdr:sp>
    <xdr:clientData/>
  </xdr:twoCellAnchor>
  <xdr:twoCellAnchor>
    <xdr:from>
      <xdr:col>9</xdr:col>
      <xdr:colOff>561975</xdr:colOff>
      <xdr:row>1</xdr:row>
      <xdr:rowOff>114300</xdr:rowOff>
    </xdr:from>
    <xdr:to>
      <xdr:col>12</xdr:col>
      <xdr:colOff>123825</xdr:colOff>
      <xdr:row>5</xdr:row>
      <xdr:rowOff>0</xdr:rowOff>
    </xdr:to>
    <xdr:sp macro="[0]!Carregar_Retorno_Emissao" textlink="">
      <xdr:nvSpPr>
        <xdr:cNvPr id="4" name="Retângulo 3">
          <a:extLst>
            <a:ext uri="{FF2B5EF4-FFF2-40B4-BE49-F238E27FC236}">
              <a16:creationId xmlns:a16="http://schemas.microsoft.com/office/drawing/2014/main" id="{0B6B75B7-C2F0-4D38-AAD6-6E7B307B4D0D}"/>
            </a:ext>
          </a:extLst>
        </xdr:cNvPr>
        <xdr:cNvSpPr/>
      </xdr:nvSpPr>
      <xdr:spPr>
        <a:xfrm>
          <a:off x="14125575" y="352425"/>
          <a:ext cx="139065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CARREGAR EMISSÃO</a:t>
          </a:r>
          <a:endParaRPr lang="pt-BR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19</xdr:col>
      <xdr:colOff>0</xdr:colOff>
      <xdr:row>2</xdr:row>
      <xdr:rowOff>0</xdr:rowOff>
    </xdr:to>
    <xdr:sp macro="[0]!CarregarDashboardPaineisPorBalsa" textlink="">
      <xdr:nvSpPr>
        <xdr:cNvPr id="5" name="btnCarregarDashboardPaineis">
          <a:extLst>
            <a:ext uri="{FF2B5EF4-FFF2-40B4-BE49-F238E27FC236}">
              <a16:creationId xmlns:a16="http://schemas.microsoft.com/office/drawing/2014/main" id="{B18F00F0-64CA-C0A3-B39A-852BF0573F44}"/>
            </a:ext>
          </a:extLst>
        </xdr:cNvPr>
        <xdr:cNvSpPr/>
      </xdr:nvSpPr>
      <xdr:spPr>
        <a:xfrm>
          <a:off x="16268700" y="0"/>
          <a:ext cx="3581400" cy="428625"/>
        </a:xfrm>
        <a:prstGeom prst="roundRect">
          <a:avLst/>
        </a:prstGeom>
        <a:solidFill>
          <a:srgbClr val="0070C0"/>
        </a:solidFill>
        <a:ln>
          <a:solidFill>
            <a:srgbClr val="005B9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FFFFFF"/>
              </a:solidFill>
            </a:rPr>
            <a:t>CARREGAR DADOS</a:t>
          </a: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25</xdr:col>
      <xdr:colOff>0</xdr:colOff>
      <xdr:row>24</xdr:row>
      <xdr:rowOff>0</xdr:rowOff>
    </xdr:to>
    <xdr:graphicFrame macro="">
      <xdr:nvGraphicFramePr>
        <xdr:cNvPr id="6" name="chtPctConcluidoPainel">
          <a:extLst>
            <a:ext uri="{FF2B5EF4-FFF2-40B4-BE49-F238E27FC236}">
              <a16:creationId xmlns:a16="http://schemas.microsoft.com/office/drawing/2014/main" id="{760FB937-B68E-F192-98D0-EA1BBAA49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26</xdr:row>
      <xdr:rowOff>0</xdr:rowOff>
    </xdr:from>
    <xdr:to>
      <xdr:col>25</xdr:col>
      <xdr:colOff>0</xdr:colOff>
      <xdr:row>41</xdr:row>
      <xdr:rowOff>0</xdr:rowOff>
    </xdr:to>
    <xdr:graphicFrame macro="">
      <xdr:nvGraphicFramePr>
        <xdr:cNvPr id="7" name="chtPendentesPainel">
          <a:extLst>
            <a:ext uri="{FF2B5EF4-FFF2-40B4-BE49-F238E27FC236}">
              <a16:creationId xmlns:a16="http://schemas.microsoft.com/office/drawing/2014/main" id="{AE1F83E8-64D1-D734-FB2C-4500D0B431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571500</xdr:colOff>
      <xdr:row>1</xdr:row>
      <xdr:rowOff>19050</xdr:rowOff>
    </xdr:from>
    <xdr:to>
      <xdr:col>11</xdr:col>
      <xdr:colOff>28575</xdr:colOff>
      <xdr:row>2</xdr:row>
      <xdr:rowOff>161925</xdr:rowOff>
    </xdr:to>
    <xdr:sp macro="[0]!Atualizar_Listas_Base" textlink="">
      <xdr:nvSpPr>
        <xdr:cNvPr id="2" name="Retângulo 1">
          <a:extLst>
            <a:ext uri="{FF2B5EF4-FFF2-40B4-BE49-F238E27FC236}">
              <a16:creationId xmlns:a16="http://schemas.microsoft.com/office/drawing/2014/main" id="{71AEAF5F-1A3A-CF6D-4D4A-274A790D231D}"/>
            </a:ext>
          </a:extLst>
        </xdr:cNvPr>
        <xdr:cNvSpPr/>
      </xdr:nvSpPr>
      <xdr:spPr>
        <a:xfrm>
          <a:off x="10306050" y="257175"/>
          <a:ext cx="119062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 BASE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0</xdr:row>
      <xdr:rowOff>85725</xdr:rowOff>
    </xdr:from>
    <xdr:to>
      <xdr:col>9</xdr:col>
      <xdr:colOff>1846495</xdr:colOff>
      <xdr:row>4</xdr:row>
      <xdr:rowOff>56433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091DD38-454F-4B65-AD74-70A005FAF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875" y="85725"/>
          <a:ext cx="1827445" cy="7879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Balsas" displayName="tblBalsas" ref="A4:J8" headerRowDxfId="102" dataDxfId="101" totalsRowDxfId="100">
  <autoFilter ref="A4:J8" xr:uid="{00000000-0009-0000-0100-000002000000}"/>
  <tableColumns count="10">
    <tableColumn id="1" xr3:uid="{00000000-0010-0000-0100-000001000000}" name="ID_BALSA" dataDxfId="99"/>
    <tableColumn id="2" xr3:uid="{00000000-0010-0000-0100-000002000000}" name="TIPO_BALSA" dataDxfId="98"/>
    <tableColumn id="3" xr3:uid="{00000000-0010-0000-0100-000003000000}" name="NOME_BALSA" dataDxfId="97"/>
    <tableColumn id="4" xr3:uid="{00000000-0010-0000-0100-000004000000}" name="DATA_CADASTRO" dataDxfId="96">
      <calculatedColumnFormula>IF(C5&lt;&gt;"",TODAY(),"")</calculatedColumnFormula>
    </tableColumn>
    <tableColumn id="5" xr3:uid="{00000000-0010-0000-0100-000005000000}" name="TOTAL_NESTINGS" dataDxfId="95">
      <calculatedColumnFormula>IF(A5&lt;&gt;"",SUMPRODUCT((tblControle[ID_BALSA]=A5)*(tblControle[NESTING]&lt;&gt;"")/((tblControle[NESTING]="")+(tblControle[ID_BALSA]&lt;&gt;A5)+COUNTIFS(tblControle[ID_BALSA],A5,tblControle[NESTING],tblControle[NESTING]&amp;""))),"")</calculatedColumnFormula>
    </tableColumn>
    <tableColumn id="6" xr3:uid="{00000000-0010-0000-0100-000006000000}" name="EMITIDOS" dataDxfId="94">
      <calculatedColumnFormula>IF(A5&lt;&gt;"",SUMPRODUCT((tblControle[ID_BALSA]=A5)*(((tblControle[STATUS_PROCESSO]="Em processamento")+(tblControle[STATUS_PROCESSO]="Finalizado"))&gt;0)*(tblControle[NESTING]&lt;&gt;"")/((tblControle[NESTING]="")+(tblControle[ID_BALSA]&lt;&gt;A5)+COUNTIFS(tblControle[ID_BALSA],A5,tblControle[NESTING],tblControle[NESTING]&amp;""))),"")</calculatedColumnFormula>
    </tableColumn>
    <tableColumn id="7" xr3:uid="{00000000-0010-0000-0100-000007000000}" name="FINALIZADOS" dataDxfId="93">
      <calculatedColumnFormula>IF(A5&lt;&gt;"",SUMPRODUCT((tblControle[ID_BALSA]=A5)*(tblControle[STATUS_PROCESSO]="Finalizado")*(tblControle[NESTING]&lt;&gt;"")/((tblControle[NESTING]="")+(tblControle[ID_BALSA]&lt;&gt;A5)+COUNTIFS(tblControle[ID_BALSA],A5,tblControle[NESTING],tblControle[NESTING]&amp;""))),"")</calculatedColumnFormula>
    </tableColumn>
    <tableColumn id="8" xr3:uid="{00000000-0010-0000-0100-000008000000}" name="PENDENTES" dataDxfId="92">
      <calculatedColumnFormula>IF(A5&lt;&gt;"",IF(E5-G5&gt;0,E5-G5,0),"")</calculatedColumnFormula>
    </tableColumn>
    <tableColumn id="9" xr3:uid="{00000000-0010-0000-0100-000009000000}" name="%CONCLUIDO" dataDxfId="91">
      <calculatedColumnFormula>IFERROR(G5/E5,0)</calculatedColumnFormula>
    </tableColumn>
    <tableColumn id="10" xr3:uid="{00000000-0010-0000-0100-00000A000000}" name="STATUS_BALSA" dataDxfId="90">
      <calculatedColumnFormula>IF(A5="","",IF(E5=0,"Sem base",IF(G5&gt;=E5,"Concluida",IF(F5&gt;0,"Em andamento","Nao iniciada"))))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Emissoes" displayName="tblEmissoes" ref="A4:Q618" headerRowDxfId="89" dataDxfId="88" totalsRowDxfId="87">
  <autoFilter ref="A4:Q618" xr:uid="{00000000-0009-0000-0100-000004000000}">
    <filterColumn colId="4">
      <filters>
        <filter val="14"/>
      </filters>
    </filterColumn>
    <filterColumn colId="9">
      <filters>
        <filter val="3994"/>
      </filters>
    </filterColumn>
  </autoFilter>
  <tableColumns count="17">
    <tableColumn id="1" xr3:uid="{00000000-0010-0000-0300-000001000000}" name="ID_EMISSAO" dataDxfId="86"/>
    <tableColumn id="2" xr3:uid="{00000000-0010-0000-0300-000002000000}" name="DATA_EMISSAO" dataDxfId="85"/>
    <tableColumn id="3" xr3:uid="{00000000-0010-0000-0300-000003000000}" name="ID_BALSA" dataDxfId="84"/>
    <tableColumn id="4" xr3:uid="{00000000-0010-0000-0300-000004000000}" name="TIPO_BALSA" dataDxfId="83"/>
    <tableColumn id="5" xr3:uid="{00000000-0010-0000-0300-000005000000}" name="NOME_BALSA" dataDxfId="82"/>
    <tableColumn id="6" xr3:uid="{00000000-0010-0000-0300-000006000000}" name="MAQUINA" dataDxfId="81"/>
    <tableColumn id="7" xr3:uid="{00000000-0010-0000-0300-000007000000}" name="TURNO" dataDxfId="80"/>
    <tableColumn id="8" xr3:uid="{00000000-0010-0000-0300-000008000000}" name="BLOCO" dataDxfId="79"/>
    <tableColumn id="9" xr3:uid="{00000000-0010-0000-0300-000009000000}" name="PAINEL" dataDxfId="78"/>
    <tableColumn id="10" xr3:uid="{00000000-0010-0000-0300-00000A000000}" name="NESTING" dataDxfId="77"/>
    <tableColumn id="11" xr3:uid="{00000000-0010-0000-0300-00000B000000}" name="PECAS_AGRUPADAS" dataDxfId="76"/>
    <tableColumn id="12" xr3:uid="{00000000-0010-0000-0300-00000C000000}" name="QTDE_PECAS" dataDxfId="75"/>
    <tableColumn id="13" xr3:uid="{00000000-0010-0000-0300-00000D000000}" name="DESCRICAO_AGRUPADA" dataDxfId="74"/>
    <tableColumn id="14" xr3:uid="{00000000-0010-0000-0300-00000E000000}" name="ESPESSURA_MM" dataDxfId="73"/>
    <tableColumn id="15" xr3:uid="{00000000-0010-0000-0300-00000F000000}" name="STATUS_PROCESSO" dataDxfId="72"/>
    <tableColumn id="16" xr3:uid="{00000000-0010-0000-0300-000010000000}" name="OBS_EMISSAO" dataDxfId="71"/>
    <tableColumn id="17" xr3:uid="{00000000-0010-0000-0300-000011000000}" name="CHAVE_NESTING" dataDxfId="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ase" displayName="tblBase" ref="A4:L1701" headerRowDxfId="69" dataDxfId="68" totalsRowDxfId="67">
  <autoFilter ref="A4:L1701" xr:uid="{00000000-0009-0000-0100-000001000000}">
    <filterColumn colId="0">
      <filters>
        <filter val="RAKE"/>
      </filters>
    </filterColumn>
    <filterColumn colId="4">
      <filters>
        <filter val="1.767 x 11.600"/>
        <filter val="1.767 x 12.000"/>
        <filter val="1.860 x 11.913"/>
        <filter val="11.600 x 1.860"/>
        <filter val="11.810 x 1.860"/>
        <filter val="11.900 x 1.860"/>
        <filter val="11.913 x 1.860"/>
        <filter val="12.000 x 1.686"/>
        <filter val="12.000 x 1.760"/>
        <filter val="12.000 x 1.767"/>
        <filter val="12.000 x 1.817"/>
        <filter val="12.000 x 1.860"/>
        <filter val="12.000 x 1.868"/>
      </filters>
    </filterColumn>
  </autoFilter>
  <tableColumns count="12">
    <tableColumn id="1" xr3:uid="{00000000-0010-0000-0000-000001000000}" name="TIPO_BALSA" dataDxfId="66"/>
    <tableColumn id="2" xr3:uid="{00000000-0010-0000-0000-000002000000}" name="TEMPO DE CORTE TOTAL" dataDxfId="65"/>
    <tableColumn id="3" xr3:uid="{00000000-0010-0000-0000-000003000000}" name="QTD" dataDxfId="64"/>
    <tableColumn id="4" xr3:uid="{00000000-0010-0000-0000-000004000000}" name="PECA" dataDxfId="63"/>
    <tableColumn id="5" xr3:uid="{00000000-0010-0000-0000-000005000000}" name="DESCRICAO" dataDxfId="62"/>
    <tableColumn id="6" xr3:uid="{00000000-0010-0000-0000-000006000000}" name="ESPESSURA_MM" dataDxfId="61"/>
    <tableColumn id="7" xr3:uid="{00000000-0010-0000-0000-000007000000}" name="PESO_KG" dataDxfId="60"/>
    <tableColumn id="8" xr3:uid="{00000000-0010-0000-0000-000008000000}" name="PESO_TOTAL_KG" dataDxfId="59"/>
    <tableColumn id="9" xr3:uid="{00000000-0010-0000-0000-000009000000}" name="BLOCO" dataDxfId="58"/>
    <tableColumn id="10" xr3:uid="{00000000-0010-0000-0000-00000A000000}" name="PAINEL" dataDxfId="57"/>
    <tableColumn id="11" xr3:uid="{00000000-0010-0000-0000-00000B000000}" name="NESTING" dataDxfId="56"/>
    <tableColumn id="12" xr3:uid="{00000000-0010-0000-0000-00000C000000}" name="OBS_BASE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ontrole" displayName="tblControle" ref="A4:AA3358" headerRowDxfId="54" dataDxfId="53" totalsRowDxfId="52">
  <autoFilter ref="A4:AA3358" xr:uid="{00000000-000C-0000-FFFF-FFFF02000000}"/>
  <tableColumns count="27">
    <tableColumn id="1" xr3:uid="{00000000-0010-0000-0200-000001000000}" name="ID_ITEMCTRL" dataDxfId="51"/>
    <tableColumn id="2" xr3:uid="{00000000-0010-0000-0200-000002000000}" name="ID_BALSA" dataDxfId="50"/>
    <tableColumn id="3" xr3:uid="{00000000-0010-0000-0200-000003000000}" name="TIPO_BALSA" dataDxfId="49"/>
    <tableColumn id="4" xr3:uid="{00000000-0010-0000-0200-000004000000}" name="NOME_BALSA" dataDxfId="48"/>
    <tableColumn id="5" xr3:uid="{00000000-0010-0000-0200-000005000000}" name="BLOCO" dataDxfId="47"/>
    <tableColumn id="6" xr3:uid="{00000000-0010-0000-0200-000006000000}" name="PAINEL" dataDxfId="46"/>
    <tableColumn id="7" xr3:uid="{00000000-0010-0000-0200-000007000000}" name="NESTING" dataDxfId="45"/>
    <tableColumn id="8" xr3:uid="{00000000-0010-0000-0200-000008000000}" name="PECA" dataDxfId="44"/>
    <tableColumn id="9" xr3:uid="{00000000-0010-0000-0200-000009000000}" name="DESCRICAO" dataDxfId="43"/>
    <tableColumn id="10" xr3:uid="{00000000-0010-0000-0200-00000A000000}" name="ESPESSURA_MM" dataDxfId="42"/>
    <tableColumn id="11" xr3:uid="{00000000-0010-0000-0200-00000B000000}" name="QTD" dataDxfId="41"/>
    <tableColumn id="12" xr3:uid="{00000000-0010-0000-0200-00000C000000}" name="TEMPO_CORTE_TOTAL" dataDxfId="40"/>
    <tableColumn id="13" xr3:uid="{00000000-0010-0000-0200-00000D000000}" name="STATUS_PROCESSO" dataDxfId="39"/>
    <tableColumn id="14" xr3:uid="{00000000-0010-0000-0200-00000E000000}" name="ID_EMISSAO" dataDxfId="38"/>
    <tableColumn id="15" xr3:uid="{00000000-0010-0000-0200-00000F000000}" name="DATA_EMISSAO" dataDxfId="37"/>
    <tableColumn id="16" xr3:uid="{00000000-0010-0000-0200-000010000000}" name="MAQUINA" dataDxfId="36"/>
    <tableColumn id="17" xr3:uid="{00000000-0010-0000-0200-000011000000}" name="TURNO" dataDxfId="35"/>
    <tableColumn id="18" xr3:uid="{00000000-0010-0000-0200-000012000000}" name="DATA_FINALIZACAO" dataDxfId="34"/>
    <tableColumn id="19" xr3:uid="{00000000-0010-0000-0200-000013000000}" name="HORA_INICIO" dataDxfId="33"/>
    <tableColumn id="20" xr3:uid="{00000000-0010-0000-0200-000014000000}" name="HORA_FIM" dataDxfId="32"/>
    <tableColumn id="21" xr3:uid="{00000000-0010-0000-0200-000015000000}" name="HOUVE_PARADA" dataDxfId="31"/>
    <tableColumn id="22" xr3:uid="{00000000-0010-0000-0200-000016000000}" name="MOTIVO_PARADA" dataDxfId="30"/>
    <tableColumn id="23" xr3:uid="{00000000-0010-0000-0200-000017000000}" name="OBSERVACAO" dataDxfId="29"/>
    <tableColumn id="24" xr3:uid="{00000000-0010-0000-0200-000018000000}" name="CHAVE_NESTING" dataDxfId="28"/>
    <tableColumn id="25" xr3:uid="{27ED8BB7-39B1-48A8-A190-11D96EEC213D}" name="OPERADOR" dataDxfId="27"/>
    <tableColumn id="26" xr3:uid="{75CD72C1-5A73-48CC-94D5-037D59EC5D35}" name="CARREIRA_CHAPA" dataDxfId="26" totalsRowDxfId="25"/>
    <tableColumn id="27" xr3:uid="{20D2296D-D7A3-4067-91D2-0DEE131C9959}" name="Coluna1" dataDxfId="24" totalsRow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Retorno" displayName="tblRetorno" ref="A4:S303" headerRowDxfId="22" dataDxfId="21" totalsRowDxfId="20">
  <autoFilter ref="A4:S303" xr:uid="{00000000-0009-0000-0100-000005000000}"/>
  <tableColumns count="19">
    <tableColumn id="1" xr3:uid="{00000000-0010-0000-0400-000001000000}" name="ID_EMISSAO" dataDxfId="19"/>
    <tableColumn id="2" xr3:uid="{00000000-0010-0000-0400-000002000000}" name="DATA_BAIXA" dataDxfId="18"/>
    <tableColumn id="3" xr3:uid="{00000000-0010-0000-0400-000003000000}" name="ID_BALSA" dataDxfId="17"/>
    <tableColumn id="4" xr3:uid="{00000000-0010-0000-0400-000004000000}" name="TIPO_BALSA" dataDxfId="16"/>
    <tableColumn id="5" xr3:uid="{00000000-0010-0000-0400-000005000000}" name="NOME_BALSA" dataDxfId="15"/>
    <tableColumn id="6" xr3:uid="{00000000-0010-0000-0400-000006000000}" name="MAQUINA" dataDxfId="14"/>
    <tableColumn id="7" xr3:uid="{00000000-0010-0000-0400-000007000000}" name="TURNO" dataDxfId="13"/>
    <tableColumn id="8" xr3:uid="{00000000-0010-0000-0400-000008000000}" name="BLOCO" dataDxfId="12"/>
    <tableColumn id="9" xr3:uid="{00000000-0010-0000-0400-000009000000}" name="PAINEL" dataDxfId="11"/>
    <tableColumn id="10" xr3:uid="{00000000-0010-0000-0400-00000A000000}" name="NESTING" dataDxfId="10"/>
    <tableColumn id="11" xr3:uid="{00000000-0010-0000-0400-00000B000000}" name="PECAS_AGRUPADAS" dataDxfId="9"/>
    <tableColumn id="12" xr3:uid="{00000000-0010-0000-0400-00000C000000}" name="HORA_INICIO" dataDxfId="8"/>
    <tableColumn id="13" xr3:uid="{00000000-0010-0000-0400-00000D000000}" name="HORA_FIM" dataDxfId="7"/>
    <tableColumn id="14" xr3:uid="{00000000-0010-0000-0400-00000E000000}" name="HOUVE_PARADA" dataDxfId="6"/>
    <tableColumn id="15" xr3:uid="{00000000-0010-0000-0400-00000F000000}" name="MOTIVO_PARADA" dataDxfId="5"/>
    <tableColumn id="16" xr3:uid="{00000000-0010-0000-0400-000010000000}" name="OBS" dataDxfId="4"/>
    <tableColumn id="17" xr3:uid="{00000000-0010-0000-0400-000011000000}" name="STATUS_FINAL" dataDxfId="3"/>
    <tableColumn id="18" xr3:uid="{A3E28D36-6F07-4815-9F2B-EEEFD5CBB58B}" name="OPERADOR" dataDxfId="2"/>
    <tableColumn id="19" xr3:uid="{FEDE384E-8669-453C-821B-86856E0E2392}" name="CARREIRA_CHAPA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12"/>
  <sheetViews>
    <sheetView showGridLines="0" workbookViewId="0">
      <selection activeCell="G14" sqref="G14"/>
    </sheetView>
  </sheetViews>
  <sheetFormatPr defaultColWidth="9.140625" defaultRowHeight="15" x14ac:dyDescent="0.25"/>
  <cols>
    <col min="1" max="1" width="130" customWidth="1"/>
  </cols>
  <sheetData>
    <row r="1" spans="1:10" ht="21.95" customHeight="1" x14ac:dyDescent="0.25">
      <c r="A1" s="64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10" ht="21.95" customHeight="1" x14ac:dyDescent="0.25">
      <c r="A2" t="s">
        <v>1</v>
      </c>
    </row>
    <row r="3" spans="1:10" ht="21.95" customHeight="1" x14ac:dyDescent="0.25">
      <c r="A3" s="16" t="s">
        <v>2</v>
      </c>
    </row>
    <row r="4" spans="1:10" ht="21.95" customHeight="1" x14ac:dyDescent="0.25">
      <c r="A4" s="16" t="s">
        <v>3</v>
      </c>
    </row>
    <row r="5" spans="1:10" ht="21.95" customHeight="1" x14ac:dyDescent="0.25">
      <c r="A5" s="16" t="s">
        <v>4</v>
      </c>
    </row>
    <row r="6" spans="1:10" ht="21.95" customHeight="1" x14ac:dyDescent="0.25">
      <c r="A6" s="16" t="s">
        <v>5</v>
      </c>
    </row>
    <row r="7" spans="1:10" ht="21.95" customHeight="1" x14ac:dyDescent="0.25">
      <c r="A7" s="16" t="s">
        <v>6</v>
      </c>
    </row>
    <row r="8" spans="1:10" ht="26.25" x14ac:dyDescent="0.25">
      <c r="A8" s="16" t="s">
        <v>7</v>
      </c>
    </row>
    <row r="9" spans="1:10" ht="26.25" x14ac:dyDescent="0.25">
      <c r="A9" s="16" t="s">
        <v>8</v>
      </c>
    </row>
    <row r="10" spans="1:10" ht="21.95" customHeight="1" x14ac:dyDescent="0.25">
      <c r="A10" s="16" t="s">
        <v>9</v>
      </c>
    </row>
    <row r="11" spans="1:10" ht="21.95" customHeight="1" x14ac:dyDescent="0.25">
      <c r="A11" s="16" t="s">
        <v>10</v>
      </c>
    </row>
    <row r="12" spans="1:10" ht="21.95" customHeight="1" x14ac:dyDescent="0.25">
      <c r="A12" s="16" t="s">
        <v>11</v>
      </c>
    </row>
  </sheetData>
  <sheetProtection sort="0" autoFilter="0"/>
  <mergeCells count="1">
    <mergeCell ref="A1:J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J8"/>
  <sheetViews>
    <sheetView showGridLines="0" workbookViewId="0">
      <pane ySplit="4" topLeftCell="A5" activePane="bottomLeft" state="frozen"/>
      <selection pane="bottomLeft" activeCell="B8" sqref="B8"/>
    </sheetView>
  </sheetViews>
  <sheetFormatPr defaultColWidth="9.140625" defaultRowHeight="15" x14ac:dyDescent="0.25"/>
  <cols>
    <col min="1" max="1" width="14" customWidth="1"/>
    <col min="2" max="2" width="12" customWidth="1"/>
    <col min="3" max="3" width="22" customWidth="1"/>
    <col min="4" max="4" width="14" style="24" customWidth="1"/>
    <col min="5" max="5" width="14" customWidth="1"/>
    <col min="6" max="6" width="12" customWidth="1"/>
    <col min="7" max="7" width="14" customWidth="1"/>
    <col min="8" max="9" width="12" customWidth="1"/>
    <col min="10" max="10" width="16" customWidth="1"/>
  </cols>
  <sheetData>
    <row r="1" spans="1:10" ht="18.75" x14ac:dyDescent="0.25">
      <c r="A1" s="64" t="s">
        <v>12</v>
      </c>
      <c r="B1" s="66"/>
      <c r="C1" s="66"/>
      <c r="D1" s="66"/>
      <c r="E1" s="66"/>
      <c r="F1" s="66"/>
      <c r="G1" s="66"/>
      <c r="H1" s="66"/>
      <c r="I1" s="66"/>
      <c r="J1" s="67"/>
    </row>
    <row r="2" spans="1:10" x14ac:dyDescent="0.25">
      <c r="A2" s="61" t="s">
        <v>13</v>
      </c>
      <c r="B2" s="63"/>
      <c r="C2" s="63"/>
      <c r="D2" s="63"/>
      <c r="E2" s="63"/>
      <c r="F2" s="63"/>
      <c r="G2" s="63"/>
      <c r="H2" s="63"/>
      <c r="I2" s="63"/>
      <c r="J2" s="63"/>
    </row>
    <row r="4" spans="1:10" ht="25.5" x14ac:dyDescent="0.25">
      <c r="A4" s="6" t="s">
        <v>14</v>
      </c>
      <c r="B4" s="6" t="s">
        <v>15</v>
      </c>
      <c r="C4" s="6" t="s">
        <v>16</v>
      </c>
      <c r="D4" s="38" t="s">
        <v>17</v>
      </c>
      <c r="E4" s="6" t="s">
        <v>18</v>
      </c>
      <c r="F4" s="6" t="s">
        <v>19</v>
      </c>
      <c r="G4" s="6" t="s">
        <v>20</v>
      </c>
      <c r="H4" s="6" t="s">
        <v>21</v>
      </c>
      <c r="I4" s="6" t="s">
        <v>22</v>
      </c>
      <c r="J4" s="6" t="s">
        <v>23</v>
      </c>
    </row>
    <row r="5" spans="1:10" x14ac:dyDescent="0.25">
      <c r="A5" t="s">
        <v>24</v>
      </c>
      <c r="B5" t="s">
        <v>25</v>
      </c>
      <c r="C5">
        <v>13</v>
      </c>
      <c r="D5" s="24">
        <f ca="1">IF(C5&lt;&gt;"",TODAY(),"")</f>
        <v>46141</v>
      </c>
      <c r="E5">
        <f>IF(A5&lt;&gt;"",SUMPRODUCT((tblControle[ID_BALSA]=A5)*(tblControle[NESTING]&lt;&gt;"")/((tblControle[NESTING]="")+(tblControle[ID_BALSA]&lt;&gt;A5)+COUNTIFS(tblControle[ID_BALSA],A5,tblControle[NESTING],tblControle[NESTING]&amp;""))),"")</f>
        <v>213.99999999999875</v>
      </c>
      <c r="F5">
        <f>IF(A5&lt;&gt;"",SUMPRODUCT((tblControle[ID_BALSA]=A5)*(((tblControle[STATUS_PROCESSO]="Em processamento")+(tblControle[STATUS_PROCESSO]="Finalizado"))&gt;0)*(tblControle[NESTING]&lt;&gt;"")/((tblControle[NESTING]="")+(tblControle[ID_BALSA]&lt;&gt;A5)+COUNTIFS(tblControle[ID_BALSA],A5,tblControle[NESTING],tblControle[NESTING]&amp;""))),"")</f>
        <v>182.99999999999901</v>
      </c>
      <c r="G5">
        <f>IF(A5&lt;&gt;"",SUMPRODUCT((tblControle[ID_BALSA]=A5)*(tblControle[STATUS_PROCESSO]="Finalizado")*(tblControle[NESTING]&lt;&gt;"")/((tblControle[NESTING]="")+(tblControle[ID_BALSA]&lt;&gt;A5)+COUNTIFS(tblControle[ID_BALSA],A5,tblControle[NESTING],tblControle[NESTING]&amp;""))),"")</f>
        <v>182.99999999999901</v>
      </c>
      <c r="H5">
        <f>IF(A5&lt;&gt;"",IF(E5-G5&gt;0,E5-G5,0),"")</f>
        <v>30.999999999999744</v>
      </c>
      <c r="I5" s="23">
        <f>IFERROR(G5/E5,0)</f>
        <v>0.85514018691588822</v>
      </c>
      <c r="J5" t="str">
        <f>IF(A5="","",IF(E5=0,"Sem base",IF(G5&gt;=E5,"Concluida",IF(F5&gt;0,"Em andamento","Nao iniciada"))))</f>
        <v>Em andamento</v>
      </c>
    </row>
    <row r="6" spans="1:10" x14ac:dyDescent="0.25">
      <c r="A6" t="s">
        <v>26</v>
      </c>
      <c r="B6" t="s">
        <v>27</v>
      </c>
      <c r="C6">
        <v>15</v>
      </c>
      <c r="D6" s="24">
        <f ca="1">IF(C6&lt;&gt;"",TODAY(),"")</f>
        <v>46141</v>
      </c>
      <c r="E6">
        <f>IF(A6&lt;&gt;"",SUMPRODUCT((tblControle[ID_BALSA]=A6)*(tblControle[NESTING]&lt;&gt;"")/((tblControle[NESTING]="")+(tblControle[ID_BALSA]&lt;&gt;A6)+COUNTIFS(tblControle[ID_BALSA],A6,tblControle[NESTING],tblControle[NESTING]&amp;""))),"")</f>
        <v>223.99999999999926</v>
      </c>
      <c r="F6">
        <f>IF(A6&lt;&gt;"",SUMPRODUCT((tblControle[ID_BALSA]=A6)*(((tblControle[STATUS_PROCESSO]="Em processamento")+(tblControle[STATUS_PROCESSO]="Finalizado"))&gt;0)*(tblControle[NESTING]&lt;&gt;"")/((tblControle[NESTING]="")+(tblControle[ID_BALSA]&lt;&gt;A6)+COUNTIFS(tblControle[ID_BALSA],A6,tblControle[NESTING],tblControle[NESTING]&amp;""))),"")</f>
        <v>150.99999999999974</v>
      </c>
      <c r="G6">
        <f>IF(A6&lt;&gt;"",SUMPRODUCT((tblControle[ID_BALSA]=A6)*(tblControle[STATUS_PROCESSO]="Finalizado")*(tblControle[NESTING]&lt;&gt;"")/((tblControle[NESTING]="")+(tblControle[ID_BALSA]&lt;&gt;A6)+COUNTIFS(tblControle[ID_BALSA],A6,tblControle[NESTING],tblControle[NESTING]&amp;""))),"")</f>
        <v>97.999999999999972</v>
      </c>
      <c r="H6">
        <f>IF(A6&lt;&gt;"",IF(E6-G6&gt;0,E6-G6,0),"")</f>
        <v>125.99999999999929</v>
      </c>
      <c r="I6" s="23">
        <f>IFERROR(G6/E6,0)</f>
        <v>0.43750000000000133</v>
      </c>
      <c r="J6" t="str">
        <f>IF(A6="","",IF(E6=0,"Sem base",IF(G6&gt;=E6,"Concluida",IF(F6&gt;0,"Em andamento","Nao iniciada"))))</f>
        <v>Em andamento</v>
      </c>
    </row>
    <row r="7" spans="1:10" x14ac:dyDescent="0.25">
      <c r="A7" t="s">
        <v>28</v>
      </c>
      <c r="B7" t="s">
        <v>25</v>
      </c>
      <c r="C7">
        <v>14</v>
      </c>
      <c r="D7" s="24">
        <f ca="1">IF(C7&lt;&gt;"",TODAY(),"")</f>
        <v>46141</v>
      </c>
      <c r="E7">
        <f>IF(A7&lt;&gt;"",SUMPRODUCT((tblControle[ID_BALSA]=A7)*(tblControle[NESTING]&lt;&gt;"")/((tblControle[NESTING]="")+(tblControle[ID_BALSA]&lt;&gt;A7)+COUNTIFS(tblControle[ID_BALSA],A7,tblControle[NESTING],tblControle[NESTING]&amp;""))),"")</f>
        <v>213.99999999999935</v>
      </c>
      <c r="F7">
        <f>IF(A7&lt;&gt;"",SUMPRODUCT((tblControle[ID_BALSA]=A7)*(((tblControle[STATUS_PROCESSO]="Em processamento")+(tblControle[STATUS_PROCESSO]="Finalizado"))&gt;0)*(tblControle[NESTING]&lt;&gt;"")/((tblControle[NESTING]="")+(tblControle[ID_BALSA]&lt;&gt;A7)+COUNTIFS(tblControle[ID_BALSA],A7,tblControle[NESTING],tblControle[NESTING]&amp;""))),"")</f>
        <v>171.99999999999977</v>
      </c>
      <c r="G7">
        <f>IF(A7&lt;&gt;"",SUMPRODUCT((tblControle[ID_BALSA]=A7)*(tblControle[STATUS_PROCESSO]="Finalizado")*(tblControle[NESTING]&lt;&gt;"")/((tblControle[NESTING]="")+(tblControle[ID_BALSA]&lt;&gt;A7)+COUNTIFS(tblControle[ID_BALSA],A7,tblControle[NESTING],tblControle[NESTING]&amp;""))),"")</f>
        <v>0</v>
      </c>
      <c r="H7">
        <f>IF(A7&lt;&gt;"",IF(E7-G7&gt;0,E7-G7,0),"")</f>
        <v>213.99999999999935</v>
      </c>
      <c r="I7" s="23">
        <f>IFERROR(G7/E7,0)</f>
        <v>0</v>
      </c>
      <c r="J7" t="str">
        <f>IF(A7="","",IF(E7=0,"Sem base",IF(G7&gt;=E7,"Concluida",IF(F7&gt;0,"Em andamento","Nao iniciada"))))</f>
        <v>Em andamento</v>
      </c>
    </row>
    <row r="8" spans="1:10" x14ac:dyDescent="0.25">
      <c r="A8" t="s">
        <v>29</v>
      </c>
      <c r="B8" t="s">
        <v>27</v>
      </c>
      <c r="C8">
        <v>16</v>
      </c>
      <c r="D8" s="24">
        <f ca="1">IF(C8&lt;&gt;"",TODAY(),"")</f>
        <v>46141</v>
      </c>
      <c r="E8">
        <f>IF(A8&lt;&gt;"",SUMPRODUCT((tblControle[ID_BALSA]=A8)*(tblControle[NESTING]&lt;&gt;"")/((tblControle[NESTING]="")+(tblControle[ID_BALSA]&lt;&gt;A8)+COUNTIFS(tblControle[ID_BALSA],A8,tblControle[NESTING],tblControle[NESTING]&amp;""))),"")</f>
        <v>223.99999999999926</v>
      </c>
      <c r="F8">
        <f>IF(A8&lt;&gt;"",SUMPRODUCT((tblControle[ID_BALSA]=A8)*(((tblControle[STATUS_PROCESSO]="Em processamento")+(tblControle[STATUS_PROCESSO]="Finalizado"))&gt;0)*(tblControle[NESTING]&lt;&gt;"")/((tblControle[NESTING]="")+(tblControle[ID_BALSA]&lt;&gt;A8)+COUNTIFS(tblControle[ID_BALSA],A8,tblControle[NESTING],tblControle[NESTING]&amp;""))),"")</f>
        <v>107.99999999999986</v>
      </c>
      <c r="G8">
        <f>IF(A8&lt;&gt;"",SUMPRODUCT((tblControle[ID_BALSA]=A8)*(tblControle[STATUS_PROCESSO]="Finalizado")*(tblControle[NESTING]&lt;&gt;"")/((tblControle[NESTING]="")+(tblControle[ID_BALSA]&lt;&gt;A8)+COUNTIFS(tblControle[ID_BALSA],A8,tblControle[NESTING],tblControle[NESTING]&amp;""))),"")</f>
        <v>10.999999999999993</v>
      </c>
      <c r="H8">
        <f>IF(A8&lt;&gt;"",IF(E8-G8&gt;0,E8-G8,0),"")</f>
        <v>212.99999999999926</v>
      </c>
      <c r="I8" s="23">
        <f>IFERROR(G8/E8,0)</f>
        <v>4.9107142857142988E-2</v>
      </c>
      <c r="J8" t="str">
        <f>IF(A8="","",IF(E8=0,"Sem base",IF(G8&gt;=E8,"Concluida",IF(F8&gt;0,"Em andamento","Nao iniciada"))))</f>
        <v>Em andamento</v>
      </c>
    </row>
  </sheetData>
  <sheetProtection sort="0" autoFilter="0"/>
  <mergeCells count="2">
    <mergeCell ref="A1:J1"/>
    <mergeCell ref="A2:J2"/>
  </mergeCells>
  <pageMargins left="0.75" right="0.75" top="1" bottom="1" header="0.5" footer="0.5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 filterMode="1"/>
  <dimension ref="A1:H235"/>
  <sheetViews>
    <sheetView showGridLines="0" tabSelected="1" zoomScaleNormal="100" workbookViewId="0">
      <pane ySplit="11" topLeftCell="A64" activePane="bottomLeft" state="frozen"/>
      <selection pane="bottomLeft" activeCell="B4" sqref="B4"/>
    </sheetView>
  </sheetViews>
  <sheetFormatPr defaultColWidth="9.140625" defaultRowHeight="15" x14ac:dyDescent="0.25"/>
  <cols>
    <col min="1" max="1" width="18.28515625" customWidth="1"/>
    <col min="2" max="2" width="18.42578125" style="26" customWidth="1"/>
    <col min="3" max="3" width="34" customWidth="1"/>
    <col min="4" max="4" width="21.7109375" style="26" bestFit="1" customWidth="1"/>
    <col min="5" max="5" width="29.5703125" style="26" customWidth="1"/>
    <col min="6" max="6" width="28" bestFit="1" customWidth="1"/>
    <col min="7" max="7" width="22.5703125" customWidth="1"/>
    <col min="8" max="8" width="12.7109375" hidden="1" customWidth="1"/>
  </cols>
  <sheetData>
    <row r="1" spans="1:8" ht="18.75" x14ac:dyDescent="0.25">
      <c r="A1" s="64" t="s">
        <v>30</v>
      </c>
      <c r="B1" s="65"/>
      <c r="C1" s="66"/>
      <c r="D1" s="66"/>
      <c r="E1" s="66"/>
      <c r="F1" s="66"/>
      <c r="G1" s="66"/>
      <c r="H1" s="67"/>
    </row>
    <row r="2" spans="1:8" x14ac:dyDescent="0.25">
      <c r="A2" s="61" t="s">
        <v>31</v>
      </c>
      <c r="B2" s="62"/>
      <c r="C2" s="63"/>
      <c r="D2" s="63"/>
      <c r="E2" s="63"/>
      <c r="F2" s="63"/>
      <c r="G2" s="63"/>
      <c r="H2" s="63"/>
    </row>
    <row r="4" spans="1:8" x14ac:dyDescent="0.25">
      <c r="A4" s="5" t="s">
        <v>14</v>
      </c>
      <c r="B4" s="27" t="s">
        <v>29</v>
      </c>
      <c r="D4" s="32" t="s">
        <v>32</v>
      </c>
      <c r="E4" s="27">
        <v>605</v>
      </c>
    </row>
    <row r="5" spans="1:8" x14ac:dyDescent="0.25">
      <c r="A5" s="5" t="s">
        <v>15</v>
      </c>
      <c r="B5" s="28" t="str">
        <f>IFERROR(INDEX(tblBalsas[TIPO_BALSA],MATCH(B4,tblBalsas[ID_BALSA],0)),"")</f>
        <v>BOX</v>
      </c>
      <c r="D5" s="32" t="s">
        <v>33</v>
      </c>
      <c r="E5" s="27" t="s">
        <v>34</v>
      </c>
    </row>
    <row r="6" spans="1:8" x14ac:dyDescent="0.25">
      <c r="A6" s="5" t="s">
        <v>16</v>
      </c>
      <c r="B6" s="28">
        <f>IFERROR(INDEX(tblBalsas[NOME_BALSA],MATCH(B4,tblBalsas[ID_BALSA],0)),"")</f>
        <v>16</v>
      </c>
      <c r="E6" s="33"/>
    </row>
    <row r="7" spans="1:8" x14ac:dyDescent="0.25">
      <c r="A7" s="5" t="s">
        <v>35</v>
      </c>
      <c r="B7" s="29">
        <v>46140</v>
      </c>
      <c r="E7" s="33"/>
    </row>
    <row r="8" spans="1:8" x14ac:dyDescent="0.25">
      <c r="D8" s="32" t="s">
        <v>36</v>
      </c>
      <c r="E8" s="28" t="str">
        <f>IF(B4="","",""&amp;TEXT(B7,"mmdd")&amp;"-"&amp;SUBSTITUTE(E4," ","")&amp;"-"&amp;E5&amp;"-"&amp;B4&amp;"-"&amp;TEXT(COUNTIF(tblEmissoes[ID_BALSA],B4)+1,"000"))</f>
        <v>0428-605-D-BOX-16-109</v>
      </c>
    </row>
    <row r="11" spans="1:8" ht="23.25" customHeight="1" x14ac:dyDescent="0.25">
      <c r="A11" s="6" t="s">
        <v>37</v>
      </c>
      <c r="B11" s="6" t="s">
        <v>38</v>
      </c>
      <c r="C11" s="6" t="s">
        <v>39</v>
      </c>
      <c r="D11" s="6" t="s">
        <v>40</v>
      </c>
      <c r="E11" s="6" t="s">
        <v>41</v>
      </c>
      <c r="F11" s="6" t="s">
        <v>42</v>
      </c>
      <c r="G11" s="6" t="s">
        <v>43</v>
      </c>
      <c r="H11" s="6"/>
    </row>
    <row r="12" spans="1:8" hidden="1" x14ac:dyDescent="0.25">
      <c r="A12" s="2"/>
      <c r="B12" s="30">
        <v>3527</v>
      </c>
      <c r="C12" s="9" t="s">
        <v>1162</v>
      </c>
      <c r="D12" s="28">
        <v>8</v>
      </c>
      <c r="E12" s="34">
        <v>6.9212962962962961E-3</v>
      </c>
      <c r="F12" s="7" t="s">
        <v>129</v>
      </c>
      <c r="G12" s="7" t="s">
        <v>115</v>
      </c>
      <c r="H12" s="7"/>
    </row>
    <row r="13" spans="1:8" ht="25.5" hidden="1" customHeight="1" x14ac:dyDescent="0.25">
      <c r="A13" s="2"/>
      <c r="B13" s="30">
        <v>4226</v>
      </c>
      <c r="C13" s="9" t="s">
        <v>988</v>
      </c>
      <c r="D13" s="28">
        <v>8</v>
      </c>
      <c r="E13" s="34">
        <v>1.9907407407407408E-3</v>
      </c>
      <c r="F13" s="7" t="s">
        <v>987</v>
      </c>
      <c r="G13" s="7" t="s">
        <v>773</v>
      </c>
      <c r="H13" s="7"/>
    </row>
    <row r="14" spans="1:8" hidden="1" x14ac:dyDescent="0.25">
      <c r="A14" s="2"/>
      <c r="B14" s="30">
        <v>3528</v>
      </c>
      <c r="C14" s="9" t="s">
        <v>1164</v>
      </c>
      <c r="D14" s="28">
        <v>8</v>
      </c>
      <c r="E14" s="34">
        <v>6.9212962962962961E-3</v>
      </c>
      <c r="F14" s="7" t="s">
        <v>131</v>
      </c>
      <c r="G14" s="25" t="s">
        <v>115</v>
      </c>
      <c r="H14" s="7"/>
    </row>
    <row r="15" spans="1:8" ht="38.25" hidden="1" customHeight="1" x14ac:dyDescent="0.25">
      <c r="A15" s="2"/>
      <c r="B15" s="30">
        <v>3529</v>
      </c>
      <c r="C15" s="9" t="s">
        <v>956</v>
      </c>
      <c r="D15" s="28">
        <v>8</v>
      </c>
      <c r="E15" s="34">
        <v>3.9120370370370368E-3</v>
      </c>
      <c r="F15" s="7" t="s">
        <v>954</v>
      </c>
      <c r="G15" s="7" t="s">
        <v>955</v>
      </c>
      <c r="H15" s="7"/>
    </row>
    <row r="16" spans="1:8" ht="25.5" hidden="1" customHeight="1" x14ac:dyDescent="0.25">
      <c r="A16" s="2"/>
      <c r="B16" s="30">
        <v>3531</v>
      </c>
      <c r="C16" s="9" t="s">
        <v>961</v>
      </c>
      <c r="D16" s="28">
        <v>8</v>
      </c>
      <c r="E16" s="34">
        <v>3.9814814814814817E-3</v>
      </c>
      <c r="F16" s="7" t="s">
        <v>959</v>
      </c>
      <c r="G16" s="7" t="s">
        <v>960</v>
      </c>
      <c r="H16" s="7"/>
    </row>
    <row r="17" spans="1:7" ht="51" hidden="1" customHeight="1" x14ac:dyDescent="0.25">
      <c r="A17" s="2"/>
      <c r="B17" s="30">
        <v>3903</v>
      </c>
      <c r="C17" s="9" t="s">
        <v>1396</v>
      </c>
      <c r="D17" s="28">
        <v>8</v>
      </c>
      <c r="E17" s="34">
        <v>6.134259259259259E-4</v>
      </c>
      <c r="F17" s="7" t="s">
        <v>823</v>
      </c>
      <c r="G17" s="7" t="s">
        <v>1395</v>
      </c>
    </row>
    <row r="18" spans="1:7" ht="15" hidden="1" customHeight="1" x14ac:dyDescent="0.25">
      <c r="A18" s="2"/>
      <c r="B18" s="30">
        <v>3908</v>
      </c>
      <c r="C18" s="9" t="s">
        <v>95</v>
      </c>
      <c r="D18" s="28">
        <v>8</v>
      </c>
      <c r="E18" s="34">
        <v>8.0092592592592594E-3</v>
      </c>
      <c r="F18" s="7" t="s">
        <v>150</v>
      </c>
      <c r="G18" s="7" t="s">
        <v>512</v>
      </c>
    </row>
    <row r="19" spans="1:7" hidden="1" x14ac:dyDescent="0.25">
      <c r="A19" s="2"/>
      <c r="B19" s="30">
        <v>3855</v>
      </c>
      <c r="C19" s="9" t="s">
        <v>94</v>
      </c>
      <c r="D19" s="28">
        <v>8</v>
      </c>
      <c r="E19" s="34">
        <v>7.5231481481481477E-3</v>
      </c>
      <c r="F19" s="7" t="s">
        <v>114</v>
      </c>
      <c r="G19" s="7" t="s">
        <v>512</v>
      </c>
    </row>
    <row r="20" spans="1:7" hidden="1" x14ac:dyDescent="0.25">
      <c r="A20" s="2"/>
      <c r="B20" s="30">
        <v>3549</v>
      </c>
      <c r="C20" s="9" t="s">
        <v>1167</v>
      </c>
      <c r="D20" s="28">
        <v>8</v>
      </c>
      <c r="E20" s="34">
        <v>6.4583333333333333E-3</v>
      </c>
      <c r="F20" s="7" t="s">
        <v>1166</v>
      </c>
      <c r="G20" s="7" t="s">
        <v>225</v>
      </c>
    </row>
    <row r="21" spans="1:7" hidden="1" x14ac:dyDescent="0.25">
      <c r="A21" s="2"/>
      <c r="B21" s="30">
        <v>3885</v>
      </c>
      <c r="C21" s="9" t="s">
        <v>153</v>
      </c>
      <c r="D21" s="28">
        <v>8</v>
      </c>
      <c r="E21" s="34">
        <v>6.9212962962962961E-3</v>
      </c>
      <c r="F21" s="7" t="s">
        <v>152</v>
      </c>
      <c r="G21" s="7" t="s">
        <v>152</v>
      </c>
    </row>
    <row r="22" spans="1:7" ht="15" hidden="1" customHeight="1" x14ac:dyDescent="0.25">
      <c r="A22" s="2"/>
      <c r="B22" s="30">
        <v>3910</v>
      </c>
      <c r="C22" s="9" t="s">
        <v>97</v>
      </c>
      <c r="D22" s="28">
        <v>8</v>
      </c>
      <c r="E22" s="34">
        <v>7.951388888888888E-3</v>
      </c>
      <c r="F22" s="7" t="s">
        <v>133</v>
      </c>
      <c r="G22" s="7" t="s">
        <v>115</v>
      </c>
    </row>
    <row r="23" spans="1:7" hidden="1" x14ac:dyDescent="0.25">
      <c r="A23" s="2"/>
      <c r="B23" s="30">
        <v>3892</v>
      </c>
      <c r="C23" s="9" t="s">
        <v>92</v>
      </c>
      <c r="D23" s="28">
        <v>8</v>
      </c>
      <c r="E23" s="34">
        <v>7.8819444444444449E-3</v>
      </c>
      <c r="F23" s="7" t="s">
        <v>114</v>
      </c>
      <c r="G23" s="7" t="s">
        <v>115</v>
      </c>
    </row>
    <row r="24" spans="1:7" hidden="1" x14ac:dyDescent="0.25">
      <c r="A24" s="2"/>
      <c r="B24" s="30">
        <v>3856</v>
      </c>
      <c r="C24" s="9" t="s">
        <v>93</v>
      </c>
      <c r="D24" s="28">
        <v>8</v>
      </c>
      <c r="E24" s="34">
        <v>6.9097222222222216E-3</v>
      </c>
      <c r="F24" s="7" t="s">
        <v>114</v>
      </c>
      <c r="G24" s="7" t="s">
        <v>115</v>
      </c>
    </row>
    <row r="25" spans="1:7" hidden="1" x14ac:dyDescent="0.25">
      <c r="A25" s="2"/>
      <c r="B25" s="30">
        <v>3558</v>
      </c>
      <c r="C25" s="9" t="s">
        <v>87</v>
      </c>
      <c r="D25" s="28">
        <v>8</v>
      </c>
      <c r="E25" s="34">
        <v>7.7546296296296295E-3</v>
      </c>
      <c r="F25" s="7" t="s">
        <v>150</v>
      </c>
      <c r="G25" s="7" t="s">
        <v>115</v>
      </c>
    </row>
    <row r="26" spans="1:7" ht="25.5" hidden="1" x14ac:dyDescent="0.25">
      <c r="A26" s="2"/>
      <c r="B26" s="30">
        <v>3911</v>
      </c>
      <c r="C26" s="9" t="s">
        <v>970</v>
      </c>
      <c r="D26" s="28">
        <v>8</v>
      </c>
      <c r="E26" s="34">
        <v>6.0300925925925921E-3</v>
      </c>
      <c r="F26" s="7" t="s">
        <v>968</v>
      </c>
      <c r="G26" s="7" t="s">
        <v>969</v>
      </c>
    </row>
    <row r="27" spans="1:7" hidden="1" x14ac:dyDescent="0.25">
      <c r="A27" s="2"/>
      <c r="B27" s="30">
        <v>3563</v>
      </c>
      <c r="C27" s="9" t="s">
        <v>96</v>
      </c>
      <c r="D27" s="28">
        <v>8</v>
      </c>
      <c r="E27" s="34">
        <v>6.9212962962962961E-3</v>
      </c>
      <c r="F27" s="7" t="s">
        <v>150</v>
      </c>
      <c r="G27" s="7" t="s">
        <v>115</v>
      </c>
    </row>
    <row r="28" spans="1:7" ht="24.75" hidden="1" customHeight="1" x14ac:dyDescent="0.25">
      <c r="A28" s="2"/>
      <c r="B28" s="30">
        <v>3566</v>
      </c>
      <c r="C28" s="9" t="s">
        <v>101</v>
      </c>
      <c r="D28" s="28">
        <v>8</v>
      </c>
      <c r="E28" s="34">
        <v>7.7546296296296295E-3</v>
      </c>
      <c r="F28" s="7" t="s">
        <v>147</v>
      </c>
      <c r="G28" s="7" t="s">
        <v>115</v>
      </c>
    </row>
    <row r="29" spans="1:7" ht="15" hidden="1" customHeight="1" x14ac:dyDescent="0.25">
      <c r="A29" s="2"/>
      <c r="B29" s="30">
        <v>3567</v>
      </c>
      <c r="C29" s="9" t="s">
        <v>1173</v>
      </c>
      <c r="D29" s="28">
        <v>8</v>
      </c>
      <c r="E29" s="34">
        <v>6.4467592592592588E-3</v>
      </c>
      <c r="F29" s="7" t="s">
        <v>872</v>
      </c>
      <c r="G29" s="7" t="s">
        <v>225</v>
      </c>
    </row>
    <row r="30" spans="1:7" hidden="1" x14ac:dyDescent="0.25">
      <c r="A30" s="2"/>
      <c r="B30" s="30">
        <v>3568</v>
      </c>
      <c r="C30" s="9" t="s">
        <v>102</v>
      </c>
      <c r="D30" s="28">
        <v>8</v>
      </c>
      <c r="E30" s="34">
        <v>6.9212962962962961E-3</v>
      </c>
      <c r="F30" s="7" t="s">
        <v>147</v>
      </c>
      <c r="G30" s="7" t="s">
        <v>115</v>
      </c>
    </row>
    <row r="31" spans="1:7" ht="33" hidden="1" customHeight="1" x14ac:dyDescent="0.25">
      <c r="A31" s="2"/>
      <c r="B31" s="30">
        <v>3570</v>
      </c>
      <c r="C31" s="9" t="s">
        <v>787</v>
      </c>
      <c r="D31" s="28">
        <v>8</v>
      </c>
      <c r="E31" s="34">
        <v>6.0300925925925921E-3</v>
      </c>
      <c r="F31" s="7" t="s">
        <v>786</v>
      </c>
      <c r="G31" s="7" t="s">
        <v>377</v>
      </c>
    </row>
    <row r="32" spans="1:7" ht="25.5" hidden="1" x14ac:dyDescent="0.25">
      <c r="A32" s="2"/>
      <c r="B32" s="30">
        <v>3866</v>
      </c>
      <c r="C32" s="9" t="s">
        <v>1392</v>
      </c>
      <c r="D32" s="28">
        <v>8</v>
      </c>
      <c r="E32" s="34">
        <v>1.1655092592592592E-2</v>
      </c>
      <c r="F32" s="7" t="s">
        <v>1390</v>
      </c>
      <c r="G32" s="7" t="s">
        <v>1391</v>
      </c>
    </row>
    <row r="33" spans="1:7" ht="62.25" hidden="1" customHeight="1" x14ac:dyDescent="0.25">
      <c r="A33" s="2"/>
      <c r="B33" s="30">
        <v>4375</v>
      </c>
      <c r="C33" s="9" t="s">
        <v>1198</v>
      </c>
      <c r="D33" s="28">
        <v>8</v>
      </c>
      <c r="E33" s="34">
        <v>7.5462962962962957E-3</v>
      </c>
      <c r="F33" s="7" t="s">
        <v>1197</v>
      </c>
      <c r="G33" s="7" t="s">
        <v>381</v>
      </c>
    </row>
    <row r="34" spans="1:7" hidden="1" x14ac:dyDescent="0.25">
      <c r="A34" s="2"/>
      <c r="B34" s="30">
        <v>3868</v>
      </c>
      <c r="C34" s="9" t="s">
        <v>428</v>
      </c>
      <c r="D34" s="28">
        <v>8</v>
      </c>
      <c r="E34" s="34">
        <v>6.9212962962962961E-3</v>
      </c>
      <c r="F34" s="7" t="s">
        <v>367</v>
      </c>
      <c r="G34" s="7" t="s">
        <v>427</v>
      </c>
    </row>
    <row r="35" spans="1:7" hidden="1" x14ac:dyDescent="0.25">
      <c r="A35" s="2"/>
      <c r="B35" s="30">
        <v>3869</v>
      </c>
      <c r="C35" s="9" t="s">
        <v>100</v>
      </c>
      <c r="D35" s="28">
        <v>8</v>
      </c>
      <c r="E35" s="34">
        <v>8.0208333333333329E-3</v>
      </c>
      <c r="F35" s="7" t="s">
        <v>147</v>
      </c>
      <c r="G35" s="7" t="s">
        <v>512</v>
      </c>
    </row>
    <row r="36" spans="1:7" hidden="1" x14ac:dyDescent="0.25">
      <c r="A36" s="2"/>
      <c r="B36" s="30">
        <v>3592</v>
      </c>
      <c r="C36" s="9" t="s">
        <v>1176</v>
      </c>
      <c r="D36" s="28">
        <v>8</v>
      </c>
      <c r="E36" s="34">
        <v>8.067129629629629E-3</v>
      </c>
      <c r="F36" s="7" t="s">
        <v>129</v>
      </c>
      <c r="G36" s="7" t="s">
        <v>512</v>
      </c>
    </row>
    <row r="37" spans="1:7" ht="25.5" hidden="1" x14ac:dyDescent="0.25">
      <c r="A37" s="2"/>
      <c r="B37" s="30">
        <v>4228</v>
      </c>
      <c r="C37" s="9" t="s">
        <v>1411</v>
      </c>
      <c r="D37" s="28">
        <v>8</v>
      </c>
      <c r="E37" s="34">
        <v>7.7546296296296293E-4</v>
      </c>
      <c r="F37" s="7" t="s">
        <v>1409</v>
      </c>
      <c r="G37" s="7" t="s">
        <v>1410</v>
      </c>
    </row>
    <row r="38" spans="1:7" ht="25.5" hidden="1" x14ac:dyDescent="0.25">
      <c r="A38" s="56"/>
      <c r="B38" s="30">
        <v>3601</v>
      </c>
      <c r="C38" s="9" t="s">
        <v>965</v>
      </c>
      <c r="D38" s="28">
        <v>8</v>
      </c>
      <c r="E38" s="34">
        <v>6.3541666666666668E-3</v>
      </c>
      <c r="F38" s="7" t="s">
        <v>964</v>
      </c>
      <c r="G38" s="7" t="s">
        <v>773</v>
      </c>
    </row>
    <row r="39" spans="1:7" hidden="1" x14ac:dyDescent="0.25">
      <c r="A39" s="25"/>
      <c r="B39" s="31">
        <v>3913</v>
      </c>
      <c r="C39" s="25" t="s">
        <v>1212</v>
      </c>
      <c r="D39" s="31">
        <v>8</v>
      </c>
      <c r="E39" s="35">
        <v>5.8680555555555552E-3</v>
      </c>
      <c r="F39" s="25" t="s">
        <v>1211</v>
      </c>
      <c r="G39" s="25" t="s">
        <v>381</v>
      </c>
    </row>
    <row r="40" spans="1:7" ht="25.5" hidden="1" x14ac:dyDescent="0.25">
      <c r="A40" s="2"/>
      <c r="B40" s="30">
        <v>3605</v>
      </c>
      <c r="C40" s="9" t="s">
        <v>1203</v>
      </c>
      <c r="D40" s="28">
        <v>8</v>
      </c>
      <c r="E40" s="34">
        <v>1.2037037037037036E-3</v>
      </c>
      <c r="F40" s="7" t="s">
        <v>1201</v>
      </c>
      <c r="G40" s="7" t="s">
        <v>1202</v>
      </c>
    </row>
    <row r="41" spans="1:7" hidden="1" x14ac:dyDescent="0.25">
      <c r="A41" s="25"/>
      <c r="B41" s="31">
        <v>3606</v>
      </c>
      <c r="C41" s="25" t="s">
        <v>1207</v>
      </c>
      <c r="D41" s="31">
        <v>8</v>
      </c>
      <c r="E41" s="35">
        <v>1.5787037037037037E-2</v>
      </c>
      <c r="F41" s="25" t="s">
        <v>1206</v>
      </c>
      <c r="G41" s="25" t="s">
        <v>766</v>
      </c>
    </row>
    <row r="42" spans="1:7" hidden="1" x14ac:dyDescent="0.25">
      <c r="A42" s="2"/>
      <c r="B42" s="30">
        <v>4347</v>
      </c>
      <c r="C42" s="9" t="s">
        <v>1195</v>
      </c>
      <c r="D42" s="28">
        <v>8</v>
      </c>
      <c r="E42" s="34">
        <v>8.1597222222222227E-3</v>
      </c>
      <c r="F42" s="7" t="s">
        <v>813</v>
      </c>
      <c r="G42" s="7" t="s">
        <v>381</v>
      </c>
    </row>
    <row r="43" spans="1:7" ht="25.5" hidden="1" x14ac:dyDescent="0.25">
      <c r="A43" s="2"/>
      <c r="B43" s="30">
        <v>3914</v>
      </c>
      <c r="C43" s="9" t="s">
        <v>1401</v>
      </c>
      <c r="D43" s="28">
        <v>8</v>
      </c>
      <c r="E43" s="34">
        <v>3.8773148148148148E-3</v>
      </c>
      <c r="F43" s="7" t="s">
        <v>1399</v>
      </c>
      <c r="G43" s="7" t="s">
        <v>1400</v>
      </c>
    </row>
    <row r="44" spans="1:7" ht="25.5" hidden="1" x14ac:dyDescent="0.25">
      <c r="A44" s="2"/>
      <c r="B44" s="30">
        <v>4348</v>
      </c>
      <c r="C44" s="9" t="s">
        <v>796</v>
      </c>
      <c r="D44" s="28">
        <v>8</v>
      </c>
      <c r="E44" s="34">
        <v>9.1435185185185185E-4</v>
      </c>
      <c r="F44" s="7" t="s">
        <v>794</v>
      </c>
      <c r="G44" s="7" t="s">
        <v>795</v>
      </c>
    </row>
    <row r="45" spans="1:7" hidden="1" x14ac:dyDescent="0.25">
      <c r="A45" s="2"/>
      <c r="B45" s="30">
        <v>3915</v>
      </c>
      <c r="C45" s="9" t="s">
        <v>1187</v>
      </c>
      <c r="D45" s="28">
        <v>8</v>
      </c>
      <c r="E45" s="34">
        <v>1.6319444444444443E-3</v>
      </c>
      <c r="F45" s="7" t="s">
        <v>1186</v>
      </c>
      <c r="G45" s="7" t="s">
        <v>122</v>
      </c>
    </row>
    <row r="46" spans="1:7" hidden="1" x14ac:dyDescent="0.25">
      <c r="A46" s="25"/>
      <c r="B46" s="31">
        <v>3916</v>
      </c>
      <c r="C46" s="25" t="s">
        <v>1215</v>
      </c>
      <c r="D46" s="31">
        <v>8</v>
      </c>
      <c r="E46" s="35">
        <v>1.5162037037037036E-2</v>
      </c>
      <c r="F46" s="25" t="s">
        <v>973</v>
      </c>
      <c r="G46" s="25" t="s">
        <v>136</v>
      </c>
    </row>
    <row r="47" spans="1:7" ht="38.25" hidden="1" x14ac:dyDescent="0.25">
      <c r="A47" s="2"/>
      <c r="B47" s="30">
        <v>3917</v>
      </c>
      <c r="C47" s="9" t="s">
        <v>975</v>
      </c>
      <c r="D47" s="28">
        <v>8</v>
      </c>
      <c r="E47" s="34">
        <v>2.0370370370370369E-3</v>
      </c>
      <c r="F47" s="7" t="s">
        <v>973</v>
      </c>
      <c r="G47" s="7" t="s">
        <v>974</v>
      </c>
    </row>
    <row r="48" spans="1:7" hidden="1" x14ac:dyDescent="0.25">
      <c r="A48" s="2"/>
      <c r="B48" s="30">
        <v>4229</v>
      </c>
      <c r="C48" s="9" t="s">
        <v>1415</v>
      </c>
      <c r="D48" s="28">
        <v>8</v>
      </c>
      <c r="E48" s="34">
        <v>1.1805555555555555E-2</v>
      </c>
      <c r="F48" s="7" t="s">
        <v>376</v>
      </c>
      <c r="G48" s="7" t="s">
        <v>1414</v>
      </c>
    </row>
    <row r="49" spans="1:7" ht="15" hidden="1" customHeight="1" x14ac:dyDescent="0.25">
      <c r="A49" s="2"/>
      <c r="B49" s="30">
        <v>3920</v>
      </c>
      <c r="C49" s="9" t="s">
        <v>1218</v>
      </c>
      <c r="D49" s="28">
        <v>8</v>
      </c>
      <c r="E49" s="34">
        <v>1.1597222222222222E-2</v>
      </c>
      <c r="F49" s="7" t="s">
        <v>954</v>
      </c>
      <c r="G49" s="7" t="s">
        <v>512</v>
      </c>
    </row>
    <row r="50" spans="1:7" ht="15" hidden="1" customHeight="1" x14ac:dyDescent="0.25">
      <c r="A50" s="2"/>
      <c r="B50" s="30">
        <v>3921</v>
      </c>
      <c r="C50" s="9" t="s">
        <v>979</v>
      </c>
      <c r="D50" s="28">
        <v>8</v>
      </c>
      <c r="E50" s="34">
        <v>2.0254629629629629E-3</v>
      </c>
      <c r="F50" s="7" t="s">
        <v>978</v>
      </c>
      <c r="G50" s="7" t="s">
        <v>195</v>
      </c>
    </row>
    <row r="51" spans="1:7" ht="15" hidden="1" customHeight="1" x14ac:dyDescent="0.25">
      <c r="A51" s="2"/>
      <c r="B51" s="30">
        <v>3925</v>
      </c>
      <c r="C51" s="9" t="s">
        <v>1222</v>
      </c>
      <c r="D51" s="28">
        <v>8</v>
      </c>
      <c r="E51" s="34">
        <v>1.1701388888888888E-2</v>
      </c>
      <c r="F51" s="7" t="s">
        <v>1221</v>
      </c>
      <c r="G51" s="7" t="s">
        <v>381</v>
      </c>
    </row>
    <row r="52" spans="1:7" ht="25.5" hidden="1" customHeight="1" x14ac:dyDescent="0.25">
      <c r="A52" s="2"/>
      <c r="B52" s="30">
        <v>3926</v>
      </c>
      <c r="C52" s="9" t="s">
        <v>1227</v>
      </c>
      <c r="D52" s="28">
        <v>8</v>
      </c>
      <c r="E52" s="34">
        <v>6.0185185185185179E-4</v>
      </c>
      <c r="F52" s="7" t="s">
        <v>1225</v>
      </c>
      <c r="G52" s="7" t="s">
        <v>1226</v>
      </c>
    </row>
    <row r="53" spans="1:7" ht="38.25" hidden="1" x14ac:dyDescent="0.25">
      <c r="A53" s="2"/>
      <c r="B53" s="30">
        <v>3928</v>
      </c>
      <c r="C53" s="9" t="s">
        <v>984</v>
      </c>
      <c r="D53" s="28">
        <v>8</v>
      </c>
      <c r="E53" s="34">
        <v>1.1805555555555556E-3</v>
      </c>
      <c r="F53" s="7" t="s">
        <v>982</v>
      </c>
      <c r="G53" s="7" t="s">
        <v>983</v>
      </c>
    </row>
    <row r="54" spans="1:7" ht="25.5" hidden="1" x14ac:dyDescent="0.25">
      <c r="A54" s="2"/>
      <c r="B54" s="30">
        <v>4370</v>
      </c>
      <c r="C54" s="9" t="s">
        <v>1420</v>
      </c>
      <c r="D54" s="28">
        <v>8</v>
      </c>
      <c r="E54" s="34">
        <v>3.9004629629629628E-3</v>
      </c>
      <c r="F54" s="7" t="s">
        <v>1419</v>
      </c>
      <c r="G54" s="7" t="s">
        <v>381</v>
      </c>
    </row>
    <row r="55" spans="1:7" hidden="1" x14ac:dyDescent="0.25">
      <c r="A55" s="2"/>
      <c r="B55" s="30">
        <v>4358</v>
      </c>
      <c r="C55" s="9" t="s">
        <v>814</v>
      </c>
      <c r="D55" s="28">
        <v>8</v>
      </c>
      <c r="E55" s="34">
        <v>6.1111111111111106E-3</v>
      </c>
      <c r="F55" s="7" t="s">
        <v>813</v>
      </c>
      <c r="G55" s="7" t="s">
        <v>795</v>
      </c>
    </row>
    <row r="56" spans="1:7" ht="38.25" hidden="1" x14ac:dyDescent="0.25">
      <c r="A56" s="2"/>
      <c r="B56" s="30">
        <v>3938</v>
      </c>
      <c r="C56" s="9" t="s">
        <v>1406</v>
      </c>
      <c r="D56" s="28">
        <v>8</v>
      </c>
      <c r="E56" s="34">
        <v>3.2523148148148147E-3</v>
      </c>
      <c r="F56" s="7" t="s">
        <v>1404</v>
      </c>
      <c r="G56" s="7" t="s">
        <v>1405</v>
      </c>
    </row>
    <row r="57" spans="1:7" hidden="1" x14ac:dyDescent="0.25">
      <c r="A57" s="2"/>
      <c r="B57" s="30">
        <v>3940</v>
      </c>
      <c r="C57" s="9" t="s">
        <v>1190</v>
      </c>
      <c r="D57" s="28">
        <v>8</v>
      </c>
      <c r="E57" s="34">
        <v>7.9629629629629634E-3</v>
      </c>
      <c r="F57" s="7" t="s">
        <v>131</v>
      </c>
      <c r="G57" s="7" t="s">
        <v>115</v>
      </c>
    </row>
    <row r="58" spans="1:7" x14ac:dyDescent="0.25">
      <c r="A58" s="2"/>
      <c r="B58" s="30">
        <v>4456</v>
      </c>
      <c r="C58" s="9" t="s">
        <v>3931</v>
      </c>
      <c r="D58" s="28">
        <v>12</v>
      </c>
      <c r="E58" s="34">
        <v>1.5034722222222222E-2</v>
      </c>
      <c r="F58" s="7" t="s">
        <v>3932</v>
      </c>
      <c r="G58" s="7" t="s">
        <v>275</v>
      </c>
    </row>
    <row r="59" spans="1:7" ht="25.5" customHeight="1" x14ac:dyDescent="0.25">
      <c r="A59" s="2"/>
      <c r="B59" s="30">
        <v>4458</v>
      </c>
      <c r="C59" s="9" t="s">
        <v>3933</v>
      </c>
      <c r="D59" s="28">
        <v>12</v>
      </c>
      <c r="E59" s="34">
        <v>3.4027777777777776E-3</v>
      </c>
      <c r="F59" s="7" t="s">
        <v>3934</v>
      </c>
      <c r="G59" s="7" t="s">
        <v>1379</v>
      </c>
    </row>
    <row r="60" spans="1:7" x14ac:dyDescent="0.25">
      <c r="A60" s="2"/>
      <c r="B60" s="30">
        <v>4402</v>
      </c>
      <c r="C60" s="9" t="s">
        <v>3935</v>
      </c>
      <c r="D60" s="28">
        <v>12</v>
      </c>
      <c r="E60" s="34">
        <v>1.6666666666666666E-3</v>
      </c>
      <c r="F60" s="7" t="s">
        <v>3934</v>
      </c>
      <c r="G60" s="25" t="s">
        <v>1379</v>
      </c>
    </row>
    <row r="61" spans="1:7" x14ac:dyDescent="0.25">
      <c r="A61" s="2"/>
      <c r="B61" s="30">
        <v>4403</v>
      </c>
      <c r="C61" s="9" t="s">
        <v>3936</v>
      </c>
      <c r="D61" s="28">
        <v>12</v>
      </c>
      <c r="E61" s="34">
        <v>1.7013888888888888E-3</v>
      </c>
      <c r="F61" s="7" t="s">
        <v>3937</v>
      </c>
      <c r="G61" s="7" t="s">
        <v>1379</v>
      </c>
    </row>
    <row r="62" spans="1:7" x14ac:dyDescent="0.25">
      <c r="A62" s="2"/>
      <c r="B62" s="30">
        <v>4405</v>
      </c>
      <c r="C62" s="9" t="s">
        <v>3938</v>
      </c>
      <c r="D62" s="28">
        <v>12</v>
      </c>
      <c r="E62" s="34">
        <v>3.8541666666666663E-3</v>
      </c>
      <c r="F62" s="7" t="s">
        <v>3934</v>
      </c>
      <c r="G62" s="7" t="s">
        <v>1379</v>
      </c>
    </row>
    <row r="63" spans="1:7" x14ac:dyDescent="0.25">
      <c r="A63" s="2"/>
      <c r="B63" s="30">
        <v>3317</v>
      </c>
      <c r="C63" s="9" t="s">
        <v>1370</v>
      </c>
      <c r="D63" s="28">
        <v>12</v>
      </c>
      <c r="E63" s="34">
        <v>1.4270833333333333E-2</v>
      </c>
      <c r="F63" s="7" t="s">
        <v>1368</v>
      </c>
      <c r="G63" s="7" t="s">
        <v>1369</v>
      </c>
    </row>
    <row r="64" spans="1:7" ht="25.5" x14ac:dyDescent="0.25">
      <c r="A64" s="2"/>
      <c r="B64" s="30">
        <v>4410</v>
      </c>
      <c r="C64" s="9" t="s">
        <v>1385</v>
      </c>
      <c r="D64" s="28">
        <v>12</v>
      </c>
      <c r="E64" s="34">
        <v>1.3657407407407406E-2</v>
      </c>
      <c r="F64" s="7" t="s">
        <v>1368</v>
      </c>
      <c r="G64" s="7" t="s">
        <v>1369</v>
      </c>
    </row>
    <row r="65" spans="1:7" ht="15" customHeight="1" x14ac:dyDescent="0.25">
      <c r="A65" s="2"/>
      <c r="B65" s="30">
        <v>4398</v>
      </c>
      <c r="C65" s="9" t="s">
        <v>3939</v>
      </c>
      <c r="D65" s="28">
        <v>12</v>
      </c>
      <c r="E65" s="34">
        <v>1.3530092592592592E-2</v>
      </c>
      <c r="F65" s="7" t="s">
        <v>3940</v>
      </c>
      <c r="G65" s="7" t="s">
        <v>3941</v>
      </c>
    </row>
    <row r="66" spans="1:7" x14ac:dyDescent="0.25">
      <c r="A66" s="2"/>
      <c r="B66" s="30">
        <v>4399</v>
      </c>
      <c r="C66" s="9" t="s">
        <v>3942</v>
      </c>
      <c r="D66" s="28">
        <v>12</v>
      </c>
      <c r="E66" s="34">
        <v>1.1921296296296296E-3</v>
      </c>
      <c r="F66" s="7" t="s">
        <v>3943</v>
      </c>
      <c r="G66" s="7" t="s">
        <v>699</v>
      </c>
    </row>
    <row r="67" spans="1:7" ht="23.25" customHeight="1" x14ac:dyDescent="0.25">
      <c r="A67" s="2"/>
      <c r="B67" s="30">
        <v>4444</v>
      </c>
      <c r="C67" s="9" t="s">
        <v>3944</v>
      </c>
      <c r="D67" s="28">
        <v>12</v>
      </c>
      <c r="E67" s="34">
        <v>1.1342592592592591E-3</v>
      </c>
      <c r="F67" s="7" t="s">
        <v>3945</v>
      </c>
      <c r="G67" s="7" t="s">
        <v>699</v>
      </c>
    </row>
    <row r="68" spans="1:7" ht="25.5" customHeight="1" x14ac:dyDescent="0.25">
      <c r="A68" s="2"/>
      <c r="B68" s="30">
        <v>4662</v>
      </c>
      <c r="C68" s="9" t="s">
        <v>3946</v>
      </c>
      <c r="D68" s="28">
        <v>12</v>
      </c>
      <c r="E68" s="34">
        <v>1.4594907407407407E-2</v>
      </c>
      <c r="F68" s="7" t="s">
        <v>3947</v>
      </c>
      <c r="G68" s="7" t="s">
        <v>3947</v>
      </c>
    </row>
    <row r="69" spans="1:7" ht="39" customHeight="1" x14ac:dyDescent="0.25">
      <c r="A69" s="2"/>
      <c r="B69" s="30">
        <v>4445</v>
      </c>
      <c r="C69" s="9" t="s">
        <v>3948</v>
      </c>
      <c r="D69" s="28">
        <v>12</v>
      </c>
      <c r="E69" s="34">
        <v>1.2997685185185185E-2</v>
      </c>
      <c r="F69" s="7" t="s">
        <v>1368</v>
      </c>
      <c r="G69" s="7" t="s">
        <v>3949</v>
      </c>
    </row>
    <row r="70" spans="1:7" ht="54" customHeight="1" x14ac:dyDescent="0.25">
      <c r="A70" s="2"/>
      <c r="B70" s="30">
        <v>4446</v>
      </c>
      <c r="C70" s="9" t="s">
        <v>3950</v>
      </c>
      <c r="D70" s="28">
        <v>12</v>
      </c>
      <c r="E70" s="34">
        <v>1.4212962962962962E-2</v>
      </c>
      <c r="F70" s="7" t="s">
        <v>1368</v>
      </c>
      <c r="G70" s="7" t="s">
        <v>3951</v>
      </c>
    </row>
    <row r="71" spans="1:7" ht="25.5" x14ac:dyDescent="0.25">
      <c r="A71" s="2"/>
      <c r="B71" s="30">
        <v>4447</v>
      </c>
      <c r="C71" s="9" t="s">
        <v>3952</v>
      </c>
      <c r="D71" s="28">
        <v>12</v>
      </c>
      <c r="E71" s="34">
        <v>3.7615740740740739E-3</v>
      </c>
      <c r="F71" s="7" t="s">
        <v>3953</v>
      </c>
      <c r="G71" s="7" t="s">
        <v>3954</v>
      </c>
    </row>
    <row r="72" spans="1:7" ht="34.5" customHeight="1" x14ac:dyDescent="0.25">
      <c r="A72" s="2"/>
      <c r="B72" s="30">
        <v>4448</v>
      </c>
      <c r="C72" s="9" t="s">
        <v>3955</v>
      </c>
      <c r="D72" s="28">
        <v>12</v>
      </c>
      <c r="E72" s="34">
        <v>1.5023148148148148E-2</v>
      </c>
      <c r="F72" s="7" t="s">
        <v>3956</v>
      </c>
      <c r="G72" s="7" t="s">
        <v>3957</v>
      </c>
    </row>
    <row r="73" spans="1:7" ht="15" customHeight="1" x14ac:dyDescent="0.25">
      <c r="A73" s="2"/>
      <c r="B73" s="30">
        <v>4449</v>
      </c>
      <c r="C73" s="9" t="s">
        <v>3958</v>
      </c>
      <c r="D73" s="28">
        <v>12</v>
      </c>
      <c r="E73" s="34">
        <v>1.3622685185185184E-2</v>
      </c>
      <c r="F73" s="7" t="s">
        <v>3959</v>
      </c>
      <c r="G73" s="7" t="s">
        <v>3960</v>
      </c>
    </row>
    <row r="74" spans="1:7" x14ac:dyDescent="0.25">
      <c r="A74" s="25"/>
      <c r="B74" s="31">
        <v>4450</v>
      </c>
      <c r="C74" s="25" t="s">
        <v>3944</v>
      </c>
      <c r="D74" s="31">
        <v>12</v>
      </c>
      <c r="E74" s="35">
        <v>1.1342592592592591E-3</v>
      </c>
      <c r="F74" s="25" t="s">
        <v>3945</v>
      </c>
      <c r="G74" s="25" t="s">
        <v>699</v>
      </c>
    </row>
    <row r="75" spans="1:7" ht="25.5" customHeight="1" x14ac:dyDescent="0.25">
      <c r="A75" s="2"/>
      <c r="B75" s="30">
        <v>4451</v>
      </c>
      <c r="C75" s="9" t="s">
        <v>3961</v>
      </c>
      <c r="D75" s="28">
        <v>12</v>
      </c>
      <c r="E75" s="34">
        <v>5.5555555555555556E-4</v>
      </c>
      <c r="F75" s="7" t="s">
        <v>3962</v>
      </c>
      <c r="G75" s="7" t="s">
        <v>3963</v>
      </c>
    </row>
    <row r="76" spans="1:7" ht="25.5" customHeight="1" x14ac:dyDescent="0.25">
      <c r="A76" s="2"/>
      <c r="B76" s="30">
        <v>4452</v>
      </c>
      <c r="C76" s="9" t="s">
        <v>3964</v>
      </c>
      <c r="D76" s="28">
        <v>12</v>
      </c>
      <c r="E76" s="34">
        <v>4.5717592592592589E-3</v>
      </c>
      <c r="F76" s="7" t="s">
        <v>3965</v>
      </c>
      <c r="G76" s="7" t="s">
        <v>3966</v>
      </c>
    </row>
    <row r="77" spans="1:7" ht="15" hidden="1" customHeight="1" x14ac:dyDescent="0.25">
      <c r="A77" s="2"/>
      <c r="B77" s="30">
        <v>3686</v>
      </c>
      <c r="C77" s="9" t="s">
        <v>48</v>
      </c>
      <c r="D77" s="28">
        <v>8</v>
      </c>
      <c r="E77" s="34">
        <v>2.9594907407407407E-2</v>
      </c>
      <c r="F77" s="7" t="s">
        <v>49</v>
      </c>
      <c r="G77" s="7" t="s">
        <v>44</v>
      </c>
    </row>
    <row r="78" spans="1:7" ht="25.5" hidden="1" customHeight="1" x14ac:dyDescent="0.25">
      <c r="A78" s="2"/>
      <c r="B78" s="30">
        <v>3687</v>
      </c>
      <c r="C78" s="9" t="s">
        <v>48</v>
      </c>
      <c r="D78" s="28">
        <v>8</v>
      </c>
      <c r="E78" s="34">
        <v>2.9594907407407407E-2</v>
      </c>
      <c r="F78" s="7" t="s">
        <v>49</v>
      </c>
      <c r="G78" s="7" t="s">
        <v>44</v>
      </c>
    </row>
    <row r="79" spans="1:7" ht="38.25" hidden="1" customHeight="1" x14ac:dyDescent="0.25">
      <c r="A79" s="2"/>
      <c r="B79" s="30">
        <v>3688</v>
      </c>
      <c r="C79" s="9" t="s">
        <v>48</v>
      </c>
      <c r="D79" s="28">
        <v>8</v>
      </c>
      <c r="E79" s="34">
        <v>2.9594907407407407E-2</v>
      </c>
      <c r="F79" s="7" t="s">
        <v>49</v>
      </c>
      <c r="G79" s="7" t="s">
        <v>44</v>
      </c>
    </row>
    <row r="80" spans="1:7" ht="15" hidden="1" customHeight="1" x14ac:dyDescent="0.25">
      <c r="A80" s="2"/>
      <c r="B80" s="30">
        <v>4189</v>
      </c>
      <c r="C80" s="9" t="s">
        <v>1089</v>
      </c>
      <c r="D80" s="28">
        <v>16</v>
      </c>
      <c r="E80" s="34">
        <v>6.8287037037037036E-4</v>
      </c>
      <c r="F80" s="7" t="s">
        <v>1087</v>
      </c>
      <c r="G80" s="7" t="s">
        <v>1088</v>
      </c>
    </row>
    <row r="81" spans="1:7" ht="42.75" customHeight="1" x14ac:dyDescent="0.25">
      <c r="A81" s="2"/>
      <c r="B81" s="30">
        <v>3754</v>
      </c>
      <c r="C81" s="9" t="s">
        <v>1375</v>
      </c>
      <c r="D81" s="28">
        <v>12</v>
      </c>
      <c r="E81" s="34">
        <v>1.1921296296296296E-3</v>
      </c>
      <c r="F81" s="7" t="s">
        <v>1373</v>
      </c>
      <c r="G81" s="7" t="s">
        <v>1374</v>
      </c>
    </row>
    <row r="82" spans="1:7" ht="38.25" hidden="1" customHeight="1" x14ac:dyDescent="0.25">
      <c r="A82" s="2"/>
      <c r="B82" s="30">
        <v>3763</v>
      </c>
      <c r="C82" s="9" t="s">
        <v>3967</v>
      </c>
      <c r="D82" s="28">
        <v>19</v>
      </c>
      <c r="E82" s="34">
        <v>1.3506944444444445E-2</v>
      </c>
      <c r="F82" s="7" t="s">
        <v>3968</v>
      </c>
      <c r="G82" s="7" t="s">
        <v>3968</v>
      </c>
    </row>
    <row r="83" spans="1:7" ht="15" customHeight="1" x14ac:dyDescent="0.25">
      <c r="A83" s="2"/>
      <c r="B83" s="30">
        <v>3756</v>
      </c>
      <c r="C83" s="9" t="s">
        <v>3969</v>
      </c>
      <c r="D83" s="28">
        <v>12</v>
      </c>
      <c r="E83" s="34">
        <v>3.8078703703703703E-3</v>
      </c>
      <c r="F83" s="7" t="s">
        <v>1100</v>
      </c>
      <c r="G83" s="7" t="s">
        <v>3970</v>
      </c>
    </row>
    <row r="84" spans="1:7" ht="14.45" customHeight="1" x14ac:dyDescent="0.25">
      <c r="A84" s="2"/>
      <c r="B84" s="30">
        <v>3755</v>
      </c>
      <c r="C84" s="9" t="s">
        <v>3971</v>
      </c>
      <c r="D84" s="28">
        <v>12</v>
      </c>
      <c r="E84" s="34">
        <v>8.9699074074074073E-3</v>
      </c>
      <c r="F84" s="7" t="s">
        <v>3972</v>
      </c>
      <c r="G84" s="7" t="s">
        <v>3973</v>
      </c>
    </row>
    <row r="85" spans="1:7" ht="25.5" x14ac:dyDescent="0.25">
      <c r="A85" s="2"/>
      <c r="B85" s="30">
        <v>3757</v>
      </c>
      <c r="C85" s="9" t="s">
        <v>1380</v>
      </c>
      <c r="D85" s="28">
        <v>12</v>
      </c>
      <c r="E85" s="34">
        <v>1.4953703703703703E-2</v>
      </c>
      <c r="F85" s="7" t="s">
        <v>1378</v>
      </c>
      <c r="G85" s="7" t="s">
        <v>1379</v>
      </c>
    </row>
    <row r="86" spans="1:7" ht="15" hidden="1" customHeight="1" x14ac:dyDescent="0.25">
      <c r="A86" s="2"/>
      <c r="B86" s="30">
        <v>3944</v>
      </c>
      <c r="C86" s="9" t="s">
        <v>504</v>
      </c>
      <c r="D86" s="28">
        <v>8</v>
      </c>
      <c r="E86" s="34">
        <v>6.8402777777777776E-3</v>
      </c>
      <c r="F86" s="7" t="s">
        <v>129</v>
      </c>
      <c r="G86" s="7" t="s">
        <v>498</v>
      </c>
    </row>
    <row r="87" spans="1:7" ht="38.25" hidden="1" customHeight="1" x14ac:dyDescent="0.25">
      <c r="A87" s="2"/>
      <c r="B87" s="30">
        <v>4238</v>
      </c>
      <c r="C87" s="25" t="s">
        <v>1021</v>
      </c>
      <c r="D87" s="31">
        <v>8</v>
      </c>
      <c r="E87" s="35">
        <v>3.8888888888888888E-3</v>
      </c>
      <c r="F87" s="25" t="s">
        <v>1020</v>
      </c>
      <c r="G87" s="7" t="s">
        <v>795</v>
      </c>
    </row>
    <row r="88" spans="1:7" ht="25.5" hidden="1" customHeight="1" x14ac:dyDescent="0.25">
      <c r="A88" s="2"/>
      <c r="B88" s="30">
        <v>3952</v>
      </c>
      <c r="C88" s="9" t="s">
        <v>1008</v>
      </c>
      <c r="D88" s="28">
        <v>8</v>
      </c>
      <c r="E88" s="34">
        <v>4.2013888888888891E-3</v>
      </c>
      <c r="F88" s="7" t="s">
        <v>1007</v>
      </c>
      <c r="G88" s="7" t="s">
        <v>126</v>
      </c>
    </row>
    <row r="89" spans="1:7" ht="14.45" hidden="1" customHeight="1" x14ac:dyDescent="0.25">
      <c r="A89" s="2"/>
      <c r="B89" s="30">
        <v>4365</v>
      </c>
      <c r="C89" s="9" t="s">
        <v>1111</v>
      </c>
      <c r="D89" s="28">
        <v>8</v>
      </c>
      <c r="E89" s="34">
        <v>3.8888888888888888E-3</v>
      </c>
      <c r="F89" s="7" t="s">
        <v>1110</v>
      </c>
      <c r="G89" s="7" t="s">
        <v>381</v>
      </c>
    </row>
    <row r="90" spans="1:7" ht="35.25" hidden="1" customHeight="1" x14ac:dyDescent="0.25">
      <c r="A90" s="2"/>
      <c r="B90" s="30">
        <v>4324</v>
      </c>
      <c r="C90" s="9" t="s">
        <v>1123</v>
      </c>
      <c r="D90" s="28">
        <v>8</v>
      </c>
      <c r="E90" s="34">
        <v>2.3611111111111111E-3</v>
      </c>
      <c r="F90" s="7" t="s">
        <v>1121</v>
      </c>
      <c r="G90" s="25" t="s">
        <v>1122</v>
      </c>
    </row>
    <row r="91" spans="1:7" ht="36.75" hidden="1" customHeight="1" x14ac:dyDescent="0.25">
      <c r="A91" s="2"/>
      <c r="B91" s="30">
        <v>4366</v>
      </c>
      <c r="C91" s="9" t="s">
        <v>1111</v>
      </c>
      <c r="D91" s="28">
        <v>8</v>
      </c>
      <c r="E91" s="34">
        <v>3.8888888888888888E-3</v>
      </c>
      <c r="F91" s="7" t="s">
        <v>1110</v>
      </c>
      <c r="G91" s="7" t="s">
        <v>381</v>
      </c>
    </row>
    <row r="92" spans="1:7" ht="15" hidden="1" customHeight="1" x14ac:dyDescent="0.25">
      <c r="A92" s="2"/>
      <c r="B92" s="30">
        <v>4367</v>
      </c>
      <c r="C92" s="9" t="s">
        <v>1111</v>
      </c>
      <c r="D92" s="28">
        <v>8</v>
      </c>
      <c r="E92" s="34">
        <v>3.8888888888888888E-3</v>
      </c>
      <c r="F92" s="7" t="s">
        <v>1110</v>
      </c>
      <c r="G92" s="7" t="s">
        <v>381</v>
      </c>
    </row>
    <row r="93" spans="1:7" hidden="1" x14ac:dyDescent="0.25">
      <c r="A93" s="2"/>
      <c r="B93" s="30">
        <v>3960</v>
      </c>
      <c r="C93" s="9" t="s">
        <v>1111</v>
      </c>
      <c r="D93" s="28">
        <v>8</v>
      </c>
      <c r="E93" s="34">
        <v>3.8888888888888888E-3</v>
      </c>
      <c r="F93" s="7" t="s">
        <v>1110</v>
      </c>
      <c r="G93" s="7" t="s">
        <v>381</v>
      </c>
    </row>
    <row r="94" spans="1:7" hidden="1" x14ac:dyDescent="0.25">
      <c r="A94" s="2"/>
      <c r="B94" s="30">
        <v>3961</v>
      </c>
      <c r="C94" s="9" t="s">
        <v>1111</v>
      </c>
      <c r="D94" s="28">
        <v>8</v>
      </c>
      <c r="E94" s="34">
        <v>3.8888888888888888E-3</v>
      </c>
      <c r="F94" s="7" t="s">
        <v>1110</v>
      </c>
      <c r="G94" s="7" t="s">
        <v>381</v>
      </c>
    </row>
    <row r="95" spans="1:7" ht="38.25" hidden="1" customHeight="1" x14ac:dyDescent="0.25">
      <c r="A95" s="2"/>
      <c r="B95" s="30">
        <v>3962</v>
      </c>
      <c r="C95" s="9" t="s">
        <v>1111</v>
      </c>
      <c r="D95" s="28">
        <v>8</v>
      </c>
      <c r="E95" s="34">
        <v>3.8888888888888888E-3</v>
      </c>
      <c r="F95" s="7" t="s">
        <v>1110</v>
      </c>
      <c r="G95" s="7" t="s">
        <v>381</v>
      </c>
    </row>
    <row r="96" spans="1:7" ht="25.5" hidden="1" customHeight="1" x14ac:dyDescent="0.25">
      <c r="A96" s="2"/>
      <c r="B96" s="30">
        <v>3963</v>
      </c>
      <c r="C96" s="9" t="s">
        <v>1111</v>
      </c>
      <c r="D96" s="28">
        <v>8</v>
      </c>
      <c r="E96" s="34">
        <v>3.8888888888888888E-3</v>
      </c>
      <c r="F96" s="7" t="s">
        <v>1115</v>
      </c>
      <c r="G96" s="7" t="s">
        <v>381</v>
      </c>
    </row>
    <row r="97" spans="1:7" hidden="1" x14ac:dyDescent="0.25">
      <c r="A97" s="2"/>
      <c r="B97" s="30">
        <v>3751</v>
      </c>
      <c r="C97" s="9" t="s">
        <v>91</v>
      </c>
      <c r="D97" s="28">
        <v>8</v>
      </c>
      <c r="E97" s="34">
        <v>7.1759259259259259E-3</v>
      </c>
      <c r="F97" s="7" t="s">
        <v>133</v>
      </c>
      <c r="G97" s="7" t="s">
        <v>512</v>
      </c>
    </row>
    <row r="98" spans="1:7" hidden="1" x14ac:dyDescent="0.25">
      <c r="A98" s="2"/>
      <c r="B98" s="30">
        <v>4288</v>
      </c>
      <c r="C98" s="9" t="s">
        <v>819</v>
      </c>
      <c r="D98" s="28">
        <v>8</v>
      </c>
      <c r="E98" s="34">
        <v>6.145833333333333E-3</v>
      </c>
      <c r="F98" s="7" t="s">
        <v>818</v>
      </c>
      <c r="G98" s="7" t="s">
        <v>795</v>
      </c>
    </row>
    <row r="99" spans="1:7" ht="38.25" hidden="1" customHeight="1" x14ac:dyDescent="0.25">
      <c r="A99" s="2"/>
      <c r="B99" s="30">
        <v>3825</v>
      </c>
      <c r="C99" s="9" t="s">
        <v>48</v>
      </c>
      <c r="D99" s="28">
        <v>8</v>
      </c>
      <c r="E99" s="34">
        <v>2.9594907407407407E-2</v>
      </c>
      <c r="F99" s="7" t="s">
        <v>53</v>
      </c>
      <c r="G99" s="7" t="s">
        <v>44</v>
      </c>
    </row>
    <row r="100" spans="1:7" ht="25.5" hidden="1" customHeight="1" x14ac:dyDescent="0.25">
      <c r="A100" s="2"/>
      <c r="B100" s="30">
        <v>3826</v>
      </c>
      <c r="C100" s="9" t="s">
        <v>48</v>
      </c>
      <c r="D100" s="28">
        <v>8</v>
      </c>
      <c r="E100" s="34">
        <v>2.9594907407407407E-2</v>
      </c>
      <c r="F100" s="7" t="s">
        <v>53</v>
      </c>
      <c r="G100" s="7" t="s">
        <v>44</v>
      </c>
    </row>
    <row r="101" spans="1:7" hidden="1" x14ac:dyDescent="0.25">
      <c r="A101" s="2"/>
      <c r="B101" s="30">
        <v>3827</v>
      </c>
      <c r="C101" s="9" t="s">
        <v>48</v>
      </c>
      <c r="D101" s="28">
        <v>8</v>
      </c>
      <c r="E101" s="34">
        <v>2.9594907407407407E-2</v>
      </c>
      <c r="F101" s="7" t="s">
        <v>53</v>
      </c>
      <c r="G101" s="7" t="s">
        <v>44</v>
      </c>
    </row>
    <row r="102" spans="1:7" ht="69" hidden="1" customHeight="1" x14ac:dyDescent="0.25">
      <c r="A102" s="2"/>
      <c r="B102" s="30">
        <v>3828</v>
      </c>
      <c r="C102" s="9" t="s">
        <v>48</v>
      </c>
      <c r="D102" s="28">
        <v>8</v>
      </c>
      <c r="E102" s="34">
        <v>2.9594907407407407E-2</v>
      </c>
      <c r="F102" s="7" t="s">
        <v>53</v>
      </c>
      <c r="G102" s="7" t="s">
        <v>44</v>
      </c>
    </row>
    <row r="103" spans="1:7" ht="15" hidden="1" customHeight="1" x14ac:dyDescent="0.25">
      <c r="A103" s="2"/>
      <c r="B103" s="30">
        <v>3829</v>
      </c>
      <c r="C103" s="9" t="s">
        <v>48</v>
      </c>
      <c r="D103" s="28">
        <v>8</v>
      </c>
      <c r="E103" s="34">
        <v>2.9594907407407407E-2</v>
      </c>
      <c r="F103" s="7" t="s">
        <v>2941</v>
      </c>
      <c r="G103" s="7" t="s">
        <v>44</v>
      </c>
    </row>
    <row r="104" spans="1:7" ht="15" hidden="1" customHeight="1" x14ac:dyDescent="0.25">
      <c r="A104" s="2"/>
      <c r="B104" s="30">
        <v>3830</v>
      </c>
      <c r="C104" s="9" t="s">
        <v>48</v>
      </c>
      <c r="D104" s="28">
        <v>8</v>
      </c>
      <c r="E104" s="34">
        <v>2.9594907407407407E-2</v>
      </c>
      <c r="F104" s="7" t="s">
        <v>58</v>
      </c>
      <c r="G104" s="7" t="s">
        <v>44</v>
      </c>
    </row>
    <row r="105" spans="1:7" ht="15" hidden="1" customHeight="1" x14ac:dyDescent="0.25">
      <c r="A105" s="2"/>
      <c r="B105" s="30">
        <v>3831</v>
      </c>
      <c r="C105" s="9" t="s">
        <v>48</v>
      </c>
      <c r="D105" s="28">
        <v>8</v>
      </c>
      <c r="E105" s="34">
        <v>2.9594907407407407E-2</v>
      </c>
      <c r="F105" s="7" t="s">
        <v>58</v>
      </c>
      <c r="G105" s="7" t="s">
        <v>44</v>
      </c>
    </row>
    <row r="106" spans="1:7" ht="15" hidden="1" customHeight="1" x14ac:dyDescent="0.25">
      <c r="A106" s="2"/>
      <c r="B106" s="30">
        <v>3832</v>
      </c>
      <c r="C106" s="9" t="s">
        <v>48</v>
      </c>
      <c r="D106" s="28">
        <v>8</v>
      </c>
      <c r="E106" s="34">
        <v>2.9594907407407407E-2</v>
      </c>
      <c r="F106" s="7" t="s">
        <v>58</v>
      </c>
      <c r="G106" s="7" t="s">
        <v>44</v>
      </c>
    </row>
    <row r="107" spans="1:7" ht="15" hidden="1" customHeight="1" x14ac:dyDescent="0.25">
      <c r="A107" s="2"/>
      <c r="B107" s="30">
        <v>3833</v>
      </c>
      <c r="C107" s="9" t="s">
        <v>48</v>
      </c>
      <c r="D107" s="28">
        <v>8</v>
      </c>
      <c r="E107" s="34">
        <v>2.9652777777777778E-2</v>
      </c>
      <c r="F107" s="7" t="s">
        <v>58</v>
      </c>
      <c r="G107" s="7" t="s">
        <v>44</v>
      </c>
    </row>
    <row r="108" spans="1:7" ht="15" hidden="1" customHeight="1" x14ac:dyDescent="0.25">
      <c r="A108" s="2"/>
      <c r="B108" s="30">
        <v>3834</v>
      </c>
      <c r="C108" s="9" t="s">
        <v>48</v>
      </c>
      <c r="D108" s="28">
        <v>8</v>
      </c>
      <c r="E108" s="34">
        <v>2.9594907407407407E-2</v>
      </c>
      <c r="F108" s="7" t="s">
        <v>2947</v>
      </c>
      <c r="G108" s="7" t="s">
        <v>44</v>
      </c>
    </row>
    <row r="109" spans="1:7" ht="15" hidden="1" customHeight="1" x14ac:dyDescent="0.25">
      <c r="A109" s="2"/>
      <c r="B109" s="30">
        <v>3835</v>
      </c>
      <c r="C109" s="9" t="s">
        <v>48</v>
      </c>
      <c r="D109" s="28">
        <v>8</v>
      </c>
      <c r="E109" s="34">
        <v>2.9652777777777778E-2</v>
      </c>
      <c r="F109" s="7" t="s">
        <v>2949</v>
      </c>
      <c r="G109" s="7" t="s">
        <v>44</v>
      </c>
    </row>
    <row r="110" spans="1:7" ht="15" hidden="1" customHeight="1" x14ac:dyDescent="0.25">
      <c r="A110" s="2"/>
      <c r="B110" s="30">
        <v>3966</v>
      </c>
      <c r="C110" s="9" t="s">
        <v>1193</v>
      </c>
      <c r="D110" s="28">
        <v>8</v>
      </c>
      <c r="E110" s="34">
        <v>7.8819444444444449E-3</v>
      </c>
      <c r="F110" s="7" t="s">
        <v>129</v>
      </c>
      <c r="G110" s="25" t="s">
        <v>115</v>
      </c>
    </row>
    <row r="111" spans="1:7" ht="14.45" hidden="1" customHeight="1" x14ac:dyDescent="0.25">
      <c r="A111" s="25"/>
      <c r="B111" s="31">
        <v>4754</v>
      </c>
      <c r="C111" s="25" t="s">
        <v>1055</v>
      </c>
      <c r="D111" s="31">
        <v>8</v>
      </c>
      <c r="E111" s="35">
        <v>3.9467592592592592E-3</v>
      </c>
      <c r="F111" s="25" t="s">
        <v>1054</v>
      </c>
      <c r="G111" s="7" t="s">
        <v>381</v>
      </c>
    </row>
    <row r="112" spans="1:7" ht="15" hidden="1" customHeight="1" x14ac:dyDescent="0.25">
      <c r="A112" s="2"/>
      <c r="B112" s="30">
        <v>4826</v>
      </c>
      <c r="C112" s="9" t="s">
        <v>1096</v>
      </c>
      <c r="D112" s="28">
        <v>16</v>
      </c>
      <c r="E112" s="34">
        <v>6.4814814814814813E-4</v>
      </c>
      <c r="F112" s="7" t="s">
        <v>1094</v>
      </c>
      <c r="G112" s="7" t="s">
        <v>1095</v>
      </c>
    </row>
    <row r="113" spans="1:7" ht="15" customHeight="1" x14ac:dyDescent="0.25">
      <c r="A113" s="2"/>
      <c r="B113" s="30">
        <v>4830</v>
      </c>
      <c r="C113" s="9" t="s">
        <v>3974</v>
      </c>
      <c r="D113" s="28">
        <v>12</v>
      </c>
      <c r="E113" s="34">
        <v>1.3888888888888887E-3</v>
      </c>
      <c r="F113" s="7" t="s">
        <v>152</v>
      </c>
      <c r="G113" s="7" t="s">
        <v>152</v>
      </c>
    </row>
    <row r="114" spans="1:7" ht="25.5" customHeight="1" x14ac:dyDescent="0.25">
      <c r="A114" s="2"/>
      <c r="B114" s="30">
        <v>4831</v>
      </c>
      <c r="C114" s="9" t="s">
        <v>3975</v>
      </c>
      <c r="D114" s="28">
        <v>12</v>
      </c>
      <c r="E114" s="34">
        <v>1.2152777777777778E-3</v>
      </c>
      <c r="F114" s="7" t="s">
        <v>1492</v>
      </c>
      <c r="G114" s="7" t="s">
        <v>1492</v>
      </c>
    </row>
    <row r="115" spans="1:7" ht="25.5" customHeight="1" x14ac:dyDescent="0.25">
      <c r="A115" s="2"/>
      <c r="B115" s="30">
        <v>4832</v>
      </c>
      <c r="C115" s="9" t="s">
        <v>3976</v>
      </c>
      <c r="D115" s="28">
        <v>12</v>
      </c>
      <c r="E115" s="34">
        <v>1.3310185185185185E-3</v>
      </c>
      <c r="F115" s="7" t="s">
        <v>152</v>
      </c>
      <c r="G115" s="7" t="s">
        <v>152</v>
      </c>
    </row>
    <row r="116" spans="1:7" ht="27.6" customHeight="1" x14ac:dyDescent="0.25">
      <c r="A116" s="2"/>
      <c r="B116" s="30">
        <v>4833</v>
      </c>
      <c r="C116" s="9" t="s">
        <v>3977</v>
      </c>
      <c r="D116" s="28">
        <v>12</v>
      </c>
      <c r="E116" s="34">
        <v>8.1018518518518516E-4</v>
      </c>
      <c r="F116" s="7" t="s">
        <v>3978</v>
      </c>
      <c r="G116" s="7" t="s">
        <v>3979</v>
      </c>
    </row>
    <row r="117" spans="1:7" ht="27.6" customHeight="1" x14ac:dyDescent="0.25">
      <c r="A117" s="2"/>
      <c r="B117" s="30">
        <v>4857</v>
      </c>
      <c r="C117" s="9" t="s">
        <v>3980</v>
      </c>
      <c r="D117" s="28">
        <v>12</v>
      </c>
      <c r="E117" s="34">
        <v>2.7777777777777775E-3</v>
      </c>
      <c r="F117" s="7" t="s">
        <v>152</v>
      </c>
      <c r="G117" s="7" t="s">
        <v>152</v>
      </c>
    </row>
    <row r="118" spans="1:7" ht="38.25" customHeight="1" x14ac:dyDescent="0.25">
      <c r="A118" s="2"/>
      <c r="B118" s="30">
        <v>4858</v>
      </c>
      <c r="C118" s="9" t="s">
        <v>3981</v>
      </c>
      <c r="D118" s="28">
        <v>12</v>
      </c>
      <c r="E118" s="34">
        <v>1.1921296296296296E-3</v>
      </c>
      <c r="F118" s="7" t="s">
        <v>1492</v>
      </c>
      <c r="G118" s="7" t="s">
        <v>1492</v>
      </c>
    </row>
    <row r="119" spans="1:7" ht="14.45" customHeight="1" x14ac:dyDescent="0.25">
      <c r="A119" s="2"/>
      <c r="B119" s="30">
        <v>4859</v>
      </c>
      <c r="C119" s="9" t="s">
        <v>3982</v>
      </c>
      <c r="D119" s="28">
        <v>12</v>
      </c>
      <c r="E119" s="34">
        <v>1.3888888888888887E-3</v>
      </c>
      <c r="F119" s="7" t="s">
        <v>152</v>
      </c>
      <c r="G119" s="7" t="s">
        <v>152</v>
      </c>
    </row>
    <row r="120" spans="1:7" ht="25.5" customHeight="1" x14ac:dyDescent="0.25">
      <c r="A120" s="2"/>
      <c r="B120" s="30">
        <v>4860</v>
      </c>
      <c r="C120" s="9" t="s">
        <v>3983</v>
      </c>
      <c r="D120" s="28">
        <v>12</v>
      </c>
      <c r="E120" s="34">
        <v>1.1921296296296296E-3</v>
      </c>
      <c r="F120" s="7" t="s">
        <v>3984</v>
      </c>
      <c r="G120" s="7" t="s">
        <v>3985</v>
      </c>
    </row>
    <row r="121" spans="1:7" ht="38.25" customHeight="1" x14ac:dyDescent="0.25">
      <c r="A121" s="25"/>
      <c r="B121" s="31">
        <v>4861</v>
      </c>
      <c r="C121" s="25" t="s">
        <v>3986</v>
      </c>
      <c r="D121" s="31">
        <v>12</v>
      </c>
      <c r="E121" s="35">
        <v>8.2175925925925927E-4</v>
      </c>
      <c r="F121" s="25" t="s">
        <v>3987</v>
      </c>
      <c r="G121" s="7" t="s">
        <v>195</v>
      </c>
    </row>
    <row r="122" spans="1:7" ht="51" hidden="1" customHeight="1" x14ac:dyDescent="0.25">
      <c r="A122" s="2"/>
      <c r="B122" s="30">
        <v>4929</v>
      </c>
      <c r="C122" s="9" t="s">
        <v>3003</v>
      </c>
      <c r="D122" s="28">
        <v>8</v>
      </c>
      <c r="E122" s="34">
        <v>8.5879629629629622E-3</v>
      </c>
      <c r="F122" s="7" t="s">
        <v>129</v>
      </c>
      <c r="G122" s="7" t="s">
        <v>512</v>
      </c>
    </row>
    <row r="123" spans="1:7" ht="25.5" hidden="1" customHeight="1" x14ac:dyDescent="0.25">
      <c r="A123" s="2"/>
      <c r="B123" s="30">
        <v>3122</v>
      </c>
      <c r="C123" s="9" t="s">
        <v>939</v>
      </c>
      <c r="D123" s="28">
        <v>6</v>
      </c>
      <c r="E123" s="34">
        <v>9.3055555555555548E-3</v>
      </c>
      <c r="F123" s="7" t="s">
        <v>60</v>
      </c>
      <c r="G123" s="7" t="s">
        <v>60</v>
      </c>
    </row>
    <row r="124" spans="1:7" ht="51" hidden="1" customHeight="1" x14ac:dyDescent="0.25">
      <c r="A124" s="2"/>
      <c r="B124" s="30">
        <v>3123</v>
      </c>
      <c r="C124" s="9" t="s">
        <v>59</v>
      </c>
      <c r="D124" s="28">
        <v>6</v>
      </c>
      <c r="E124" s="34">
        <v>3.1018518518518517E-3</v>
      </c>
      <c r="F124" s="7" t="s">
        <v>60</v>
      </c>
      <c r="G124" s="7" t="s">
        <v>60</v>
      </c>
    </row>
    <row r="125" spans="1:7" ht="25.5" hidden="1" customHeight="1" x14ac:dyDescent="0.25">
      <c r="A125" s="2"/>
      <c r="B125" s="30">
        <v>3124</v>
      </c>
      <c r="C125" s="9" t="s">
        <v>943</v>
      </c>
      <c r="D125" s="28">
        <v>6</v>
      </c>
      <c r="E125" s="34">
        <v>4.2013888888888891E-3</v>
      </c>
      <c r="F125" s="7" t="s">
        <v>60</v>
      </c>
      <c r="G125" s="7" t="s">
        <v>60</v>
      </c>
    </row>
    <row r="126" spans="1:7" ht="51" hidden="1" customHeight="1" x14ac:dyDescent="0.25">
      <c r="A126" s="2"/>
      <c r="B126" s="30">
        <v>3125</v>
      </c>
      <c r="C126" s="9" t="s">
        <v>946</v>
      </c>
      <c r="D126" s="28">
        <v>6</v>
      </c>
      <c r="E126" s="34">
        <v>2.662037037037037E-3</v>
      </c>
      <c r="F126" s="7" t="s">
        <v>60</v>
      </c>
      <c r="G126" s="7" t="s">
        <v>60</v>
      </c>
    </row>
    <row r="127" spans="1:7" ht="63.75" hidden="1" customHeight="1" x14ac:dyDescent="0.25">
      <c r="A127" s="25"/>
      <c r="B127" s="31">
        <v>3126</v>
      </c>
      <c r="C127" s="25" t="s">
        <v>950</v>
      </c>
      <c r="D127" s="31">
        <v>6</v>
      </c>
      <c r="E127" s="35">
        <v>2.6041666666666665E-3</v>
      </c>
      <c r="F127" s="25" t="s">
        <v>949</v>
      </c>
      <c r="G127" s="25" t="s">
        <v>949</v>
      </c>
    </row>
    <row r="128" spans="1:7" ht="15" hidden="1" customHeight="1" x14ac:dyDescent="0.25">
      <c r="A128" s="2"/>
      <c r="B128" s="30"/>
      <c r="C128" s="9"/>
      <c r="D128" s="28"/>
      <c r="E128" s="34"/>
      <c r="F128" s="7"/>
      <c r="G128" s="7"/>
    </row>
    <row r="129" spans="1:7" ht="27.75" hidden="1" customHeight="1" x14ac:dyDescent="0.25">
      <c r="A129" s="2"/>
      <c r="B129" s="30"/>
      <c r="C129" s="9"/>
      <c r="D129" s="28"/>
      <c r="E129" s="34"/>
      <c r="F129" s="7"/>
      <c r="G129" s="7"/>
    </row>
    <row r="130" spans="1:7" ht="15" hidden="1" customHeight="1" x14ac:dyDescent="0.25">
      <c r="A130" s="2"/>
      <c r="B130" s="30"/>
      <c r="C130" s="9"/>
      <c r="D130" s="28"/>
      <c r="E130" s="34"/>
      <c r="F130" s="7"/>
      <c r="G130" s="7"/>
    </row>
    <row r="131" spans="1:7" ht="25.5" hidden="1" customHeight="1" x14ac:dyDescent="0.25">
      <c r="A131" s="2"/>
      <c r="B131" s="30"/>
      <c r="C131" s="9"/>
      <c r="D131" s="28"/>
      <c r="E131" s="34"/>
      <c r="F131" s="7"/>
      <c r="G131" s="7"/>
    </row>
    <row r="132" spans="1:7" ht="14.45" hidden="1" customHeight="1" x14ac:dyDescent="0.25">
      <c r="A132" s="2"/>
      <c r="B132" s="30"/>
      <c r="C132" s="9"/>
      <c r="D132" s="28"/>
      <c r="E132" s="34"/>
      <c r="F132" s="7"/>
      <c r="G132" s="7"/>
    </row>
    <row r="133" spans="1:7" ht="15" hidden="1" customHeight="1" x14ac:dyDescent="0.25">
      <c r="A133" s="2"/>
      <c r="B133" s="30"/>
      <c r="C133" s="9"/>
      <c r="D133" s="28"/>
      <c r="E133" s="34"/>
      <c r="F133" s="7"/>
      <c r="G133" s="7"/>
    </row>
    <row r="134" spans="1:7" ht="27.6" hidden="1" customHeight="1" x14ac:dyDescent="0.25">
      <c r="A134" s="2"/>
      <c r="B134" s="30"/>
      <c r="C134" s="9"/>
      <c r="D134" s="28"/>
      <c r="E134" s="34"/>
      <c r="F134" s="7"/>
      <c r="G134" s="7"/>
    </row>
    <row r="135" spans="1:7" ht="27.6" hidden="1" customHeight="1" x14ac:dyDescent="0.25">
      <c r="A135" s="2"/>
      <c r="B135" s="30"/>
      <c r="C135" s="9"/>
      <c r="D135" s="28"/>
      <c r="E135" s="34"/>
      <c r="F135" s="7"/>
      <c r="G135" s="7"/>
    </row>
    <row r="136" spans="1:7" ht="15" hidden="1" customHeight="1" x14ac:dyDescent="0.25">
      <c r="A136" s="2"/>
      <c r="B136" s="30"/>
      <c r="C136" s="9"/>
      <c r="D136" s="28"/>
      <c r="E136" s="34"/>
      <c r="F136" s="7"/>
      <c r="G136" s="7"/>
    </row>
    <row r="137" spans="1:7" ht="14.45" hidden="1" customHeight="1" x14ac:dyDescent="0.25">
      <c r="A137" s="25"/>
      <c r="B137" s="31"/>
      <c r="C137" s="25"/>
      <c r="D137" s="31"/>
      <c r="E137" s="35"/>
      <c r="F137" s="25"/>
      <c r="G137" s="25"/>
    </row>
    <row r="138" spans="1:7" ht="140.25" hidden="1" customHeight="1" x14ac:dyDescent="0.25">
      <c r="A138" s="2"/>
      <c r="B138" s="30"/>
      <c r="C138" s="9"/>
      <c r="D138" s="28"/>
      <c r="E138" s="34"/>
      <c r="F138" s="7"/>
      <c r="G138" s="7"/>
    </row>
    <row r="139" spans="1:7" ht="38.25" hidden="1" customHeight="1" x14ac:dyDescent="0.25">
      <c r="A139" s="25"/>
      <c r="B139" s="31"/>
      <c r="C139" s="60"/>
      <c r="D139" s="31"/>
      <c r="E139" s="35"/>
      <c r="F139" s="25"/>
      <c r="G139" s="25"/>
    </row>
    <row r="140" spans="1:7" ht="51" hidden="1" customHeight="1" x14ac:dyDescent="0.25">
      <c r="A140" s="2"/>
      <c r="B140" s="30"/>
      <c r="C140" s="9"/>
      <c r="D140" s="28"/>
      <c r="E140" s="34"/>
      <c r="F140" s="7"/>
      <c r="G140" s="7"/>
    </row>
    <row r="141" spans="1:7" ht="38.25" hidden="1" customHeight="1" x14ac:dyDescent="0.25">
      <c r="A141" s="2"/>
      <c r="B141" s="30"/>
      <c r="C141" s="9"/>
      <c r="D141" s="28"/>
      <c r="E141" s="34"/>
      <c r="F141" s="7"/>
      <c r="G141" s="25"/>
    </row>
    <row r="142" spans="1:7" ht="15" hidden="1" customHeight="1" x14ac:dyDescent="0.25">
      <c r="A142" s="2"/>
      <c r="B142" s="30"/>
      <c r="C142" s="9"/>
      <c r="D142" s="28"/>
      <c r="E142" s="34"/>
      <c r="F142" s="7"/>
      <c r="G142" s="7"/>
    </row>
    <row r="143" spans="1:7" ht="25.5" hidden="1" customHeight="1" x14ac:dyDescent="0.25">
      <c r="A143" s="2"/>
      <c r="B143" s="30"/>
      <c r="C143" s="9"/>
      <c r="D143" s="28"/>
      <c r="E143" s="34"/>
      <c r="F143" s="7"/>
      <c r="G143" s="7"/>
    </row>
    <row r="144" spans="1:7" ht="55.15" hidden="1" customHeight="1" x14ac:dyDescent="0.25">
      <c r="A144" s="2"/>
      <c r="B144" s="30"/>
      <c r="C144" s="9"/>
      <c r="D144" s="28"/>
      <c r="E144" s="34"/>
      <c r="F144" s="7"/>
      <c r="G144" s="7"/>
    </row>
    <row r="145" spans="1:7" ht="38.25" hidden="1" customHeight="1" x14ac:dyDescent="0.25">
      <c r="A145" s="2"/>
      <c r="B145" s="30"/>
      <c r="C145" s="9"/>
      <c r="D145" s="28"/>
      <c r="E145" s="34"/>
      <c r="F145" s="7"/>
      <c r="G145" s="7"/>
    </row>
    <row r="146" spans="1:7" ht="15" hidden="1" customHeight="1" x14ac:dyDescent="0.25">
      <c r="A146" s="2"/>
      <c r="B146" s="30"/>
      <c r="C146" s="9"/>
      <c r="D146" s="28"/>
      <c r="E146" s="34"/>
      <c r="F146" s="7"/>
      <c r="G146" s="7"/>
    </row>
    <row r="147" spans="1:7" ht="25.5" hidden="1" customHeight="1" x14ac:dyDescent="0.25">
      <c r="A147" s="25"/>
      <c r="B147" s="31"/>
      <c r="C147" s="25"/>
      <c r="D147" s="31"/>
      <c r="E147" s="35"/>
      <c r="F147" s="25"/>
      <c r="G147" s="7"/>
    </row>
    <row r="148" spans="1:7" ht="14.45" hidden="1" customHeight="1" x14ac:dyDescent="0.25">
      <c r="A148" s="2"/>
      <c r="B148" s="30"/>
      <c r="C148" s="9"/>
      <c r="D148" s="28"/>
      <c r="E148" s="34"/>
      <c r="F148" s="7"/>
      <c r="G148" s="7"/>
    </row>
    <row r="149" spans="1:7" ht="25.5" hidden="1" customHeight="1" x14ac:dyDescent="0.25">
      <c r="A149" s="2"/>
      <c r="B149" s="30"/>
      <c r="C149" s="9"/>
      <c r="D149" s="28"/>
      <c r="E149" s="34"/>
      <c r="F149" s="7"/>
      <c r="G149" s="7"/>
    </row>
    <row r="150" spans="1:7" ht="25.5" hidden="1" customHeight="1" x14ac:dyDescent="0.25">
      <c r="A150" s="2"/>
      <c r="B150" s="30"/>
      <c r="C150" s="9"/>
      <c r="D150" s="28"/>
      <c r="E150" s="34"/>
      <c r="F150" s="7"/>
      <c r="G150" s="7"/>
    </row>
    <row r="151" spans="1:7" ht="38.25" hidden="1" customHeight="1" x14ac:dyDescent="0.25">
      <c r="A151" s="2"/>
      <c r="B151" s="30"/>
      <c r="C151" s="9"/>
      <c r="D151" s="28"/>
      <c r="E151" s="34"/>
      <c r="F151" s="7"/>
      <c r="G151" s="7"/>
    </row>
    <row r="152" spans="1:7" ht="15" hidden="1" customHeight="1" x14ac:dyDescent="0.25">
      <c r="A152" s="2"/>
      <c r="B152" s="30"/>
      <c r="C152" s="9"/>
      <c r="D152" s="28"/>
      <c r="E152" s="34"/>
      <c r="F152" s="7"/>
      <c r="G152" s="7"/>
    </row>
    <row r="153" spans="1:7" ht="89.25" hidden="1" customHeight="1" x14ac:dyDescent="0.25">
      <c r="A153" s="2"/>
      <c r="B153" s="30"/>
      <c r="C153" s="9"/>
      <c r="D153" s="28"/>
      <c r="E153" s="34"/>
      <c r="F153" s="7"/>
      <c r="G153" s="7"/>
    </row>
    <row r="154" spans="1:7" ht="25.5" hidden="1" customHeight="1" x14ac:dyDescent="0.25">
      <c r="A154" s="2"/>
      <c r="B154" s="30"/>
      <c r="C154" s="9"/>
      <c r="D154" s="28"/>
      <c r="E154" s="34"/>
      <c r="F154" s="7"/>
      <c r="G154" s="7"/>
    </row>
    <row r="155" spans="1:7" ht="38.25" hidden="1" customHeight="1" x14ac:dyDescent="0.25">
      <c r="A155" s="2"/>
      <c r="B155" s="30"/>
      <c r="C155" s="9"/>
      <c r="D155" s="28"/>
      <c r="E155" s="34"/>
      <c r="F155" s="7"/>
      <c r="G155" s="7"/>
    </row>
    <row r="156" spans="1:7" ht="14.45" hidden="1" customHeight="1" x14ac:dyDescent="0.25">
      <c r="A156" s="2"/>
      <c r="B156" s="30"/>
      <c r="C156" s="9"/>
      <c r="D156" s="28"/>
      <c r="E156" s="34"/>
      <c r="F156" s="7"/>
      <c r="G156" s="7"/>
    </row>
    <row r="157" spans="1:7" ht="25.5" hidden="1" customHeight="1" x14ac:dyDescent="0.25">
      <c r="A157" s="2"/>
      <c r="B157" s="30"/>
      <c r="C157" s="9"/>
      <c r="D157" s="28"/>
      <c r="E157" s="34"/>
      <c r="F157" s="7"/>
      <c r="G157" s="7"/>
    </row>
    <row r="158" spans="1:7" ht="15" hidden="1" customHeight="1" x14ac:dyDescent="0.25">
      <c r="A158" s="2"/>
      <c r="B158" s="30"/>
      <c r="C158" s="9"/>
      <c r="D158" s="28"/>
      <c r="E158" s="34"/>
      <c r="F158" s="7"/>
      <c r="G158" s="7"/>
    </row>
    <row r="159" spans="1:7" ht="15" hidden="1" customHeight="1" x14ac:dyDescent="0.25">
      <c r="A159" s="2"/>
      <c r="B159" s="30"/>
      <c r="C159" s="9"/>
      <c r="D159" s="28"/>
      <c r="E159" s="34"/>
      <c r="F159" s="7"/>
      <c r="G159" s="7"/>
    </row>
    <row r="160" spans="1:7" ht="14.45" hidden="1" customHeight="1" x14ac:dyDescent="0.25">
      <c r="A160" s="2"/>
      <c r="B160" s="30"/>
      <c r="C160" s="9"/>
      <c r="D160" s="28"/>
      <c r="E160" s="34"/>
      <c r="F160" s="7"/>
      <c r="G160" s="7"/>
    </row>
    <row r="161" spans="1:7" ht="15" hidden="1" customHeight="1" x14ac:dyDescent="0.25">
      <c r="A161" s="2"/>
      <c r="B161" s="30"/>
      <c r="C161" s="9"/>
      <c r="D161" s="28"/>
      <c r="E161" s="34"/>
      <c r="F161" s="7"/>
      <c r="G161" s="7"/>
    </row>
    <row r="162" spans="1:7" ht="15" hidden="1" customHeight="1" x14ac:dyDescent="0.25">
      <c r="A162" s="2"/>
      <c r="B162" s="30"/>
      <c r="C162" s="9"/>
      <c r="D162" s="28"/>
      <c r="E162" s="34"/>
      <c r="F162" s="7"/>
      <c r="G162" s="25"/>
    </row>
    <row r="163" spans="1:7" ht="15" hidden="1" customHeight="1" x14ac:dyDescent="0.25">
      <c r="A163" s="2"/>
      <c r="B163" s="30"/>
      <c r="C163" s="9"/>
      <c r="D163" s="28"/>
      <c r="E163" s="34"/>
      <c r="F163" s="7"/>
      <c r="G163" s="7"/>
    </row>
    <row r="164" spans="1:7" ht="15" hidden="1" customHeight="1" x14ac:dyDescent="0.25">
      <c r="A164" s="2"/>
      <c r="B164" s="30"/>
      <c r="C164" s="9"/>
      <c r="D164" s="28"/>
      <c r="E164" s="34"/>
      <c r="F164" s="7"/>
      <c r="G164" s="7"/>
    </row>
    <row r="165" spans="1:7" ht="15" hidden="1" customHeight="1" x14ac:dyDescent="0.25">
      <c r="A165" s="2"/>
      <c r="B165" s="30"/>
      <c r="C165" s="9"/>
      <c r="D165" s="28"/>
      <c r="E165" s="34"/>
      <c r="F165" s="7"/>
      <c r="G165" s="7"/>
    </row>
    <row r="166" spans="1:7" ht="15" hidden="1" customHeight="1" x14ac:dyDescent="0.25">
      <c r="A166" s="2"/>
      <c r="B166" s="30"/>
      <c r="C166" s="9"/>
      <c r="D166" s="28"/>
      <c r="E166" s="34"/>
      <c r="F166" s="7"/>
      <c r="G166" s="7"/>
    </row>
    <row r="167" spans="1:7" ht="15" hidden="1" customHeight="1" x14ac:dyDescent="0.25">
      <c r="A167" s="2"/>
      <c r="B167" s="30"/>
      <c r="C167" s="9"/>
      <c r="D167" s="28"/>
      <c r="E167" s="34"/>
      <c r="F167" s="7"/>
      <c r="G167" s="7"/>
    </row>
    <row r="168" spans="1:7" ht="15" hidden="1" customHeight="1" x14ac:dyDescent="0.25">
      <c r="A168" s="2"/>
      <c r="B168" s="30"/>
      <c r="C168" s="9"/>
      <c r="D168" s="28"/>
      <c r="E168" s="34"/>
      <c r="F168" s="7"/>
      <c r="G168" s="7"/>
    </row>
    <row r="169" spans="1:7" ht="15" hidden="1" customHeight="1" x14ac:dyDescent="0.25">
      <c r="A169" s="2"/>
      <c r="B169" s="30"/>
      <c r="C169" s="9"/>
      <c r="D169" s="28"/>
      <c r="E169" s="34"/>
      <c r="F169" s="7"/>
      <c r="G169" s="7"/>
    </row>
    <row r="170" spans="1:7" ht="15" hidden="1" customHeight="1" x14ac:dyDescent="0.25">
      <c r="A170" s="2"/>
      <c r="B170" s="30"/>
      <c r="C170" s="9"/>
      <c r="D170" s="28"/>
      <c r="E170" s="34"/>
      <c r="F170" s="7"/>
      <c r="G170" s="7"/>
    </row>
    <row r="171" spans="1:7" ht="15" hidden="1" customHeight="1" x14ac:dyDescent="0.25">
      <c r="A171" s="2"/>
      <c r="B171" s="30"/>
      <c r="C171" s="9"/>
      <c r="D171" s="28"/>
      <c r="E171" s="34"/>
      <c r="F171" s="7"/>
      <c r="G171" s="25"/>
    </row>
    <row r="172" spans="1:7" ht="15" hidden="1" customHeight="1" x14ac:dyDescent="0.25">
      <c r="A172" s="2"/>
      <c r="B172" s="30"/>
      <c r="C172" s="9"/>
      <c r="D172" s="28"/>
      <c r="E172" s="34"/>
      <c r="F172" s="7"/>
      <c r="G172" s="7"/>
    </row>
    <row r="173" spans="1:7" ht="15" hidden="1" customHeight="1" x14ac:dyDescent="0.25">
      <c r="A173" s="2"/>
      <c r="B173" s="30"/>
      <c r="C173" s="9"/>
      <c r="D173" s="28"/>
      <c r="E173" s="34"/>
      <c r="F173" s="7"/>
      <c r="G173" s="7"/>
    </row>
    <row r="174" spans="1:7" ht="15" hidden="1" customHeight="1" x14ac:dyDescent="0.25">
      <c r="A174" s="2"/>
      <c r="B174" s="30"/>
      <c r="C174" s="9"/>
      <c r="D174" s="28"/>
      <c r="E174" s="34"/>
      <c r="F174" s="7"/>
      <c r="G174" s="7"/>
    </row>
    <row r="175" spans="1:7" ht="15" hidden="1" customHeight="1" x14ac:dyDescent="0.25">
      <c r="A175" s="2"/>
      <c r="B175" s="30"/>
      <c r="C175" s="9"/>
      <c r="D175" s="28"/>
      <c r="E175" s="34"/>
      <c r="F175" s="7"/>
      <c r="G175" s="7"/>
    </row>
    <row r="176" spans="1:7" ht="15" hidden="1" customHeight="1" x14ac:dyDescent="0.25">
      <c r="A176" s="2"/>
      <c r="B176" s="30"/>
      <c r="C176" s="9"/>
      <c r="D176" s="28"/>
      <c r="E176" s="34"/>
      <c r="F176" s="7"/>
      <c r="G176" s="7"/>
    </row>
    <row r="177" spans="1:7" ht="15" hidden="1" customHeight="1" x14ac:dyDescent="0.25">
      <c r="A177" s="2"/>
      <c r="B177" s="30"/>
      <c r="C177" s="9"/>
      <c r="D177" s="28"/>
      <c r="E177" s="34"/>
      <c r="F177" s="7"/>
      <c r="G177" s="7"/>
    </row>
    <row r="178" spans="1:7" ht="15" hidden="1" customHeight="1" x14ac:dyDescent="0.25">
      <c r="A178" s="2"/>
      <c r="B178" s="30"/>
      <c r="C178" s="9"/>
      <c r="D178" s="28"/>
      <c r="E178" s="34"/>
      <c r="F178" s="7"/>
      <c r="G178" s="7"/>
    </row>
    <row r="179" spans="1:7" ht="15" hidden="1" customHeight="1" x14ac:dyDescent="0.25">
      <c r="A179" s="25"/>
      <c r="B179" s="31"/>
      <c r="C179" s="25"/>
      <c r="D179" s="31"/>
      <c r="E179" s="35"/>
      <c r="F179" s="25"/>
      <c r="G179" s="25"/>
    </row>
    <row r="180" spans="1:7" ht="25.5" hidden="1" customHeight="1" x14ac:dyDescent="0.25">
      <c r="A180" s="2"/>
      <c r="B180" s="30"/>
      <c r="C180" s="9"/>
      <c r="D180" s="28"/>
      <c r="E180" s="34"/>
      <c r="F180" s="7"/>
      <c r="G180" s="7"/>
    </row>
    <row r="181" spans="1:7" ht="15" hidden="1" customHeight="1" x14ac:dyDescent="0.25">
      <c r="A181" s="2"/>
      <c r="B181" s="30"/>
      <c r="C181" s="9"/>
      <c r="D181" s="28"/>
      <c r="E181" s="34"/>
      <c r="F181" s="7"/>
      <c r="G181" s="7"/>
    </row>
    <row r="182" spans="1:7" ht="15" hidden="1" customHeight="1" x14ac:dyDescent="0.25">
      <c r="A182" s="2"/>
      <c r="B182" s="30"/>
      <c r="C182" s="9"/>
      <c r="D182" s="28"/>
      <c r="E182" s="34"/>
      <c r="F182" s="7"/>
      <c r="G182" s="7"/>
    </row>
    <row r="183" spans="1:7" ht="76.5" hidden="1" customHeight="1" x14ac:dyDescent="0.25">
      <c r="A183" s="2"/>
      <c r="B183" s="30"/>
      <c r="C183" s="9"/>
      <c r="D183" s="28"/>
      <c r="E183" s="34"/>
      <c r="F183" s="7"/>
      <c r="G183" s="7"/>
    </row>
    <row r="184" spans="1:7" ht="25.5" hidden="1" customHeight="1" x14ac:dyDescent="0.25">
      <c r="A184" s="2"/>
      <c r="B184" s="30"/>
      <c r="C184" s="9"/>
      <c r="D184" s="28"/>
      <c r="E184" s="34"/>
      <c r="F184" s="7"/>
      <c r="G184" s="7"/>
    </row>
    <row r="185" spans="1:7" ht="38.25" hidden="1" customHeight="1" x14ac:dyDescent="0.25">
      <c r="A185" s="2"/>
      <c r="B185" s="30"/>
      <c r="C185" s="9"/>
      <c r="D185" s="28"/>
      <c r="E185" s="34"/>
      <c r="F185" s="7"/>
      <c r="G185" s="7"/>
    </row>
    <row r="186" spans="1:7" ht="25.5" hidden="1" customHeight="1" x14ac:dyDescent="0.25">
      <c r="A186" s="2"/>
      <c r="B186" s="30"/>
      <c r="C186" s="9"/>
      <c r="D186" s="28"/>
      <c r="E186" s="34"/>
      <c r="F186" s="7"/>
      <c r="G186" s="7"/>
    </row>
    <row r="187" spans="1:7" ht="15" hidden="1" customHeight="1" x14ac:dyDescent="0.25">
      <c r="A187" s="25"/>
      <c r="B187" s="31"/>
      <c r="C187" s="25"/>
      <c r="D187" s="31"/>
      <c r="E187" s="35"/>
      <c r="F187" s="25"/>
      <c r="G187" s="25"/>
    </row>
    <row r="188" spans="1:7" ht="15" hidden="1" customHeight="1" x14ac:dyDescent="0.25">
      <c r="A188" s="2"/>
      <c r="B188" s="30"/>
      <c r="C188" s="9"/>
      <c r="D188" s="28"/>
      <c r="E188" s="34"/>
      <c r="F188" s="7"/>
      <c r="G188" s="7"/>
    </row>
    <row r="189" spans="1:7" ht="15" hidden="1" customHeight="1" x14ac:dyDescent="0.25">
      <c r="A189" s="2"/>
      <c r="B189" s="30"/>
      <c r="C189" s="9"/>
      <c r="D189" s="28"/>
      <c r="E189" s="34"/>
      <c r="F189" s="7"/>
      <c r="G189" s="7"/>
    </row>
    <row r="190" spans="1:7" ht="15" hidden="1" customHeight="1" x14ac:dyDescent="0.25">
      <c r="A190" s="2"/>
      <c r="B190" s="30"/>
      <c r="C190" s="25"/>
      <c r="D190" s="31"/>
      <c r="E190" s="35"/>
      <c r="F190" s="25"/>
      <c r="G190" s="7"/>
    </row>
    <row r="191" spans="1:7" ht="15" hidden="1" customHeight="1" x14ac:dyDescent="0.25">
      <c r="A191" s="2"/>
      <c r="B191" s="30"/>
      <c r="C191" s="9"/>
      <c r="D191" s="28"/>
      <c r="E191" s="34"/>
      <c r="F191" s="7"/>
      <c r="G191" s="7"/>
    </row>
    <row r="192" spans="1:7" ht="15" hidden="1" customHeight="1" x14ac:dyDescent="0.25">
      <c r="A192" s="2"/>
      <c r="B192" s="30"/>
      <c r="C192" s="9"/>
      <c r="D192" s="28"/>
      <c r="E192" s="34"/>
      <c r="F192" s="7"/>
      <c r="G192" s="7"/>
    </row>
    <row r="193" spans="1:7" ht="15" hidden="1" customHeight="1" x14ac:dyDescent="0.25">
      <c r="A193" s="2"/>
      <c r="B193" s="30"/>
      <c r="C193" s="9"/>
      <c r="D193" s="28"/>
      <c r="E193" s="34"/>
      <c r="F193" s="7"/>
      <c r="G193" s="7"/>
    </row>
    <row r="194" spans="1:7" ht="22.5" hidden="1" customHeight="1" x14ac:dyDescent="0.25">
      <c r="A194" s="2"/>
      <c r="B194" s="30"/>
      <c r="C194" s="9"/>
      <c r="D194" s="28"/>
      <c r="E194" s="34"/>
      <c r="F194" s="7"/>
      <c r="G194" s="7"/>
    </row>
    <row r="195" spans="1:7" ht="15" hidden="1" customHeight="1" x14ac:dyDescent="0.25">
      <c r="A195" s="2"/>
      <c r="B195" s="30"/>
      <c r="C195" s="9"/>
      <c r="D195" s="28"/>
      <c r="E195" s="34"/>
      <c r="F195" s="7"/>
      <c r="G195" s="7"/>
    </row>
    <row r="196" spans="1:7" ht="15" hidden="1" customHeight="1" x14ac:dyDescent="0.25">
      <c r="A196" s="2"/>
      <c r="B196" s="30"/>
      <c r="C196" s="9"/>
      <c r="D196" s="28"/>
      <c r="E196" s="34"/>
      <c r="F196" s="7"/>
      <c r="G196" s="7"/>
    </row>
    <row r="197" spans="1:7" ht="15" hidden="1" customHeight="1" x14ac:dyDescent="0.25">
      <c r="A197" s="2"/>
      <c r="B197" s="30"/>
      <c r="C197" s="9"/>
      <c r="D197" s="28"/>
      <c r="E197" s="34"/>
      <c r="F197" s="7"/>
      <c r="G197" s="7"/>
    </row>
    <row r="198" spans="1:7" ht="15" hidden="1" customHeight="1" x14ac:dyDescent="0.25">
      <c r="A198" s="2"/>
      <c r="B198" s="30"/>
      <c r="C198" s="9"/>
      <c r="D198" s="28"/>
      <c r="E198" s="34"/>
      <c r="F198" s="7"/>
      <c r="G198" s="7"/>
    </row>
    <row r="199" spans="1:7" ht="15" hidden="1" customHeight="1" x14ac:dyDescent="0.25">
      <c r="A199" s="2"/>
      <c r="B199" s="30"/>
      <c r="C199" s="9"/>
      <c r="D199" s="28"/>
      <c r="E199" s="34"/>
      <c r="F199" s="7"/>
      <c r="G199" s="7"/>
    </row>
    <row r="200" spans="1:7" ht="15" hidden="1" customHeight="1" x14ac:dyDescent="0.25">
      <c r="A200" s="2"/>
      <c r="B200" s="30"/>
      <c r="C200" s="9"/>
      <c r="D200" s="28"/>
      <c r="E200" s="34"/>
      <c r="F200" s="7"/>
      <c r="G200" s="7"/>
    </row>
    <row r="201" spans="1:7" ht="15" hidden="1" customHeight="1" x14ac:dyDescent="0.25">
      <c r="A201" s="25"/>
      <c r="B201" s="31"/>
      <c r="C201" s="25"/>
      <c r="D201" s="31"/>
      <c r="E201" s="35"/>
      <c r="F201" s="25"/>
      <c r="G201" s="25"/>
    </row>
    <row r="202" spans="1:7" ht="25.5" hidden="1" customHeight="1" x14ac:dyDescent="0.25">
      <c r="A202" s="2"/>
      <c r="B202" s="30"/>
      <c r="C202" s="9"/>
      <c r="D202" s="28"/>
      <c r="E202" s="34"/>
      <c r="F202" s="7"/>
      <c r="G202" s="7"/>
    </row>
    <row r="203" spans="1:7" ht="15" hidden="1" customHeight="1" x14ac:dyDescent="0.25">
      <c r="A203" s="2"/>
      <c r="B203" s="30"/>
      <c r="C203" s="9"/>
      <c r="D203" s="28"/>
      <c r="E203" s="34"/>
      <c r="F203" s="7"/>
      <c r="G203" s="7"/>
    </row>
    <row r="204" spans="1:7" ht="25.5" hidden="1" customHeight="1" x14ac:dyDescent="0.25">
      <c r="A204" s="2"/>
      <c r="B204" s="30"/>
      <c r="C204" s="9"/>
      <c r="D204" s="28"/>
      <c r="E204" s="34"/>
      <c r="F204" s="7"/>
      <c r="G204" s="7"/>
    </row>
    <row r="205" spans="1:7" ht="51" hidden="1" customHeight="1" x14ac:dyDescent="0.25">
      <c r="A205" s="2"/>
      <c r="B205" s="30"/>
      <c r="C205" s="9"/>
      <c r="D205" s="28"/>
      <c r="E205" s="34"/>
      <c r="F205" s="7"/>
      <c r="G205" s="7"/>
    </row>
    <row r="206" spans="1:7" ht="15" hidden="1" customHeight="1" x14ac:dyDescent="0.25">
      <c r="A206" s="2"/>
      <c r="B206" s="30"/>
      <c r="C206" s="9"/>
      <c r="D206" s="28"/>
      <c r="E206" s="34"/>
      <c r="F206" s="7"/>
      <c r="G206" s="7"/>
    </row>
    <row r="207" spans="1:7" ht="25.5" hidden="1" customHeight="1" x14ac:dyDescent="0.25">
      <c r="A207" s="2"/>
      <c r="B207" s="30"/>
      <c r="C207" s="9"/>
      <c r="D207" s="28"/>
      <c r="E207" s="34"/>
      <c r="F207" s="7"/>
      <c r="G207" s="7"/>
    </row>
    <row r="208" spans="1:7" ht="25.5" hidden="1" customHeight="1" x14ac:dyDescent="0.25">
      <c r="A208" s="2"/>
      <c r="B208" s="30"/>
      <c r="C208" s="9"/>
      <c r="D208" s="28"/>
      <c r="E208" s="34"/>
      <c r="F208" s="7"/>
      <c r="G208" s="7"/>
    </row>
    <row r="209" spans="1:7" ht="15" hidden="1" customHeight="1" x14ac:dyDescent="0.25">
      <c r="A209" s="2"/>
      <c r="B209" s="30"/>
      <c r="C209" s="9"/>
      <c r="D209" s="28"/>
      <c r="E209" s="34"/>
      <c r="F209" s="7"/>
      <c r="G209" s="7"/>
    </row>
    <row r="210" spans="1:7" ht="15" hidden="1" customHeight="1" x14ac:dyDescent="0.25">
      <c r="A210" s="2"/>
      <c r="B210" s="30"/>
      <c r="C210" s="9"/>
      <c r="D210" s="28"/>
      <c r="E210" s="34"/>
      <c r="F210" s="7"/>
      <c r="G210" s="7"/>
    </row>
    <row r="211" spans="1:7" ht="15" hidden="1" customHeight="1" x14ac:dyDescent="0.25">
      <c r="A211" s="2"/>
      <c r="B211" s="30"/>
      <c r="C211" s="9"/>
      <c r="D211" s="28"/>
      <c r="E211" s="34"/>
      <c r="F211" s="7"/>
      <c r="G211" s="7"/>
    </row>
    <row r="212" spans="1:7" ht="25.5" hidden="1" customHeight="1" x14ac:dyDescent="0.25">
      <c r="A212" s="25"/>
      <c r="B212" s="31"/>
      <c r="C212" s="25"/>
      <c r="D212" s="31"/>
      <c r="E212" s="35"/>
      <c r="F212" s="25"/>
      <c r="G212" s="7"/>
    </row>
    <row r="213" spans="1:7" ht="51" hidden="1" customHeight="1" x14ac:dyDescent="0.25">
      <c r="A213" s="2"/>
      <c r="B213" s="30"/>
      <c r="C213" s="9"/>
      <c r="D213" s="28"/>
      <c r="E213" s="34"/>
      <c r="F213" s="7"/>
      <c r="G213" s="7"/>
    </row>
    <row r="214" spans="1:7" ht="38.25" hidden="1" customHeight="1" x14ac:dyDescent="0.25">
      <c r="A214" s="2"/>
      <c r="B214" s="30"/>
      <c r="C214" s="9"/>
      <c r="D214" s="28"/>
      <c r="E214" s="34"/>
      <c r="F214" s="7"/>
      <c r="G214" s="7"/>
    </row>
    <row r="215" spans="1:7" ht="63.75" hidden="1" customHeight="1" x14ac:dyDescent="0.25">
      <c r="A215" s="2"/>
      <c r="B215" s="30"/>
      <c r="C215" s="9"/>
      <c r="D215" s="28"/>
      <c r="E215" s="34"/>
      <c r="F215" s="7"/>
      <c r="G215" s="7"/>
    </row>
    <row r="216" spans="1:7" hidden="1" x14ac:dyDescent="0.25">
      <c r="A216" s="2"/>
      <c r="B216" s="30"/>
      <c r="C216" s="9"/>
      <c r="D216" s="28"/>
      <c r="E216" s="34"/>
      <c r="F216" s="7"/>
      <c r="G216" s="7"/>
    </row>
    <row r="217" spans="1:7" hidden="1" x14ac:dyDescent="0.25">
      <c r="A217" s="25"/>
      <c r="B217" s="31"/>
      <c r="C217" s="25"/>
      <c r="D217" s="31"/>
      <c r="E217" s="35"/>
      <c r="F217" s="25"/>
      <c r="G217" s="7"/>
    </row>
    <row r="218" spans="1:7" hidden="1" x14ac:dyDescent="0.25">
      <c r="A218" s="2"/>
      <c r="B218" s="30"/>
      <c r="C218" s="9"/>
      <c r="D218" s="28"/>
      <c r="E218" s="34"/>
      <c r="F218" s="7"/>
      <c r="G218" s="7"/>
    </row>
    <row r="219" spans="1:7" hidden="1" x14ac:dyDescent="0.25">
      <c r="A219" s="41"/>
      <c r="B219" s="42"/>
      <c r="C219" s="43"/>
      <c r="D219" s="44"/>
      <c r="E219" s="45"/>
      <c r="F219" s="46"/>
      <c r="G219" s="46"/>
    </row>
    <row r="220" spans="1:7" hidden="1" x14ac:dyDescent="0.25">
      <c r="A220" s="41"/>
      <c r="B220" s="42"/>
      <c r="C220" s="43"/>
      <c r="D220" s="44"/>
      <c r="E220" s="45"/>
      <c r="F220" s="46"/>
      <c r="G220" s="46"/>
    </row>
    <row r="221" spans="1:7" hidden="1" x14ac:dyDescent="0.25">
      <c r="A221" s="41"/>
      <c r="B221" s="42"/>
      <c r="C221" s="43"/>
      <c r="D221" s="44"/>
      <c r="E221" s="45"/>
      <c r="F221" s="46"/>
      <c r="G221" s="46"/>
    </row>
    <row r="222" spans="1:7" hidden="1" x14ac:dyDescent="0.25">
      <c r="A222" s="41"/>
      <c r="B222" s="42"/>
      <c r="C222" s="43"/>
      <c r="D222" s="44"/>
      <c r="E222" s="45"/>
      <c r="F222" s="46"/>
      <c r="G222" s="46"/>
    </row>
    <row r="223" spans="1:7" hidden="1" x14ac:dyDescent="0.25">
      <c r="A223" s="41"/>
      <c r="B223" s="42"/>
      <c r="C223" s="43"/>
      <c r="D223" s="44"/>
      <c r="E223" s="45"/>
      <c r="F223" s="46"/>
      <c r="G223" s="46"/>
    </row>
    <row r="224" spans="1:7" hidden="1" x14ac:dyDescent="0.25">
      <c r="A224" s="41"/>
      <c r="B224" s="42"/>
      <c r="C224" s="43"/>
      <c r="D224" s="44"/>
      <c r="E224" s="45"/>
      <c r="F224" s="46"/>
      <c r="G224" s="46"/>
    </row>
    <row r="225" spans="1:7" hidden="1" x14ac:dyDescent="0.25">
      <c r="A225" s="41"/>
      <c r="B225" s="42"/>
      <c r="C225" s="43"/>
      <c r="D225" s="44"/>
      <c r="E225" s="45"/>
      <c r="F225" s="46"/>
      <c r="G225" s="46"/>
    </row>
    <row r="226" spans="1:7" hidden="1" x14ac:dyDescent="0.25">
      <c r="A226" s="41"/>
      <c r="B226" s="42"/>
      <c r="C226" s="43"/>
      <c r="D226" s="44"/>
      <c r="E226" s="45"/>
      <c r="F226" s="46"/>
      <c r="G226" s="46"/>
    </row>
    <row r="227" spans="1:7" hidden="1" x14ac:dyDescent="0.25">
      <c r="A227" s="41"/>
      <c r="B227" s="42"/>
      <c r="C227" s="43"/>
      <c r="D227" s="44"/>
      <c r="E227" s="45"/>
      <c r="F227" s="46"/>
      <c r="G227" s="46"/>
    </row>
    <row r="228" spans="1:7" hidden="1" x14ac:dyDescent="0.25">
      <c r="A228" s="41"/>
      <c r="B228" s="42"/>
      <c r="C228" s="43"/>
      <c r="D228" s="44"/>
      <c r="E228" s="45"/>
      <c r="F228" s="46"/>
      <c r="G228" s="46"/>
    </row>
    <row r="229" spans="1:7" hidden="1" x14ac:dyDescent="0.25">
      <c r="A229" s="41"/>
      <c r="B229" s="42"/>
      <c r="C229" s="43"/>
      <c r="D229" s="44"/>
      <c r="E229" s="45"/>
      <c r="F229" s="46"/>
      <c r="G229" s="46"/>
    </row>
    <row r="230" spans="1:7" hidden="1" x14ac:dyDescent="0.25">
      <c r="A230" s="41"/>
      <c r="B230" s="42"/>
      <c r="C230" s="43"/>
      <c r="D230" s="44"/>
      <c r="E230" s="45"/>
      <c r="F230" s="46"/>
      <c r="G230" s="46"/>
    </row>
    <row r="231" spans="1:7" hidden="1" x14ac:dyDescent="0.25">
      <c r="A231" s="41"/>
      <c r="B231" s="42"/>
      <c r="C231" s="43"/>
      <c r="D231" s="44"/>
      <c r="E231" s="45"/>
      <c r="F231" s="46"/>
      <c r="G231" s="46"/>
    </row>
    <row r="232" spans="1:7" hidden="1" x14ac:dyDescent="0.25">
      <c r="A232" s="41"/>
      <c r="B232" s="42"/>
      <c r="C232" s="43"/>
      <c r="D232" s="44"/>
      <c r="E232" s="45"/>
      <c r="F232" s="46"/>
      <c r="G232" s="46"/>
    </row>
    <row r="233" spans="1:7" hidden="1" x14ac:dyDescent="0.25">
      <c r="A233" s="41"/>
      <c r="B233" s="42"/>
      <c r="C233" s="43"/>
      <c r="D233" s="44"/>
      <c r="E233" s="45"/>
      <c r="F233" s="46"/>
      <c r="G233" s="46"/>
    </row>
    <row r="234" spans="1:7" hidden="1" x14ac:dyDescent="0.25">
      <c r="A234" s="41"/>
      <c r="B234" s="42"/>
      <c r="C234" s="43"/>
      <c r="D234" s="44"/>
      <c r="E234" s="45"/>
      <c r="F234" s="46"/>
      <c r="G234" s="46"/>
    </row>
    <row r="235" spans="1:7" hidden="1" x14ac:dyDescent="0.25">
      <c r="A235" s="41"/>
      <c r="B235" s="42"/>
      <c r="C235" s="43"/>
      <c r="D235" s="44"/>
      <c r="E235" s="45"/>
      <c r="F235" s="46"/>
      <c r="G235" s="46"/>
    </row>
  </sheetData>
  <sheetProtection sort="0" autoFilter="0"/>
  <autoFilter ref="A11:G235" xr:uid="{00000000-0001-0000-0600-000000000000}">
    <filterColumn colId="3">
      <filters>
        <filter val="12"/>
      </filters>
    </filterColumn>
  </autoFilter>
  <mergeCells count="2">
    <mergeCell ref="A2:H2"/>
    <mergeCell ref="A1:H1"/>
  </mergeCell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xr:uid="{00000000-0002-0000-0600-000001000000}">
          <x14:formula1>
            <xm:f>PARAMETROS!$C$5:$C$30</xm:f>
          </x14:formula1>
          <xm:sqref>E4</xm:sqref>
        </x14:dataValidation>
        <x14:dataValidation type="list" xr:uid="{00000000-0002-0000-0600-000002000000}">
          <x14:formula1>
            <xm:f>PARAMETROS!$E$5:$E$20</xm:f>
          </x14:formula1>
          <xm:sqref>E5</xm:sqref>
        </x14:dataValidation>
        <x14:dataValidation type="list" allowBlank="1" xr:uid="{00000000-0002-0000-0600-000003000000}">
          <x14:formula1>
            <xm:f>PARAMETROS!$M$5:$M$500</xm:f>
          </x14:formula1>
          <xm:sqref>E6</xm:sqref>
        </x14:dataValidation>
        <x14:dataValidation type="list" allowBlank="1" xr:uid="{00000000-0002-0000-0600-000004000000}">
          <x14:formula1>
            <xm:f>PARAMETROS!$O$5:$O$500</xm:f>
          </x14:formula1>
          <xm:sqref>E7</xm:sqref>
        </x14:dataValidation>
        <x14:dataValidation type="list" allowBlank="1" xr:uid="{00000000-0002-0000-0600-000000000000}">
          <x14:formula1>
            <xm:f>CAD_BALSA!$A$5:$A$999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J54"/>
  <sheetViews>
    <sheetView showGridLines="0" zoomScale="87" zoomScaleNormal="85" workbookViewId="0">
      <pane ySplit="11" topLeftCell="A12" activePane="bottomLeft" state="frozen"/>
      <selection pane="bottomLeft" activeCell="B4" sqref="B4"/>
    </sheetView>
  </sheetViews>
  <sheetFormatPr defaultColWidth="9.140625" defaultRowHeight="15" x14ac:dyDescent="0.25"/>
  <cols>
    <col min="1" max="1" width="22.5703125" customWidth="1"/>
    <col min="2" max="2" width="32.5703125" customWidth="1"/>
    <col min="3" max="3" width="165" hidden="1" customWidth="1"/>
    <col min="4" max="4" width="24.7109375" customWidth="1"/>
    <col min="5" max="5" width="12" customWidth="1"/>
    <col min="6" max="6" width="14" customWidth="1"/>
    <col min="7" max="7" width="16.28515625" customWidth="1"/>
    <col min="8" max="8" width="13.140625" customWidth="1"/>
    <col min="9" max="9" width="11.140625" customWidth="1"/>
    <col min="10" max="10" width="18.7109375" customWidth="1"/>
  </cols>
  <sheetData>
    <row r="1" spans="1:10" ht="18.75" x14ac:dyDescent="0.25">
      <c r="A1" s="68" t="s">
        <v>68</v>
      </c>
      <c r="B1" s="69"/>
      <c r="C1" s="69"/>
      <c r="D1" s="69"/>
      <c r="E1" s="69"/>
      <c r="F1" s="69"/>
      <c r="G1" s="69"/>
      <c r="H1" s="69"/>
      <c r="I1" s="69"/>
    </row>
    <row r="2" spans="1:10" x14ac:dyDescent="0.25">
      <c r="A2" s="61"/>
      <c r="B2" s="63"/>
      <c r="C2" s="63"/>
      <c r="D2" s="63"/>
      <c r="E2" s="63"/>
      <c r="F2" s="63"/>
      <c r="G2" s="63"/>
      <c r="H2" s="63"/>
    </row>
    <row r="4" spans="1:10" x14ac:dyDescent="0.25">
      <c r="A4" s="5" t="s">
        <v>36</v>
      </c>
      <c r="B4" s="1" t="s">
        <v>69</v>
      </c>
      <c r="D4" s="5" t="s">
        <v>32</v>
      </c>
      <c r="E4" s="3">
        <f>IFERROR(INDEX(tblEmissoes[MAQUINA],MATCH(B4,tblEmissoes[ID_EMISSAO],0)),"")</f>
        <v>603</v>
      </c>
      <c r="H4" t="s">
        <v>70</v>
      </c>
    </row>
    <row r="5" spans="1:10" x14ac:dyDescent="0.25">
      <c r="A5" s="5" t="s">
        <v>14</v>
      </c>
      <c r="B5" s="3" t="str">
        <f>IFERROR(INDEX(tblEmissoes[ID_BALSA],MATCH(B4,tblEmissoes[ID_EMISSAO],0)),"")</f>
        <v>RAKE-14</v>
      </c>
      <c r="D5" s="5" t="s">
        <v>33</v>
      </c>
      <c r="E5" s="3" t="str">
        <f>IFERROR(INDEX(tblEmissoes[TURNO],MATCH(B4,tblEmissoes[ID_EMISSAO],0)),"")</f>
        <v>D</v>
      </c>
    </row>
    <row r="6" spans="1:10" x14ac:dyDescent="0.25">
      <c r="A6" s="5" t="s">
        <v>15</v>
      </c>
      <c r="B6" s="3" t="str">
        <f>IFERROR(INDEX(tblEmissoes[TIPO_BALSA],MATCH(B4,tblEmissoes[ID_EMISSAO],0)),"")</f>
        <v>RAKE</v>
      </c>
      <c r="D6" s="5" t="s">
        <v>71</v>
      </c>
      <c r="E6" s="4"/>
    </row>
    <row r="7" spans="1:10" x14ac:dyDescent="0.25">
      <c r="A7" s="5" t="s">
        <v>16</v>
      </c>
      <c r="B7" s="3">
        <f>IFERROR(INDEX(tblEmissoes[NOME_BALSA],MATCH(B4,tblEmissoes[ID_EMISSAO],0)),"")</f>
        <v>14</v>
      </c>
    </row>
    <row r="11" spans="1:10" x14ac:dyDescent="0.25">
      <c r="A11" s="6" t="s">
        <v>72</v>
      </c>
      <c r="B11" s="6" t="s">
        <v>38</v>
      </c>
      <c r="C11" s="6" t="s">
        <v>73</v>
      </c>
      <c r="D11" s="6" t="s">
        <v>74</v>
      </c>
      <c r="E11" s="6" t="s">
        <v>75</v>
      </c>
      <c r="F11" s="6" t="s">
        <v>76</v>
      </c>
      <c r="G11" s="6" t="s">
        <v>77</v>
      </c>
      <c r="H11" s="6" t="s">
        <v>78</v>
      </c>
      <c r="I11" s="6" t="s">
        <v>79</v>
      </c>
      <c r="J11" s="49" t="s">
        <v>80</v>
      </c>
    </row>
    <row r="12" spans="1:10" x14ac:dyDescent="0.25">
      <c r="A12">
        <v>1</v>
      </c>
      <c r="B12">
        <v>3472</v>
      </c>
      <c r="C12" t="s">
        <v>81</v>
      </c>
      <c r="E12" s="39"/>
      <c r="F12" s="39"/>
      <c r="G12" s="39"/>
    </row>
    <row r="13" spans="1:10" x14ac:dyDescent="0.25">
      <c r="A13">
        <v>2</v>
      </c>
      <c r="B13">
        <v>3798</v>
      </c>
      <c r="C13" t="s">
        <v>82</v>
      </c>
      <c r="E13" s="39"/>
      <c r="F13" s="39"/>
    </row>
    <row r="14" spans="1:10" x14ac:dyDescent="0.25">
      <c r="A14">
        <v>3</v>
      </c>
      <c r="B14">
        <v>3800</v>
      </c>
      <c r="C14" t="s">
        <v>83</v>
      </c>
      <c r="E14" s="39"/>
      <c r="F14" s="39"/>
    </row>
    <row r="15" spans="1:10" x14ac:dyDescent="0.25">
      <c r="A15">
        <v>4</v>
      </c>
      <c r="B15">
        <v>4027</v>
      </c>
      <c r="C15" t="s">
        <v>84</v>
      </c>
      <c r="E15" s="39"/>
      <c r="F15" s="39"/>
    </row>
    <row r="16" spans="1:10" x14ac:dyDescent="0.25">
      <c r="A16">
        <v>5</v>
      </c>
      <c r="B16">
        <v>4053</v>
      </c>
      <c r="C16" t="s">
        <v>85</v>
      </c>
      <c r="E16" s="39"/>
      <c r="F16" s="39"/>
    </row>
    <row r="17" spans="1:6" x14ac:dyDescent="0.25">
      <c r="A17">
        <v>6</v>
      </c>
      <c r="B17">
        <v>4081</v>
      </c>
      <c r="C17" t="s">
        <v>86</v>
      </c>
      <c r="E17" s="39"/>
      <c r="F17" s="39"/>
    </row>
    <row r="18" spans="1:6" x14ac:dyDescent="0.25">
      <c r="A18">
        <v>7</v>
      </c>
      <c r="B18">
        <v>4096</v>
      </c>
      <c r="C18" t="s">
        <v>87</v>
      </c>
      <c r="E18" s="39"/>
      <c r="F18" s="39"/>
    </row>
    <row r="19" spans="1:6" x14ac:dyDescent="0.25">
      <c r="A19">
        <v>8</v>
      </c>
      <c r="B19">
        <v>4252</v>
      </c>
      <c r="C19" t="s">
        <v>88</v>
      </c>
      <c r="E19" s="39"/>
      <c r="F19" s="39"/>
    </row>
    <row r="20" spans="1:6" x14ac:dyDescent="0.25">
      <c r="A20">
        <v>9</v>
      </c>
      <c r="B20">
        <v>4258</v>
      </c>
      <c r="C20" t="s">
        <v>89</v>
      </c>
      <c r="E20" s="39"/>
      <c r="F20" s="39"/>
    </row>
    <row r="21" spans="1:6" x14ac:dyDescent="0.25">
      <c r="A21">
        <v>10</v>
      </c>
      <c r="B21">
        <v>4260</v>
      </c>
      <c r="C21" t="s">
        <v>90</v>
      </c>
      <c r="E21" s="39"/>
      <c r="F21" s="39"/>
    </row>
    <row r="22" spans="1:6" x14ac:dyDescent="0.25">
      <c r="A22">
        <v>11</v>
      </c>
      <c r="B22">
        <v>4481</v>
      </c>
      <c r="C22" t="s">
        <v>91</v>
      </c>
      <c r="E22" s="39"/>
      <c r="F22" s="39"/>
    </row>
    <row r="23" spans="1:6" x14ac:dyDescent="0.25">
      <c r="A23">
        <v>12</v>
      </c>
      <c r="B23">
        <v>4490</v>
      </c>
      <c r="C23" t="s">
        <v>92</v>
      </c>
      <c r="E23" s="39"/>
      <c r="F23" s="39"/>
    </row>
    <row r="24" spans="1:6" x14ac:dyDescent="0.25">
      <c r="A24">
        <v>13</v>
      </c>
      <c r="B24">
        <v>4491</v>
      </c>
      <c r="C24" t="s">
        <v>93</v>
      </c>
      <c r="E24" s="39"/>
      <c r="F24" s="39"/>
    </row>
    <row r="25" spans="1:6" x14ac:dyDescent="0.25">
      <c r="A25">
        <v>14</v>
      </c>
      <c r="B25">
        <v>4492</v>
      </c>
      <c r="C25" t="s">
        <v>94</v>
      </c>
      <c r="E25" s="39"/>
      <c r="F25" s="39"/>
    </row>
    <row r="26" spans="1:6" x14ac:dyDescent="0.25">
      <c r="A26">
        <v>15</v>
      </c>
      <c r="B26">
        <v>4494</v>
      </c>
      <c r="C26" t="s">
        <v>95</v>
      </c>
      <c r="E26" s="39"/>
      <c r="F26" s="39"/>
    </row>
    <row r="27" spans="1:6" x14ac:dyDescent="0.25">
      <c r="A27">
        <v>16</v>
      </c>
      <c r="B27">
        <v>4495</v>
      </c>
      <c r="C27" t="s">
        <v>96</v>
      </c>
      <c r="E27" s="39"/>
      <c r="F27" s="39"/>
    </row>
    <row r="28" spans="1:6" x14ac:dyDescent="0.25">
      <c r="A28">
        <v>17</v>
      </c>
      <c r="B28">
        <v>4496</v>
      </c>
      <c r="C28" t="s">
        <v>97</v>
      </c>
      <c r="E28" s="39"/>
      <c r="F28" s="39"/>
    </row>
    <row r="29" spans="1:6" x14ac:dyDescent="0.25">
      <c r="A29">
        <v>18</v>
      </c>
      <c r="B29">
        <v>4499</v>
      </c>
      <c r="C29" t="s">
        <v>98</v>
      </c>
      <c r="E29" s="39"/>
      <c r="F29" s="39"/>
    </row>
    <row r="30" spans="1:6" x14ac:dyDescent="0.25">
      <c r="A30">
        <v>19</v>
      </c>
      <c r="B30">
        <v>4500</v>
      </c>
      <c r="C30" t="s">
        <v>99</v>
      </c>
      <c r="E30" s="39"/>
      <c r="F30" s="39"/>
    </row>
    <row r="31" spans="1:6" x14ac:dyDescent="0.25">
      <c r="A31">
        <v>20</v>
      </c>
      <c r="B31">
        <v>4502</v>
      </c>
      <c r="C31" t="s">
        <v>100</v>
      </c>
      <c r="E31" s="39"/>
      <c r="F31" s="39"/>
    </row>
    <row r="32" spans="1:6" x14ac:dyDescent="0.25">
      <c r="A32">
        <v>21</v>
      </c>
      <c r="B32">
        <v>4503</v>
      </c>
      <c r="C32" t="s">
        <v>101</v>
      </c>
      <c r="E32" s="39"/>
      <c r="F32" s="39"/>
    </row>
    <row r="33" spans="1:6" x14ac:dyDescent="0.25">
      <c r="A33">
        <v>22</v>
      </c>
      <c r="B33">
        <v>4504</v>
      </c>
      <c r="C33" t="s">
        <v>102</v>
      </c>
      <c r="E33" s="39"/>
      <c r="F33" s="39"/>
    </row>
    <row r="34" spans="1:6" x14ac:dyDescent="0.25">
      <c r="A34">
        <v>23</v>
      </c>
      <c r="B34">
        <v>4508</v>
      </c>
      <c r="C34" t="s">
        <v>103</v>
      </c>
      <c r="E34" s="39"/>
      <c r="F34" s="39"/>
    </row>
    <row r="35" spans="1:6" x14ac:dyDescent="0.25">
      <c r="E35" s="39"/>
      <c r="F35" s="39"/>
    </row>
    <row r="36" spans="1:6" x14ac:dyDescent="0.25">
      <c r="E36" s="39"/>
      <c r="F36" s="39"/>
    </row>
    <row r="37" spans="1:6" x14ac:dyDescent="0.25">
      <c r="E37" s="39"/>
      <c r="F37" s="39"/>
    </row>
    <row r="38" spans="1:6" x14ac:dyDescent="0.25">
      <c r="E38" s="39"/>
      <c r="F38" s="39"/>
    </row>
    <row r="39" spans="1:6" x14ac:dyDescent="0.25">
      <c r="E39" s="39"/>
      <c r="F39" s="39"/>
    </row>
    <row r="40" spans="1:6" x14ac:dyDescent="0.25">
      <c r="E40" s="39"/>
      <c r="F40" s="39"/>
    </row>
    <row r="41" spans="1:6" x14ac:dyDescent="0.25">
      <c r="E41" s="39"/>
      <c r="F41" s="39"/>
    </row>
    <row r="42" spans="1:6" x14ac:dyDescent="0.25">
      <c r="E42" s="39"/>
      <c r="F42" s="39"/>
    </row>
    <row r="43" spans="1:6" x14ac:dyDescent="0.25">
      <c r="E43" s="39"/>
      <c r="F43" s="39"/>
    </row>
    <row r="44" spans="1:6" x14ac:dyDescent="0.25">
      <c r="E44" s="39"/>
      <c r="F44" s="39"/>
    </row>
    <row r="45" spans="1:6" x14ac:dyDescent="0.25">
      <c r="E45" s="39"/>
      <c r="F45" s="39"/>
    </row>
    <row r="46" spans="1:6" x14ac:dyDescent="0.25">
      <c r="E46" s="39"/>
      <c r="F46" s="39"/>
    </row>
    <row r="47" spans="1:6" x14ac:dyDescent="0.25">
      <c r="E47" s="39"/>
      <c r="F47" s="39"/>
    </row>
    <row r="48" spans="1:6" x14ac:dyDescent="0.25">
      <c r="E48" s="39"/>
      <c r="F48" s="39"/>
    </row>
    <row r="49" spans="5:6" x14ac:dyDescent="0.25">
      <c r="E49" s="39"/>
      <c r="F49" s="39"/>
    </row>
    <row r="50" spans="5:6" x14ac:dyDescent="0.25">
      <c r="E50" s="39"/>
      <c r="F50" s="39"/>
    </row>
    <row r="51" spans="5:6" x14ac:dyDescent="0.25">
      <c r="E51" s="39"/>
      <c r="F51" s="39"/>
    </row>
    <row r="52" spans="5:6" x14ac:dyDescent="0.25">
      <c r="E52" s="39"/>
      <c r="F52" s="39"/>
    </row>
    <row r="53" spans="5:6" x14ac:dyDescent="0.25">
      <c r="E53" s="39"/>
      <c r="F53" s="39"/>
    </row>
    <row r="54" spans="5:6" x14ac:dyDescent="0.25">
      <c r="E54" s="39"/>
      <c r="F54" s="39"/>
    </row>
  </sheetData>
  <sheetProtection sort="0" autoFilter="0"/>
  <autoFilter ref="A11:I34" xr:uid="{00000000-0001-0000-0800-000000000000}">
    <sortState xmlns:xlrd2="http://schemas.microsoft.com/office/spreadsheetml/2017/richdata2" ref="A12:I34">
      <sortCondition ref="B11:B34"/>
    </sortState>
  </autoFilter>
  <mergeCells count="2">
    <mergeCell ref="A2:H2"/>
    <mergeCell ref="A1:I1"/>
  </mergeCells>
  <dataValidations count="2">
    <dataValidation type="list" allowBlank="1" showInputMessage="1" showErrorMessage="1" errorTitle="Valor invalido" error="Escolha um operador valido na lista." promptTitle="Operador" prompt="Selecione o operador que cortou o nesting." sqref="D12:D54" xr:uid="{02E6EDFF-5984-4D06-B2BE-86C74F93B783}">
      <formula1>ListaOperadores</formula1>
    </dataValidation>
    <dataValidation type="list" allowBlank="1" showInputMessage="1" showErrorMessage="1" errorTitle="Valor invalido" error="Escolha um ID_EMISSAO disponivel na lista." promptTitle="ID Emissao" prompt="Selecione um ID_EMISSAO com nesting pendente de baixa." sqref="B4" xr:uid="{56E231F9-DF31-4411-A5C2-91D64E4192CA}">
      <formula1>ListaRetornoPendente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800-000001000000}">
          <x14:formula1>
            <xm:f>PARAMETROS!$G$5:$G$10</xm:f>
          </x14:formula1>
          <xm:sqref>F12:F58</xm:sqref>
        </x14:dataValidation>
        <x14:dataValidation type="list" allowBlank="1" xr:uid="{00000000-0002-0000-0800-000002000000}">
          <x14:formula1>
            <xm:f>PARAMETROS!$I$5:$I$20</xm:f>
          </x14:formula1>
          <xm:sqref>G12:G58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Q618"/>
  <sheetViews>
    <sheetView showGridLines="0" topLeftCell="D1" workbookViewId="0">
      <pane ySplit="4" topLeftCell="A446" activePane="bottomLeft" state="frozen"/>
      <selection pane="bottomLeft" activeCell="O486" sqref="O486"/>
    </sheetView>
  </sheetViews>
  <sheetFormatPr defaultColWidth="9.140625" defaultRowHeight="15" x14ac:dyDescent="0.25"/>
  <cols>
    <col min="1" max="1" width="24" customWidth="1"/>
    <col min="2" max="2" width="14" style="26" customWidth="1"/>
    <col min="3" max="3" width="14" customWidth="1"/>
    <col min="4" max="4" width="12" customWidth="1"/>
    <col min="5" max="5" width="18" customWidth="1"/>
    <col min="6" max="6" width="14" customWidth="1"/>
    <col min="7" max="7" width="10" customWidth="1"/>
    <col min="8" max="8" width="38.5703125" customWidth="1"/>
    <col min="9" max="9" width="10" customWidth="1"/>
    <col min="10" max="10" width="12" customWidth="1"/>
    <col min="11" max="11" width="113.5703125" customWidth="1"/>
    <col min="12" max="12" width="10" customWidth="1"/>
    <col min="13" max="13" width="26" customWidth="1"/>
    <col min="14" max="14" width="12" customWidth="1"/>
    <col min="15" max="15" width="16" customWidth="1"/>
    <col min="16" max="16" width="20" customWidth="1"/>
    <col min="17" max="17" width="28" bestFit="1" customWidth="1"/>
  </cols>
  <sheetData>
    <row r="1" spans="1:17" ht="18.75" x14ac:dyDescent="0.25">
      <c r="A1" s="64" t="s">
        <v>104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7"/>
    </row>
    <row r="2" spans="1:17" x14ac:dyDescent="0.25">
      <c r="A2" s="61" t="s">
        <v>105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4" spans="1:17" ht="25.5" x14ac:dyDescent="0.25">
      <c r="A4" s="6" t="s">
        <v>36</v>
      </c>
      <c r="B4" s="6" t="s">
        <v>35</v>
      </c>
      <c r="C4" s="6" t="s">
        <v>14</v>
      </c>
      <c r="D4" s="6" t="s">
        <v>15</v>
      </c>
      <c r="E4" s="6" t="s">
        <v>16</v>
      </c>
      <c r="F4" s="6" t="s">
        <v>32</v>
      </c>
      <c r="G4" s="6" t="s">
        <v>33</v>
      </c>
      <c r="H4" s="6" t="s">
        <v>42</v>
      </c>
      <c r="I4" s="6" t="s">
        <v>43</v>
      </c>
      <c r="J4" s="6" t="s">
        <v>38</v>
      </c>
      <c r="K4" s="6" t="s">
        <v>106</v>
      </c>
      <c r="L4" s="6" t="s">
        <v>107</v>
      </c>
      <c r="M4" s="6" t="s">
        <v>108</v>
      </c>
      <c r="N4" s="6" t="s">
        <v>109</v>
      </c>
      <c r="O4" s="6" t="s">
        <v>110</v>
      </c>
      <c r="P4" s="6" t="s">
        <v>111</v>
      </c>
      <c r="Q4" s="6" t="s">
        <v>112</v>
      </c>
    </row>
    <row r="5" spans="1:17" hidden="1" x14ac:dyDescent="0.25">
      <c r="A5" s="3" t="s">
        <v>113</v>
      </c>
      <c r="B5" s="29">
        <v>46113</v>
      </c>
      <c r="C5" s="3" t="s">
        <v>24</v>
      </c>
      <c r="D5" s="3" t="s">
        <v>25</v>
      </c>
      <c r="E5" s="3">
        <v>13</v>
      </c>
      <c r="F5" s="3">
        <v>603</v>
      </c>
      <c r="G5" s="3" t="s">
        <v>34</v>
      </c>
      <c r="H5" s="3" t="s">
        <v>114</v>
      </c>
      <c r="I5" s="3" t="s">
        <v>115</v>
      </c>
      <c r="J5" s="3">
        <v>4490</v>
      </c>
      <c r="K5" s="3" t="s">
        <v>92</v>
      </c>
      <c r="L5" s="3">
        <v>1</v>
      </c>
      <c r="M5" s="3" t="s">
        <v>116</v>
      </c>
      <c r="N5" s="3">
        <v>8</v>
      </c>
      <c r="O5" s="3" t="s">
        <v>117</v>
      </c>
      <c r="P5" s="3"/>
      <c r="Q5" s="3" t="s">
        <v>118</v>
      </c>
    </row>
    <row r="6" spans="1:17" hidden="1" x14ac:dyDescent="0.25">
      <c r="A6" t="s">
        <v>113</v>
      </c>
      <c r="B6" s="36">
        <v>46113</v>
      </c>
      <c r="C6" t="s">
        <v>24</v>
      </c>
      <c r="D6" t="s">
        <v>25</v>
      </c>
      <c r="E6">
        <v>13</v>
      </c>
      <c r="F6">
        <v>603</v>
      </c>
      <c r="G6" t="s">
        <v>34</v>
      </c>
      <c r="H6" t="s">
        <v>114</v>
      </c>
      <c r="I6" t="s">
        <v>115</v>
      </c>
      <c r="J6">
        <v>4491</v>
      </c>
      <c r="K6" t="s">
        <v>93</v>
      </c>
      <c r="L6">
        <v>1</v>
      </c>
      <c r="M6" t="s">
        <v>119</v>
      </c>
      <c r="N6">
        <v>8</v>
      </c>
      <c r="O6" t="s">
        <v>117</v>
      </c>
      <c r="Q6" t="s">
        <v>120</v>
      </c>
    </row>
    <row r="7" spans="1:17" hidden="1" x14ac:dyDescent="0.25">
      <c r="A7" t="s">
        <v>113</v>
      </c>
      <c r="B7" s="36">
        <v>46113</v>
      </c>
      <c r="C7" t="s">
        <v>24</v>
      </c>
      <c r="D7" t="s">
        <v>25</v>
      </c>
      <c r="E7">
        <v>13</v>
      </c>
      <c r="F7">
        <v>603</v>
      </c>
      <c r="G7" t="s">
        <v>34</v>
      </c>
      <c r="H7" t="s">
        <v>121</v>
      </c>
      <c r="I7" t="s">
        <v>122</v>
      </c>
      <c r="J7">
        <v>4081</v>
      </c>
      <c r="K7" t="s">
        <v>86</v>
      </c>
      <c r="L7">
        <v>2</v>
      </c>
      <c r="M7" t="s">
        <v>123</v>
      </c>
      <c r="N7">
        <v>8</v>
      </c>
      <c r="O7" t="s">
        <v>117</v>
      </c>
      <c r="Q7" t="s">
        <v>124</v>
      </c>
    </row>
    <row r="8" spans="1:17" hidden="1" x14ac:dyDescent="0.25">
      <c r="A8" t="s">
        <v>113</v>
      </c>
      <c r="B8" s="36">
        <v>46113</v>
      </c>
      <c r="C8" t="s">
        <v>24</v>
      </c>
      <c r="D8" t="s">
        <v>25</v>
      </c>
      <c r="E8">
        <v>13</v>
      </c>
      <c r="F8">
        <v>603</v>
      </c>
      <c r="G8" t="s">
        <v>34</v>
      </c>
      <c r="H8" t="s">
        <v>125</v>
      </c>
      <c r="I8" t="s">
        <v>126</v>
      </c>
      <c r="J8">
        <v>4258</v>
      </c>
      <c r="K8" t="s">
        <v>89</v>
      </c>
      <c r="L8">
        <v>4</v>
      </c>
      <c r="M8" t="s">
        <v>127</v>
      </c>
      <c r="N8">
        <v>8</v>
      </c>
      <c r="O8" t="s">
        <v>117</v>
      </c>
      <c r="Q8" t="s">
        <v>128</v>
      </c>
    </row>
    <row r="9" spans="1:17" hidden="1" x14ac:dyDescent="0.25">
      <c r="A9" t="s">
        <v>113</v>
      </c>
      <c r="B9" s="36">
        <v>46113</v>
      </c>
      <c r="C9" t="s">
        <v>24</v>
      </c>
      <c r="D9" t="s">
        <v>25</v>
      </c>
      <c r="E9">
        <v>13</v>
      </c>
      <c r="F9">
        <v>603</v>
      </c>
      <c r="G9" t="s">
        <v>34</v>
      </c>
      <c r="H9" t="s">
        <v>129</v>
      </c>
      <c r="I9" t="s">
        <v>115</v>
      </c>
      <c r="J9">
        <v>3798</v>
      </c>
      <c r="K9" t="s">
        <v>82</v>
      </c>
      <c r="L9">
        <v>1</v>
      </c>
      <c r="M9" t="s">
        <v>119</v>
      </c>
      <c r="N9">
        <v>8</v>
      </c>
      <c r="O9" t="s">
        <v>117</v>
      </c>
      <c r="Q9" t="s">
        <v>130</v>
      </c>
    </row>
    <row r="10" spans="1:17" hidden="1" x14ac:dyDescent="0.25">
      <c r="A10" t="s">
        <v>113</v>
      </c>
      <c r="B10" s="36">
        <v>46113</v>
      </c>
      <c r="C10" t="s">
        <v>24</v>
      </c>
      <c r="D10" t="s">
        <v>25</v>
      </c>
      <c r="E10">
        <v>13</v>
      </c>
      <c r="F10">
        <v>603</v>
      </c>
      <c r="G10" t="s">
        <v>34</v>
      </c>
      <c r="H10" t="s">
        <v>131</v>
      </c>
      <c r="I10" t="s">
        <v>115</v>
      </c>
      <c r="J10">
        <v>3800</v>
      </c>
      <c r="K10" t="s">
        <v>83</v>
      </c>
      <c r="L10">
        <v>1</v>
      </c>
      <c r="M10" t="s">
        <v>119</v>
      </c>
      <c r="N10">
        <v>8</v>
      </c>
      <c r="O10" t="s">
        <v>117</v>
      </c>
      <c r="Q10" t="s">
        <v>132</v>
      </c>
    </row>
    <row r="11" spans="1:17" hidden="1" x14ac:dyDescent="0.25">
      <c r="A11" t="s">
        <v>113</v>
      </c>
      <c r="B11" s="36">
        <v>46113</v>
      </c>
      <c r="C11" t="s">
        <v>24</v>
      </c>
      <c r="D11" t="s">
        <v>25</v>
      </c>
      <c r="E11">
        <v>13</v>
      </c>
      <c r="F11">
        <v>603</v>
      </c>
      <c r="G11" t="s">
        <v>34</v>
      </c>
      <c r="H11" t="s">
        <v>133</v>
      </c>
      <c r="I11" t="s">
        <v>115</v>
      </c>
      <c r="J11">
        <v>4496</v>
      </c>
      <c r="K11" t="s">
        <v>97</v>
      </c>
      <c r="L11">
        <v>1</v>
      </c>
      <c r="M11" t="s">
        <v>116</v>
      </c>
      <c r="N11">
        <v>8</v>
      </c>
      <c r="O11" t="s">
        <v>117</v>
      </c>
      <c r="Q11" t="s">
        <v>134</v>
      </c>
    </row>
    <row r="12" spans="1:17" hidden="1" x14ac:dyDescent="0.25">
      <c r="A12" t="s">
        <v>113</v>
      </c>
      <c r="B12" s="36">
        <v>46113</v>
      </c>
      <c r="C12" t="s">
        <v>24</v>
      </c>
      <c r="D12" t="s">
        <v>25</v>
      </c>
      <c r="E12">
        <v>13</v>
      </c>
      <c r="F12">
        <v>603</v>
      </c>
      <c r="G12" t="s">
        <v>34</v>
      </c>
      <c r="H12" t="s">
        <v>135</v>
      </c>
      <c r="I12" t="s">
        <v>136</v>
      </c>
      <c r="J12">
        <v>4500</v>
      </c>
      <c r="K12" t="s">
        <v>99</v>
      </c>
      <c r="L12">
        <v>3</v>
      </c>
      <c r="M12" t="s">
        <v>137</v>
      </c>
      <c r="N12">
        <v>8</v>
      </c>
      <c r="O12" t="s">
        <v>117</v>
      </c>
      <c r="Q12" t="s">
        <v>138</v>
      </c>
    </row>
    <row r="13" spans="1:17" hidden="1" x14ac:dyDescent="0.25">
      <c r="A13" t="s">
        <v>113</v>
      </c>
      <c r="B13" s="36">
        <v>46113</v>
      </c>
      <c r="C13" t="s">
        <v>24</v>
      </c>
      <c r="D13" t="s">
        <v>25</v>
      </c>
      <c r="E13">
        <v>13</v>
      </c>
      <c r="F13">
        <v>603</v>
      </c>
      <c r="G13" t="s">
        <v>34</v>
      </c>
      <c r="H13" t="s">
        <v>139</v>
      </c>
      <c r="I13" t="s">
        <v>140</v>
      </c>
      <c r="J13">
        <v>4252</v>
      </c>
      <c r="K13" t="s">
        <v>88</v>
      </c>
      <c r="L13">
        <v>7</v>
      </c>
      <c r="M13" t="s">
        <v>141</v>
      </c>
      <c r="N13">
        <v>8</v>
      </c>
      <c r="O13" t="s">
        <v>117</v>
      </c>
      <c r="Q13" t="s">
        <v>142</v>
      </c>
    </row>
    <row r="14" spans="1:17" hidden="1" x14ac:dyDescent="0.25">
      <c r="A14" t="s">
        <v>113</v>
      </c>
      <c r="B14" s="36">
        <v>46113</v>
      </c>
      <c r="C14" t="s">
        <v>24</v>
      </c>
      <c r="D14" t="s">
        <v>25</v>
      </c>
      <c r="E14">
        <v>13</v>
      </c>
      <c r="F14">
        <v>603</v>
      </c>
      <c r="G14" t="s">
        <v>34</v>
      </c>
      <c r="H14" t="s">
        <v>143</v>
      </c>
      <c r="I14" t="s">
        <v>144</v>
      </c>
      <c r="J14">
        <v>4053</v>
      </c>
      <c r="K14" t="s">
        <v>85</v>
      </c>
      <c r="L14">
        <v>4</v>
      </c>
      <c r="M14" t="s">
        <v>145</v>
      </c>
      <c r="N14">
        <v>8</v>
      </c>
      <c r="O14" t="s">
        <v>117</v>
      </c>
      <c r="Q14" t="s">
        <v>146</v>
      </c>
    </row>
    <row r="15" spans="1:17" hidden="1" x14ac:dyDescent="0.25">
      <c r="A15" t="s">
        <v>113</v>
      </c>
      <c r="B15" s="36">
        <v>46113</v>
      </c>
      <c r="C15" t="s">
        <v>24</v>
      </c>
      <c r="D15" t="s">
        <v>25</v>
      </c>
      <c r="E15">
        <v>13</v>
      </c>
      <c r="F15">
        <v>603</v>
      </c>
      <c r="G15" t="s">
        <v>34</v>
      </c>
      <c r="H15" t="s">
        <v>147</v>
      </c>
      <c r="I15" t="s">
        <v>115</v>
      </c>
      <c r="J15">
        <v>4503</v>
      </c>
      <c r="K15" t="s">
        <v>101</v>
      </c>
      <c r="L15">
        <v>1</v>
      </c>
      <c r="M15" t="s">
        <v>116</v>
      </c>
      <c r="N15">
        <v>8</v>
      </c>
      <c r="O15" t="s">
        <v>117</v>
      </c>
      <c r="Q15" t="s">
        <v>148</v>
      </c>
    </row>
    <row r="16" spans="1:17" hidden="1" x14ac:dyDescent="0.25">
      <c r="A16" t="s">
        <v>113</v>
      </c>
      <c r="B16" s="36">
        <v>46113</v>
      </c>
      <c r="C16" t="s">
        <v>24</v>
      </c>
      <c r="D16" t="s">
        <v>25</v>
      </c>
      <c r="E16">
        <v>13</v>
      </c>
      <c r="F16">
        <v>603</v>
      </c>
      <c r="G16" t="s">
        <v>34</v>
      </c>
      <c r="H16" t="s">
        <v>147</v>
      </c>
      <c r="I16" t="s">
        <v>115</v>
      </c>
      <c r="J16">
        <v>4504</v>
      </c>
      <c r="K16" t="s">
        <v>102</v>
      </c>
      <c r="L16">
        <v>1</v>
      </c>
      <c r="M16" t="s">
        <v>119</v>
      </c>
      <c r="N16">
        <v>8</v>
      </c>
      <c r="O16" t="s">
        <v>117</v>
      </c>
      <c r="Q16" t="s">
        <v>149</v>
      </c>
    </row>
    <row r="17" spans="1:17" hidden="1" x14ac:dyDescent="0.25">
      <c r="A17" t="s">
        <v>113</v>
      </c>
      <c r="B17" s="36">
        <v>46113</v>
      </c>
      <c r="C17" t="s">
        <v>24</v>
      </c>
      <c r="D17" t="s">
        <v>25</v>
      </c>
      <c r="E17">
        <v>13</v>
      </c>
      <c r="F17">
        <v>603</v>
      </c>
      <c r="G17" t="s">
        <v>34</v>
      </c>
      <c r="H17" t="s">
        <v>150</v>
      </c>
      <c r="I17" t="s">
        <v>115</v>
      </c>
      <c r="J17">
        <v>4096</v>
      </c>
      <c r="K17" t="s">
        <v>87</v>
      </c>
      <c r="L17">
        <v>1</v>
      </c>
      <c r="M17" t="s">
        <v>116</v>
      </c>
      <c r="N17">
        <v>8</v>
      </c>
      <c r="O17" t="s">
        <v>117</v>
      </c>
      <c r="Q17" t="s">
        <v>151</v>
      </c>
    </row>
    <row r="18" spans="1:17" hidden="1" x14ac:dyDescent="0.25">
      <c r="A18" t="s">
        <v>113</v>
      </c>
      <c r="B18" s="36">
        <v>46113</v>
      </c>
      <c r="C18" t="s">
        <v>24</v>
      </c>
      <c r="D18" t="s">
        <v>25</v>
      </c>
      <c r="E18">
        <v>13</v>
      </c>
      <c r="F18">
        <v>603</v>
      </c>
      <c r="G18" t="s">
        <v>34</v>
      </c>
      <c r="H18" t="s">
        <v>152</v>
      </c>
      <c r="I18" t="s">
        <v>152</v>
      </c>
      <c r="J18">
        <v>4071</v>
      </c>
      <c r="K18" t="s">
        <v>153</v>
      </c>
      <c r="L18">
        <v>1</v>
      </c>
      <c r="M18" t="s">
        <v>119</v>
      </c>
      <c r="N18">
        <v>8</v>
      </c>
      <c r="O18" t="s">
        <v>117</v>
      </c>
      <c r="Q18" t="s">
        <v>154</v>
      </c>
    </row>
    <row r="19" spans="1:17" hidden="1" x14ac:dyDescent="0.25">
      <c r="A19" t="s">
        <v>113</v>
      </c>
      <c r="B19" s="36">
        <v>46113</v>
      </c>
      <c r="C19" t="s">
        <v>24</v>
      </c>
      <c r="D19" t="s">
        <v>25</v>
      </c>
      <c r="E19">
        <v>13</v>
      </c>
      <c r="F19">
        <v>603</v>
      </c>
      <c r="G19" t="s">
        <v>34</v>
      </c>
      <c r="H19" t="s">
        <v>155</v>
      </c>
      <c r="I19" t="s">
        <v>156</v>
      </c>
      <c r="J19">
        <v>3472</v>
      </c>
      <c r="K19" t="s">
        <v>81</v>
      </c>
      <c r="L19">
        <v>4</v>
      </c>
      <c r="M19" t="s">
        <v>157</v>
      </c>
      <c r="N19">
        <v>8</v>
      </c>
      <c r="O19" t="s">
        <v>117</v>
      </c>
      <c r="Q19" t="s">
        <v>158</v>
      </c>
    </row>
    <row r="20" spans="1:17" hidden="1" x14ac:dyDescent="0.25">
      <c r="A20" t="s">
        <v>159</v>
      </c>
      <c r="B20" s="36">
        <v>46109</v>
      </c>
      <c r="C20" t="s">
        <v>24</v>
      </c>
      <c r="D20" t="s">
        <v>25</v>
      </c>
      <c r="E20">
        <v>13</v>
      </c>
      <c r="F20">
        <v>605</v>
      </c>
      <c r="G20" t="s">
        <v>34</v>
      </c>
      <c r="H20" t="s">
        <v>160</v>
      </c>
      <c r="I20" t="s">
        <v>161</v>
      </c>
      <c r="J20">
        <v>3423</v>
      </c>
      <c r="K20" t="s">
        <v>162</v>
      </c>
      <c r="L20">
        <v>9</v>
      </c>
      <c r="M20" t="s">
        <v>163</v>
      </c>
      <c r="N20">
        <v>8</v>
      </c>
      <c r="O20" t="s">
        <v>117</v>
      </c>
      <c r="Q20" t="s">
        <v>164</v>
      </c>
    </row>
    <row r="21" spans="1:17" hidden="1" x14ac:dyDescent="0.25">
      <c r="A21" t="s">
        <v>159</v>
      </c>
      <c r="B21" s="36">
        <v>46109</v>
      </c>
      <c r="C21" t="s">
        <v>24</v>
      </c>
      <c r="D21" t="s">
        <v>25</v>
      </c>
      <c r="E21">
        <v>13</v>
      </c>
      <c r="F21">
        <v>605</v>
      </c>
      <c r="G21" t="s">
        <v>34</v>
      </c>
      <c r="H21" t="s">
        <v>165</v>
      </c>
      <c r="I21" t="s">
        <v>166</v>
      </c>
      <c r="J21">
        <v>3980</v>
      </c>
      <c r="K21" t="s">
        <v>167</v>
      </c>
      <c r="L21">
        <v>5</v>
      </c>
      <c r="M21" t="s">
        <v>168</v>
      </c>
      <c r="N21">
        <v>8</v>
      </c>
      <c r="O21" t="s">
        <v>117</v>
      </c>
      <c r="Q21" t="s">
        <v>169</v>
      </c>
    </row>
    <row r="22" spans="1:17" hidden="1" x14ac:dyDescent="0.25">
      <c r="A22" t="s">
        <v>159</v>
      </c>
      <c r="B22" s="36">
        <v>46109</v>
      </c>
      <c r="C22" t="s">
        <v>24</v>
      </c>
      <c r="D22" t="s">
        <v>25</v>
      </c>
      <c r="E22">
        <v>13</v>
      </c>
      <c r="F22">
        <v>605</v>
      </c>
      <c r="G22" t="s">
        <v>34</v>
      </c>
      <c r="H22" t="s">
        <v>170</v>
      </c>
      <c r="I22" t="s">
        <v>171</v>
      </c>
      <c r="J22">
        <v>3981</v>
      </c>
      <c r="K22" t="s">
        <v>172</v>
      </c>
      <c r="L22">
        <v>5</v>
      </c>
      <c r="M22" t="s">
        <v>173</v>
      </c>
      <c r="N22">
        <v>8</v>
      </c>
      <c r="O22" t="s">
        <v>117</v>
      </c>
      <c r="Q22" t="s">
        <v>174</v>
      </c>
    </row>
    <row r="23" spans="1:17" hidden="1" x14ac:dyDescent="0.25">
      <c r="A23" t="s">
        <v>159</v>
      </c>
      <c r="B23" s="36">
        <v>46109</v>
      </c>
      <c r="C23" t="s">
        <v>24</v>
      </c>
      <c r="D23" t="s">
        <v>25</v>
      </c>
      <c r="E23">
        <v>13</v>
      </c>
      <c r="F23">
        <v>605</v>
      </c>
      <c r="G23" t="s">
        <v>34</v>
      </c>
      <c r="H23" t="s">
        <v>175</v>
      </c>
      <c r="I23" t="s">
        <v>176</v>
      </c>
      <c r="J23">
        <v>3984</v>
      </c>
      <c r="K23" t="s">
        <v>177</v>
      </c>
      <c r="L23">
        <v>6</v>
      </c>
      <c r="M23" t="s">
        <v>178</v>
      </c>
      <c r="N23">
        <v>8</v>
      </c>
      <c r="O23" t="s">
        <v>117</v>
      </c>
      <c r="Q23" t="s">
        <v>179</v>
      </c>
    </row>
    <row r="24" spans="1:17" hidden="1" x14ac:dyDescent="0.25">
      <c r="A24" t="s">
        <v>159</v>
      </c>
      <c r="B24" s="36">
        <v>46109</v>
      </c>
      <c r="C24" t="s">
        <v>24</v>
      </c>
      <c r="D24" t="s">
        <v>25</v>
      </c>
      <c r="E24">
        <v>13</v>
      </c>
      <c r="F24">
        <v>605</v>
      </c>
      <c r="G24" t="s">
        <v>34</v>
      </c>
      <c r="H24" t="s">
        <v>180</v>
      </c>
      <c r="I24" t="s">
        <v>181</v>
      </c>
      <c r="J24">
        <v>4007</v>
      </c>
      <c r="K24" t="s">
        <v>182</v>
      </c>
      <c r="L24">
        <v>13</v>
      </c>
      <c r="M24" t="s">
        <v>183</v>
      </c>
      <c r="N24">
        <v>8</v>
      </c>
      <c r="O24" t="s">
        <v>117</v>
      </c>
      <c r="Q24" t="s">
        <v>184</v>
      </c>
    </row>
    <row r="25" spans="1:17" hidden="1" x14ac:dyDescent="0.25">
      <c r="A25" t="s">
        <v>159</v>
      </c>
      <c r="B25" s="36">
        <v>46109</v>
      </c>
      <c r="C25" t="s">
        <v>24</v>
      </c>
      <c r="D25" t="s">
        <v>25</v>
      </c>
      <c r="E25">
        <v>13</v>
      </c>
      <c r="F25">
        <v>605</v>
      </c>
      <c r="G25" t="s">
        <v>34</v>
      </c>
      <c r="H25" t="s">
        <v>155</v>
      </c>
      <c r="I25" t="s">
        <v>185</v>
      </c>
      <c r="J25">
        <v>4052</v>
      </c>
      <c r="K25" t="s">
        <v>186</v>
      </c>
      <c r="L25">
        <v>7</v>
      </c>
      <c r="M25" t="s">
        <v>187</v>
      </c>
      <c r="N25">
        <v>8</v>
      </c>
      <c r="O25" t="s">
        <v>117</v>
      </c>
      <c r="Q25" t="s">
        <v>188</v>
      </c>
    </row>
    <row r="26" spans="1:17" hidden="1" x14ac:dyDescent="0.25">
      <c r="A26" t="s">
        <v>159</v>
      </c>
      <c r="B26" s="36">
        <v>46109</v>
      </c>
      <c r="C26" t="s">
        <v>24</v>
      </c>
      <c r="D26" t="s">
        <v>25</v>
      </c>
      <c r="E26">
        <v>13</v>
      </c>
      <c r="F26">
        <v>605</v>
      </c>
      <c r="G26" t="s">
        <v>34</v>
      </c>
      <c r="H26" t="s">
        <v>189</v>
      </c>
      <c r="I26" t="s">
        <v>190</v>
      </c>
      <c r="J26">
        <v>4059</v>
      </c>
      <c r="K26" t="s">
        <v>191</v>
      </c>
      <c r="L26">
        <v>10</v>
      </c>
      <c r="M26" t="s">
        <v>192</v>
      </c>
      <c r="N26">
        <v>8</v>
      </c>
      <c r="O26" t="s">
        <v>117</v>
      </c>
      <c r="Q26" t="s">
        <v>193</v>
      </c>
    </row>
    <row r="27" spans="1:17" hidden="1" x14ac:dyDescent="0.25">
      <c r="A27" t="s">
        <v>159</v>
      </c>
      <c r="B27" s="36">
        <v>46109</v>
      </c>
      <c r="C27" t="s">
        <v>24</v>
      </c>
      <c r="D27" t="s">
        <v>25</v>
      </c>
      <c r="E27">
        <v>13</v>
      </c>
      <c r="F27">
        <v>605</v>
      </c>
      <c r="G27" t="s">
        <v>34</v>
      </c>
      <c r="H27" t="s">
        <v>194</v>
      </c>
      <c r="I27" t="s">
        <v>195</v>
      </c>
      <c r="J27">
        <v>4085</v>
      </c>
      <c r="K27" t="s">
        <v>196</v>
      </c>
      <c r="L27">
        <v>3</v>
      </c>
      <c r="M27" t="s">
        <v>197</v>
      </c>
      <c r="N27">
        <v>8</v>
      </c>
      <c r="O27" t="s">
        <v>117</v>
      </c>
      <c r="Q27" t="s">
        <v>198</v>
      </c>
    </row>
    <row r="28" spans="1:17" hidden="1" x14ac:dyDescent="0.25">
      <c r="A28" t="s">
        <v>159</v>
      </c>
      <c r="B28" s="36">
        <v>46109</v>
      </c>
      <c r="C28" t="s">
        <v>24</v>
      </c>
      <c r="D28" t="s">
        <v>25</v>
      </c>
      <c r="E28">
        <v>13</v>
      </c>
      <c r="F28">
        <v>605</v>
      </c>
      <c r="G28" t="s">
        <v>34</v>
      </c>
      <c r="H28" t="s">
        <v>199</v>
      </c>
      <c r="I28" t="s">
        <v>200</v>
      </c>
      <c r="J28">
        <v>4087</v>
      </c>
      <c r="K28" t="s">
        <v>201</v>
      </c>
      <c r="L28">
        <v>4</v>
      </c>
      <c r="M28" t="s">
        <v>202</v>
      </c>
      <c r="N28">
        <v>8</v>
      </c>
      <c r="O28" t="s">
        <v>117</v>
      </c>
      <c r="Q28" t="s">
        <v>203</v>
      </c>
    </row>
    <row r="29" spans="1:17" hidden="1" x14ac:dyDescent="0.25">
      <c r="A29" t="s">
        <v>159</v>
      </c>
      <c r="B29" s="36">
        <v>46109</v>
      </c>
      <c r="C29" t="s">
        <v>24</v>
      </c>
      <c r="D29" t="s">
        <v>25</v>
      </c>
      <c r="E29">
        <v>13</v>
      </c>
      <c r="F29">
        <v>605</v>
      </c>
      <c r="G29" t="s">
        <v>34</v>
      </c>
      <c r="H29" t="s">
        <v>204</v>
      </c>
      <c r="I29" t="s">
        <v>205</v>
      </c>
      <c r="J29">
        <v>4090</v>
      </c>
      <c r="K29" t="s">
        <v>206</v>
      </c>
      <c r="L29">
        <v>5</v>
      </c>
      <c r="M29" t="s">
        <v>207</v>
      </c>
      <c r="N29">
        <v>8</v>
      </c>
      <c r="O29" t="s">
        <v>117</v>
      </c>
      <c r="Q29" t="s">
        <v>208</v>
      </c>
    </row>
    <row r="30" spans="1:17" hidden="1" x14ac:dyDescent="0.25">
      <c r="A30" t="s">
        <v>159</v>
      </c>
      <c r="B30" s="36">
        <v>46109</v>
      </c>
      <c r="C30" t="s">
        <v>24</v>
      </c>
      <c r="D30" t="s">
        <v>25</v>
      </c>
      <c r="E30">
        <v>13</v>
      </c>
      <c r="F30">
        <v>605</v>
      </c>
      <c r="G30" t="s">
        <v>34</v>
      </c>
      <c r="H30" t="s">
        <v>209</v>
      </c>
      <c r="I30" t="s">
        <v>210</v>
      </c>
      <c r="J30">
        <v>4094</v>
      </c>
      <c r="K30" t="s">
        <v>211</v>
      </c>
      <c r="L30">
        <v>3</v>
      </c>
      <c r="M30" t="s">
        <v>212</v>
      </c>
      <c r="N30">
        <v>8</v>
      </c>
      <c r="O30" t="s">
        <v>117</v>
      </c>
      <c r="Q30" t="s">
        <v>213</v>
      </c>
    </row>
    <row r="31" spans="1:17" hidden="1" x14ac:dyDescent="0.25">
      <c r="A31" t="s">
        <v>159</v>
      </c>
      <c r="B31" s="36">
        <v>46109</v>
      </c>
      <c r="C31" t="s">
        <v>24</v>
      </c>
      <c r="D31" t="s">
        <v>25</v>
      </c>
      <c r="E31">
        <v>13</v>
      </c>
      <c r="F31">
        <v>605</v>
      </c>
      <c r="G31" t="s">
        <v>34</v>
      </c>
      <c r="H31" t="s">
        <v>214</v>
      </c>
      <c r="I31" t="s">
        <v>215</v>
      </c>
      <c r="J31">
        <v>4259</v>
      </c>
      <c r="K31" t="s">
        <v>216</v>
      </c>
      <c r="L31">
        <v>5</v>
      </c>
      <c r="M31" t="s">
        <v>217</v>
      </c>
      <c r="N31">
        <v>8</v>
      </c>
      <c r="O31" t="s">
        <v>117</v>
      </c>
      <c r="Q31" t="s">
        <v>218</v>
      </c>
    </row>
    <row r="32" spans="1:17" hidden="1" x14ac:dyDescent="0.25">
      <c r="A32" t="s">
        <v>159</v>
      </c>
      <c r="B32" s="36">
        <v>46109</v>
      </c>
      <c r="C32" t="s">
        <v>24</v>
      </c>
      <c r="D32" t="s">
        <v>25</v>
      </c>
      <c r="E32">
        <v>13</v>
      </c>
      <c r="F32">
        <v>605</v>
      </c>
      <c r="G32" t="s">
        <v>34</v>
      </c>
      <c r="H32" t="s">
        <v>219</v>
      </c>
      <c r="I32" t="s">
        <v>220</v>
      </c>
      <c r="J32">
        <v>4262</v>
      </c>
      <c r="K32" t="s">
        <v>221</v>
      </c>
      <c r="L32">
        <v>13</v>
      </c>
      <c r="M32" t="s">
        <v>222</v>
      </c>
      <c r="N32">
        <v>8</v>
      </c>
      <c r="O32" t="s">
        <v>117</v>
      </c>
      <c r="Q32" t="s">
        <v>223</v>
      </c>
    </row>
    <row r="33" spans="1:17" hidden="1" x14ac:dyDescent="0.25">
      <c r="A33" t="s">
        <v>159</v>
      </c>
      <c r="B33" s="36">
        <v>46109</v>
      </c>
      <c r="C33" t="s">
        <v>24</v>
      </c>
      <c r="D33" t="s">
        <v>25</v>
      </c>
      <c r="E33">
        <v>13</v>
      </c>
      <c r="F33">
        <v>605</v>
      </c>
      <c r="G33" t="s">
        <v>34</v>
      </c>
      <c r="H33" t="s">
        <v>224</v>
      </c>
      <c r="I33" t="s">
        <v>225</v>
      </c>
      <c r="J33">
        <v>4314</v>
      </c>
      <c r="K33" t="s">
        <v>226</v>
      </c>
      <c r="L33">
        <v>4</v>
      </c>
      <c r="M33" t="s">
        <v>227</v>
      </c>
      <c r="N33">
        <v>8</v>
      </c>
      <c r="O33" t="s">
        <v>117</v>
      </c>
      <c r="Q33" t="s">
        <v>228</v>
      </c>
    </row>
    <row r="34" spans="1:17" hidden="1" x14ac:dyDescent="0.25">
      <c r="A34" t="s">
        <v>159</v>
      </c>
      <c r="B34" s="36">
        <v>46109</v>
      </c>
      <c r="C34" t="s">
        <v>24</v>
      </c>
      <c r="D34" t="s">
        <v>25</v>
      </c>
      <c r="E34">
        <v>13</v>
      </c>
      <c r="F34">
        <v>605</v>
      </c>
      <c r="G34" t="s">
        <v>34</v>
      </c>
      <c r="H34" t="s">
        <v>229</v>
      </c>
      <c r="I34" t="s">
        <v>230</v>
      </c>
      <c r="J34">
        <v>4512</v>
      </c>
      <c r="K34" t="s">
        <v>231</v>
      </c>
      <c r="L34">
        <v>6</v>
      </c>
      <c r="M34" t="s">
        <v>232</v>
      </c>
      <c r="N34">
        <v>8</v>
      </c>
      <c r="O34" t="s">
        <v>117</v>
      </c>
      <c r="Q34" t="s">
        <v>233</v>
      </c>
    </row>
    <row r="35" spans="1:17" hidden="1" x14ac:dyDescent="0.25">
      <c r="A35" t="s">
        <v>159</v>
      </c>
      <c r="B35" s="36">
        <v>46109</v>
      </c>
      <c r="C35" t="s">
        <v>24</v>
      </c>
      <c r="D35" t="s">
        <v>25</v>
      </c>
      <c r="E35">
        <v>13</v>
      </c>
      <c r="F35">
        <v>605</v>
      </c>
      <c r="G35" t="s">
        <v>34</v>
      </c>
      <c r="H35" t="s">
        <v>234</v>
      </c>
      <c r="I35" t="s">
        <v>235</v>
      </c>
      <c r="J35">
        <v>4516</v>
      </c>
      <c r="K35" t="s">
        <v>236</v>
      </c>
      <c r="L35">
        <v>5</v>
      </c>
      <c r="M35" t="s">
        <v>237</v>
      </c>
      <c r="N35">
        <v>8</v>
      </c>
      <c r="O35" t="s">
        <v>117</v>
      </c>
      <c r="Q35" t="s">
        <v>238</v>
      </c>
    </row>
    <row r="36" spans="1:17" hidden="1" x14ac:dyDescent="0.25">
      <c r="A36" t="s">
        <v>239</v>
      </c>
      <c r="B36" s="36">
        <v>46114</v>
      </c>
      <c r="C36" t="s">
        <v>24</v>
      </c>
      <c r="D36" t="s">
        <v>25</v>
      </c>
      <c r="E36">
        <v>13</v>
      </c>
      <c r="F36">
        <v>605</v>
      </c>
      <c r="G36" t="s">
        <v>34</v>
      </c>
      <c r="H36" t="s">
        <v>240</v>
      </c>
      <c r="I36" t="s">
        <v>241</v>
      </c>
      <c r="J36">
        <v>4518</v>
      </c>
      <c r="K36" t="s">
        <v>242</v>
      </c>
      <c r="L36">
        <v>8</v>
      </c>
      <c r="M36" t="s">
        <v>243</v>
      </c>
      <c r="N36">
        <v>8</v>
      </c>
      <c r="O36" t="s">
        <v>117</v>
      </c>
      <c r="Q36" t="s">
        <v>244</v>
      </c>
    </row>
    <row r="37" spans="1:17" hidden="1" x14ac:dyDescent="0.25">
      <c r="A37" t="s">
        <v>239</v>
      </c>
      <c r="B37" s="36">
        <v>46114</v>
      </c>
      <c r="C37" t="s">
        <v>24</v>
      </c>
      <c r="D37" t="s">
        <v>25</v>
      </c>
      <c r="E37">
        <v>13</v>
      </c>
      <c r="F37">
        <v>605</v>
      </c>
      <c r="G37" t="s">
        <v>34</v>
      </c>
      <c r="H37" t="s">
        <v>245</v>
      </c>
      <c r="I37" t="s">
        <v>246</v>
      </c>
      <c r="J37">
        <v>3350</v>
      </c>
      <c r="K37" t="s">
        <v>247</v>
      </c>
      <c r="L37">
        <v>14</v>
      </c>
      <c r="M37" t="s">
        <v>248</v>
      </c>
      <c r="N37">
        <v>16</v>
      </c>
      <c r="O37" t="s">
        <v>117</v>
      </c>
      <c r="Q37" t="s">
        <v>249</v>
      </c>
    </row>
    <row r="38" spans="1:17" hidden="1" x14ac:dyDescent="0.25">
      <c r="A38" t="s">
        <v>239</v>
      </c>
      <c r="B38" s="36">
        <v>46114</v>
      </c>
      <c r="C38" t="s">
        <v>24</v>
      </c>
      <c r="D38" t="s">
        <v>25</v>
      </c>
      <c r="E38">
        <v>13</v>
      </c>
      <c r="F38">
        <v>605</v>
      </c>
      <c r="G38" t="s">
        <v>34</v>
      </c>
      <c r="H38" t="s">
        <v>250</v>
      </c>
      <c r="I38" t="s">
        <v>251</v>
      </c>
      <c r="J38">
        <v>3351</v>
      </c>
      <c r="K38" t="s">
        <v>252</v>
      </c>
      <c r="L38">
        <v>29</v>
      </c>
      <c r="M38" t="s">
        <v>253</v>
      </c>
      <c r="N38">
        <v>16</v>
      </c>
      <c r="O38" t="s">
        <v>117</v>
      </c>
      <c r="Q38" t="s">
        <v>254</v>
      </c>
    </row>
    <row r="39" spans="1:17" hidden="1" x14ac:dyDescent="0.25">
      <c r="A39" t="s">
        <v>239</v>
      </c>
      <c r="B39" s="36">
        <v>46114</v>
      </c>
      <c r="C39" t="s">
        <v>24</v>
      </c>
      <c r="D39" t="s">
        <v>25</v>
      </c>
      <c r="E39">
        <v>13</v>
      </c>
      <c r="F39">
        <v>605</v>
      </c>
      <c r="G39" t="s">
        <v>34</v>
      </c>
      <c r="H39" t="s">
        <v>255</v>
      </c>
      <c r="I39" t="s">
        <v>256</v>
      </c>
      <c r="J39">
        <v>3352</v>
      </c>
      <c r="K39" t="s">
        <v>257</v>
      </c>
      <c r="L39">
        <v>23</v>
      </c>
      <c r="M39" t="s">
        <v>258</v>
      </c>
      <c r="N39">
        <v>16</v>
      </c>
      <c r="O39" t="s">
        <v>117</v>
      </c>
      <c r="Q39" t="s">
        <v>259</v>
      </c>
    </row>
    <row r="40" spans="1:17" hidden="1" x14ac:dyDescent="0.25">
      <c r="A40" t="s">
        <v>239</v>
      </c>
      <c r="B40" s="36">
        <v>46114</v>
      </c>
      <c r="C40" t="s">
        <v>24</v>
      </c>
      <c r="D40" t="s">
        <v>25</v>
      </c>
      <c r="E40">
        <v>13</v>
      </c>
      <c r="F40">
        <v>605</v>
      </c>
      <c r="G40" t="s">
        <v>34</v>
      </c>
      <c r="H40" t="s">
        <v>260</v>
      </c>
      <c r="I40" t="s">
        <v>261</v>
      </c>
      <c r="J40">
        <v>3353</v>
      </c>
      <c r="K40" t="s">
        <v>262</v>
      </c>
      <c r="L40">
        <v>16</v>
      </c>
      <c r="M40" t="s">
        <v>263</v>
      </c>
      <c r="N40">
        <v>16</v>
      </c>
      <c r="O40" t="s">
        <v>117</v>
      </c>
      <c r="Q40" t="s">
        <v>264</v>
      </c>
    </row>
    <row r="41" spans="1:17" hidden="1" x14ac:dyDescent="0.25">
      <c r="A41" t="s">
        <v>239</v>
      </c>
      <c r="B41" s="36">
        <v>46114</v>
      </c>
      <c r="C41" t="s">
        <v>24</v>
      </c>
      <c r="D41" t="s">
        <v>25</v>
      </c>
      <c r="E41">
        <v>13</v>
      </c>
      <c r="F41">
        <v>605</v>
      </c>
      <c r="G41" t="s">
        <v>34</v>
      </c>
      <c r="H41" t="s">
        <v>265</v>
      </c>
      <c r="I41" t="s">
        <v>266</v>
      </c>
      <c r="J41">
        <v>3355</v>
      </c>
      <c r="K41" t="s">
        <v>267</v>
      </c>
      <c r="L41">
        <v>9</v>
      </c>
      <c r="M41" t="s">
        <v>268</v>
      </c>
      <c r="N41">
        <v>16</v>
      </c>
      <c r="O41" t="s">
        <v>117</v>
      </c>
      <c r="Q41" t="s">
        <v>269</v>
      </c>
    </row>
    <row r="42" spans="1:17" hidden="1" x14ac:dyDescent="0.25">
      <c r="A42" t="s">
        <v>239</v>
      </c>
      <c r="B42" s="36">
        <v>46114</v>
      </c>
      <c r="C42" t="s">
        <v>24</v>
      </c>
      <c r="D42" t="s">
        <v>25</v>
      </c>
      <c r="E42">
        <v>13</v>
      </c>
      <c r="F42">
        <v>605</v>
      </c>
      <c r="G42" t="s">
        <v>34</v>
      </c>
      <c r="H42" t="s">
        <v>245</v>
      </c>
      <c r="I42" t="s">
        <v>270</v>
      </c>
      <c r="J42">
        <v>3356</v>
      </c>
      <c r="K42" t="s">
        <v>271</v>
      </c>
      <c r="L42">
        <v>23</v>
      </c>
      <c r="M42" t="s">
        <v>272</v>
      </c>
      <c r="N42">
        <v>16</v>
      </c>
      <c r="O42" t="s">
        <v>117</v>
      </c>
      <c r="Q42" t="s">
        <v>273</v>
      </c>
    </row>
    <row r="43" spans="1:17" hidden="1" x14ac:dyDescent="0.25">
      <c r="A43" t="s">
        <v>239</v>
      </c>
      <c r="B43" s="36">
        <v>46114</v>
      </c>
      <c r="C43" t="s">
        <v>24</v>
      </c>
      <c r="D43" t="s">
        <v>25</v>
      </c>
      <c r="E43">
        <v>13</v>
      </c>
      <c r="F43">
        <v>605</v>
      </c>
      <c r="G43" t="s">
        <v>34</v>
      </c>
      <c r="H43" t="s">
        <v>274</v>
      </c>
      <c r="I43" t="s">
        <v>275</v>
      </c>
      <c r="J43">
        <v>4656</v>
      </c>
      <c r="K43" t="s">
        <v>276</v>
      </c>
      <c r="L43">
        <v>2</v>
      </c>
      <c r="M43" t="s">
        <v>277</v>
      </c>
      <c r="N43">
        <v>12</v>
      </c>
      <c r="O43" t="s">
        <v>117</v>
      </c>
      <c r="Q43" t="s">
        <v>278</v>
      </c>
    </row>
    <row r="44" spans="1:17" hidden="1" x14ac:dyDescent="0.25">
      <c r="A44" t="s">
        <v>239</v>
      </c>
      <c r="B44" s="36">
        <v>46114</v>
      </c>
      <c r="C44" t="s">
        <v>24</v>
      </c>
      <c r="D44" t="s">
        <v>25</v>
      </c>
      <c r="E44">
        <v>13</v>
      </c>
      <c r="F44">
        <v>605</v>
      </c>
      <c r="G44" t="s">
        <v>34</v>
      </c>
      <c r="H44" t="s">
        <v>279</v>
      </c>
      <c r="I44" t="s">
        <v>280</v>
      </c>
      <c r="J44">
        <v>3522</v>
      </c>
      <c r="K44" t="s">
        <v>281</v>
      </c>
      <c r="L44">
        <v>15</v>
      </c>
      <c r="M44" t="s">
        <v>282</v>
      </c>
      <c r="N44">
        <v>16</v>
      </c>
      <c r="O44" t="s">
        <v>117</v>
      </c>
      <c r="Q44" t="s">
        <v>283</v>
      </c>
    </row>
    <row r="45" spans="1:17" hidden="1" x14ac:dyDescent="0.25">
      <c r="A45" t="s">
        <v>239</v>
      </c>
      <c r="B45" s="36">
        <v>46114</v>
      </c>
      <c r="C45" t="s">
        <v>24</v>
      </c>
      <c r="D45" t="s">
        <v>25</v>
      </c>
      <c r="E45">
        <v>13</v>
      </c>
      <c r="F45">
        <v>605</v>
      </c>
      <c r="G45" t="s">
        <v>34</v>
      </c>
      <c r="H45" t="s">
        <v>284</v>
      </c>
      <c r="I45" t="s">
        <v>285</v>
      </c>
      <c r="J45">
        <v>4478</v>
      </c>
      <c r="K45" t="s">
        <v>286</v>
      </c>
      <c r="L45">
        <v>4</v>
      </c>
      <c r="M45" t="s">
        <v>287</v>
      </c>
      <c r="N45">
        <v>8</v>
      </c>
      <c r="O45" t="s">
        <v>117</v>
      </c>
      <c r="Q45" t="s">
        <v>288</v>
      </c>
    </row>
    <row r="46" spans="1:17" hidden="1" x14ac:dyDescent="0.25">
      <c r="A46" t="s">
        <v>239</v>
      </c>
      <c r="B46" s="36">
        <v>46114</v>
      </c>
      <c r="C46" t="s">
        <v>24</v>
      </c>
      <c r="D46" t="s">
        <v>25</v>
      </c>
      <c r="E46">
        <v>13</v>
      </c>
      <c r="F46">
        <v>605</v>
      </c>
      <c r="G46" t="s">
        <v>34</v>
      </c>
      <c r="H46" t="s">
        <v>284</v>
      </c>
      <c r="I46" t="s">
        <v>285</v>
      </c>
      <c r="J46">
        <v>4509</v>
      </c>
      <c r="K46" t="s">
        <v>289</v>
      </c>
      <c r="L46">
        <v>4</v>
      </c>
      <c r="M46" t="s">
        <v>287</v>
      </c>
      <c r="N46">
        <v>8</v>
      </c>
      <c r="O46" t="s">
        <v>117</v>
      </c>
      <c r="Q46" t="s">
        <v>290</v>
      </c>
    </row>
    <row r="47" spans="1:17" hidden="1" x14ac:dyDescent="0.25">
      <c r="A47" t="s">
        <v>239</v>
      </c>
      <c r="B47" s="36">
        <v>46114</v>
      </c>
      <c r="C47" t="s">
        <v>24</v>
      </c>
      <c r="D47" t="s">
        <v>25</v>
      </c>
      <c r="E47">
        <v>13</v>
      </c>
      <c r="F47">
        <v>605</v>
      </c>
      <c r="G47" t="s">
        <v>34</v>
      </c>
      <c r="H47" t="s">
        <v>291</v>
      </c>
      <c r="I47" t="s">
        <v>292</v>
      </c>
      <c r="J47">
        <v>4510</v>
      </c>
      <c r="K47" t="s">
        <v>293</v>
      </c>
      <c r="L47">
        <v>4</v>
      </c>
      <c r="M47" t="s">
        <v>294</v>
      </c>
      <c r="N47">
        <v>8</v>
      </c>
      <c r="O47" t="s">
        <v>117</v>
      </c>
      <c r="Q47" t="s">
        <v>295</v>
      </c>
    </row>
    <row r="48" spans="1:17" hidden="1" x14ac:dyDescent="0.25">
      <c r="A48" t="s">
        <v>239</v>
      </c>
      <c r="B48" s="36">
        <v>46114</v>
      </c>
      <c r="C48" t="s">
        <v>24</v>
      </c>
      <c r="D48" t="s">
        <v>25</v>
      </c>
      <c r="E48">
        <v>13</v>
      </c>
      <c r="F48">
        <v>605</v>
      </c>
      <c r="G48" t="s">
        <v>34</v>
      </c>
      <c r="H48" t="s">
        <v>296</v>
      </c>
      <c r="I48" t="s">
        <v>297</v>
      </c>
      <c r="J48">
        <v>4515</v>
      </c>
      <c r="K48" t="s">
        <v>298</v>
      </c>
      <c r="L48">
        <v>10</v>
      </c>
      <c r="M48" t="s">
        <v>299</v>
      </c>
      <c r="N48">
        <v>8</v>
      </c>
      <c r="O48" t="s">
        <v>117</v>
      </c>
      <c r="Q48" t="s">
        <v>300</v>
      </c>
    </row>
    <row r="49" spans="1:17" hidden="1" x14ac:dyDescent="0.25">
      <c r="A49" t="s">
        <v>239</v>
      </c>
      <c r="B49" s="36">
        <v>46114</v>
      </c>
      <c r="C49" t="s">
        <v>24</v>
      </c>
      <c r="D49" t="s">
        <v>25</v>
      </c>
      <c r="E49">
        <v>13</v>
      </c>
      <c r="F49">
        <v>605</v>
      </c>
      <c r="G49" t="s">
        <v>34</v>
      </c>
      <c r="H49" t="s">
        <v>301</v>
      </c>
      <c r="I49" t="s">
        <v>302</v>
      </c>
      <c r="J49">
        <v>3453</v>
      </c>
      <c r="K49" t="s">
        <v>303</v>
      </c>
      <c r="L49">
        <v>10</v>
      </c>
      <c r="M49" t="s">
        <v>304</v>
      </c>
      <c r="N49">
        <v>8</v>
      </c>
      <c r="O49" t="s">
        <v>117</v>
      </c>
      <c r="Q49" t="s">
        <v>305</v>
      </c>
    </row>
    <row r="50" spans="1:17" hidden="1" x14ac:dyDescent="0.25">
      <c r="A50" t="s">
        <v>239</v>
      </c>
      <c r="B50" s="36">
        <v>46114</v>
      </c>
      <c r="C50" t="s">
        <v>24</v>
      </c>
      <c r="D50" t="s">
        <v>25</v>
      </c>
      <c r="E50">
        <v>13</v>
      </c>
      <c r="F50">
        <v>605</v>
      </c>
      <c r="G50" t="s">
        <v>34</v>
      </c>
      <c r="H50" t="s">
        <v>306</v>
      </c>
      <c r="I50" t="s">
        <v>307</v>
      </c>
      <c r="J50">
        <v>4316</v>
      </c>
      <c r="K50" t="s">
        <v>308</v>
      </c>
      <c r="L50">
        <v>4</v>
      </c>
      <c r="M50" t="s">
        <v>309</v>
      </c>
      <c r="N50">
        <v>8</v>
      </c>
      <c r="O50" t="s">
        <v>117</v>
      </c>
      <c r="Q50" t="s">
        <v>310</v>
      </c>
    </row>
    <row r="51" spans="1:17" hidden="1" x14ac:dyDescent="0.25">
      <c r="A51" t="s">
        <v>239</v>
      </c>
      <c r="B51" s="36">
        <v>46114</v>
      </c>
      <c r="C51" t="s">
        <v>24</v>
      </c>
      <c r="D51" t="s">
        <v>25</v>
      </c>
      <c r="E51">
        <v>13</v>
      </c>
      <c r="F51">
        <v>605</v>
      </c>
      <c r="G51" t="s">
        <v>34</v>
      </c>
      <c r="H51" t="s">
        <v>311</v>
      </c>
      <c r="I51" t="s">
        <v>312</v>
      </c>
      <c r="J51">
        <v>4499</v>
      </c>
      <c r="K51" t="s">
        <v>98</v>
      </c>
      <c r="L51">
        <v>4</v>
      </c>
      <c r="M51" t="s">
        <v>313</v>
      </c>
      <c r="N51">
        <v>8</v>
      </c>
      <c r="O51" t="s">
        <v>117</v>
      </c>
      <c r="Q51" t="s">
        <v>314</v>
      </c>
    </row>
    <row r="52" spans="1:17" hidden="1" x14ac:dyDescent="0.25">
      <c r="A52" t="s">
        <v>239</v>
      </c>
      <c r="B52" s="36">
        <v>46114</v>
      </c>
      <c r="C52" t="s">
        <v>24</v>
      </c>
      <c r="D52" t="s">
        <v>25</v>
      </c>
      <c r="E52">
        <v>13</v>
      </c>
      <c r="F52">
        <v>605</v>
      </c>
      <c r="G52" t="s">
        <v>34</v>
      </c>
      <c r="H52" t="s">
        <v>315</v>
      </c>
      <c r="I52" t="s">
        <v>316</v>
      </c>
      <c r="J52">
        <v>4249</v>
      </c>
      <c r="K52" t="s">
        <v>317</v>
      </c>
      <c r="L52">
        <v>8</v>
      </c>
      <c r="M52" t="s">
        <v>318</v>
      </c>
      <c r="N52">
        <v>8</v>
      </c>
      <c r="O52" t="s">
        <v>117</v>
      </c>
      <c r="Q52" t="s">
        <v>319</v>
      </c>
    </row>
    <row r="53" spans="1:17" hidden="1" x14ac:dyDescent="0.25">
      <c r="A53" t="s">
        <v>239</v>
      </c>
      <c r="B53" s="36">
        <v>46114</v>
      </c>
      <c r="C53" t="s">
        <v>24</v>
      </c>
      <c r="D53" t="s">
        <v>25</v>
      </c>
      <c r="E53">
        <v>13</v>
      </c>
      <c r="F53">
        <v>605</v>
      </c>
      <c r="G53" t="s">
        <v>34</v>
      </c>
      <c r="H53" t="s">
        <v>320</v>
      </c>
      <c r="I53" t="s">
        <v>321</v>
      </c>
      <c r="J53">
        <v>4511</v>
      </c>
      <c r="K53" t="s">
        <v>322</v>
      </c>
      <c r="L53">
        <v>8</v>
      </c>
      <c r="M53" t="s">
        <v>323</v>
      </c>
      <c r="N53">
        <v>8</v>
      </c>
      <c r="O53" t="s">
        <v>117</v>
      </c>
      <c r="Q53" t="s">
        <v>324</v>
      </c>
    </row>
    <row r="54" spans="1:17" hidden="1" x14ac:dyDescent="0.25">
      <c r="A54" t="s">
        <v>239</v>
      </c>
      <c r="B54" s="36">
        <v>46114</v>
      </c>
      <c r="C54" t="s">
        <v>24</v>
      </c>
      <c r="D54" t="s">
        <v>25</v>
      </c>
      <c r="E54">
        <v>13</v>
      </c>
      <c r="F54">
        <v>605</v>
      </c>
      <c r="G54" t="s">
        <v>34</v>
      </c>
      <c r="H54" t="s">
        <v>315</v>
      </c>
      <c r="I54" t="s">
        <v>325</v>
      </c>
      <c r="J54">
        <v>4054</v>
      </c>
      <c r="K54" t="s">
        <v>326</v>
      </c>
      <c r="L54">
        <v>7</v>
      </c>
      <c r="M54" t="s">
        <v>327</v>
      </c>
      <c r="N54">
        <v>8</v>
      </c>
      <c r="O54" t="s">
        <v>117</v>
      </c>
      <c r="Q54" t="s">
        <v>328</v>
      </c>
    </row>
    <row r="55" spans="1:17" hidden="1" x14ac:dyDescent="0.25">
      <c r="A55" t="s">
        <v>239</v>
      </c>
      <c r="B55" s="36">
        <v>46114</v>
      </c>
      <c r="C55" t="s">
        <v>24</v>
      </c>
      <c r="D55" t="s">
        <v>25</v>
      </c>
      <c r="E55">
        <v>13</v>
      </c>
      <c r="F55">
        <v>605</v>
      </c>
      <c r="G55" t="s">
        <v>34</v>
      </c>
      <c r="H55" t="s">
        <v>315</v>
      </c>
      <c r="I55" t="s">
        <v>329</v>
      </c>
      <c r="J55">
        <v>4009</v>
      </c>
      <c r="K55" t="s">
        <v>330</v>
      </c>
      <c r="L55">
        <v>4</v>
      </c>
      <c r="M55" t="s">
        <v>331</v>
      </c>
      <c r="N55">
        <v>8</v>
      </c>
      <c r="O55" t="s">
        <v>117</v>
      </c>
      <c r="Q55" t="s">
        <v>332</v>
      </c>
    </row>
    <row r="56" spans="1:17" hidden="1" x14ac:dyDescent="0.25">
      <c r="A56" t="s">
        <v>239</v>
      </c>
      <c r="B56" s="36">
        <v>46114</v>
      </c>
      <c r="C56" t="s">
        <v>24</v>
      </c>
      <c r="D56" t="s">
        <v>25</v>
      </c>
      <c r="E56">
        <v>13</v>
      </c>
      <c r="F56">
        <v>605</v>
      </c>
      <c r="G56" t="s">
        <v>34</v>
      </c>
      <c r="H56" t="s">
        <v>135</v>
      </c>
      <c r="I56" t="s">
        <v>333</v>
      </c>
      <c r="J56">
        <v>4253</v>
      </c>
      <c r="K56" t="s">
        <v>334</v>
      </c>
      <c r="L56">
        <v>6</v>
      </c>
      <c r="M56" t="s">
        <v>335</v>
      </c>
      <c r="N56">
        <v>8</v>
      </c>
      <c r="O56" t="s">
        <v>117</v>
      </c>
      <c r="Q56" t="s">
        <v>336</v>
      </c>
    </row>
    <row r="57" spans="1:17" hidden="1" x14ac:dyDescent="0.25">
      <c r="A57" t="s">
        <v>239</v>
      </c>
      <c r="B57" s="36">
        <v>46114</v>
      </c>
      <c r="C57" t="s">
        <v>24</v>
      </c>
      <c r="D57" t="s">
        <v>25</v>
      </c>
      <c r="E57">
        <v>13</v>
      </c>
      <c r="F57">
        <v>605</v>
      </c>
      <c r="G57" t="s">
        <v>34</v>
      </c>
      <c r="H57" t="s">
        <v>135</v>
      </c>
      <c r="I57" t="s">
        <v>337</v>
      </c>
      <c r="J57">
        <v>4026</v>
      </c>
      <c r="K57" t="s">
        <v>338</v>
      </c>
      <c r="L57">
        <v>7</v>
      </c>
      <c r="M57" t="s">
        <v>339</v>
      </c>
      <c r="N57">
        <v>8</v>
      </c>
      <c r="O57" t="s">
        <v>117</v>
      </c>
      <c r="Q57" t="s">
        <v>340</v>
      </c>
    </row>
    <row r="58" spans="1:17" hidden="1" x14ac:dyDescent="0.25">
      <c r="A58" t="s">
        <v>239</v>
      </c>
      <c r="B58" s="36">
        <v>46114</v>
      </c>
      <c r="C58" t="s">
        <v>24</v>
      </c>
      <c r="D58" t="s">
        <v>25</v>
      </c>
      <c r="E58">
        <v>13</v>
      </c>
      <c r="F58">
        <v>605</v>
      </c>
      <c r="G58" t="s">
        <v>34</v>
      </c>
      <c r="H58" t="s">
        <v>341</v>
      </c>
      <c r="I58" t="s">
        <v>342</v>
      </c>
      <c r="J58">
        <v>4060</v>
      </c>
      <c r="K58" t="s">
        <v>343</v>
      </c>
      <c r="L58">
        <v>9</v>
      </c>
      <c r="M58" t="s">
        <v>344</v>
      </c>
      <c r="N58">
        <v>8</v>
      </c>
      <c r="O58" t="s">
        <v>117</v>
      </c>
      <c r="Q58" t="s">
        <v>345</v>
      </c>
    </row>
    <row r="59" spans="1:17" hidden="1" x14ac:dyDescent="0.25">
      <c r="A59" t="s">
        <v>239</v>
      </c>
      <c r="B59" s="36">
        <v>46114</v>
      </c>
      <c r="C59" t="s">
        <v>24</v>
      </c>
      <c r="D59" t="s">
        <v>25</v>
      </c>
      <c r="E59">
        <v>13</v>
      </c>
      <c r="F59">
        <v>605</v>
      </c>
      <c r="G59" t="s">
        <v>34</v>
      </c>
      <c r="H59" t="s">
        <v>346</v>
      </c>
      <c r="I59" t="s">
        <v>347</v>
      </c>
      <c r="J59">
        <v>3718</v>
      </c>
      <c r="K59" t="s">
        <v>348</v>
      </c>
      <c r="L59">
        <v>9</v>
      </c>
      <c r="M59" t="s">
        <v>349</v>
      </c>
      <c r="N59">
        <v>12</v>
      </c>
      <c r="O59" t="s">
        <v>117</v>
      </c>
      <c r="Q59" t="s">
        <v>350</v>
      </c>
    </row>
    <row r="60" spans="1:17" hidden="1" x14ac:dyDescent="0.25">
      <c r="A60" t="s">
        <v>351</v>
      </c>
      <c r="B60" s="36">
        <v>46114</v>
      </c>
      <c r="C60" t="s">
        <v>24</v>
      </c>
      <c r="D60" t="s">
        <v>25</v>
      </c>
      <c r="E60">
        <v>13</v>
      </c>
      <c r="F60">
        <v>606</v>
      </c>
      <c r="G60" t="s">
        <v>34</v>
      </c>
      <c r="H60" t="s">
        <v>352</v>
      </c>
      <c r="I60" t="s">
        <v>353</v>
      </c>
      <c r="J60">
        <v>4255</v>
      </c>
      <c r="K60" t="s">
        <v>354</v>
      </c>
      <c r="L60">
        <v>7</v>
      </c>
      <c r="M60" t="s">
        <v>355</v>
      </c>
      <c r="N60">
        <v>8</v>
      </c>
      <c r="O60" t="s">
        <v>117</v>
      </c>
      <c r="Q60" t="s">
        <v>356</v>
      </c>
    </row>
    <row r="61" spans="1:17" hidden="1" x14ac:dyDescent="0.25">
      <c r="A61" t="s">
        <v>351</v>
      </c>
      <c r="B61" s="36">
        <v>46114</v>
      </c>
      <c r="C61" t="s">
        <v>24</v>
      </c>
      <c r="D61" t="s">
        <v>25</v>
      </c>
      <c r="E61">
        <v>13</v>
      </c>
      <c r="F61">
        <v>606</v>
      </c>
      <c r="G61" t="s">
        <v>34</v>
      </c>
      <c r="H61" t="s">
        <v>357</v>
      </c>
      <c r="I61" t="s">
        <v>358</v>
      </c>
      <c r="J61">
        <v>4068</v>
      </c>
      <c r="K61" t="s">
        <v>359</v>
      </c>
      <c r="L61">
        <v>11</v>
      </c>
      <c r="M61" t="s">
        <v>360</v>
      </c>
      <c r="N61">
        <v>8</v>
      </c>
      <c r="O61" t="s">
        <v>117</v>
      </c>
      <c r="Q61" t="s">
        <v>361</v>
      </c>
    </row>
    <row r="62" spans="1:17" hidden="1" x14ac:dyDescent="0.25">
      <c r="A62" t="s">
        <v>351</v>
      </c>
      <c r="B62" s="36">
        <v>46114</v>
      </c>
      <c r="C62" t="s">
        <v>24</v>
      </c>
      <c r="D62" t="s">
        <v>25</v>
      </c>
      <c r="E62">
        <v>13</v>
      </c>
      <c r="F62">
        <v>606</v>
      </c>
      <c r="G62" t="s">
        <v>34</v>
      </c>
      <c r="H62" t="s">
        <v>362</v>
      </c>
      <c r="I62" t="s">
        <v>363</v>
      </c>
      <c r="J62">
        <v>3475</v>
      </c>
      <c r="K62" t="s">
        <v>364</v>
      </c>
      <c r="L62">
        <v>8</v>
      </c>
      <c r="M62" t="s">
        <v>365</v>
      </c>
      <c r="N62">
        <v>8</v>
      </c>
      <c r="O62" t="s">
        <v>117</v>
      </c>
      <c r="Q62" t="s">
        <v>366</v>
      </c>
    </row>
    <row r="63" spans="1:17" hidden="1" x14ac:dyDescent="0.25">
      <c r="A63" t="s">
        <v>351</v>
      </c>
      <c r="B63" s="36">
        <v>46114</v>
      </c>
      <c r="C63" t="s">
        <v>24</v>
      </c>
      <c r="D63" t="s">
        <v>25</v>
      </c>
      <c r="E63">
        <v>13</v>
      </c>
      <c r="F63">
        <v>606</v>
      </c>
      <c r="G63" t="s">
        <v>34</v>
      </c>
      <c r="H63" t="s">
        <v>367</v>
      </c>
      <c r="I63" t="s">
        <v>368</v>
      </c>
      <c r="J63">
        <v>3425</v>
      </c>
      <c r="K63" t="s">
        <v>369</v>
      </c>
      <c r="L63">
        <v>1</v>
      </c>
      <c r="M63" t="s">
        <v>370</v>
      </c>
      <c r="N63">
        <v>8</v>
      </c>
      <c r="O63" t="s">
        <v>117</v>
      </c>
      <c r="Q63" t="s">
        <v>371</v>
      </c>
    </row>
    <row r="64" spans="1:17" hidden="1" x14ac:dyDescent="0.25">
      <c r="A64" t="s">
        <v>351</v>
      </c>
      <c r="B64" s="36">
        <v>46114</v>
      </c>
      <c r="C64" t="s">
        <v>24</v>
      </c>
      <c r="D64" t="s">
        <v>25</v>
      </c>
      <c r="E64">
        <v>13</v>
      </c>
      <c r="F64">
        <v>606</v>
      </c>
      <c r="G64" t="s">
        <v>34</v>
      </c>
      <c r="H64" t="s">
        <v>284</v>
      </c>
      <c r="I64" t="s">
        <v>372</v>
      </c>
      <c r="J64">
        <v>4475</v>
      </c>
      <c r="K64" t="s">
        <v>373</v>
      </c>
      <c r="L64">
        <v>3</v>
      </c>
      <c r="M64" t="s">
        <v>374</v>
      </c>
      <c r="N64">
        <v>8</v>
      </c>
      <c r="O64" t="s">
        <v>117</v>
      </c>
      <c r="Q64" t="s">
        <v>375</v>
      </c>
    </row>
    <row r="65" spans="1:17" hidden="1" x14ac:dyDescent="0.25">
      <c r="A65" t="s">
        <v>351</v>
      </c>
      <c r="B65" s="36">
        <v>46114</v>
      </c>
      <c r="C65" t="s">
        <v>24</v>
      </c>
      <c r="D65" t="s">
        <v>25</v>
      </c>
      <c r="E65">
        <v>13</v>
      </c>
      <c r="F65">
        <v>606</v>
      </c>
      <c r="G65" t="s">
        <v>34</v>
      </c>
      <c r="H65" t="s">
        <v>376</v>
      </c>
      <c r="I65" t="s">
        <v>377</v>
      </c>
      <c r="J65">
        <v>4317</v>
      </c>
      <c r="K65" t="s">
        <v>378</v>
      </c>
      <c r="L65">
        <v>3</v>
      </c>
      <c r="M65" t="s">
        <v>379</v>
      </c>
      <c r="N65">
        <v>8</v>
      </c>
      <c r="O65" t="s">
        <v>117</v>
      </c>
      <c r="Q65" t="s">
        <v>380</v>
      </c>
    </row>
    <row r="66" spans="1:17" hidden="1" x14ac:dyDescent="0.25">
      <c r="A66" t="s">
        <v>351</v>
      </c>
      <c r="B66" s="36">
        <v>46114</v>
      </c>
      <c r="C66" t="s">
        <v>24</v>
      </c>
      <c r="D66" t="s">
        <v>25</v>
      </c>
      <c r="E66">
        <v>13</v>
      </c>
      <c r="F66">
        <v>606</v>
      </c>
      <c r="G66" t="s">
        <v>34</v>
      </c>
      <c r="H66" t="s">
        <v>284</v>
      </c>
      <c r="I66" t="s">
        <v>381</v>
      </c>
      <c r="J66">
        <v>3993</v>
      </c>
      <c r="K66" t="s">
        <v>382</v>
      </c>
      <c r="L66">
        <v>3</v>
      </c>
      <c r="M66" t="s">
        <v>383</v>
      </c>
      <c r="N66">
        <v>8</v>
      </c>
      <c r="O66" t="s">
        <v>117</v>
      </c>
      <c r="Q66" t="s">
        <v>384</v>
      </c>
    </row>
    <row r="67" spans="1:17" hidden="1" x14ac:dyDescent="0.25">
      <c r="A67" t="s">
        <v>351</v>
      </c>
      <c r="B67" s="36">
        <v>46114</v>
      </c>
      <c r="C67" t="s">
        <v>24</v>
      </c>
      <c r="D67" t="s">
        <v>25</v>
      </c>
      <c r="E67">
        <v>13</v>
      </c>
      <c r="F67">
        <v>606</v>
      </c>
      <c r="G67" t="s">
        <v>34</v>
      </c>
      <c r="H67" t="s">
        <v>284</v>
      </c>
      <c r="I67" t="s">
        <v>381</v>
      </c>
      <c r="J67">
        <v>3994</v>
      </c>
      <c r="K67" t="s">
        <v>385</v>
      </c>
      <c r="L67">
        <v>3</v>
      </c>
      <c r="M67" t="s">
        <v>386</v>
      </c>
      <c r="N67">
        <v>8</v>
      </c>
      <c r="O67" t="s">
        <v>117</v>
      </c>
      <c r="Q67" t="s">
        <v>387</v>
      </c>
    </row>
    <row r="68" spans="1:17" hidden="1" x14ac:dyDescent="0.25">
      <c r="A68" t="s">
        <v>351</v>
      </c>
      <c r="B68" s="36">
        <v>46114</v>
      </c>
      <c r="C68" t="s">
        <v>24</v>
      </c>
      <c r="D68" t="s">
        <v>25</v>
      </c>
      <c r="E68">
        <v>13</v>
      </c>
      <c r="F68">
        <v>606</v>
      </c>
      <c r="G68" t="s">
        <v>34</v>
      </c>
      <c r="H68" t="s">
        <v>388</v>
      </c>
      <c r="I68" t="s">
        <v>389</v>
      </c>
      <c r="J68">
        <v>4069</v>
      </c>
      <c r="K68" t="s">
        <v>390</v>
      </c>
      <c r="L68">
        <v>7</v>
      </c>
      <c r="M68" t="s">
        <v>391</v>
      </c>
      <c r="N68">
        <v>8</v>
      </c>
      <c r="O68" t="s">
        <v>117</v>
      </c>
      <c r="Q68" t="s">
        <v>392</v>
      </c>
    </row>
    <row r="69" spans="1:17" hidden="1" x14ac:dyDescent="0.25">
      <c r="A69" t="s">
        <v>351</v>
      </c>
      <c r="B69" s="36">
        <v>46114</v>
      </c>
      <c r="C69" t="s">
        <v>24</v>
      </c>
      <c r="D69" t="s">
        <v>25</v>
      </c>
      <c r="E69">
        <v>13</v>
      </c>
      <c r="F69">
        <v>606</v>
      </c>
      <c r="G69" t="s">
        <v>34</v>
      </c>
      <c r="H69" t="s">
        <v>284</v>
      </c>
      <c r="I69" t="s">
        <v>381</v>
      </c>
      <c r="J69">
        <v>3995</v>
      </c>
      <c r="K69" t="s">
        <v>385</v>
      </c>
      <c r="L69">
        <v>3</v>
      </c>
      <c r="M69" t="s">
        <v>386</v>
      </c>
      <c r="N69">
        <v>8</v>
      </c>
      <c r="O69" t="s">
        <v>117</v>
      </c>
      <c r="Q69" t="s">
        <v>393</v>
      </c>
    </row>
    <row r="70" spans="1:17" hidden="1" x14ac:dyDescent="0.25">
      <c r="A70" t="s">
        <v>351</v>
      </c>
      <c r="B70" s="36">
        <v>46114</v>
      </c>
      <c r="C70" t="s">
        <v>24</v>
      </c>
      <c r="D70" t="s">
        <v>25</v>
      </c>
      <c r="E70">
        <v>13</v>
      </c>
      <c r="F70">
        <v>606</v>
      </c>
      <c r="G70" t="s">
        <v>34</v>
      </c>
      <c r="H70" t="s">
        <v>394</v>
      </c>
      <c r="I70" t="s">
        <v>395</v>
      </c>
      <c r="J70">
        <v>4063</v>
      </c>
      <c r="K70" t="s">
        <v>396</v>
      </c>
      <c r="L70">
        <v>10</v>
      </c>
      <c r="M70" t="s">
        <v>397</v>
      </c>
      <c r="N70">
        <v>8</v>
      </c>
      <c r="O70" t="s">
        <v>117</v>
      </c>
      <c r="Q70" t="s">
        <v>398</v>
      </c>
    </row>
    <row r="71" spans="1:17" hidden="1" x14ac:dyDescent="0.25">
      <c r="A71" t="s">
        <v>351</v>
      </c>
      <c r="B71" s="36">
        <v>46114</v>
      </c>
      <c r="C71" t="s">
        <v>24</v>
      </c>
      <c r="D71" t="s">
        <v>25</v>
      </c>
      <c r="E71">
        <v>13</v>
      </c>
      <c r="F71">
        <v>606</v>
      </c>
      <c r="G71" t="s">
        <v>34</v>
      </c>
      <c r="H71" t="s">
        <v>399</v>
      </c>
      <c r="I71" t="s">
        <v>400</v>
      </c>
      <c r="J71">
        <v>4089</v>
      </c>
      <c r="K71" t="s">
        <v>401</v>
      </c>
      <c r="L71">
        <v>2</v>
      </c>
      <c r="M71" t="s">
        <v>402</v>
      </c>
      <c r="N71">
        <v>8</v>
      </c>
      <c r="O71" t="s">
        <v>117</v>
      </c>
      <c r="Q71" t="s">
        <v>403</v>
      </c>
    </row>
    <row r="72" spans="1:17" hidden="1" x14ac:dyDescent="0.25">
      <c r="A72" t="s">
        <v>351</v>
      </c>
      <c r="B72" s="36">
        <v>46114</v>
      </c>
      <c r="C72" t="s">
        <v>24</v>
      </c>
      <c r="D72" t="s">
        <v>25</v>
      </c>
      <c r="E72">
        <v>13</v>
      </c>
      <c r="F72">
        <v>606</v>
      </c>
      <c r="G72" t="s">
        <v>34</v>
      </c>
      <c r="H72" t="s">
        <v>394</v>
      </c>
      <c r="I72" t="s">
        <v>404</v>
      </c>
      <c r="J72">
        <v>4008</v>
      </c>
      <c r="K72" t="s">
        <v>405</v>
      </c>
      <c r="L72">
        <v>10</v>
      </c>
      <c r="M72" t="s">
        <v>406</v>
      </c>
      <c r="N72">
        <v>8</v>
      </c>
      <c r="O72" t="s">
        <v>117</v>
      </c>
      <c r="Q72" t="s">
        <v>407</v>
      </c>
    </row>
    <row r="73" spans="1:17" hidden="1" x14ac:dyDescent="0.25">
      <c r="A73" t="s">
        <v>351</v>
      </c>
      <c r="B73" s="36">
        <v>46114</v>
      </c>
      <c r="C73" t="s">
        <v>24</v>
      </c>
      <c r="D73" t="s">
        <v>25</v>
      </c>
      <c r="E73">
        <v>13</v>
      </c>
      <c r="F73">
        <v>606</v>
      </c>
      <c r="G73" t="s">
        <v>34</v>
      </c>
      <c r="H73" t="s">
        <v>408</v>
      </c>
      <c r="I73" t="s">
        <v>409</v>
      </c>
      <c r="J73">
        <v>4251</v>
      </c>
      <c r="K73" t="s">
        <v>410</v>
      </c>
      <c r="L73">
        <v>10</v>
      </c>
      <c r="M73" t="s">
        <v>411</v>
      </c>
      <c r="N73">
        <v>8</v>
      </c>
      <c r="O73" t="s">
        <v>117</v>
      </c>
      <c r="Q73" t="s">
        <v>412</v>
      </c>
    </row>
    <row r="74" spans="1:17" hidden="1" x14ac:dyDescent="0.25">
      <c r="A74" t="s">
        <v>351</v>
      </c>
      <c r="B74" s="36">
        <v>46114</v>
      </c>
      <c r="C74" t="s">
        <v>24</v>
      </c>
      <c r="D74" t="s">
        <v>25</v>
      </c>
      <c r="E74">
        <v>13</v>
      </c>
      <c r="F74">
        <v>606</v>
      </c>
      <c r="G74" t="s">
        <v>34</v>
      </c>
      <c r="H74" t="s">
        <v>315</v>
      </c>
      <c r="I74" t="s">
        <v>413</v>
      </c>
      <c r="J74">
        <v>4017</v>
      </c>
      <c r="K74" t="s">
        <v>414</v>
      </c>
      <c r="L74">
        <v>7</v>
      </c>
      <c r="M74" t="s">
        <v>415</v>
      </c>
      <c r="N74">
        <v>8</v>
      </c>
      <c r="O74" t="s">
        <v>117</v>
      </c>
      <c r="Q74" t="s">
        <v>416</v>
      </c>
    </row>
    <row r="75" spans="1:17" hidden="1" x14ac:dyDescent="0.25">
      <c r="A75" t="s">
        <v>351</v>
      </c>
      <c r="B75" s="36">
        <v>46114</v>
      </c>
      <c r="C75" t="s">
        <v>24</v>
      </c>
      <c r="D75" t="s">
        <v>25</v>
      </c>
      <c r="E75">
        <v>13</v>
      </c>
      <c r="F75">
        <v>606</v>
      </c>
      <c r="G75" t="s">
        <v>34</v>
      </c>
      <c r="H75" t="s">
        <v>417</v>
      </c>
      <c r="I75" t="s">
        <v>418</v>
      </c>
      <c r="J75">
        <v>4513</v>
      </c>
      <c r="K75" t="s">
        <v>419</v>
      </c>
      <c r="L75">
        <v>6</v>
      </c>
      <c r="M75" t="s">
        <v>420</v>
      </c>
      <c r="N75">
        <v>8</v>
      </c>
      <c r="O75" t="s">
        <v>117</v>
      </c>
      <c r="Q75" t="s">
        <v>421</v>
      </c>
    </row>
    <row r="76" spans="1:17" hidden="1" x14ac:dyDescent="0.25">
      <c r="A76" t="s">
        <v>351</v>
      </c>
      <c r="B76" s="36">
        <v>46114</v>
      </c>
      <c r="C76" t="s">
        <v>24</v>
      </c>
      <c r="D76" t="s">
        <v>25</v>
      </c>
      <c r="E76">
        <v>13</v>
      </c>
      <c r="F76">
        <v>606</v>
      </c>
      <c r="G76" t="s">
        <v>34</v>
      </c>
      <c r="H76" t="s">
        <v>422</v>
      </c>
      <c r="I76" t="s">
        <v>423</v>
      </c>
      <c r="J76">
        <v>4514</v>
      </c>
      <c r="K76" t="s">
        <v>424</v>
      </c>
      <c r="L76">
        <v>5</v>
      </c>
      <c r="M76" t="s">
        <v>425</v>
      </c>
      <c r="N76">
        <v>8</v>
      </c>
      <c r="O76" t="s">
        <v>117</v>
      </c>
      <c r="Q76" t="s">
        <v>426</v>
      </c>
    </row>
    <row r="77" spans="1:17" hidden="1" x14ac:dyDescent="0.25">
      <c r="A77" t="s">
        <v>351</v>
      </c>
      <c r="B77" s="36">
        <v>46114</v>
      </c>
      <c r="C77" t="s">
        <v>24</v>
      </c>
      <c r="D77" t="s">
        <v>25</v>
      </c>
      <c r="E77">
        <v>13</v>
      </c>
      <c r="F77">
        <v>606</v>
      </c>
      <c r="G77" t="s">
        <v>34</v>
      </c>
      <c r="H77" t="s">
        <v>367</v>
      </c>
      <c r="I77" t="s">
        <v>427</v>
      </c>
      <c r="J77">
        <v>3982</v>
      </c>
      <c r="K77" t="s">
        <v>428</v>
      </c>
      <c r="L77">
        <v>1</v>
      </c>
      <c r="M77" t="s">
        <v>429</v>
      </c>
      <c r="N77">
        <v>8</v>
      </c>
      <c r="O77" t="s">
        <v>117</v>
      </c>
      <c r="Q77" t="s">
        <v>430</v>
      </c>
    </row>
    <row r="78" spans="1:17" hidden="1" x14ac:dyDescent="0.25">
      <c r="A78" t="s">
        <v>351</v>
      </c>
      <c r="B78" s="36">
        <v>46114</v>
      </c>
      <c r="C78" t="s">
        <v>24</v>
      </c>
      <c r="D78" t="s">
        <v>25</v>
      </c>
      <c r="E78">
        <v>13</v>
      </c>
      <c r="F78">
        <v>606</v>
      </c>
      <c r="G78" t="s">
        <v>34</v>
      </c>
      <c r="H78" t="s">
        <v>431</v>
      </c>
      <c r="I78" t="s">
        <v>432</v>
      </c>
      <c r="J78">
        <v>3983</v>
      </c>
      <c r="K78" t="s">
        <v>433</v>
      </c>
      <c r="L78">
        <v>13</v>
      </c>
      <c r="M78" t="s">
        <v>434</v>
      </c>
      <c r="N78">
        <v>8</v>
      </c>
      <c r="O78" t="s">
        <v>117</v>
      </c>
      <c r="Q78" t="s">
        <v>435</v>
      </c>
    </row>
    <row r="79" spans="1:17" hidden="1" x14ac:dyDescent="0.25">
      <c r="A79" t="s">
        <v>351</v>
      </c>
      <c r="B79" s="36">
        <v>46114</v>
      </c>
      <c r="C79" t="s">
        <v>24</v>
      </c>
      <c r="D79" t="s">
        <v>25</v>
      </c>
      <c r="E79">
        <v>13</v>
      </c>
      <c r="F79">
        <v>606</v>
      </c>
      <c r="G79" t="s">
        <v>34</v>
      </c>
      <c r="H79" t="s">
        <v>436</v>
      </c>
      <c r="I79" t="s">
        <v>437</v>
      </c>
      <c r="J79">
        <v>4056</v>
      </c>
      <c r="K79" t="s">
        <v>438</v>
      </c>
      <c r="L79">
        <v>5</v>
      </c>
      <c r="M79" t="s">
        <v>439</v>
      </c>
      <c r="N79">
        <v>8</v>
      </c>
      <c r="O79" t="s">
        <v>117</v>
      </c>
      <c r="Q79" t="s">
        <v>440</v>
      </c>
    </row>
    <row r="80" spans="1:17" hidden="1" x14ac:dyDescent="0.25">
      <c r="A80" t="s">
        <v>351</v>
      </c>
      <c r="B80" s="36">
        <v>46114</v>
      </c>
      <c r="C80" t="s">
        <v>24</v>
      </c>
      <c r="D80" t="s">
        <v>25</v>
      </c>
      <c r="E80">
        <v>13</v>
      </c>
      <c r="F80">
        <v>606</v>
      </c>
      <c r="G80" t="s">
        <v>34</v>
      </c>
      <c r="H80" t="s">
        <v>441</v>
      </c>
      <c r="I80" t="s">
        <v>442</v>
      </c>
      <c r="J80">
        <v>3487</v>
      </c>
      <c r="K80" t="s">
        <v>443</v>
      </c>
      <c r="L80">
        <v>5</v>
      </c>
      <c r="M80" t="s">
        <v>444</v>
      </c>
      <c r="N80">
        <v>8</v>
      </c>
      <c r="O80" t="s">
        <v>117</v>
      </c>
      <c r="Q80" t="s">
        <v>445</v>
      </c>
    </row>
    <row r="81" spans="1:17" hidden="1" x14ac:dyDescent="0.25">
      <c r="A81" t="s">
        <v>446</v>
      </c>
      <c r="B81" s="36">
        <v>46118</v>
      </c>
      <c r="C81" t="s">
        <v>24</v>
      </c>
      <c r="D81" t="s">
        <v>25</v>
      </c>
      <c r="E81">
        <v>13</v>
      </c>
      <c r="F81">
        <v>606</v>
      </c>
      <c r="G81" t="s">
        <v>34</v>
      </c>
      <c r="H81" t="s">
        <v>447</v>
      </c>
      <c r="I81" t="s">
        <v>448</v>
      </c>
      <c r="J81">
        <v>3381</v>
      </c>
      <c r="K81" t="s">
        <v>449</v>
      </c>
      <c r="L81">
        <v>10</v>
      </c>
      <c r="M81" t="s">
        <v>450</v>
      </c>
      <c r="N81">
        <v>10</v>
      </c>
      <c r="O81" t="s">
        <v>117</v>
      </c>
      <c r="Q81" t="s">
        <v>451</v>
      </c>
    </row>
    <row r="82" spans="1:17" hidden="1" x14ac:dyDescent="0.25">
      <c r="A82" t="s">
        <v>446</v>
      </c>
      <c r="B82" s="36">
        <v>46118</v>
      </c>
      <c r="C82" t="s">
        <v>24</v>
      </c>
      <c r="D82" t="s">
        <v>25</v>
      </c>
      <c r="E82">
        <v>13</v>
      </c>
      <c r="F82">
        <v>606</v>
      </c>
      <c r="G82" t="s">
        <v>34</v>
      </c>
      <c r="H82" t="s">
        <v>135</v>
      </c>
      <c r="I82" t="s">
        <v>452</v>
      </c>
      <c r="J82">
        <v>3382</v>
      </c>
      <c r="K82" t="s">
        <v>453</v>
      </c>
      <c r="L82">
        <v>8</v>
      </c>
      <c r="M82" t="s">
        <v>454</v>
      </c>
      <c r="N82">
        <v>10</v>
      </c>
      <c r="O82" t="s">
        <v>117</v>
      </c>
      <c r="Q82" t="s">
        <v>455</v>
      </c>
    </row>
    <row r="83" spans="1:17" hidden="1" x14ac:dyDescent="0.25">
      <c r="A83" t="s">
        <v>446</v>
      </c>
      <c r="B83" s="36">
        <v>46118</v>
      </c>
      <c r="C83" t="s">
        <v>24</v>
      </c>
      <c r="D83" t="s">
        <v>25</v>
      </c>
      <c r="E83">
        <v>13</v>
      </c>
      <c r="F83">
        <v>606</v>
      </c>
      <c r="G83" t="s">
        <v>34</v>
      </c>
      <c r="H83" t="s">
        <v>447</v>
      </c>
      <c r="I83" t="s">
        <v>456</v>
      </c>
      <c r="J83">
        <v>3383</v>
      </c>
      <c r="K83" t="s">
        <v>457</v>
      </c>
      <c r="L83">
        <v>7</v>
      </c>
      <c r="M83" t="s">
        <v>458</v>
      </c>
      <c r="N83">
        <v>10</v>
      </c>
      <c r="O83" t="s">
        <v>117</v>
      </c>
      <c r="Q83" t="s">
        <v>459</v>
      </c>
    </row>
    <row r="84" spans="1:17" hidden="1" x14ac:dyDescent="0.25">
      <c r="A84" t="s">
        <v>446</v>
      </c>
      <c r="B84" s="36">
        <v>46118</v>
      </c>
      <c r="C84" t="s">
        <v>24</v>
      </c>
      <c r="D84" t="s">
        <v>25</v>
      </c>
      <c r="E84">
        <v>13</v>
      </c>
      <c r="F84">
        <v>606</v>
      </c>
      <c r="G84" t="s">
        <v>34</v>
      </c>
      <c r="H84" t="s">
        <v>155</v>
      </c>
      <c r="I84" t="s">
        <v>460</v>
      </c>
      <c r="J84">
        <v>3384</v>
      </c>
      <c r="K84" t="s">
        <v>461</v>
      </c>
      <c r="L84">
        <v>7</v>
      </c>
      <c r="M84" t="s">
        <v>462</v>
      </c>
      <c r="N84">
        <v>10</v>
      </c>
      <c r="O84" t="s">
        <v>117</v>
      </c>
      <c r="Q84" t="s">
        <v>463</v>
      </c>
    </row>
    <row r="85" spans="1:17" hidden="1" x14ac:dyDescent="0.25">
      <c r="A85" t="s">
        <v>446</v>
      </c>
      <c r="B85" s="36">
        <v>46118</v>
      </c>
      <c r="C85" t="s">
        <v>24</v>
      </c>
      <c r="D85" t="s">
        <v>25</v>
      </c>
      <c r="E85">
        <v>13</v>
      </c>
      <c r="F85">
        <v>606</v>
      </c>
      <c r="G85" t="s">
        <v>34</v>
      </c>
      <c r="H85" t="s">
        <v>155</v>
      </c>
      <c r="I85" t="s">
        <v>464</v>
      </c>
      <c r="J85">
        <v>3385</v>
      </c>
      <c r="K85" t="s">
        <v>465</v>
      </c>
      <c r="L85">
        <v>6</v>
      </c>
      <c r="M85" t="s">
        <v>466</v>
      </c>
      <c r="N85">
        <v>10</v>
      </c>
      <c r="O85" t="s">
        <v>117</v>
      </c>
      <c r="Q85" t="s">
        <v>467</v>
      </c>
    </row>
    <row r="86" spans="1:17" hidden="1" x14ac:dyDescent="0.25">
      <c r="A86" t="s">
        <v>446</v>
      </c>
      <c r="B86" s="36">
        <v>46118</v>
      </c>
      <c r="C86" t="s">
        <v>24</v>
      </c>
      <c r="D86" t="s">
        <v>25</v>
      </c>
      <c r="E86">
        <v>13</v>
      </c>
      <c r="F86">
        <v>606</v>
      </c>
      <c r="G86" t="s">
        <v>34</v>
      </c>
      <c r="H86" t="s">
        <v>155</v>
      </c>
      <c r="I86" t="s">
        <v>468</v>
      </c>
      <c r="J86">
        <v>3386</v>
      </c>
      <c r="K86" t="s">
        <v>469</v>
      </c>
      <c r="L86">
        <v>15</v>
      </c>
      <c r="M86" t="s">
        <v>470</v>
      </c>
      <c r="N86">
        <v>10</v>
      </c>
      <c r="O86" t="s">
        <v>117</v>
      </c>
      <c r="Q86" t="s">
        <v>471</v>
      </c>
    </row>
    <row r="87" spans="1:17" hidden="1" x14ac:dyDescent="0.25">
      <c r="A87" t="s">
        <v>446</v>
      </c>
      <c r="B87" s="36">
        <v>46118</v>
      </c>
      <c r="C87" t="s">
        <v>24</v>
      </c>
      <c r="D87" t="s">
        <v>25</v>
      </c>
      <c r="E87">
        <v>13</v>
      </c>
      <c r="F87">
        <v>606</v>
      </c>
      <c r="G87" t="s">
        <v>34</v>
      </c>
      <c r="H87" t="s">
        <v>472</v>
      </c>
      <c r="I87" t="s">
        <v>473</v>
      </c>
      <c r="J87">
        <v>3387</v>
      </c>
      <c r="K87" t="s">
        <v>474</v>
      </c>
      <c r="L87">
        <v>3</v>
      </c>
      <c r="M87" t="s">
        <v>475</v>
      </c>
      <c r="N87">
        <v>10</v>
      </c>
      <c r="O87" t="s">
        <v>117</v>
      </c>
      <c r="Q87" t="s">
        <v>476</v>
      </c>
    </row>
    <row r="88" spans="1:17" hidden="1" x14ac:dyDescent="0.25">
      <c r="A88" t="s">
        <v>446</v>
      </c>
      <c r="B88" s="36">
        <v>46118</v>
      </c>
      <c r="C88" t="s">
        <v>24</v>
      </c>
      <c r="D88" t="s">
        <v>25</v>
      </c>
      <c r="E88">
        <v>13</v>
      </c>
      <c r="F88">
        <v>606</v>
      </c>
      <c r="G88" t="s">
        <v>34</v>
      </c>
      <c r="H88" t="s">
        <v>260</v>
      </c>
      <c r="I88" t="s">
        <v>477</v>
      </c>
      <c r="J88">
        <v>3523</v>
      </c>
      <c r="K88" t="s">
        <v>478</v>
      </c>
      <c r="L88">
        <v>7</v>
      </c>
      <c r="M88" t="s">
        <v>479</v>
      </c>
      <c r="N88">
        <v>16</v>
      </c>
      <c r="O88" t="s">
        <v>117</v>
      </c>
      <c r="Q88" t="s">
        <v>480</v>
      </c>
    </row>
    <row r="89" spans="1:17" hidden="1" x14ac:dyDescent="0.25">
      <c r="A89" t="s">
        <v>446</v>
      </c>
      <c r="B89" s="36">
        <v>46118</v>
      </c>
      <c r="C89" t="s">
        <v>24</v>
      </c>
      <c r="D89" t="s">
        <v>25</v>
      </c>
      <c r="E89">
        <v>13</v>
      </c>
      <c r="F89">
        <v>606</v>
      </c>
      <c r="G89" t="s">
        <v>34</v>
      </c>
      <c r="H89" t="s">
        <v>481</v>
      </c>
      <c r="I89" t="s">
        <v>482</v>
      </c>
      <c r="J89">
        <v>3705</v>
      </c>
      <c r="K89" t="s">
        <v>483</v>
      </c>
      <c r="L89">
        <v>5</v>
      </c>
      <c r="M89" t="s">
        <v>484</v>
      </c>
      <c r="N89">
        <v>10</v>
      </c>
      <c r="O89" t="s">
        <v>117</v>
      </c>
      <c r="Q89" t="s">
        <v>485</v>
      </c>
    </row>
    <row r="90" spans="1:17" hidden="1" x14ac:dyDescent="0.25">
      <c r="A90" t="s">
        <v>446</v>
      </c>
      <c r="B90" s="36">
        <v>46118</v>
      </c>
      <c r="C90" t="s">
        <v>24</v>
      </c>
      <c r="D90" t="s">
        <v>25</v>
      </c>
      <c r="E90">
        <v>13</v>
      </c>
      <c r="F90">
        <v>606</v>
      </c>
      <c r="G90" t="s">
        <v>34</v>
      </c>
      <c r="H90" t="s">
        <v>486</v>
      </c>
      <c r="I90" t="s">
        <v>487</v>
      </c>
      <c r="J90">
        <v>4519</v>
      </c>
      <c r="K90" t="s">
        <v>488</v>
      </c>
      <c r="L90">
        <v>17</v>
      </c>
      <c r="M90" t="s">
        <v>489</v>
      </c>
      <c r="N90">
        <v>16</v>
      </c>
      <c r="O90" t="s">
        <v>117</v>
      </c>
      <c r="Q90" t="s">
        <v>490</v>
      </c>
    </row>
    <row r="91" spans="1:17" hidden="1" x14ac:dyDescent="0.25">
      <c r="A91" t="s">
        <v>491</v>
      </c>
      <c r="B91" s="36">
        <v>46118</v>
      </c>
      <c r="C91" t="s">
        <v>24</v>
      </c>
      <c r="D91" t="s">
        <v>25</v>
      </c>
      <c r="E91">
        <v>13</v>
      </c>
      <c r="F91">
        <v>603</v>
      </c>
      <c r="G91" t="s">
        <v>34</v>
      </c>
      <c r="H91" t="s">
        <v>65</v>
      </c>
      <c r="I91" t="s">
        <v>492</v>
      </c>
      <c r="J91">
        <v>3431</v>
      </c>
      <c r="K91" t="s">
        <v>493</v>
      </c>
      <c r="L91">
        <v>1</v>
      </c>
      <c r="M91" t="s">
        <v>494</v>
      </c>
      <c r="N91">
        <v>8</v>
      </c>
      <c r="O91" t="s">
        <v>117</v>
      </c>
      <c r="Q91" t="s">
        <v>495</v>
      </c>
    </row>
    <row r="92" spans="1:17" hidden="1" x14ac:dyDescent="0.25">
      <c r="A92" t="s">
        <v>491</v>
      </c>
      <c r="B92" s="36">
        <v>46118</v>
      </c>
      <c r="C92" t="s">
        <v>24</v>
      </c>
      <c r="D92" t="s">
        <v>25</v>
      </c>
      <c r="E92">
        <v>13</v>
      </c>
      <c r="F92">
        <v>603</v>
      </c>
      <c r="G92" t="s">
        <v>34</v>
      </c>
      <c r="H92" t="s">
        <v>65</v>
      </c>
      <c r="I92" t="s">
        <v>492</v>
      </c>
      <c r="J92">
        <v>3476</v>
      </c>
      <c r="K92" t="s">
        <v>496</v>
      </c>
      <c r="L92">
        <v>1</v>
      </c>
      <c r="M92" t="s">
        <v>494</v>
      </c>
      <c r="N92">
        <v>8</v>
      </c>
      <c r="O92" t="s">
        <v>117</v>
      </c>
      <c r="Q92" t="s">
        <v>497</v>
      </c>
    </row>
    <row r="93" spans="1:17" hidden="1" x14ac:dyDescent="0.25">
      <c r="A93" t="s">
        <v>491</v>
      </c>
      <c r="B93" s="36">
        <v>46118</v>
      </c>
      <c r="C93" t="s">
        <v>24</v>
      </c>
      <c r="D93" t="s">
        <v>25</v>
      </c>
      <c r="E93">
        <v>13</v>
      </c>
      <c r="F93">
        <v>603</v>
      </c>
      <c r="G93" t="s">
        <v>34</v>
      </c>
      <c r="H93" t="s">
        <v>131</v>
      </c>
      <c r="I93" t="s">
        <v>498</v>
      </c>
      <c r="J93">
        <v>3802</v>
      </c>
      <c r="K93" t="s">
        <v>499</v>
      </c>
      <c r="L93">
        <v>1</v>
      </c>
      <c r="M93" t="s">
        <v>500</v>
      </c>
      <c r="N93">
        <v>8</v>
      </c>
      <c r="O93" t="s">
        <v>117</v>
      </c>
      <c r="Q93" t="s">
        <v>501</v>
      </c>
    </row>
    <row r="94" spans="1:17" hidden="1" x14ac:dyDescent="0.25">
      <c r="A94" t="s">
        <v>491</v>
      </c>
      <c r="B94" s="36">
        <v>46118</v>
      </c>
      <c r="C94" t="s">
        <v>24</v>
      </c>
      <c r="D94" t="s">
        <v>25</v>
      </c>
      <c r="E94">
        <v>13</v>
      </c>
      <c r="F94">
        <v>603</v>
      </c>
      <c r="G94" t="s">
        <v>34</v>
      </c>
      <c r="H94" t="s">
        <v>114</v>
      </c>
      <c r="I94" t="s">
        <v>498</v>
      </c>
      <c r="J94">
        <v>3816</v>
      </c>
      <c r="K94" t="s">
        <v>502</v>
      </c>
      <c r="L94">
        <v>1</v>
      </c>
      <c r="M94" t="s">
        <v>500</v>
      </c>
      <c r="N94">
        <v>8</v>
      </c>
      <c r="O94" t="s">
        <v>117</v>
      </c>
      <c r="Q94" t="s">
        <v>503</v>
      </c>
    </row>
    <row r="95" spans="1:17" hidden="1" x14ac:dyDescent="0.25">
      <c r="A95" t="s">
        <v>491</v>
      </c>
      <c r="B95" s="36">
        <v>46118</v>
      </c>
      <c r="C95" t="s">
        <v>24</v>
      </c>
      <c r="D95" t="s">
        <v>25</v>
      </c>
      <c r="E95">
        <v>13</v>
      </c>
      <c r="F95">
        <v>603</v>
      </c>
      <c r="G95" t="s">
        <v>34</v>
      </c>
      <c r="H95" t="s">
        <v>129</v>
      </c>
      <c r="I95" t="s">
        <v>498</v>
      </c>
      <c r="J95">
        <v>3819</v>
      </c>
      <c r="K95" t="s">
        <v>504</v>
      </c>
      <c r="L95">
        <v>1</v>
      </c>
      <c r="M95" t="s">
        <v>505</v>
      </c>
      <c r="N95">
        <v>8</v>
      </c>
      <c r="O95" t="s">
        <v>117</v>
      </c>
      <c r="Q95" t="s">
        <v>506</v>
      </c>
    </row>
    <row r="96" spans="1:17" hidden="1" x14ac:dyDescent="0.25">
      <c r="A96" t="s">
        <v>491</v>
      </c>
      <c r="B96" s="36">
        <v>46118</v>
      </c>
      <c r="C96" t="s">
        <v>24</v>
      </c>
      <c r="D96" t="s">
        <v>25</v>
      </c>
      <c r="E96">
        <v>13</v>
      </c>
      <c r="F96">
        <v>603</v>
      </c>
      <c r="G96" t="s">
        <v>34</v>
      </c>
      <c r="H96" t="s">
        <v>234</v>
      </c>
      <c r="I96" t="s">
        <v>507</v>
      </c>
      <c r="J96">
        <v>3986</v>
      </c>
      <c r="K96" t="s">
        <v>508</v>
      </c>
      <c r="L96">
        <v>3</v>
      </c>
      <c r="M96" t="s">
        <v>509</v>
      </c>
      <c r="N96">
        <v>8</v>
      </c>
      <c r="O96" t="s">
        <v>117</v>
      </c>
      <c r="Q96" t="s">
        <v>510</v>
      </c>
    </row>
    <row r="97" spans="1:17" hidden="1" x14ac:dyDescent="0.25">
      <c r="A97" t="s">
        <v>491</v>
      </c>
      <c r="B97" s="36">
        <v>46118</v>
      </c>
      <c r="C97" t="s">
        <v>24</v>
      </c>
      <c r="D97" t="s">
        <v>25</v>
      </c>
      <c r="E97">
        <v>13</v>
      </c>
      <c r="F97">
        <v>603</v>
      </c>
      <c r="G97" t="s">
        <v>34</v>
      </c>
      <c r="H97" t="s">
        <v>511</v>
      </c>
      <c r="I97" t="s">
        <v>512</v>
      </c>
      <c r="J97">
        <v>3990</v>
      </c>
      <c r="K97" t="s">
        <v>513</v>
      </c>
      <c r="L97">
        <v>1</v>
      </c>
      <c r="M97" t="s">
        <v>119</v>
      </c>
      <c r="N97">
        <v>8</v>
      </c>
      <c r="O97" t="s">
        <v>117</v>
      </c>
      <c r="Q97" t="s">
        <v>514</v>
      </c>
    </row>
    <row r="98" spans="1:17" hidden="1" x14ac:dyDescent="0.25">
      <c r="A98" t="s">
        <v>491</v>
      </c>
      <c r="B98" s="36">
        <v>46118</v>
      </c>
      <c r="C98" t="s">
        <v>24</v>
      </c>
      <c r="D98" t="s">
        <v>25</v>
      </c>
      <c r="E98">
        <v>13</v>
      </c>
      <c r="F98">
        <v>603</v>
      </c>
      <c r="G98" t="s">
        <v>34</v>
      </c>
      <c r="H98" t="s">
        <v>511</v>
      </c>
      <c r="I98" t="s">
        <v>512</v>
      </c>
      <c r="J98">
        <v>3996</v>
      </c>
      <c r="K98" t="s">
        <v>513</v>
      </c>
      <c r="L98">
        <v>1</v>
      </c>
      <c r="M98" t="s">
        <v>119</v>
      </c>
      <c r="N98">
        <v>8</v>
      </c>
      <c r="O98" t="s">
        <v>117</v>
      </c>
      <c r="Q98" t="s">
        <v>515</v>
      </c>
    </row>
    <row r="99" spans="1:17" hidden="1" x14ac:dyDescent="0.25">
      <c r="A99" t="s">
        <v>491</v>
      </c>
      <c r="B99" s="36">
        <v>46118</v>
      </c>
      <c r="C99" t="s">
        <v>24</v>
      </c>
      <c r="D99" t="s">
        <v>25</v>
      </c>
      <c r="E99">
        <v>13</v>
      </c>
      <c r="F99">
        <v>603</v>
      </c>
      <c r="G99" t="s">
        <v>34</v>
      </c>
      <c r="H99" t="s">
        <v>511</v>
      </c>
      <c r="I99" t="s">
        <v>512</v>
      </c>
      <c r="J99">
        <v>3997</v>
      </c>
      <c r="K99" t="s">
        <v>513</v>
      </c>
      <c r="L99">
        <v>1</v>
      </c>
      <c r="M99" t="s">
        <v>119</v>
      </c>
      <c r="N99">
        <v>8</v>
      </c>
      <c r="O99" t="s">
        <v>117</v>
      </c>
      <c r="Q99" t="s">
        <v>516</v>
      </c>
    </row>
    <row r="100" spans="1:17" hidden="1" x14ac:dyDescent="0.25">
      <c r="A100" t="s">
        <v>491</v>
      </c>
      <c r="B100" s="36">
        <v>46118</v>
      </c>
      <c r="C100" t="s">
        <v>24</v>
      </c>
      <c r="D100" t="s">
        <v>25</v>
      </c>
      <c r="E100">
        <v>13</v>
      </c>
      <c r="F100">
        <v>603</v>
      </c>
      <c r="G100" t="s">
        <v>34</v>
      </c>
      <c r="H100" t="s">
        <v>511</v>
      </c>
      <c r="I100" t="s">
        <v>512</v>
      </c>
      <c r="J100">
        <v>3998</v>
      </c>
      <c r="K100" t="s">
        <v>513</v>
      </c>
      <c r="L100">
        <v>1</v>
      </c>
      <c r="M100" t="s">
        <v>119</v>
      </c>
      <c r="N100">
        <v>8</v>
      </c>
      <c r="O100" t="s">
        <v>117</v>
      </c>
      <c r="Q100" t="s">
        <v>517</v>
      </c>
    </row>
    <row r="101" spans="1:17" hidden="1" x14ac:dyDescent="0.25">
      <c r="A101" t="s">
        <v>491</v>
      </c>
      <c r="B101" s="36">
        <v>46118</v>
      </c>
      <c r="C101" t="s">
        <v>24</v>
      </c>
      <c r="D101" t="s">
        <v>25</v>
      </c>
      <c r="E101">
        <v>13</v>
      </c>
      <c r="F101">
        <v>603</v>
      </c>
      <c r="G101" t="s">
        <v>34</v>
      </c>
      <c r="H101" t="s">
        <v>511</v>
      </c>
      <c r="I101" t="s">
        <v>512</v>
      </c>
      <c r="J101">
        <v>3999</v>
      </c>
      <c r="K101" t="s">
        <v>513</v>
      </c>
      <c r="L101">
        <v>1</v>
      </c>
      <c r="M101" t="s">
        <v>119</v>
      </c>
      <c r="N101">
        <v>8</v>
      </c>
      <c r="O101" t="s">
        <v>117</v>
      </c>
      <c r="Q101" t="s">
        <v>518</v>
      </c>
    </row>
    <row r="102" spans="1:17" hidden="1" x14ac:dyDescent="0.25">
      <c r="A102" t="s">
        <v>491</v>
      </c>
      <c r="B102" s="36">
        <v>46118</v>
      </c>
      <c r="C102" t="s">
        <v>24</v>
      </c>
      <c r="D102" t="s">
        <v>25</v>
      </c>
      <c r="E102">
        <v>13</v>
      </c>
      <c r="F102">
        <v>603</v>
      </c>
      <c r="G102" t="s">
        <v>34</v>
      </c>
      <c r="H102" t="s">
        <v>511</v>
      </c>
      <c r="I102" t="s">
        <v>512</v>
      </c>
      <c r="J102">
        <v>4000</v>
      </c>
      <c r="K102" t="s">
        <v>513</v>
      </c>
      <c r="L102">
        <v>1</v>
      </c>
      <c r="M102" t="s">
        <v>119</v>
      </c>
      <c r="N102">
        <v>8</v>
      </c>
      <c r="O102" t="s">
        <v>117</v>
      </c>
      <c r="Q102" t="s">
        <v>519</v>
      </c>
    </row>
    <row r="103" spans="1:17" hidden="1" x14ac:dyDescent="0.25">
      <c r="A103" t="s">
        <v>491</v>
      </c>
      <c r="B103" s="36">
        <v>46118</v>
      </c>
      <c r="C103" t="s">
        <v>24</v>
      </c>
      <c r="D103" t="s">
        <v>25</v>
      </c>
      <c r="E103">
        <v>13</v>
      </c>
      <c r="F103">
        <v>603</v>
      </c>
      <c r="G103" t="s">
        <v>34</v>
      </c>
      <c r="H103" t="s">
        <v>511</v>
      </c>
      <c r="I103" t="s">
        <v>512</v>
      </c>
      <c r="J103">
        <v>4001</v>
      </c>
      <c r="K103" t="s">
        <v>513</v>
      </c>
      <c r="L103">
        <v>1</v>
      </c>
      <c r="M103" t="s">
        <v>119</v>
      </c>
      <c r="N103">
        <v>8</v>
      </c>
      <c r="O103" t="s">
        <v>117</v>
      </c>
      <c r="Q103" t="s">
        <v>520</v>
      </c>
    </row>
    <row r="104" spans="1:17" hidden="1" x14ac:dyDescent="0.25">
      <c r="A104" t="s">
        <v>491</v>
      </c>
      <c r="B104" s="36">
        <v>46118</v>
      </c>
      <c r="C104" t="s">
        <v>24</v>
      </c>
      <c r="D104" t="s">
        <v>25</v>
      </c>
      <c r="E104">
        <v>13</v>
      </c>
      <c r="F104">
        <v>603</v>
      </c>
      <c r="G104" t="s">
        <v>34</v>
      </c>
      <c r="H104" t="s">
        <v>65</v>
      </c>
      <c r="I104" t="s">
        <v>368</v>
      </c>
      <c r="J104">
        <v>4006</v>
      </c>
      <c r="K104" t="s">
        <v>521</v>
      </c>
      <c r="L104">
        <v>1</v>
      </c>
      <c r="M104" t="s">
        <v>522</v>
      </c>
      <c r="N104">
        <v>8</v>
      </c>
      <c r="O104" t="s">
        <v>117</v>
      </c>
      <c r="Q104" t="s">
        <v>523</v>
      </c>
    </row>
    <row r="105" spans="1:17" hidden="1" x14ac:dyDescent="0.25">
      <c r="A105" t="s">
        <v>491</v>
      </c>
      <c r="B105" s="36">
        <v>46118</v>
      </c>
      <c r="C105" t="s">
        <v>24</v>
      </c>
      <c r="D105" t="s">
        <v>25</v>
      </c>
      <c r="E105">
        <v>13</v>
      </c>
      <c r="F105">
        <v>603</v>
      </c>
      <c r="G105" t="s">
        <v>34</v>
      </c>
      <c r="H105" t="s">
        <v>65</v>
      </c>
      <c r="I105" t="s">
        <v>368</v>
      </c>
      <c r="J105">
        <v>4010</v>
      </c>
      <c r="K105" t="s">
        <v>524</v>
      </c>
      <c r="L105">
        <v>1</v>
      </c>
      <c r="M105" t="s">
        <v>522</v>
      </c>
      <c r="N105">
        <v>8</v>
      </c>
      <c r="O105" t="s">
        <v>117</v>
      </c>
      <c r="Q105" t="s">
        <v>525</v>
      </c>
    </row>
    <row r="106" spans="1:17" hidden="1" x14ac:dyDescent="0.25">
      <c r="A106" t="s">
        <v>491</v>
      </c>
      <c r="B106" s="36">
        <v>46118</v>
      </c>
      <c r="C106" t="s">
        <v>24</v>
      </c>
      <c r="D106" t="s">
        <v>25</v>
      </c>
      <c r="E106">
        <v>13</v>
      </c>
      <c r="F106">
        <v>603</v>
      </c>
      <c r="G106" t="s">
        <v>34</v>
      </c>
      <c r="H106" t="s">
        <v>65</v>
      </c>
      <c r="I106" t="s">
        <v>368</v>
      </c>
      <c r="J106">
        <v>4011</v>
      </c>
      <c r="K106" t="s">
        <v>524</v>
      </c>
      <c r="L106">
        <v>1</v>
      </c>
      <c r="M106" t="s">
        <v>522</v>
      </c>
      <c r="N106">
        <v>8</v>
      </c>
      <c r="O106" t="s">
        <v>117</v>
      </c>
      <c r="Q106" t="s">
        <v>526</v>
      </c>
    </row>
    <row r="107" spans="1:17" hidden="1" x14ac:dyDescent="0.25">
      <c r="A107" t="s">
        <v>491</v>
      </c>
      <c r="B107" s="36">
        <v>46118</v>
      </c>
      <c r="C107" t="s">
        <v>24</v>
      </c>
      <c r="D107" t="s">
        <v>25</v>
      </c>
      <c r="E107">
        <v>13</v>
      </c>
      <c r="F107">
        <v>603</v>
      </c>
      <c r="G107" t="s">
        <v>34</v>
      </c>
      <c r="H107" t="s">
        <v>65</v>
      </c>
      <c r="I107" t="s">
        <v>368</v>
      </c>
      <c r="J107">
        <v>4012</v>
      </c>
      <c r="K107" t="s">
        <v>524</v>
      </c>
      <c r="L107">
        <v>1</v>
      </c>
      <c r="M107" t="s">
        <v>522</v>
      </c>
      <c r="N107">
        <v>8</v>
      </c>
      <c r="O107" t="s">
        <v>117</v>
      </c>
      <c r="Q107" t="s">
        <v>527</v>
      </c>
    </row>
    <row r="108" spans="1:17" hidden="1" x14ac:dyDescent="0.25">
      <c r="A108" t="s">
        <v>491</v>
      </c>
      <c r="B108" s="36">
        <v>46118</v>
      </c>
      <c r="C108" t="s">
        <v>24</v>
      </c>
      <c r="D108" t="s">
        <v>25</v>
      </c>
      <c r="E108">
        <v>13</v>
      </c>
      <c r="F108">
        <v>603</v>
      </c>
      <c r="G108" t="s">
        <v>34</v>
      </c>
      <c r="H108" t="s">
        <v>65</v>
      </c>
      <c r="I108" t="s">
        <v>368</v>
      </c>
      <c r="J108">
        <v>4013</v>
      </c>
      <c r="K108" t="s">
        <v>524</v>
      </c>
      <c r="L108">
        <v>1</v>
      </c>
      <c r="M108" t="s">
        <v>522</v>
      </c>
      <c r="N108">
        <v>8</v>
      </c>
      <c r="O108" t="s">
        <v>117</v>
      </c>
      <c r="Q108" t="s">
        <v>528</v>
      </c>
    </row>
    <row r="109" spans="1:17" hidden="1" x14ac:dyDescent="0.25">
      <c r="A109" t="s">
        <v>491</v>
      </c>
      <c r="B109" s="36">
        <v>46118</v>
      </c>
      <c r="C109" t="s">
        <v>24</v>
      </c>
      <c r="D109" t="s">
        <v>25</v>
      </c>
      <c r="E109">
        <v>13</v>
      </c>
      <c r="F109">
        <v>603</v>
      </c>
      <c r="G109" t="s">
        <v>34</v>
      </c>
      <c r="H109" t="s">
        <v>65</v>
      </c>
      <c r="I109" t="s">
        <v>368</v>
      </c>
      <c r="J109">
        <v>4014</v>
      </c>
      <c r="K109" t="s">
        <v>524</v>
      </c>
      <c r="L109">
        <v>1</v>
      </c>
      <c r="M109" t="s">
        <v>522</v>
      </c>
      <c r="N109">
        <v>8</v>
      </c>
      <c r="O109" t="s">
        <v>117</v>
      </c>
      <c r="Q109" t="s">
        <v>529</v>
      </c>
    </row>
    <row r="110" spans="1:17" hidden="1" x14ac:dyDescent="0.25">
      <c r="A110" t="s">
        <v>491</v>
      </c>
      <c r="B110" s="36">
        <v>46118</v>
      </c>
      <c r="C110" t="s">
        <v>24</v>
      </c>
      <c r="D110" t="s">
        <v>25</v>
      </c>
      <c r="E110">
        <v>13</v>
      </c>
      <c r="F110">
        <v>603</v>
      </c>
      <c r="G110" t="s">
        <v>34</v>
      </c>
      <c r="H110" t="s">
        <v>530</v>
      </c>
      <c r="I110" t="s">
        <v>512</v>
      </c>
      <c r="J110">
        <v>4073</v>
      </c>
      <c r="K110" t="s">
        <v>531</v>
      </c>
      <c r="L110">
        <v>1</v>
      </c>
      <c r="M110" t="s">
        <v>119</v>
      </c>
      <c r="N110">
        <v>8</v>
      </c>
      <c r="O110" t="s">
        <v>117</v>
      </c>
      <c r="Q110" t="s">
        <v>532</v>
      </c>
    </row>
    <row r="111" spans="1:17" hidden="1" x14ac:dyDescent="0.25">
      <c r="A111" t="s">
        <v>491</v>
      </c>
      <c r="B111" s="36">
        <v>46118</v>
      </c>
      <c r="C111" t="s">
        <v>24</v>
      </c>
      <c r="D111" t="s">
        <v>25</v>
      </c>
      <c r="E111">
        <v>13</v>
      </c>
      <c r="F111">
        <v>603</v>
      </c>
      <c r="G111" t="s">
        <v>34</v>
      </c>
      <c r="H111" t="s">
        <v>530</v>
      </c>
      <c r="I111" t="s">
        <v>512</v>
      </c>
      <c r="J111">
        <v>4075</v>
      </c>
      <c r="K111" t="s">
        <v>531</v>
      </c>
      <c r="L111">
        <v>1</v>
      </c>
      <c r="M111" t="s">
        <v>119</v>
      </c>
      <c r="N111">
        <v>8</v>
      </c>
      <c r="O111" t="s">
        <v>117</v>
      </c>
      <c r="Q111" t="s">
        <v>533</v>
      </c>
    </row>
    <row r="112" spans="1:17" hidden="1" x14ac:dyDescent="0.25">
      <c r="A112" t="s">
        <v>491</v>
      </c>
      <c r="B112" s="36">
        <v>46118</v>
      </c>
      <c r="C112" t="s">
        <v>24</v>
      </c>
      <c r="D112" t="s">
        <v>25</v>
      </c>
      <c r="E112">
        <v>13</v>
      </c>
      <c r="F112">
        <v>603</v>
      </c>
      <c r="G112" t="s">
        <v>34</v>
      </c>
      <c r="H112" t="s">
        <v>530</v>
      </c>
      <c r="I112" t="s">
        <v>512</v>
      </c>
      <c r="J112">
        <v>4076</v>
      </c>
      <c r="K112" t="s">
        <v>531</v>
      </c>
      <c r="L112">
        <v>1</v>
      </c>
      <c r="M112" t="s">
        <v>119</v>
      </c>
      <c r="N112">
        <v>8</v>
      </c>
      <c r="O112" t="s">
        <v>117</v>
      </c>
      <c r="Q112" t="s">
        <v>534</v>
      </c>
    </row>
    <row r="113" spans="1:17" hidden="1" x14ac:dyDescent="0.25">
      <c r="A113" t="s">
        <v>491</v>
      </c>
      <c r="B113" s="36">
        <v>46118</v>
      </c>
      <c r="C113" t="s">
        <v>24</v>
      </c>
      <c r="D113" t="s">
        <v>25</v>
      </c>
      <c r="E113">
        <v>13</v>
      </c>
      <c r="F113">
        <v>603</v>
      </c>
      <c r="G113" t="s">
        <v>34</v>
      </c>
      <c r="H113" t="s">
        <v>530</v>
      </c>
      <c r="I113" t="s">
        <v>512</v>
      </c>
      <c r="J113">
        <v>4077</v>
      </c>
      <c r="K113" t="s">
        <v>531</v>
      </c>
      <c r="L113">
        <v>1</v>
      </c>
      <c r="M113" t="s">
        <v>119</v>
      </c>
      <c r="N113">
        <v>8</v>
      </c>
      <c r="O113" t="s">
        <v>117</v>
      </c>
      <c r="Q113" t="s">
        <v>535</v>
      </c>
    </row>
    <row r="114" spans="1:17" hidden="1" x14ac:dyDescent="0.25">
      <c r="A114" t="s">
        <v>491</v>
      </c>
      <c r="B114" s="36">
        <v>46118</v>
      </c>
      <c r="C114" t="s">
        <v>24</v>
      </c>
      <c r="D114" t="s">
        <v>25</v>
      </c>
      <c r="E114">
        <v>13</v>
      </c>
      <c r="F114">
        <v>603</v>
      </c>
      <c r="G114" t="s">
        <v>34</v>
      </c>
      <c r="H114" t="s">
        <v>530</v>
      </c>
      <c r="I114" t="s">
        <v>512</v>
      </c>
      <c r="J114">
        <v>4078</v>
      </c>
      <c r="K114" t="s">
        <v>531</v>
      </c>
      <c r="L114">
        <v>1</v>
      </c>
      <c r="M114" t="s">
        <v>119</v>
      </c>
      <c r="N114">
        <v>8</v>
      </c>
      <c r="O114" t="s">
        <v>117</v>
      </c>
      <c r="Q114" t="s">
        <v>536</v>
      </c>
    </row>
    <row r="115" spans="1:17" hidden="1" x14ac:dyDescent="0.25">
      <c r="A115" t="s">
        <v>491</v>
      </c>
      <c r="B115" s="36">
        <v>46118</v>
      </c>
      <c r="C115" t="s">
        <v>24</v>
      </c>
      <c r="D115" t="s">
        <v>25</v>
      </c>
      <c r="E115">
        <v>13</v>
      </c>
      <c r="F115">
        <v>603</v>
      </c>
      <c r="G115" t="s">
        <v>34</v>
      </c>
      <c r="H115" t="s">
        <v>530</v>
      </c>
      <c r="I115" t="s">
        <v>512</v>
      </c>
      <c r="J115">
        <v>4079</v>
      </c>
      <c r="K115" t="s">
        <v>531</v>
      </c>
      <c r="L115">
        <v>1</v>
      </c>
      <c r="M115" t="s">
        <v>119</v>
      </c>
      <c r="N115">
        <v>8</v>
      </c>
      <c r="O115" t="s">
        <v>117</v>
      </c>
      <c r="Q115" t="s">
        <v>537</v>
      </c>
    </row>
    <row r="116" spans="1:17" hidden="1" x14ac:dyDescent="0.25">
      <c r="A116" t="s">
        <v>491</v>
      </c>
      <c r="B116" s="36">
        <v>46118</v>
      </c>
      <c r="C116" t="s">
        <v>24</v>
      </c>
      <c r="D116" t="s">
        <v>25</v>
      </c>
      <c r="E116">
        <v>13</v>
      </c>
      <c r="F116">
        <v>603</v>
      </c>
      <c r="G116" t="s">
        <v>34</v>
      </c>
      <c r="H116" t="s">
        <v>530</v>
      </c>
      <c r="I116" t="s">
        <v>512</v>
      </c>
      <c r="J116">
        <v>4080</v>
      </c>
      <c r="K116" t="s">
        <v>531</v>
      </c>
      <c r="L116">
        <v>1</v>
      </c>
      <c r="M116" t="s">
        <v>119</v>
      </c>
      <c r="N116">
        <v>8</v>
      </c>
      <c r="O116" t="s">
        <v>117</v>
      </c>
      <c r="Q116" t="s">
        <v>538</v>
      </c>
    </row>
    <row r="117" spans="1:17" hidden="1" x14ac:dyDescent="0.25">
      <c r="A117" t="s">
        <v>491</v>
      </c>
      <c r="B117" s="36">
        <v>46118</v>
      </c>
      <c r="C117" t="s">
        <v>24</v>
      </c>
      <c r="D117" t="s">
        <v>25</v>
      </c>
      <c r="E117">
        <v>13</v>
      </c>
      <c r="F117">
        <v>603</v>
      </c>
      <c r="G117" t="s">
        <v>34</v>
      </c>
      <c r="H117" t="s">
        <v>129</v>
      </c>
      <c r="I117" t="s">
        <v>498</v>
      </c>
      <c r="J117">
        <v>4084</v>
      </c>
      <c r="K117" t="s">
        <v>539</v>
      </c>
      <c r="L117">
        <v>1</v>
      </c>
      <c r="M117" t="s">
        <v>500</v>
      </c>
      <c r="N117">
        <v>8</v>
      </c>
      <c r="O117" t="s">
        <v>117</v>
      </c>
      <c r="Q117" t="s">
        <v>540</v>
      </c>
    </row>
    <row r="118" spans="1:17" hidden="1" x14ac:dyDescent="0.25">
      <c r="A118" t="s">
        <v>491</v>
      </c>
      <c r="B118" s="36">
        <v>46118</v>
      </c>
      <c r="C118" t="s">
        <v>24</v>
      </c>
      <c r="D118" t="s">
        <v>25</v>
      </c>
      <c r="E118">
        <v>13</v>
      </c>
      <c r="F118">
        <v>603</v>
      </c>
      <c r="G118" t="s">
        <v>34</v>
      </c>
      <c r="H118" t="s">
        <v>131</v>
      </c>
      <c r="I118" t="s">
        <v>498</v>
      </c>
      <c r="J118">
        <v>4092</v>
      </c>
      <c r="K118" t="s">
        <v>541</v>
      </c>
      <c r="L118">
        <v>1</v>
      </c>
      <c r="M118" t="s">
        <v>505</v>
      </c>
      <c r="N118">
        <v>8</v>
      </c>
      <c r="O118" t="s">
        <v>117</v>
      </c>
      <c r="Q118" t="s">
        <v>542</v>
      </c>
    </row>
    <row r="119" spans="1:17" hidden="1" x14ac:dyDescent="0.25">
      <c r="A119" t="s">
        <v>491</v>
      </c>
      <c r="B119" s="36">
        <v>46118</v>
      </c>
      <c r="C119" t="s">
        <v>24</v>
      </c>
      <c r="D119" t="s">
        <v>25</v>
      </c>
      <c r="E119">
        <v>13</v>
      </c>
      <c r="F119">
        <v>603</v>
      </c>
      <c r="G119" t="s">
        <v>34</v>
      </c>
      <c r="H119" t="s">
        <v>65</v>
      </c>
      <c r="I119" t="s">
        <v>543</v>
      </c>
      <c r="J119">
        <v>4246</v>
      </c>
      <c r="K119" t="s">
        <v>544</v>
      </c>
      <c r="L119">
        <v>3</v>
      </c>
      <c r="M119" t="s">
        <v>545</v>
      </c>
      <c r="N119">
        <v>8</v>
      </c>
      <c r="O119" t="s">
        <v>117</v>
      </c>
      <c r="Q119" t="s">
        <v>546</v>
      </c>
    </row>
    <row r="120" spans="1:17" hidden="1" x14ac:dyDescent="0.25">
      <c r="A120" t="s">
        <v>491</v>
      </c>
      <c r="B120" s="36">
        <v>46118</v>
      </c>
      <c r="C120" t="s">
        <v>24</v>
      </c>
      <c r="D120" t="s">
        <v>25</v>
      </c>
      <c r="E120">
        <v>13</v>
      </c>
      <c r="F120">
        <v>603</v>
      </c>
      <c r="G120" t="s">
        <v>34</v>
      </c>
      <c r="H120" t="s">
        <v>547</v>
      </c>
      <c r="I120" t="s">
        <v>507</v>
      </c>
      <c r="J120">
        <v>4473</v>
      </c>
      <c r="K120" t="s">
        <v>548</v>
      </c>
      <c r="L120">
        <v>3</v>
      </c>
      <c r="M120" t="s">
        <v>509</v>
      </c>
      <c r="N120">
        <v>8</v>
      </c>
      <c r="O120" t="s">
        <v>117</v>
      </c>
      <c r="Q120" t="s">
        <v>549</v>
      </c>
    </row>
    <row r="121" spans="1:17" hidden="1" x14ac:dyDescent="0.25">
      <c r="A121" t="s">
        <v>491</v>
      </c>
      <c r="B121" s="36">
        <v>46118</v>
      </c>
      <c r="C121" t="s">
        <v>24</v>
      </c>
      <c r="D121" t="s">
        <v>25</v>
      </c>
      <c r="E121">
        <v>13</v>
      </c>
      <c r="F121">
        <v>603</v>
      </c>
      <c r="G121" t="s">
        <v>34</v>
      </c>
      <c r="H121" t="s">
        <v>550</v>
      </c>
      <c r="I121" t="s">
        <v>512</v>
      </c>
      <c r="J121">
        <v>4482</v>
      </c>
      <c r="K121" t="s">
        <v>551</v>
      </c>
      <c r="L121">
        <v>1</v>
      </c>
      <c r="M121" t="s">
        <v>119</v>
      </c>
      <c r="N121">
        <v>8</v>
      </c>
      <c r="O121" t="s">
        <v>117</v>
      </c>
      <c r="Q121" t="s">
        <v>552</v>
      </c>
    </row>
    <row r="122" spans="1:17" hidden="1" x14ac:dyDescent="0.25">
      <c r="A122" t="s">
        <v>491</v>
      </c>
      <c r="B122" s="36">
        <v>46118</v>
      </c>
      <c r="C122" t="s">
        <v>24</v>
      </c>
      <c r="D122" t="s">
        <v>25</v>
      </c>
      <c r="E122">
        <v>13</v>
      </c>
      <c r="F122">
        <v>603</v>
      </c>
      <c r="G122" t="s">
        <v>34</v>
      </c>
      <c r="H122" t="s">
        <v>550</v>
      </c>
      <c r="I122" t="s">
        <v>512</v>
      </c>
      <c r="J122">
        <v>4483</v>
      </c>
      <c r="K122" t="s">
        <v>551</v>
      </c>
      <c r="L122">
        <v>1</v>
      </c>
      <c r="M122" t="s">
        <v>119</v>
      </c>
      <c r="N122">
        <v>8</v>
      </c>
      <c r="O122" t="s">
        <v>117</v>
      </c>
      <c r="Q122" t="s">
        <v>553</v>
      </c>
    </row>
    <row r="123" spans="1:17" hidden="1" x14ac:dyDescent="0.25">
      <c r="A123" t="s">
        <v>491</v>
      </c>
      <c r="B123" s="36">
        <v>46118</v>
      </c>
      <c r="C123" t="s">
        <v>24</v>
      </c>
      <c r="D123" t="s">
        <v>25</v>
      </c>
      <c r="E123">
        <v>13</v>
      </c>
      <c r="F123">
        <v>603</v>
      </c>
      <c r="G123" t="s">
        <v>34</v>
      </c>
      <c r="H123" t="s">
        <v>550</v>
      </c>
      <c r="I123" t="s">
        <v>512</v>
      </c>
      <c r="J123">
        <v>4484</v>
      </c>
      <c r="K123" t="s">
        <v>551</v>
      </c>
      <c r="L123">
        <v>1</v>
      </c>
      <c r="M123" t="s">
        <v>119</v>
      </c>
      <c r="N123">
        <v>8</v>
      </c>
      <c r="O123" t="s">
        <v>117</v>
      </c>
      <c r="Q123" t="s">
        <v>554</v>
      </c>
    </row>
    <row r="124" spans="1:17" hidden="1" x14ac:dyDescent="0.25">
      <c r="A124" t="s">
        <v>491</v>
      </c>
      <c r="B124" s="36">
        <v>46118</v>
      </c>
      <c r="C124" t="s">
        <v>24</v>
      </c>
      <c r="D124" t="s">
        <v>25</v>
      </c>
      <c r="E124">
        <v>13</v>
      </c>
      <c r="F124">
        <v>603</v>
      </c>
      <c r="G124" t="s">
        <v>34</v>
      </c>
      <c r="H124" t="s">
        <v>550</v>
      </c>
      <c r="I124" t="s">
        <v>512</v>
      </c>
      <c r="J124">
        <v>4485</v>
      </c>
      <c r="K124" t="s">
        <v>551</v>
      </c>
      <c r="L124">
        <v>1</v>
      </c>
      <c r="M124" t="s">
        <v>119</v>
      </c>
      <c r="N124">
        <v>8</v>
      </c>
      <c r="O124" t="s">
        <v>117</v>
      </c>
      <c r="Q124" t="s">
        <v>555</v>
      </c>
    </row>
    <row r="125" spans="1:17" hidden="1" x14ac:dyDescent="0.25">
      <c r="A125" t="s">
        <v>491</v>
      </c>
      <c r="B125" s="36">
        <v>46118</v>
      </c>
      <c r="C125" t="s">
        <v>24</v>
      </c>
      <c r="D125" t="s">
        <v>25</v>
      </c>
      <c r="E125">
        <v>13</v>
      </c>
      <c r="F125">
        <v>603</v>
      </c>
      <c r="G125" t="s">
        <v>34</v>
      </c>
      <c r="H125" t="s">
        <v>550</v>
      </c>
      <c r="I125" t="s">
        <v>512</v>
      </c>
      <c r="J125">
        <v>4486</v>
      </c>
      <c r="K125" t="s">
        <v>551</v>
      </c>
      <c r="L125">
        <v>1</v>
      </c>
      <c r="M125" t="s">
        <v>119</v>
      </c>
      <c r="N125">
        <v>8</v>
      </c>
      <c r="O125" t="s">
        <v>117</v>
      </c>
      <c r="Q125" t="s">
        <v>556</v>
      </c>
    </row>
    <row r="126" spans="1:17" hidden="1" x14ac:dyDescent="0.25">
      <c r="A126" t="s">
        <v>491</v>
      </c>
      <c r="B126" s="36">
        <v>46118</v>
      </c>
      <c r="C126" t="s">
        <v>24</v>
      </c>
      <c r="D126" t="s">
        <v>25</v>
      </c>
      <c r="E126">
        <v>13</v>
      </c>
      <c r="F126">
        <v>603</v>
      </c>
      <c r="G126" t="s">
        <v>34</v>
      </c>
      <c r="H126" t="s">
        <v>550</v>
      </c>
      <c r="I126" t="s">
        <v>512</v>
      </c>
      <c r="J126">
        <v>4487</v>
      </c>
      <c r="K126" t="s">
        <v>551</v>
      </c>
      <c r="L126">
        <v>1</v>
      </c>
      <c r="M126" t="s">
        <v>119</v>
      </c>
      <c r="N126">
        <v>8</v>
      </c>
      <c r="O126" t="s">
        <v>117</v>
      </c>
      <c r="Q126" t="s">
        <v>557</v>
      </c>
    </row>
    <row r="127" spans="1:17" hidden="1" x14ac:dyDescent="0.25">
      <c r="A127" t="s">
        <v>491</v>
      </c>
      <c r="B127" s="36">
        <v>46118</v>
      </c>
      <c r="C127" t="s">
        <v>24</v>
      </c>
      <c r="D127" t="s">
        <v>25</v>
      </c>
      <c r="E127">
        <v>13</v>
      </c>
      <c r="F127">
        <v>603</v>
      </c>
      <c r="G127" t="s">
        <v>34</v>
      </c>
      <c r="H127" t="s">
        <v>550</v>
      </c>
      <c r="I127" t="s">
        <v>512</v>
      </c>
      <c r="J127">
        <v>4489</v>
      </c>
      <c r="K127" t="s">
        <v>551</v>
      </c>
      <c r="L127">
        <v>1</v>
      </c>
      <c r="M127" t="s">
        <v>119</v>
      </c>
      <c r="N127">
        <v>8</v>
      </c>
      <c r="O127" t="s">
        <v>117</v>
      </c>
      <c r="Q127" t="s">
        <v>558</v>
      </c>
    </row>
    <row r="128" spans="1:17" hidden="1" x14ac:dyDescent="0.25">
      <c r="A128" t="s">
        <v>491</v>
      </c>
      <c r="B128" s="36">
        <v>46118</v>
      </c>
      <c r="C128" t="s">
        <v>24</v>
      </c>
      <c r="D128" t="s">
        <v>25</v>
      </c>
      <c r="E128">
        <v>13</v>
      </c>
      <c r="F128">
        <v>603</v>
      </c>
      <c r="G128" t="s">
        <v>34</v>
      </c>
      <c r="H128" t="s">
        <v>114</v>
      </c>
      <c r="I128" t="s">
        <v>498</v>
      </c>
      <c r="J128">
        <v>4493</v>
      </c>
      <c r="K128" t="s">
        <v>559</v>
      </c>
      <c r="L128">
        <v>1</v>
      </c>
      <c r="M128" t="s">
        <v>560</v>
      </c>
      <c r="N128">
        <v>8</v>
      </c>
      <c r="O128" t="s">
        <v>117</v>
      </c>
      <c r="Q128" t="s">
        <v>561</v>
      </c>
    </row>
    <row r="129" spans="1:17" hidden="1" x14ac:dyDescent="0.25">
      <c r="A129" t="s">
        <v>491</v>
      </c>
      <c r="B129" s="36">
        <v>46118</v>
      </c>
      <c r="C129" t="s">
        <v>24</v>
      </c>
      <c r="D129" t="s">
        <v>25</v>
      </c>
      <c r="E129">
        <v>13</v>
      </c>
      <c r="F129">
        <v>603</v>
      </c>
      <c r="G129" t="s">
        <v>34</v>
      </c>
      <c r="H129" t="s">
        <v>150</v>
      </c>
      <c r="I129" t="s">
        <v>498</v>
      </c>
      <c r="J129">
        <v>4497</v>
      </c>
      <c r="K129" t="s">
        <v>562</v>
      </c>
      <c r="L129">
        <v>1</v>
      </c>
      <c r="M129" t="s">
        <v>505</v>
      </c>
      <c r="N129">
        <v>8</v>
      </c>
      <c r="O129" t="s">
        <v>117</v>
      </c>
      <c r="Q129" t="s">
        <v>563</v>
      </c>
    </row>
    <row r="130" spans="1:17" hidden="1" x14ac:dyDescent="0.25">
      <c r="A130" t="s">
        <v>491</v>
      </c>
      <c r="B130" s="36">
        <v>46118</v>
      </c>
      <c r="C130" t="s">
        <v>24</v>
      </c>
      <c r="D130" t="s">
        <v>25</v>
      </c>
      <c r="E130">
        <v>13</v>
      </c>
      <c r="F130">
        <v>603</v>
      </c>
      <c r="G130" t="s">
        <v>34</v>
      </c>
      <c r="H130" t="s">
        <v>150</v>
      </c>
      <c r="I130" t="s">
        <v>498</v>
      </c>
      <c r="J130">
        <v>4498</v>
      </c>
      <c r="K130" t="s">
        <v>564</v>
      </c>
      <c r="L130">
        <v>1</v>
      </c>
      <c r="M130" t="s">
        <v>500</v>
      </c>
      <c r="N130">
        <v>8</v>
      </c>
      <c r="O130" t="s">
        <v>117</v>
      </c>
      <c r="Q130" t="s">
        <v>565</v>
      </c>
    </row>
    <row r="131" spans="1:17" hidden="1" x14ac:dyDescent="0.25">
      <c r="A131" t="s">
        <v>491</v>
      </c>
      <c r="B131" s="36">
        <v>46118</v>
      </c>
      <c r="C131" t="s">
        <v>24</v>
      </c>
      <c r="D131" t="s">
        <v>25</v>
      </c>
      <c r="E131">
        <v>13</v>
      </c>
      <c r="F131">
        <v>603</v>
      </c>
      <c r="G131" t="s">
        <v>34</v>
      </c>
      <c r="H131" t="s">
        <v>133</v>
      </c>
      <c r="I131" t="s">
        <v>498</v>
      </c>
      <c r="J131">
        <v>4501</v>
      </c>
      <c r="K131" t="s">
        <v>566</v>
      </c>
      <c r="L131">
        <v>1</v>
      </c>
      <c r="M131" t="s">
        <v>500</v>
      </c>
      <c r="N131">
        <v>8</v>
      </c>
      <c r="O131" t="s">
        <v>117</v>
      </c>
      <c r="Q131" t="s">
        <v>567</v>
      </c>
    </row>
    <row r="132" spans="1:17" hidden="1" x14ac:dyDescent="0.25">
      <c r="A132" t="s">
        <v>491</v>
      </c>
      <c r="B132" s="36">
        <v>46118</v>
      </c>
      <c r="C132" t="s">
        <v>24</v>
      </c>
      <c r="D132" t="s">
        <v>25</v>
      </c>
      <c r="E132">
        <v>13</v>
      </c>
      <c r="F132">
        <v>603</v>
      </c>
      <c r="G132" t="s">
        <v>34</v>
      </c>
      <c r="H132" t="s">
        <v>147</v>
      </c>
      <c r="I132" t="s">
        <v>498</v>
      </c>
      <c r="J132">
        <v>4505</v>
      </c>
      <c r="K132" t="s">
        <v>568</v>
      </c>
      <c r="L132">
        <v>1</v>
      </c>
      <c r="M132" t="s">
        <v>505</v>
      </c>
      <c r="N132">
        <v>8</v>
      </c>
      <c r="O132" t="s">
        <v>117</v>
      </c>
      <c r="Q132" t="s">
        <v>569</v>
      </c>
    </row>
    <row r="133" spans="1:17" hidden="1" x14ac:dyDescent="0.25">
      <c r="A133" t="s">
        <v>491</v>
      </c>
      <c r="B133" s="36">
        <v>46118</v>
      </c>
      <c r="C133" t="s">
        <v>24</v>
      </c>
      <c r="D133" t="s">
        <v>25</v>
      </c>
      <c r="E133">
        <v>13</v>
      </c>
      <c r="F133">
        <v>603</v>
      </c>
      <c r="G133" t="s">
        <v>34</v>
      </c>
      <c r="H133" t="s">
        <v>147</v>
      </c>
      <c r="I133" t="s">
        <v>498</v>
      </c>
      <c r="J133">
        <v>4506</v>
      </c>
      <c r="K133" t="s">
        <v>570</v>
      </c>
      <c r="L133">
        <v>1</v>
      </c>
      <c r="M133" t="s">
        <v>500</v>
      </c>
      <c r="N133">
        <v>8</v>
      </c>
      <c r="O133" t="s">
        <v>117</v>
      </c>
      <c r="Q133" t="s">
        <v>571</v>
      </c>
    </row>
    <row r="134" spans="1:17" hidden="1" x14ac:dyDescent="0.25">
      <c r="A134" t="s">
        <v>572</v>
      </c>
      <c r="B134" s="36">
        <v>46118</v>
      </c>
      <c r="C134" t="s">
        <v>24</v>
      </c>
      <c r="D134" t="s">
        <v>25</v>
      </c>
      <c r="E134">
        <v>13</v>
      </c>
      <c r="F134">
        <v>605</v>
      </c>
      <c r="G134" t="s">
        <v>34</v>
      </c>
      <c r="H134" t="s">
        <v>315</v>
      </c>
      <c r="I134" t="s">
        <v>573</v>
      </c>
      <c r="J134">
        <v>4465</v>
      </c>
      <c r="K134" t="s">
        <v>574</v>
      </c>
      <c r="L134">
        <v>11</v>
      </c>
      <c r="M134" t="s">
        <v>575</v>
      </c>
      <c r="N134">
        <v>19</v>
      </c>
      <c r="O134" t="s">
        <v>117</v>
      </c>
      <c r="Q134" t="s">
        <v>576</v>
      </c>
    </row>
    <row r="135" spans="1:17" hidden="1" x14ac:dyDescent="0.25">
      <c r="A135" t="s">
        <v>572</v>
      </c>
      <c r="B135" s="36">
        <v>46118</v>
      </c>
      <c r="C135" t="s">
        <v>24</v>
      </c>
      <c r="D135" t="s">
        <v>25</v>
      </c>
      <c r="E135">
        <v>13</v>
      </c>
      <c r="F135">
        <v>605</v>
      </c>
      <c r="G135" t="s">
        <v>34</v>
      </c>
      <c r="H135" t="s">
        <v>577</v>
      </c>
      <c r="I135" t="s">
        <v>578</v>
      </c>
      <c r="J135">
        <v>4057</v>
      </c>
      <c r="K135" t="s">
        <v>579</v>
      </c>
      <c r="L135">
        <v>5</v>
      </c>
      <c r="M135" t="s">
        <v>580</v>
      </c>
      <c r="N135">
        <v>8</v>
      </c>
      <c r="O135" t="s">
        <v>117</v>
      </c>
      <c r="Q135" t="s">
        <v>581</v>
      </c>
    </row>
    <row r="136" spans="1:17" hidden="1" x14ac:dyDescent="0.25">
      <c r="A136" t="s">
        <v>572</v>
      </c>
      <c r="B136" s="36">
        <v>46118</v>
      </c>
      <c r="C136" t="s">
        <v>24</v>
      </c>
      <c r="D136" t="s">
        <v>25</v>
      </c>
      <c r="E136">
        <v>13</v>
      </c>
      <c r="F136">
        <v>605</v>
      </c>
      <c r="G136" t="s">
        <v>34</v>
      </c>
      <c r="H136" t="s">
        <v>582</v>
      </c>
      <c r="I136" t="s">
        <v>583</v>
      </c>
      <c r="J136">
        <v>3367</v>
      </c>
      <c r="K136" t="s">
        <v>584</v>
      </c>
      <c r="L136">
        <v>9</v>
      </c>
      <c r="M136" t="s">
        <v>585</v>
      </c>
      <c r="N136">
        <v>12</v>
      </c>
      <c r="O136" t="s">
        <v>117</v>
      </c>
      <c r="Q136" t="s">
        <v>586</v>
      </c>
    </row>
    <row r="137" spans="1:17" hidden="1" x14ac:dyDescent="0.25">
      <c r="A137" t="s">
        <v>572</v>
      </c>
      <c r="B137" s="36">
        <v>46118</v>
      </c>
      <c r="C137" t="s">
        <v>24</v>
      </c>
      <c r="D137" t="s">
        <v>25</v>
      </c>
      <c r="E137">
        <v>13</v>
      </c>
      <c r="F137">
        <v>605</v>
      </c>
      <c r="G137" t="s">
        <v>34</v>
      </c>
      <c r="H137" t="s">
        <v>587</v>
      </c>
      <c r="I137" t="s">
        <v>588</v>
      </c>
      <c r="J137">
        <v>3368</v>
      </c>
      <c r="K137" t="s">
        <v>589</v>
      </c>
      <c r="L137">
        <v>5</v>
      </c>
      <c r="M137" t="s">
        <v>590</v>
      </c>
      <c r="N137">
        <v>12</v>
      </c>
      <c r="O137" t="s">
        <v>117</v>
      </c>
      <c r="Q137" t="s">
        <v>591</v>
      </c>
    </row>
    <row r="138" spans="1:17" hidden="1" x14ac:dyDescent="0.25">
      <c r="A138" t="s">
        <v>572</v>
      </c>
      <c r="B138" s="36">
        <v>46118</v>
      </c>
      <c r="C138" t="s">
        <v>24</v>
      </c>
      <c r="D138" t="s">
        <v>25</v>
      </c>
      <c r="E138">
        <v>13</v>
      </c>
      <c r="F138">
        <v>605</v>
      </c>
      <c r="G138" t="s">
        <v>34</v>
      </c>
      <c r="H138" t="s">
        <v>592</v>
      </c>
      <c r="I138" t="s">
        <v>593</v>
      </c>
      <c r="J138">
        <v>3370</v>
      </c>
      <c r="K138" t="s">
        <v>594</v>
      </c>
      <c r="L138">
        <v>11</v>
      </c>
      <c r="M138" t="s">
        <v>595</v>
      </c>
      <c r="N138">
        <v>12</v>
      </c>
      <c r="O138" t="s">
        <v>117</v>
      </c>
      <c r="Q138" t="s">
        <v>596</v>
      </c>
    </row>
    <row r="139" spans="1:17" hidden="1" x14ac:dyDescent="0.25">
      <c r="A139" t="s">
        <v>572</v>
      </c>
      <c r="B139" s="36">
        <v>46118</v>
      </c>
      <c r="C139" t="s">
        <v>24</v>
      </c>
      <c r="D139" t="s">
        <v>25</v>
      </c>
      <c r="E139">
        <v>13</v>
      </c>
      <c r="F139">
        <v>605</v>
      </c>
      <c r="G139" t="s">
        <v>34</v>
      </c>
      <c r="H139" t="s">
        <v>597</v>
      </c>
      <c r="I139" t="s">
        <v>598</v>
      </c>
      <c r="J139">
        <v>3372</v>
      </c>
      <c r="K139" t="s">
        <v>599</v>
      </c>
      <c r="L139">
        <v>10</v>
      </c>
      <c r="M139" t="s">
        <v>600</v>
      </c>
      <c r="N139">
        <v>12</v>
      </c>
      <c r="O139" t="s">
        <v>117</v>
      </c>
      <c r="Q139" t="s">
        <v>601</v>
      </c>
    </row>
    <row r="140" spans="1:17" hidden="1" x14ac:dyDescent="0.25">
      <c r="A140" t="s">
        <v>572</v>
      </c>
      <c r="B140" s="36">
        <v>46118</v>
      </c>
      <c r="C140" t="s">
        <v>24</v>
      </c>
      <c r="D140" t="s">
        <v>25</v>
      </c>
      <c r="E140">
        <v>13</v>
      </c>
      <c r="F140">
        <v>605</v>
      </c>
      <c r="G140" t="s">
        <v>34</v>
      </c>
      <c r="H140" t="s">
        <v>431</v>
      </c>
      <c r="I140" t="s">
        <v>602</v>
      </c>
      <c r="J140">
        <v>3377</v>
      </c>
      <c r="K140" t="s">
        <v>603</v>
      </c>
      <c r="L140">
        <v>7</v>
      </c>
      <c r="M140" t="s">
        <v>604</v>
      </c>
      <c r="N140">
        <v>12</v>
      </c>
      <c r="O140" t="s">
        <v>117</v>
      </c>
      <c r="Q140" t="s">
        <v>605</v>
      </c>
    </row>
    <row r="141" spans="1:17" hidden="1" x14ac:dyDescent="0.25">
      <c r="A141" t="s">
        <v>572</v>
      </c>
      <c r="B141" s="36">
        <v>46118</v>
      </c>
      <c r="C141" t="s">
        <v>24</v>
      </c>
      <c r="D141" t="s">
        <v>25</v>
      </c>
      <c r="E141">
        <v>13</v>
      </c>
      <c r="F141">
        <v>605</v>
      </c>
      <c r="G141" t="s">
        <v>34</v>
      </c>
      <c r="H141" t="s">
        <v>547</v>
      </c>
      <c r="I141" t="s">
        <v>606</v>
      </c>
      <c r="J141">
        <v>4508</v>
      </c>
      <c r="K141" t="s">
        <v>103</v>
      </c>
      <c r="L141">
        <v>3</v>
      </c>
      <c r="M141" t="s">
        <v>607</v>
      </c>
      <c r="N141">
        <v>8</v>
      </c>
      <c r="O141" t="s">
        <v>117</v>
      </c>
      <c r="Q141" t="s">
        <v>608</v>
      </c>
    </row>
    <row r="142" spans="1:17" hidden="1" x14ac:dyDescent="0.25">
      <c r="A142" t="s">
        <v>572</v>
      </c>
      <c r="B142" s="36">
        <v>46118</v>
      </c>
      <c r="C142" t="s">
        <v>24</v>
      </c>
      <c r="D142" t="s">
        <v>25</v>
      </c>
      <c r="E142">
        <v>13</v>
      </c>
      <c r="F142">
        <v>605</v>
      </c>
      <c r="G142" t="s">
        <v>34</v>
      </c>
      <c r="H142" t="s">
        <v>609</v>
      </c>
      <c r="I142" t="s">
        <v>610</v>
      </c>
      <c r="J142">
        <v>4095</v>
      </c>
      <c r="K142" t="s">
        <v>611</v>
      </c>
      <c r="L142">
        <v>11</v>
      </c>
      <c r="M142" t="s">
        <v>612</v>
      </c>
      <c r="N142">
        <v>8</v>
      </c>
      <c r="O142" t="s">
        <v>117</v>
      </c>
      <c r="Q142" t="s">
        <v>613</v>
      </c>
    </row>
    <row r="143" spans="1:17" hidden="1" x14ac:dyDescent="0.25">
      <c r="A143" t="s">
        <v>572</v>
      </c>
      <c r="B143" s="36">
        <v>46118</v>
      </c>
      <c r="C143" t="s">
        <v>24</v>
      </c>
      <c r="D143" t="s">
        <v>25</v>
      </c>
      <c r="E143">
        <v>13</v>
      </c>
      <c r="F143">
        <v>605</v>
      </c>
      <c r="G143" t="s">
        <v>34</v>
      </c>
      <c r="H143" t="s">
        <v>614</v>
      </c>
      <c r="I143" t="s">
        <v>615</v>
      </c>
      <c r="J143">
        <v>4479</v>
      </c>
      <c r="K143" t="s">
        <v>616</v>
      </c>
      <c r="L143">
        <v>4</v>
      </c>
      <c r="M143" t="s">
        <v>617</v>
      </c>
      <c r="N143">
        <v>8</v>
      </c>
      <c r="O143" t="s">
        <v>117</v>
      </c>
      <c r="Q143" t="s">
        <v>618</v>
      </c>
    </row>
    <row r="144" spans="1:17" hidden="1" x14ac:dyDescent="0.25">
      <c r="A144" t="s">
        <v>572</v>
      </c>
      <c r="B144" s="36">
        <v>46118</v>
      </c>
      <c r="C144" t="s">
        <v>24</v>
      </c>
      <c r="D144" t="s">
        <v>25</v>
      </c>
      <c r="E144">
        <v>13</v>
      </c>
      <c r="F144">
        <v>605</v>
      </c>
      <c r="G144" t="s">
        <v>34</v>
      </c>
      <c r="H144" t="s">
        <v>619</v>
      </c>
      <c r="I144" t="s">
        <v>620</v>
      </c>
      <c r="J144">
        <v>4480</v>
      </c>
      <c r="K144" t="s">
        <v>621</v>
      </c>
      <c r="L144">
        <v>3</v>
      </c>
      <c r="M144" t="s">
        <v>622</v>
      </c>
      <c r="N144">
        <v>8</v>
      </c>
      <c r="O144" t="s">
        <v>117</v>
      </c>
      <c r="Q144" t="s">
        <v>623</v>
      </c>
    </row>
    <row r="145" spans="1:17" hidden="1" x14ac:dyDescent="0.25">
      <c r="A145" t="s">
        <v>572</v>
      </c>
      <c r="B145" s="36">
        <v>46118</v>
      </c>
      <c r="C145" t="s">
        <v>24</v>
      </c>
      <c r="D145" t="s">
        <v>25</v>
      </c>
      <c r="E145">
        <v>13</v>
      </c>
      <c r="F145">
        <v>605</v>
      </c>
      <c r="G145" t="s">
        <v>34</v>
      </c>
      <c r="H145" t="s">
        <v>624</v>
      </c>
      <c r="I145" t="s">
        <v>625</v>
      </c>
      <c r="J145">
        <v>4021</v>
      </c>
      <c r="K145" t="s">
        <v>626</v>
      </c>
      <c r="L145">
        <v>6</v>
      </c>
      <c r="M145" t="s">
        <v>627</v>
      </c>
      <c r="N145">
        <v>8</v>
      </c>
      <c r="O145" t="s">
        <v>117</v>
      </c>
      <c r="Q145" t="s">
        <v>628</v>
      </c>
    </row>
    <row r="146" spans="1:17" hidden="1" x14ac:dyDescent="0.25">
      <c r="A146" t="s">
        <v>572</v>
      </c>
      <c r="B146" s="36">
        <v>46118</v>
      </c>
      <c r="C146" t="s">
        <v>24</v>
      </c>
      <c r="D146" t="s">
        <v>25</v>
      </c>
      <c r="E146">
        <v>13</v>
      </c>
      <c r="F146">
        <v>605</v>
      </c>
      <c r="G146" t="s">
        <v>34</v>
      </c>
      <c r="H146" t="s">
        <v>152</v>
      </c>
      <c r="I146" t="s">
        <v>152</v>
      </c>
      <c r="J146">
        <v>4336</v>
      </c>
      <c r="K146" t="s">
        <v>629</v>
      </c>
      <c r="L146">
        <v>1</v>
      </c>
      <c r="M146" t="s">
        <v>630</v>
      </c>
      <c r="N146">
        <v>12</v>
      </c>
      <c r="O146" t="s">
        <v>117</v>
      </c>
      <c r="Q146" t="s">
        <v>631</v>
      </c>
    </row>
    <row r="147" spans="1:17" hidden="1" x14ac:dyDescent="0.25">
      <c r="A147" t="s">
        <v>572</v>
      </c>
      <c r="B147" s="36">
        <v>46118</v>
      </c>
      <c r="C147" t="s">
        <v>24</v>
      </c>
      <c r="D147" t="s">
        <v>25</v>
      </c>
      <c r="E147">
        <v>13</v>
      </c>
      <c r="F147">
        <v>605</v>
      </c>
      <c r="G147" t="s">
        <v>34</v>
      </c>
      <c r="H147" t="s">
        <v>152</v>
      </c>
      <c r="I147" t="s">
        <v>152</v>
      </c>
      <c r="J147">
        <v>4337</v>
      </c>
      <c r="K147" t="s">
        <v>629</v>
      </c>
      <c r="L147">
        <v>1</v>
      </c>
      <c r="M147" t="s">
        <v>630</v>
      </c>
      <c r="N147">
        <v>12</v>
      </c>
      <c r="O147" t="s">
        <v>117</v>
      </c>
      <c r="Q147" t="s">
        <v>632</v>
      </c>
    </row>
    <row r="148" spans="1:17" hidden="1" x14ac:dyDescent="0.25">
      <c r="A148" t="s">
        <v>572</v>
      </c>
      <c r="B148" s="36">
        <v>46118</v>
      </c>
      <c r="C148" t="s">
        <v>24</v>
      </c>
      <c r="D148" t="s">
        <v>25</v>
      </c>
      <c r="E148">
        <v>13</v>
      </c>
      <c r="F148">
        <v>605</v>
      </c>
      <c r="G148" t="s">
        <v>34</v>
      </c>
      <c r="H148" t="s">
        <v>152</v>
      </c>
      <c r="I148" t="s">
        <v>152</v>
      </c>
      <c r="J148">
        <v>4338</v>
      </c>
      <c r="K148" t="s">
        <v>629</v>
      </c>
      <c r="L148">
        <v>1</v>
      </c>
      <c r="M148" t="s">
        <v>630</v>
      </c>
      <c r="N148">
        <v>12</v>
      </c>
      <c r="O148" t="s">
        <v>117</v>
      </c>
      <c r="Q148" t="s">
        <v>633</v>
      </c>
    </row>
    <row r="149" spans="1:17" hidden="1" x14ac:dyDescent="0.25">
      <c r="A149" t="s">
        <v>572</v>
      </c>
      <c r="B149" s="36">
        <v>46118</v>
      </c>
      <c r="C149" t="s">
        <v>24</v>
      </c>
      <c r="D149" t="s">
        <v>25</v>
      </c>
      <c r="E149">
        <v>13</v>
      </c>
      <c r="F149">
        <v>605</v>
      </c>
      <c r="G149" t="s">
        <v>34</v>
      </c>
      <c r="H149" t="s">
        <v>152</v>
      </c>
      <c r="I149" t="s">
        <v>152</v>
      </c>
      <c r="J149">
        <v>4339</v>
      </c>
      <c r="K149" t="s">
        <v>634</v>
      </c>
      <c r="L149">
        <v>1</v>
      </c>
      <c r="M149" t="s">
        <v>630</v>
      </c>
      <c r="N149">
        <v>12</v>
      </c>
      <c r="O149" t="s">
        <v>117</v>
      </c>
      <c r="Q149" t="s">
        <v>635</v>
      </c>
    </row>
    <row r="150" spans="1:17" hidden="1" x14ac:dyDescent="0.25">
      <c r="A150" t="s">
        <v>572</v>
      </c>
      <c r="B150" s="36">
        <v>46118</v>
      </c>
      <c r="C150" t="s">
        <v>24</v>
      </c>
      <c r="D150" t="s">
        <v>25</v>
      </c>
      <c r="E150">
        <v>13</v>
      </c>
      <c r="F150">
        <v>605</v>
      </c>
      <c r="G150" t="s">
        <v>34</v>
      </c>
      <c r="H150" t="s">
        <v>152</v>
      </c>
      <c r="I150" t="s">
        <v>152</v>
      </c>
      <c r="J150">
        <v>4340</v>
      </c>
      <c r="K150" t="s">
        <v>634</v>
      </c>
      <c r="L150">
        <v>1</v>
      </c>
      <c r="M150" t="s">
        <v>630</v>
      </c>
      <c r="N150">
        <v>12</v>
      </c>
      <c r="O150" t="s">
        <v>117</v>
      </c>
      <c r="Q150" t="s">
        <v>636</v>
      </c>
    </row>
    <row r="151" spans="1:17" hidden="1" x14ac:dyDescent="0.25">
      <c r="A151" t="s">
        <v>572</v>
      </c>
      <c r="B151" s="36">
        <v>46118</v>
      </c>
      <c r="C151" t="s">
        <v>24</v>
      </c>
      <c r="D151" t="s">
        <v>25</v>
      </c>
      <c r="E151">
        <v>13</v>
      </c>
      <c r="F151">
        <v>605</v>
      </c>
      <c r="G151" t="s">
        <v>34</v>
      </c>
      <c r="H151" t="s">
        <v>152</v>
      </c>
      <c r="I151" t="s">
        <v>152</v>
      </c>
      <c r="J151">
        <v>4341</v>
      </c>
      <c r="K151" t="s">
        <v>634</v>
      </c>
      <c r="L151">
        <v>1</v>
      </c>
      <c r="M151" t="s">
        <v>630</v>
      </c>
      <c r="N151">
        <v>12</v>
      </c>
      <c r="O151" t="s">
        <v>117</v>
      </c>
      <c r="Q151" t="s">
        <v>637</v>
      </c>
    </row>
    <row r="152" spans="1:17" hidden="1" x14ac:dyDescent="0.25">
      <c r="A152" t="s">
        <v>572</v>
      </c>
      <c r="B152" s="36">
        <v>46118</v>
      </c>
      <c r="C152" t="s">
        <v>24</v>
      </c>
      <c r="D152" t="s">
        <v>25</v>
      </c>
      <c r="E152">
        <v>13</v>
      </c>
      <c r="F152">
        <v>605</v>
      </c>
      <c r="G152" t="s">
        <v>34</v>
      </c>
      <c r="H152" t="s">
        <v>638</v>
      </c>
      <c r="I152" t="s">
        <v>639</v>
      </c>
      <c r="J152">
        <v>4058</v>
      </c>
      <c r="K152" t="s">
        <v>640</v>
      </c>
      <c r="L152">
        <v>8</v>
      </c>
      <c r="M152" t="s">
        <v>641</v>
      </c>
      <c r="N152">
        <v>8</v>
      </c>
      <c r="O152" t="s">
        <v>117</v>
      </c>
      <c r="Q152" t="s">
        <v>642</v>
      </c>
    </row>
    <row r="153" spans="1:17" hidden="1" x14ac:dyDescent="0.25">
      <c r="A153" t="s">
        <v>572</v>
      </c>
      <c r="B153" s="36">
        <v>46118</v>
      </c>
      <c r="C153" t="s">
        <v>24</v>
      </c>
      <c r="D153" t="s">
        <v>25</v>
      </c>
      <c r="E153">
        <v>13</v>
      </c>
      <c r="F153">
        <v>605</v>
      </c>
      <c r="G153" t="s">
        <v>34</v>
      </c>
      <c r="H153" t="s">
        <v>152</v>
      </c>
      <c r="I153" t="s">
        <v>152</v>
      </c>
      <c r="J153">
        <v>4342</v>
      </c>
      <c r="K153" t="s">
        <v>643</v>
      </c>
      <c r="L153">
        <v>1</v>
      </c>
      <c r="M153" t="s">
        <v>644</v>
      </c>
      <c r="N153">
        <v>12</v>
      </c>
      <c r="O153" t="s">
        <v>117</v>
      </c>
      <c r="Q153" t="s">
        <v>645</v>
      </c>
    </row>
    <row r="154" spans="1:17" hidden="1" x14ac:dyDescent="0.25">
      <c r="A154" t="s">
        <v>572</v>
      </c>
      <c r="B154" s="36">
        <v>46118</v>
      </c>
      <c r="C154" t="s">
        <v>24</v>
      </c>
      <c r="D154" t="s">
        <v>25</v>
      </c>
      <c r="E154">
        <v>13</v>
      </c>
      <c r="F154">
        <v>605</v>
      </c>
      <c r="G154" t="s">
        <v>34</v>
      </c>
      <c r="H154" t="s">
        <v>152</v>
      </c>
      <c r="I154" t="s">
        <v>152</v>
      </c>
      <c r="J154">
        <v>4343</v>
      </c>
      <c r="K154" t="s">
        <v>643</v>
      </c>
      <c r="L154">
        <v>1</v>
      </c>
      <c r="M154" t="s">
        <v>644</v>
      </c>
      <c r="N154">
        <v>12</v>
      </c>
      <c r="O154" t="s">
        <v>117</v>
      </c>
      <c r="Q154" t="s">
        <v>646</v>
      </c>
    </row>
    <row r="155" spans="1:17" hidden="1" x14ac:dyDescent="0.25">
      <c r="A155" t="s">
        <v>572</v>
      </c>
      <c r="B155" s="36">
        <v>46118</v>
      </c>
      <c r="C155" t="s">
        <v>24</v>
      </c>
      <c r="D155" t="s">
        <v>25</v>
      </c>
      <c r="E155">
        <v>13</v>
      </c>
      <c r="F155">
        <v>605</v>
      </c>
      <c r="G155" t="s">
        <v>34</v>
      </c>
      <c r="H155" t="s">
        <v>152</v>
      </c>
      <c r="I155" t="s">
        <v>152</v>
      </c>
      <c r="J155">
        <v>4344</v>
      </c>
      <c r="K155" t="s">
        <v>643</v>
      </c>
      <c r="L155">
        <v>1</v>
      </c>
      <c r="M155" t="s">
        <v>644</v>
      </c>
      <c r="N155">
        <v>12</v>
      </c>
      <c r="O155" t="s">
        <v>117</v>
      </c>
      <c r="Q155" t="s">
        <v>647</v>
      </c>
    </row>
    <row r="156" spans="1:17" hidden="1" x14ac:dyDescent="0.25">
      <c r="A156" t="s">
        <v>572</v>
      </c>
      <c r="B156" s="36">
        <v>46118</v>
      </c>
      <c r="C156" t="s">
        <v>24</v>
      </c>
      <c r="D156" t="s">
        <v>25</v>
      </c>
      <c r="E156">
        <v>13</v>
      </c>
      <c r="F156">
        <v>605</v>
      </c>
      <c r="G156" t="s">
        <v>34</v>
      </c>
      <c r="H156" t="s">
        <v>648</v>
      </c>
      <c r="I156" t="s">
        <v>649</v>
      </c>
      <c r="J156">
        <v>4521</v>
      </c>
      <c r="K156" t="s">
        <v>650</v>
      </c>
      <c r="L156">
        <v>9</v>
      </c>
      <c r="M156" t="s">
        <v>651</v>
      </c>
      <c r="N156">
        <v>12</v>
      </c>
      <c r="O156" t="s">
        <v>117</v>
      </c>
      <c r="Q156" t="s">
        <v>652</v>
      </c>
    </row>
    <row r="157" spans="1:17" hidden="1" x14ac:dyDescent="0.25">
      <c r="A157" t="s">
        <v>572</v>
      </c>
      <c r="B157" s="36">
        <v>46118</v>
      </c>
      <c r="C157" t="s">
        <v>24</v>
      </c>
      <c r="D157" t="s">
        <v>25</v>
      </c>
      <c r="E157">
        <v>13</v>
      </c>
      <c r="F157">
        <v>605</v>
      </c>
      <c r="G157" t="s">
        <v>34</v>
      </c>
      <c r="H157" t="s">
        <v>653</v>
      </c>
      <c r="I157" t="s">
        <v>654</v>
      </c>
      <c r="J157">
        <v>4523</v>
      </c>
      <c r="K157" t="s">
        <v>655</v>
      </c>
      <c r="L157">
        <v>6</v>
      </c>
      <c r="M157" t="s">
        <v>656</v>
      </c>
      <c r="N157">
        <v>12</v>
      </c>
      <c r="O157" t="s">
        <v>117</v>
      </c>
      <c r="Q157" t="s">
        <v>657</v>
      </c>
    </row>
    <row r="158" spans="1:17" hidden="1" x14ac:dyDescent="0.25">
      <c r="A158" t="s">
        <v>572</v>
      </c>
      <c r="B158" s="36">
        <v>46118</v>
      </c>
      <c r="C158" t="s">
        <v>24</v>
      </c>
      <c r="D158" t="s">
        <v>25</v>
      </c>
      <c r="E158">
        <v>13</v>
      </c>
      <c r="F158">
        <v>605</v>
      </c>
      <c r="G158" t="s">
        <v>34</v>
      </c>
      <c r="H158" t="s">
        <v>658</v>
      </c>
      <c r="I158" t="s">
        <v>659</v>
      </c>
      <c r="J158">
        <v>4657</v>
      </c>
      <c r="K158" t="s">
        <v>660</v>
      </c>
      <c r="L158">
        <v>12</v>
      </c>
      <c r="M158" t="s">
        <v>661</v>
      </c>
      <c r="N158">
        <v>12</v>
      </c>
      <c r="O158" t="s">
        <v>117</v>
      </c>
      <c r="Q158" t="s">
        <v>662</v>
      </c>
    </row>
    <row r="159" spans="1:17" hidden="1" x14ac:dyDescent="0.25">
      <c r="A159" t="s">
        <v>663</v>
      </c>
      <c r="B159" s="36">
        <v>46125</v>
      </c>
      <c r="C159" t="s">
        <v>24</v>
      </c>
      <c r="D159" t="s">
        <v>25</v>
      </c>
      <c r="E159">
        <v>13</v>
      </c>
      <c r="F159">
        <v>606</v>
      </c>
      <c r="G159" t="s">
        <v>34</v>
      </c>
      <c r="H159" t="s">
        <v>664</v>
      </c>
      <c r="I159" t="s">
        <v>665</v>
      </c>
      <c r="J159">
        <v>4520</v>
      </c>
      <c r="K159" t="s">
        <v>666</v>
      </c>
      <c r="L159">
        <v>4</v>
      </c>
      <c r="M159" t="s">
        <v>667</v>
      </c>
      <c r="N159">
        <v>12</v>
      </c>
      <c r="O159" t="s">
        <v>117</v>
      </c>
      <c r="Q159" t="s">
        <v>668</v>
      </c>
    </row>
    <row r="160" spans="1:17" hidden="1" x14ac:dyDescent="0.25">
      <c r="A160" t="s">
        <v>663</v>
      </c>
      <c r="B160" s="36">
        <v>46125</v>
      </c>
      <c r="C160" t="s">
        <v>24</v>
      </c>
      <c r="D160" t="s">
        <v>25</v>
      </c>
      <c r="E160">
        <v>13</v>
      </c>
      <c r="F160">
        <v>606</v>
      </c>
      <c r="G160" t="s">
        <v>34</v>
      </c>
      <c r="H160" t="s">
        <v>669</v>
      </c>
      <c r="I160" t="s">
        <v>670</v>
      </c>
      <c r="J160">
        <v>4524</v>
      </c>
      <c r="K160" t="s">
        <v>671</v>
      </c>
      <c r="L160">
        <v>4</v>
      </c>
      <c r="M160" t="s">
        <v>672</v>
      </c>
      <c r="N160">
        <v>12</v>
      </c>
      <c r="O160" t="s">
        <v>117</v>
      </c>
      <c r="Q160" t="s">
        <v>673</v>
      </c>
    </row>
    <row r="161" spans="1:17" hidden="1" x14ac:dyDescent="0.25">
      <c r="A161" t="s">
        <v>663</v>
      </c>
      <c r="B161" s="36">
        <v>46125</v>
      </c>
      <c r="C161" t="s">
        <v>24</v>
      </c>
      <c r="D161" t="s">
        <v>25</v>
      </c>
      <c r="E161">
        <v>13</v>
      </c>
      <c r="F161">
        <v>606</v>
      </c>
      <c r="G161" t="s">
        <v>34</v>
      </c>
      <c r="H161" t="s">
        <v>674</v>
      </c>
      <c r="I161" t="s">
        <v>675</v>
      </c>
      <c r="J161">
        <v>4658</v>
      </c>
      <c r="K161" t="s">
        <v>676</v>
      </c>
      <c r="L161">
        <v>4</v>
      </c>
      <c r="M161" t="s">
        <v>677</v>
      </c>
      <c r="N161">
        <v>12</v>
      </c>
      <c r="O161" t="s">
        <v>117</v>
      </c>
      <c r="Q161" t="s">
        <v>678</v>
      </c>
    </row>
    <row r="162" spans="1:17" hidden="1" x14ac:dyDescent="0.25">
      <c r="A162" t="s">
        <v>663</v>
      </c>
      <c r="B162" s="36">
        <v>46125</v>
      </c>
      <c r="C162" t="s">
        <v>24</v>
      </c>
      <c r="D162" t="s">
        <v>25</v>
      </c>
      <c r="E162">
        <v>13</v>
      </c>
      <c r="F162">
        <v>606</v>
      </c>
      <c r="G162" t="s">
        <v>34</v>
      </c>
      <c r="H162" t="s">
        <v>679</v>
      </c>
      <c r="I162" t="s">
        <v>680</v>
      </c>
      <c r="J162">
        <v>3369</v>
      </c>
      <c r="K162" t="s">
        <v>681</v>
      </c>
      <c r="L162">
        <v>7</v>
      </c>
      <c r="M162" t="s">
        <v>682</v>
      </c>
      <c r="N162">
        <v>12</v>
      </c>
      <c r="O162" t="s">
        <v>117</v>
      </c>
      <c r="Q162" t="s">
        <v>683</v>
      </c>
    </row>
    <row r="163" spans="1:17" hidden="1" x14ac:dyDescent="0.25">
      <c r="A163" t="s">
        <v>663</v>
      </c>
      <c r="B163" s="36">
        <v>46125</v>
      </c>
      <c r="C163" t="s">
        <v>24</v>
      </c>
      <c r="D163" t="s">
        <v>25</v>
      </c>
      <c r="E163">
        <v>13</v>
      </c>
      <c r="F163">
        <v>606</v>
      </c>
      <c r="G163" t="s">
        <v>34</v>
      </c>
      <c r="H163" t="s">
        <v>679</v>
      </c>
      <c r="I163" t="s">
        <v>684</v>
      </c>
      <c r="J163">
        <v>3371</v>
      </c>
      <c r="K163" t="s">
        <v>685</v>
      </c>
      <c r="L163">
        <v>6</v>
      </c>
      <c r="M163" t="s">
        <v>686</v>
      </c>
      <c r="N163">
        <v>12</v>
      </c>
      <c r="O163" t="s">
        <v>117</v>
      </c>
      <c r="Q163" t="s">
        <v>687</v>
      </c>
    </row>
    <row r="164" spans="1:17" hidden="1" x14ac:dyDescent="0.25">
      <c r="A164" t="s">
        <v>663</v>
      </c>
      <c r="B164" s="36">
        <v>46125</v>
      </c>
      <c r="C164" t="s">
        <v>24</v>
      </c>
      <c r="D164" t="s">
        <v>25</v>
      </c>
      <c r="E164">
        <v>13</v>
      </c>
      <c r="F164">
        <v>606</v>
      </c>
      <c r="G164" t="s">
        <v>34</v>
      </c>
      <c r="H164" t="s">
        <v>688</v>
      </c>
      <c r="I164" t="s">
        <v>689</v>
      </c>
      <c r="J164">
        <v>3373</v>
      </c>
      <c r="K164" t="s">
        <v>690</v>
      </c>
      <c r="L164">
        <v>8</v>
      </c>
      <c r="M164" t="s">
        <v>691</v>
      </c>
      <c r="N164">
        <v>12</v>
      </c>
      <c r="O164" t="s">
        <v>117</v>
      </c>
      <c r="Q164" t="s">
        <v>692</v>
      </c>
    </row>
    <row r="165" spans="1:17" hidden="1" x14ac:dyDescent="0.25">
      <c r="A165" t="s">
        <v>663</v>
      </c>
      <c r="B165" s="36">
        <v>46125</v>
      </c>
      <c r="C165" t="s">
        <v>24</v>
      </c>
      <c r="D165" t="s">
        <v>25</v>
      </c>
      <c r="E165">
        <v>13</v>
      </c>
      <c r="F165">
        <v>606</v>
      </c>
      <c r="G165" t="s">
        <v>34</v>
      </c>
      <c r="H165" t="s">
        <v>693</v>
      </c>
      <c r="I165" t="s">
        <v>694</v>
      </c>
      <c r="J165">
        <v>3374</v>
      </c>
      <c r="K165" t="s">
        <v>695</v>
      </c>
      <c r="L165">
        <v>5</v>
      </c>
      <c r="M165" t="s">
        <v>696</v>
      </c>
      <c r="N165">
        <v>12</v>
      </c>
      <c r="O165" t="s">
        <v>117</v>
      </c>
      <c r="Q165" t="s">
        <v>697</v>
      </c>
    </row>
    <row r="166" spans="1:17" hidden="1" x14ac:dyDescent="0.25">
      <c r="A166" t="s">
        <v>663</v>
      </c>
      <c r="B166" s="36">
        <v>46125</v>
      </c>
      <c r="C166" t="s">
        <v>24</v>
      </c>
      <c r="D166" t="s">
        <v>25</v>
      </c>
      <c r="E166">
        <v>13</v>
      </c>
      <c r="F166">
        <v>606</v>
      </c>
      <c r="G166" t="s">
        <v>34</v>
      </c>
      <c r="H166" t="s">
        <v>698</v>
      </c>
      <c r="I166" t="s">
        <v>699</v>
      </c>
      <c r="J166">
        <v>3375</v>
      </c>
      <c r="K166" t="s">
        <v>700</v>
      </c>
      <c r="L166">
        <v>4</v>
      </c>
      <c r="M166" t="s">
        <v>701</v>
      </c>
      <c r="N166">
        <v>12</v>
      </c>
      <c r="O166" t="s">
        <v>117</v>
      </c>
      <c r="Q166" t="s">
        <v>702</v>
      </c>
    </row>
    <row r="167" spans="1:17" hidden="1" x14ac:dyDescent="0.25">
      <c r="A167" t="s">
        <v>663</v>
      </c>
      <c r="B167" s="36">
        <v>46125</v>
      </c>
      <c r="C167" t="s">
        <v>24</v>
      </c>
      <c r="D167" t="s">
        <v>25</v>
      </c>
      <c r="E167">
        <v>13</v>
      </c>
      <c r="F167">
        <v>606</v>
      </c>
      <c r="G167" t="s">
        <v>34</v>
      </c>
      <c r="H167" t="s">
        <v>703</v>
      </c>
      <c r="I167" t="s">
        <v>704</v>
      </c>
      <c r="J167">
        <v>3376</v>
      </c>
      <c r="K167" t="s">
        <v>705</v>
      </c>
      <c r="L167">
        <v>9</v>
      </c>
      <c r="M167" t="s">
        <v>706</v>
      </c>
      <c r="N167">
        <v>12</v>
      </c>
      <c r="O167" t="s">
        <v>117</v>
      </c>
      <c r="Q167" t="s">
        <v>707</v>
      </c>
    </row>
    <row r="168" spans="1:17" hidden="1" x14ac:dyDescent="0.25">
      <c r="A168" t="s">
        <v>663</v>
      </c>
      <c r="B168" s="36">
        <v>46125</v>
      </c>
      <c r="C168" t="s">
        <v>24</v>
      </c>
      <c r="D168" t="s">
        <v>25</v>
      </c>
      <c r="E168">
        <v>13</v>
      </c>
      <c r="F168">
        <v>606</v>
      </c>
      <c r="G168" t="s">
        <v>34</v>
      </c>
      <c r="H168" t="s">
        <v>708</v>
      </c>
      <c r="I168" t="s">
        <v>709</v>
      </c>
      <c r="J168">
        <v>3378</v>
      </c>
      <c r="K168" t="s">
        <v>710</v>
      </c>
      <c r="L168">
        <v>8</v>
      </c>
      <c r="M168" t="s">
        <v>711</v>
      </c>
      <c r="N168">
        <v>12</v>
      </c>
      <c r="O168" t="s">
        <v>117</v>
      </c>
      <c r="Q168" t="s">
        <v>712</v>
      </c>
    </row>
    <row r="169" spans="1:17" hidden="1" x14ac:dyDescent="0.25">
      <c r="A169" t="s">
        <v>663</v>
      </c>
      <c r="B169" s="36">
        <v>46125</v>
      </c>
      <c r="C169" t="s">
        <v>24</v>
      </c>
      <c r="D169" t="s">
        <v>25</v>
      </c>
      <c r="E169">
        <v>13</v>
      </c>
      <c r="F169">
        <v>606</v>
      </c>
      <c r="G169" t="s">
        <v>34</v>
      </c>
      <c r="H169" t="s">
        <v>713</v>
      </c>
      <c r="I169" t="s">
        <v>512</v>
      </c>
      <c r="J169">
        <v>3379</v>
      </c>
      <c r="K169" t="s">
        <v>714</v>
      </c>
      <c r="L169">
        <v>4</v>
      </c>
      <c r="M169" t="s">
        <v>715</v>
      </c>
      <c r="N169">
        <v>12</v>
      </c>
      <c r="O169" t="s">
        <v>117</v>
      </c>
      <c r="Q169" t="s">
        <v>716</v>
      </c>
    </row>
    <row r="170" spans="1:17" hidden="1" x14ac:dyDescent="0.25">
      <c r="A170" t="s">
        <v>663</v>
      </c>
      <c r="B170" s="36">
        <v>46125</v>
      </c>
      <c r="C170" t="s">
        <v>24</v>
      </c>
      <c r="D170" t="s">
        <v>25</v>
      </c>
      <c r="E170">
        <v>13</v>
      </c>
      <c r="F170">
        <v>606</v>
      </c>
      <c r="G170" t="s">
        <v>34</v>
      </c>
      <c r="H170" t="s">
        <v>717</v>
      </c>
      <c r="I170" t="s">
        <v>718</v>
      </c>
      <c r="J170">
        <v>4467</v>
      </c>
      <c r="K170" t="s">
        <v>719</v>
      </c>
      <c r="L170">
        <v>10</v>
      </c>
      <c r="M170" t="s">
        <v>720</v>
      </c>
      <c r="N170">
        <v>12</v>
      </c>
      <c r="O170" t="s">
        <v>117</v>
      </c>
      <c r="Q170" t="s">
        <v>721</v>
      </c>
    </row>
    <row r="171" spans="1:17" hidden="1" x14ac:dyDescent="0.25">
      <c r="A171" t="s">
        <v>663</v>
      </c>
      <c r="B171" s="36">
        <v>46125</v>
      </c>
      <c r="C171" t="s">
        <v>24</v>
      </c>
      <c r="D171" t="s">
        <v>25</v>
      </c>
      <c r="E171">
        <v>13</v>
      </c>
      <c r="F171">
        <v>606</v>
      </c>
      <c r="G171" t="s">
        <v>34</v>
      </c>
      <c r="H171" t="s">
        <v>722</v>
      </c>
      <c r="I171" t="s">
        <v>723</v>
      </c>
      <c r="J171">
        <v>4269</v>
      </c>
      <c r="K171" t="s">
        <v>724</v>
      </c>
      <c r="L171">
        <v>4</v>
      </c>
      <c r="M171" t="s">
        <v>725</v>
      </c>
      <c r="N171">
        <v>12</v>
      </c>
      <c r="O171" t="s">
        <v>117</v>
      </c>
      <c r="Q171" t="s">
        <v>726</v>
      </c>
    </row>
    <row r="172" spans="1:17" hidden="1" x14ac:dyDescent="0.25">
      <c r="A172" t="s">
        <v>663</v>
      </c>
      <c r="B172" s="36">
        <v>46125</v>
      </c>
      <c r="C172" t="s">
        <v>24</v>
      </c>
      <c r="D172" t="s">
        <v>25</v>
      </c>
      <c r="E172">
        <v>13</v>
      </c>
      <c r="F172">
        <v>606</v>
      </c>
      <c r="G172" t="s">
        <v>34</v>
      </c>
      <c r="H172" t="s">
        <v>727</v>
      </c>
      <c r="I172" t="s">
        <v>728</v>
      </c>
      <c r="J172">
        <v>3709</v>
      </c>
      <c r="K172" t="s">
        <v>729</v>
      </c>
      <c r="L172">
        <v>4</v>
      </c>
      <c r="M172" t="s">
        <v>730</v>
      </c>
      <c r="N172">
        <v>12</v>
      </c>
      <c r="O172" t="s">
        <v>117</v>
      </c>
      <c r="Q172" t="s">
        <v>731</v>
      </c>
    </row>
    <row r="173" spans="1:17" hidden="1" x14ac:dyDescent="0.25">
      <c r="A173" t="s">
        <v>663</v>
      </c>
      <c r="B173" s="36">
        <v>46125</v>
      </c>
      <c r="C173" t="s">
        <v>24</v>
      </c>
      <c r="D173" t="s">
        <v>25</v>
      </c>
      <c r="E173">
        <v>13</v>
      </c>
      <c r="F173">
        <v>606</v>
      </c>
      <c r="G173" t="s">
        <v>34</v>
      </c>
      <c r="H173" t="s">
        <v>727</v>
      </c>
      <c r="I173" t="s">
        <v>728</v>
      </c>
      <c r="J173">
        <v>3710</v>
      </c>
      <c r="K173" t="s">
        <v>729</v>
      </c>
      <c r="L173">
        <v>4</v>
      </c>
      <c r="M173" t="s">
        <v>730</v>
      </c>
      <c r="N173">
        <v>12</v>
      </c>
      <c r="O173" t="s">
        <v>117</v>
      </c>
      <c r="Q173" t="s">
        <v>732</v>
      </c>
    </row>
    <row r="174" spans="1:17" hidden="1" x14ac:dyDescent="0.25">
      <c r="A174" t="s">
        <v>663</v>
      </c>
      <c r="B174" s="36">
        <v>46125</v>
      </c>
      <c r="C174" t="s">
        <v>24</v>
      </c>
      <c r="D174" t="s">
        <v>25</v>
      </c>
      <c r="E174">
        <v>13</v>
      </c>
      <c r="F174">
        <v>606</v>
      </c>
      <c r="G174" t="s">
        <v>34</v>
      </c>
      <c r="H174" t="s">
        <v>733</v>
      </c>
      <c r="I174" t="s">
        <v>728</v>
      </c>
      <c r="J174">
        <v>3711</v>
      </c>
      <c r="K174" t="s">
        <v>734</v>
      </c>
      <c r="L174">
        <v>4</v>
      </c>
      <c r="M174" t="s">
        <v>730</v>
      </c>
      <c r="N174">
        <v>12</v>
      </c>
      <c r="O174" t="s">
        <v>117</v>
      </c>
      <c r="Q174" t="s">
        <v>735</v>
      </c>
    </row>
    <row r="175" spans="1:17" hidden="1" x14ac:dyDescent="0.25">
      <c r="A175" t="s">
        <v>663</v>
      </c>
      <c r="B175" s="36">
        <v>46125</v>
      </c>
      <c r="C175" t="s">
        <v>24</v>
      </c>
      <c r="D175" t="s">
        <v>25</v>
      </c>
      <c r="E175">
        <v>13</v>
      </c>
      <c r="F175">
        <v>606</v>
      </c>
      <c r="G175" t="s">
        <v>34</v>
      </c>
      <c r="H175" t="s">
        <v>736</v>
      </c>
      <c r="I175" t="s">
        <v>737</v>
      </c>
      <c r="J175">
        <v>3714</v>
      </c>
      <c r="K175" t="s">
        <v>738</v>
      </c>
      <c r="L175">
        <v>5</v>
      </c>
      <c r="M175" t="s">
        <v>739</v>
      </c>
      <c r="N175">
        <v>12</v>
      </c>
      <c r="O175" t="s">
        <v>117</v>
      </c>
      <c r="Q175" t="s">
        <v>740</v>
      </c>
    </row>
    <row r="176" spans="1:17" hidden="1" x14ac:dyDescent="0.25">
      <c r="A176" t="s">
        <v>663</v>
      </c>
      <c r="B176" s="36">
        <v>46125</v>
      </c>
      <c r="C176" t="s">
        <v>24</v>
      </c>
      <c r="D176" t="s">
        <v>25</v>
      </c>
      <c r="E176">
        <v>13</v>
      </c>
      <c r="F176">
        <v>606</v>
      </c>
      <c r="G176" t="s">
        <v>34</v>
      </c>
      <c r="H176" t="s">
        <v>741</v>
      </c>
      <c r="I176" t="s">
        <v>742</v>
      </c>
      <c r="J176">
        <v>3712</v>
      </c>
      <c r="K176" t="s">
        <v>743</v>
      </c>
      <c r="L176">
        <v>3</v>
      </c>
      <c r="M176" t="s">
        <v>744</v>
      </c>
      <c r="N176">
        <v>12</v>
      </c>
      <c r="O176" t="s">
        <v>117</v>
      </c>
      <c r="Q176" t="s">
        <v>745</v>
      </c>
    </row>
    <row r="177" spans="1:17" hidden="1" x14ac:dyDescent="0.25">
      <c r="A177" t="s">
        <v>663</v>
      </c>
      <c r="B177" s="36">
        <v>46125</v>
      </c>
      <c r="C177" t="s">
        <v>24</v>
      </c>
      <c r="D177" t="s">
        <v>25</v>
      </c>
      <c r="E177">
        <v>13</v>
      </c>
      <c r="F177">
        <v>606</v>
      </c>
      <c r="G177" t="s">
        <v>34</v>
      </c>
      <c r="H177" t="s">
        <v>746</v>
      </c>
      <c r="I177" t="s">
        <v>747</v>
      </c>
      <c r="J177">
        <v>4334</v>
      </c>
      <c r="K177" t="s">
        <v>748</v>
      </c>
      <c r="L177">
        <v>5</v>
      </c>
      <c r="M177" t="s">
        <v>749</v>
      </c>
      <c r="N177">
        <v>12</v>
      </c>
      <c r="O177" t="s">
        <v>117</v>
      </c>
      <c r="Q177" t="s">
        <v>750</v>
      </c>
    </row>
    <row r="178" spans="1:17" hidden="1" x14ac:dyDescent="0.25">
      <c r="A178" t="s">
        <v>663</v>
      </c>
      <c r="B178" s="36">
        <v>46125</v>
      </c>
      <c r="C178" t="s">
        <v>24</v>
      </c>
      <c r="D178" t="s">
        <v>25</v>
      </c>
      <c r="E178">
        <v>13</v>
      </c>
      <c r="F178">
        <v>606</v>
      </c>
      <c r="G178" t="s">
        <v>34</v>
      </c>
      <c r="H178" t="s">
        <v>751</v>
      </c>
      <c r="I178" t="s">
        <v>195</v>
      </c>
      <c r="J178">
        <v>3716</v>
      </c>
      <c r="K178" t="s">
        <v>752</v>
      </c>
      <c r="L178">
        <v>4</v>
      </c>
      <c r="M178" t="s">
        <v>753</v>
      </c>
      <c r="N178">
        <v>12</v>
      </c>
      <c r="O178" t="s">
        <v>117</v>
      </c>
      <c r="Q178" t="s">
        <v>754</v>
      </c>
    </row>
    <row r="179" spans="1:17" hidden="1" x14ac:dyDescent="0.25">
      <c r="A179" t="s">
        <v>663</v>
      </c>
      <c r="B179" s="36">
        <v>46125</v>
      </c>
      <c r="C179" t="s">
        <v>24</v>
      </c>
      <c r="D179" t="s">
        <v>25</v>
      </c>
      <c r="E179">
        <v>13</v>
      </c>
      <c r="F179">
        <v>606</v>
      </c>
      <c r="G179" t="s">
        <v>34</v>
      </c>
      <c r="H179" t="s">
        <v>755</v>
      </c>
      <c r="I179" t="s">
        <v>756</v>
      </c>
      <c r="J179">
        <v>4335</v>
      </c>
      <c r="K179" t="s">
        <v>757</v>
      </c>
      <c r="L179">
        <v>5</v>
      </c>
      <c r="M179" t="s">
        <v>758</v>
      </c>
      <c r="N179">
        <v>12</v>
      </c>
      <c r="O179" t="s">
        <v>117</v>
      </c>
      <c r="Q179" t="s">
        <v>759</v>
      </c>
    </row>
    <row r="180" spans="1:17" hidden="1" x14ac:dyDescent="0.25">
      <c r="A180" t="s">
        <v>760</v>
      </c>
      <c r="B180" s="36">
        <v>46125</v>
      </c>
      <c r="C180" t="s">
        <v>24</v>
      </c>
      <c r="D180" t="s">
        <v>25</v>
      </c>
      <c r="E180">
        <v>13</v>
      </c>
      <c r="F180">
        <v>603</v>
      </c>
      <c r="G180" t="s">
        <v>34</v>
      </c>
      <c r="H180" t="s">
        <v>133</v>
      </c>
      <c r="I180" t="s">
        <v>512</v>
      </c>
      <c r="J180">
        <v>4481</v>
      </c>
      <c r="K180" t="s">
        <v>91</v>
      </c>
      <c r="L180">
        <v>1</v>
      </c>
      <c r="M180" t="s">
        <v>119</v>
      </c>
      <c r="N180">
        <v>8</v>
      </c>
      <c r="O180" t="s">
        <v>117</v>
      </c>
      <c r="Q180" t="s">
        <v>761</v>
      </c>
    </row>
    <row r="181" spans="1:17" hidden="1" x14ac:dyDescent="0.25">
      <c r="A181" t="s">
        <v>760</v>
      </c>
      <c r="B181" s="36">
        <v>46125</v>
      </c>
      <c r="C181" t="s">
        <v>24</v>
      </c>
      <c r="D181" t="s">
        <v>25</v>
      </c>
      <c r="E181">
        <v>13</v>
      </c>
      <c r="F181">
        <v>603</v>
      </c>
      <c r="G181" t="s">
        <v>34</v>
      </c>
      <c r="H181" t="s">
        <v>114</v>
      </c>
      <c r="I181" t="s">
        <v>512</v>
      </c>
      <c r="J181">
        <v>4492</v>
      </c>
      <c r="K181" t="s">
        <v>94</v>
      </c>
      <c r="L181">
        <v>1</v>
      </c>
      <c r="M181" t="s">
        <v>119</v>
      </c>
      <c r="N181">
        <v>8</v>
      </c>
      <c r="O181" t="s">
        <v>117</v>
      </c>
      <c r="Q181" t="s">
        <v>762</v>
      </c>
    </row>
    <row r="182" spans="1:17" hidden="1" x14ac:dyDescent="0.25">
      <c r="A182" t="s">
        <v>760</v>
      </c>
      <c r="B182" s="36">
        <v>46125</v>
      </c>
      <c r="C182" t="s">
        <v>24</v>
      </c>
      <c r="D182" t="s">
        <v>25</v>
      </c>
      <c r="E182">
        <v>13</v>
      </c>
      <c r="F182">
        <v>603</v>
      </c>
      <c r="G182" t="s">
        <v>34</v>
      </c>
      <c r="H182" t="s">
        <v>150</v>
      </c>
      <c r="I182" t="s">
        <v>512</v>
      </c>
      <c r="J182">
        <v>4494</v>
      </c>
      <c r="K182" t="s">
        <v>95</v>
      </c>
      <c r="L182">
        <v>1</v>
      </c>
      <c r="M182" t="s">
        <v>119</v>
      </c>
      <c r="N182">
        <v>8</v>
      </c>
      <c r="O182" t="s">
        <v>117</v>
      </c>
      <c r="Q182" t="s">
        <v>763</v>
      </c>
    </row>
    <row r="183" spans="1:17" hidden="1" x14ac:dyDescent="0.25">
      <c r="A183" t="s">
        <v>760</v>
      </c>
      <c r="B183" s="36">
        <v>46125</v>
      </c>
      <c r="C183" t="s">
        <v>24</v>
      </c>
      <c r="D183" t="s">
        <v>25</v>
      </c>
      <c r="E183">
        <v>13</v>
      </c>
      <c r="F183">
        <v>603</v>
      </c>
      <c r="G183" t="s">
        <v>34</v>
      </c>
      <c r="H183" t="s">
        <v>150</v>
      </c>
      <c r="I183" t="s">
        <v>115</v>
      </c>
      <c r="J183">
        <v>4495</v>
      </c>
      <c r="K183" t="s">
        <v>96</v>
      </c>
      <c r="L183">
        <v>1</v>
      </c>
      <c r="M183" t="s">
        <v>119</v>
      </c>
      <c r="N183">
        <v>8</v>
      </c>
      <c r="O183" t="s">
        <v>117</v>
      </c>
      <c r="Q183" t="s">
        <v>764</v>
      </c>
    </row>
    <row r="184" spans="1:17" hidden="1" x14ac:dyDescent="0.25">
      <c r="A184" t="s">
        <v>760</v>
      </c>
      <c r="B184" s="36">
        <v>46125</v>
      </c>
      <c r="C184" t="s">
        <v>24</v>
      </c>
      <c r="D184" t="s">
        <v>25</v>
      </c>
      <c r="E184">
        <v>13</v>
      </c>
      <c r="F184">
        <v>603</v>
      </c>
      <c r="G184" t="s">
        <v>34</v>
      </c>
      <c r="H184" t="s">
        <v>765</v>
      </c>
      <c r="I184" t="s">
        <v>766</v>
      </c>
      <c r="J184">
        <v>4260</v>
      </c>
      <c r="K184" t="s">
        <v>90</v>
      </c>
      <c r="L184">
        <v>2</v>
      </c>
      <c r="M184" t="s">
        <v>767</v>
      </c>
      <c r="N184">
        <v>8</v>
      </c>
      <c r="O184" t="s">
        <v>117</v>
      </c>
      <c r="Q184" t="s">
        <v>768</v>
      </c>
    </row>
    <row r="185" spans="1:17" hidden="1" x14ac:dyDescent="0.25">
      <c r="A185" t="s">
        <v>760</v>
      </c>
      <c r="B185" s="36">
        <v>46125</v>
      </c>
      <c r="C185" t="s">
        <v>24</v>
      </c>
      <c r="D185" t="s">
        <v>25</v>
      </c>
      <c r="E185">
        <v>13</v>
      </c>
      <c r="F185">
        <v>603</v>
      </c>
      <c r="G185" t="s">
        <v>34</v>
      </c>
      <c r="H185" t="s">
        <v>147</v>
      </c>
      <c r="I185" t="s">
        <v>512</v>
      </c>
      <c r="J185">
        <v>4502</v>
      </c>
      <c r="K185" t="s">
        <v>100</v>
      </c>
      <c r="L185">
        <v>1</v>
      </c>
      <c r="M185" t="s">
        <v>119</v>
      </c>
      <c r="N185">
        <v>8</v>
      </c>
      <c r="O185" t="s">
        <v>117</v>
      </c>
      <c r="Q185" t="s">
        <v>769</v>
      </c>
    </row>
    <row r="186" spans="1:17" hidden="1" x14ac:dyDescent="0.25">
      <c r="A186" t="s">
        <v>760</v>
      </c>
      <c r="B186" s="36">
        <v>46125</v>
      </c>
      <c r="C186" t="s">
        <v>24</v>
      </c>
      <c r="D186" t="s">
        <v>25</v>
      </c>
      <c r="E186">
        <v>13</v>
      </c>
      <c r="F186">
        <v>603</v>
      </c>
      <c r="G186" t="s">
        <v>34</v>
      </c>
      <c r="H186" t="s">
        <v>131</v>
      </c>
      <c r="I186" t="s">
        <v>512</v>
      </c>
      <c r="J186">
        <v>4027</v>
      </c>
      <c r="K186" t="s">
        <v>84</v>
      </c>
      <c r="L186">
        <v>1</v>
      </c>
      <c r="M186" t="s">
        <v>770</v>
      </c>
      <c r="N186">
        <v>8</v>
      </c>
      <c r="O186" t="s">
        <v>117</v>
      </c>
      <c r="Q186" t="s">
        <v>771</v>
      </c>
    </row>
    <row r="187" spans="1:17" hidden="1" x14ac:dyDescent="0.25">
      <c r="A187" t="s">
        <v>760</v>
      </c>
      <c r="B187" s="36">
        <v>46125</v>
      </c>
      <c r="C187" t="s">
        <v>24</v>
      </c>
      <c r="D187" t="s">
        <v>25</v>
      </c>
      <c r="E187">
        <v>13</v>
      </c>
      <c r="F187">
        <v>603</v>
      </c>
      <c r="G187" t="s">
        <v>34</v>
      </c>
      <c r="H187" t="s">
        <v>772</v>
      </c>
      <c r="I187" t="s">
        <v>773</v>
      </c>
      <c r="J187">
        <v>4074</v>
      </c>
      <c r="K187" t="s">
        <v>774</v>
      </c>
      <c r="L187">
        <v>4</v>
      </c>
      <c r="M187" t="s">
        <v>775</v>
      </c>
      <c r="N187">
        <v>8</v>
      </c>
      <c r="O187" t="s">
        <v>117</v>
      </c>
      <c r="Q187" t="s">
        <v>776</v>
      </c>
    </row>
    <row r="188" spans="1:17" hidden="1" x14ac:dyDescent="0.25">
      <c r="A188" t="s">
        <v>777</v>
      </c>
      <c r="B188" s="36">
        <v>46128</v>
      </c>
      <c r="C188" t="s">
        <v>26</v>
      </c>
      <c r="D188" t="s">
        <v>27</v>
      </c>
      <c r="E188">
        <v>15</v>
      </c>
      <c r="F188">
        <v>603</v>
      </c>
      <c r="G188" t="s">
        <v>34</v>
      </c>
      <c r="H188" t="s">
        <v>114</v>
      </c>
      <c r="I188" t="s">
        <v>498</v>
      </c>
      <c r="J188">
        <v>3909</v>
      </c>
      <c r="K188" t="s">
        <v>502</v>
      </c>
      <c r="L188">
        <v>1</v>
      </c>
      <c r="M188" t="s">
        <v>500</v>
      </c>
      <c r="N188">
        <v>8</v>
      </c>
      <c r="O188" t="s">
        <v>778</v>
      </c>
      <c r="Q188" t="s">
        <v>779</v>
      </c>
    </row>
    <row r="189" spans="1:17" hidden="1" x14ac:dyDescent="0.25">
      <c r="A189" t="s">
        <v>777</v>
      </c>
      <c r="B189" s="36">
        <v>46128</v>
      </c>
      <c r="C189" t="s">
        <v>26</v>
      </c>
      <c r="D189" t="s">
        <v>27</v>
      </c>
      <c r="E189">
        <v>15</v>
      </c>
      <c r="F189">
        <v>603</v>
      </c>
      <c r="G189" t="s">
        <v>34</v>
      </c>
      <c r="H189" t="s">
        <v>114</v>
      </c>
      <c r="I189" t="s">
        <v>498</v>
      </c>
      <c r="J189">
        <v>3857</v>
      </c>
      <c r="K189" t="s">
        <v>559</v>
      </c>
      <c r="L189">
        <v>1</v>
      </c>
      <c r="M189" t="s">
        <v>560</v>
      </c>
      <c r="N189">
        <v>8</v>
      </c>
      <c r="O189" t="s">
        <v>778</v>
      </c>
      <c r="Q189" t="s">
        <v>780</v>
      </c>
    </row>
    <row r="190" spans="1:17" hidden="1" x14ac:dyDescent="0.25">
      <c r="A190" t="s">
        <v>777</v>
      </c>
      <c r="B190" s="36">
        <v>46128</v>
      </c>
      <c r="C190" t="s">
        <v>26</v>
      </c>
      <c r="D190" t="s">
        <v>27</v>
      </c>
      <c r="E190">
        <v>15</v>
      </c>
      <c r="F190">
        <v>603</v>
      </c>
      <c r="G190" t="s">
        <v>34</v>
      </c>
      <c r="H190" t="s">
        <v>150</v>
      </c>
      <c r="I190" t="s">
        <v>498</v>
      </c>
      <c r="J190">
        <v>3560</v>
      </c>
      <c r="K190" t="s">
        <v>564</v>
      </c>
      <c r="L190">
        <v>1</v>
      </c>
      <c r="M190" t="s">
        <v>500</v>
      </c>
      <c r="N190">
        <v>8</v>
      </c>
      <c r="O190" t="s">
        <v>778</v>
      </c>
      <c r="Q190" t="s">
        <v>781</v>
      </c>
    </row>
    <row r="191" spans="1:17" hidden="1" x14ac:dyDescent="0.25">
      <c r="A191" t="s">
        <v>777</v>
      </c>
      <c r="B191" s="36">
        <v>46128</v>
      </c>
      <c r="C191" t="s">
        <v>26</v>
      </c>
      <c r="D191" t="s">
        <v>27</v>
      </c>
      <c r="E191">
        <v>15</v>
      </c>
      <c r="F191">
        <v>603</v>
      </c>
      <c r="G191" t="s">
        <v>34</v>
      </c>
      <c r="H191" t="s">
        <v>129</v>
      </c>
      <c r="I191" t="s">
        <v>498</v>
      </c>
      <c r="J191">
        <v>3561</v>
      </c>
      <c r="K191" t="s">
        <v>539</v>
      </c>
      <c r="L191">
        <v>1</v>
      </c>
      <c r="M191" t="s">
        <v>500</v>
      </c>
      <c r="N191">
        <v>8</v>
      </c>
      <c r="O191" t="s">
        <v>778</v>
      </c>
      <c r="Q191" t="s">
        <v>782</v>
      </c>
    </row>
    <row r="192" spans="1:17" hidden="1" x14ac:dyDescent="0.25">
      <c r="A192" t="s">
        <v>777</v>
      </c>
      <c r="B192" s="36">
        <v>46128</v>
      </c>
      <c r="C192" t="s">
        <v>26</v>
      </c>
      <c r="D192" t="s">
        <v>27</v>
      </c>
      <c r="E192">
        <v>15</v>
      </c>
      <c r="F192">
        <v>603</v>
      </c>
      <c r="G192" t="s">
        <v>34</v>
      </c>
      <c r="H192" t="s">
        <v>133</v>
      </c>
      <c r="I192" t="s">
        <v>498</v>
      </c>
      <c r="J192">
        <v>3562</v>
      </c>
      <c r="K192" t="s">
        <v>566</v>
      </c>
      <c r="L192">
        <v>1</v>
      </c>
      <c r="M192" t="s">
        <v>500</v>
      </c>
      <c r="N192">
        <v>8</v>
      </c>
      <c r="O192" t="s">
        <v>778</v>
      </c>
      <c r="Q192" t="s">
        <v>783</v>
      </c>
    </row>
    <row r="193" spans="1:17" hidden="1" x14ac:dyDescent="0.25">
      <c r="A193" t="s">
        <v>777</v>
      </c>
      <c r="B193" s="36">
        <v>46128</v>
      </c>
      <c r="C193" t="s">
        <v>26</v>
      </c>
      <c r="D193" t="s">
        <v>27</v>
      </c>
      <c r="E193">
        <v>15</v>
      </c>
      <c r="F193">
        <v>603</v>
      </c>
      <c r="G193" t="s">
        <v>34</v>
      </c>
      <c r="H193" t="s">
        <v>133</v>
      </c>
      <c r="I193" t="s">
        <v>498</v>
      </c>
      <c r="J193">
        <v>3565</v>
      </c>
      <c r="K193" t="s">
        <v>784</v>
      </c>
      <c r="L193">
        <v>1</v>
      </c>
      <c r="M193" t="s">
        <v>560</v>
      </c>
      <c r="N193">
        <v>8</v>
      </c>
      <c r="O193" t="s">
        <v>778</v>
      </c>
      <c r="Q193" t="s">
        <v>785</v>
      </c>
    </row>
    <row r="194" spans="1:17" hidden="1" x14ac:dyDescent="0.25">
      <c r="A194" t="s">
        <v>777</v>
      </c>
      <c r="B194" s="36">
        <v>46128</v>
      </c>
      <c r="C194" t="s">
        <v>26</v>
      </c>
      <c r="D194" t="s">
        <v>27</v>
      </c>
      <c r="E194">
        <v>15</v>
      </c>
      <c r="F194">
        <v>603</v>
      </c>
      <c r="G194" t="s">
        <v>34</v>
      </c>
      <c r="H194" t="s">
        <v>786</v>
      </c>
      <c r="I194" t="s">
        <v>377</v>
      </c>
      <c r="J194">
        <v>3570</v>
      </c>
      <c r="K194" t="s">
        <v>787</v>
      </c>
      <c r="L194">
        <v>3</v>
      </c>
      <c r="M194" t="s">
        <v>379</v>
      </c>
      <c r="N194">
        <v>8</v>
      </c>
      <c r="O194" t="s">
        <v>778</v>
      </c>
      <c r="Q194" t="s">
        <v>788</v>
      </c>
    </row>
    <row r="195" spans="1:17" hidden="1" x14ac:dyDescent="0.25">
      <c r="A195" t="s">
        <v>777</v>
      </c>
      <c r="B195" s="36">
        <v>46128</v>
      </c>
      <c r="C195" t="s">
        <v>26</v>
      </c>
      <c r="D195" t="s">
        <v>27</v>
      </c>
      <c r="E195">
        <v>15</v>
      </c>
      <c r="F195">
        <v>603</v>
      </c>
      <c r="G195" t="s">
        <v>34</v>
      </c>
      <c r="H195" t="s">
        <v>147</v>
      </c>
      <c r="I195" t="s">
        <v>498</v>
      </c>
      <c r="J195">
        <v>3571</v>
      </c>
      <c r="K195" t="s">
        <v>570</v>
      </c>
      <c r="L195">
        <v>1</v>
      </c>
      <c r="M195" t="s">
        <v>500</v>
      </c>
      <c r="N195">
        <v>8</v>
      </c>
      <c r="O195" t="s">
        <v>778</v>
      </c>
      <c r="Q195" t="s">
        <v>789</v>
      </c>
    </row>
    <row r="196" spans="1:17" hidden="1" x14ac:dyDescent="0.25">
      <c r="A196" t="s">
        <v>777</v>
      </c>
      <c r="B196" s="36">
        <v>46128</v>
      </c>
      <c r="C196" t="s">
        <v>26</v>
      </c>
      <c r="D196" t="s">
        <v>27</v>
      </c>
      <c r="E196">
        <v>15</v>
      </c>
      <c r="F196">
        <v>603</v>
      </c>
      <c r="G196" t="s">
        <v>34</v>
      </c>
      <c r="H196" t="s">
        <v>150</v>
      </c>
      <c r="I196" t="s">
        <v>498</v>
      </c>
      <c r="J196">
        <v>3873</v>
      </c>
      <c r="K196" t="s">
        <v>562</v>
      </c>
      <c r="L196">
        <v>1</v>
      </c>
      <c r="M196" t="s">
        <v>505</v>
      </c>
      <c r="N196">
        <v>8</v>
      </c>
      <c r="O196" t="s">
        <v>778</v>
      </c>
      <c r="Q196" t="s">
        <v>790</v>
      </c>
    </row>
    <row r="197" spans="1:17" hidden="1" x14ac:dyDescent="0.25">
      <c r="A197" t="s">
        <v>777</v>
      </c>
      <c r="B197" s="36">
        <v>46128</v>
      </c>
      <c r="C197" t="s">
        <v>26</v>
      </c>
      <c r="D197" t="s">
        <v>27</v>
      </c>
      <c r="E197">
        <v>15</v>
      </c>
      <c r="F197">
        <v>603</v>
      </c>
      <c r="G197" t="s">
        <v>34</v>
      </c>
      <c r="H197" t="s">
        <v>147</v>
      </c>
      <c r="I197" t="s">
        <v>498</v>
      </c>
      <c r="J197">
        <v>3590</v>
      </c>
      <c r="K197" t="s">
        <v>568</v>
      </c>
      <c r="L197">
        <v>1</v>
      </c>
      <c r="M197" t="s">
        <v>505</v>
      </c>
      <c r="N197">
        <v>8</v>
      </c>
      <c r="O197" t="s">
        <v>778</v>
      </c>
      <c r="Q197" t="s">
        <v>791</v>
      </c>
    </row>
    <row r="198" spans="1:17" hidden="1" x14ac:dyDescent="0.25">
      <c r="A198" t="s">
        <v>777</v>
      </c>
      <c r="B198" s="36">
        <v>46128</v>
      </c>
      <c r="C198" t="s">
        <v>26</v>
      </c>
      <c r="D198" t="s">
        <v>27</v>
      </c>
      <c r="E198">
        <v>15</v>
      </c>
      <c r="F198">
        <v>603</v>
      </c>
      <c r="G198" t="s">
        <v>34</v>
      </c>
      <c r="H198" t="s">
        <v>131</v>
      </c>
      <c r="I198" t="s">
        <v>498</v>
      </c>
      <c r="J198">
        <v>3879</v>
      </c>
      <c r="K198" t="s">
        <v>541</v>
      </c>
      <c r="L198">
        <v>1</v>
      </c>
      <c r="M198" t="s">
        <v>505</v>
      </c>
      <c r="N198">
        <v>8</v>
      </c>
      <c r="O198" t="s">
        <v>778</v>
      </c>
      <c r="Q198" t="s">
        <v>792</v>
      </c>
    </row>
    <row r="199" spans="1:17" hidden="1" x14ac:dyDescent="0.25">
      <c r="A199" t="s">
        <v>777</v>
      </c>
      <c r="B199" s="36">
        <v>46128</v>
      </c>
      <c r="C199" t="s">
        <v>26</v>
      </c>
      <c r="D199" t="s">
        <v>27</v>
      </c>
      <c r="E199">
        <v>15</v>
      </c>
      <c r="F199">
        <v>603</v>
      </c>
      <c r="G199" t="s">
        <v>34</v>
      </c>
      <c r="H199" t="s">
        <v>131</v>
      </c>
      <c r="I199" t="s">
        <v>498</v>
      </c>
      <c r="J199">
        <v>3598</v>
      </c>
      <c r="K199" t="s">
        <v>499</v>
      </c>
      <c r="L199">
        <v>1</v>
      </c>
      <c r="M199" t="s">
        <v>500</v>
      </c>
      <c r="N199">
        <v>8</v>
      </c>
      <c r="O199" t="s">
        <v>778</v>
      </c>
      <c r="Q199" t="s">
        <v>793</v>
      </c>
    </row>
    <row r="200" spans="1:17" hidden="1" x14ac:dyDescent="0.25">
      <c r="A200" t="s">
        <v>777</v>
      </c>
      <c r="B200" s="36">
        <v>46128</v>
      </c>
      <c r="C200" t="s">
        <v>26</v>
      </c>
      <c r="D200" t="s">
        <v>27</v>
      </c>
      <c r="E200">
        <v>15</v>
      </c>
      <c r="F200">
        <v>603</v>
      </c>
      <c r="G200" t="s">
        <v>34</v>
      </c>
      <c r="H200" t="s">
        <v>794</v>
      </c>
      <c r="I200" t="s">
        <v>795</v>
      </c>
      <c r="J200">
        <v>4348</v>
      </c>
      <c r="K200" t="s">
        <v>796</v>
      </c>
      <c r="L200">
        <v>3</v>
      </c>
      <c r="M200" t="s">
        <v>797</v>
      </c>
      <c r="N200">
        <v>8</v>
      </c>
      <c r="O200" t="s">
        <v>778</v>
      </c>
      <c r="Q200" t="s">
        <v>798</v>
      </c>
    </row>
    <row r="201" spans="1:17" hidden="1" x14ac:dyDescent="0.25">
      <c r="A201" t="s">
        <v>777</v>
      </c>
      <c r="B201" s="36">
        <v>46128</v>
      </c>
      <c r="C201" t="s">
        <v>26</v>
      </c>
      <c r="D201" t="s">
        <v>27</v>
      </c>
      <c r="E201">
        <v>15</v>
      </c>
      <c r="F201">
        <v>603</v>
      </c>
      <c r="G201" t="s">
        <v>34</v>
      </c>
      <c r="H201" t="s">
        <v>799</v>
      </c>
      <c r="I201" t="s">
        <v>381</v>
      </c>
      <c r="J201">
        <v>4349</v>
      </c>
      <c r="K201" t="s">
        <v>800</v>
      </c>
      <c r="L201">
        <v>2</v>
      </c>
      <c r="M201" t="s">
        <v>801</v>
      </c>
      <c r="N201">
        <v>8</v>
      </c>
      <c r="O201" t="s">
        <v>778</v>
      </c>
      <c r="Q201" t="s">
        <v>802</v>
      </c>
    </row>
    <row r="202" spans="1:17" hidden="1" x14ac:dyDescent="0.25">
      <c r="A202" t="s">
        <v>777</v>
      </c>
      <c r="B202" s="36">
        <v>46128</v>
      </c>
      <c r="C202" t="s">
        <v>26</v>
      </c>
      <c r="D202" t="s">
        <v>27</v>
      </c>
      <c r="E202">
        <v>15</v>
      </c>
      <c r="F202">
        <v>603</v>
      </c>
      <c r="G202" t="s">
        <v>34</v>
      </c>
      <c r="H202" t="s">
        <v>799</v>
      </c>
      <c r="I202" t="s">
        <v>381</v>
      </c>
      <c r="J202">
        <v>4354</v>
      </c>
      <c r="K202" t="s">
        <v>800</v>
      </c>
      <c r="L202">
        <v>2</v>
      </c>
      <c r="M202" t="s">
        <v>801</v>
      </c>
      <c r="N202">
        <v>8</v>
      </c>
      <c r="O202" t="s">
        <v>778</v>
      </c>
      <c r="Q202" t="s">
        <v>803</v>
      </c>
    </row>
    <row r="203" spans="1:17" hidden="1" x14ac:dyDescent="0.25">
      <c r="A203" t="s">
        <v>777</v>
      </c>
      <c r="B203" s="36">
        <v>46128</v>
      </c>
      <c r="C203" t="s">
        <v>26</v>
      </c>
      <c r="D203" t="s">
        <v>27</v>
      </c>
      <c r="E203">
        <v>15</v>
      </c>
      <c r="F203">
        <v>603</v>
      </c>
      <c r="G203" t="s">
        <v>34</v>
      </c>
      <c r="H203" t="s">
        <v>799</v>
      </c>
      <c r="I203" t="s">
        <v>381</v>
      </c>
      <c r="J203">
        <v>4355</v>
      </c>
      <c r="K203" t="s">
        <v>800</v>
      </c>
      <c r="L203">
        <v>2</v>
      </c>
      <c r="M203" t="s">
        <v>801</v>
      </c>
      <c r="N203">
        <v>8</v>
      </c>
      <c r="O203" t="s">
        <v>778</v>
      </c>
      <c r="Q203" t="s">
        <v>804</v>
      </c>
    </row>
    <row r="204" spans="1:17" hidden="1" x14ac:dyDescent="0.25">
      <c r="A204" t="s">
        <v>777</v>
      </c>
      <c r="B204" s="36">
        <v>46128</v>
      </c>
      <c r="C204" t="s">
        <v>26</v>
      </c>
      <c r="D204" t="s">
        <v>27</v>
      </c>
      <c r="E204">
        <v>15</v>
      </c>
      <c r="F204">
        <v>603</v>
      </c>
      <c r="G204" t="s">
        <v>34</v>
      </c>
      <c r="H204" t="s">
        <v>284</v>
      </c>
      <c r="I204" t="s">
        <v>292</v>
      </c>
      <c r="J204">
        <v>4353</v>
      </c>
      <c r="K204" t="s">
        <v>805</v>
      </c>
      <c r="L204">
        <v>3</v>
      </c>
      <c r="M204" t="s">
        <v>806</v>
      </c>
      <c r="N204">
        <v>8</v>
      </c>
      <c r="O204" t="s">
        <v>778</v>
      </c>
      <c r="Q204" t="s">
        <v>807</v>
      </c>
    </row>
    <row r="205" spans="1:17" hidden="1" x14ac:dyDescent="0.25">
      <c r="A205" t="s">
        <v>777</v>
      </c>
      <c r="B205" s="36">
        <v>46128</v>
      </c>
      <c r="C205" t="s">
        <v>26</v>
      </c>
      <c r="D205" t="s">
        <v>27</v>
      </c>
      <c r="E205">
        <v>15</v>
      </c>
      <c r="F205">
        <v>603</v>
      </c>
      <c r="G205" t="s">
        <v>34</v>
      </c>
      <c r="H205" t="s">
        <v>799</v>
      </c>
      <c r="I205" t="s">
        <v>381</v>
      </c>
      <c r="J205">
        <v>4352</v>
      </c>
      <c r="K205" t="s">
        <v>800</v>
      </c>
      <c r="L205">
        <v>2</v>
      </c>
      <c r="M205" t="s">
        <v>801</v>
      </c>
      <c r="N205">
        <v>8</v>
      </c>
      <c r="O205" t="s">
        <v>778</v>
      </c>
      <c r="Q205" t="s">
        <v>808</v>
      </c>
    </row>
    <row r="206" spans="1:17" hidden="1" x14ac:dyDescent="0.25">
      <c r="A206" t="s">
        <v>777</v>
      </c>
      <c r="B206" s="36">
        <v>46128</v>
      </c>
      <c r="C206" t="s">
        <v>26</v>
      </c>
      <c r="D206" t="s">
        <v>27</v>
      </c>
      <c r="E206">
        <v>15</v>
      </c>
      <c r="F206">
        <v>603</v>
      </c>
      <c r="G206" t="s">
        <v>34</v>
      </c>
      <c r="H206" t="s">
        <v>284</v>
      </c>
      <c r="I206" t="s">
        <v>381</v>
      </c>
      <c r="J206">
        <v>4356</v>
      </c>
      <c r="K206" t="s">
        <v>809</v>
      </c>
      <c r="L206">
        <v>3</v>
      </c>
      <c r="M206" t="s">
        <v>810</v>
      </c>
      <c r="N206">
        <v>8</v>
      </c>
      <c r="O206" t="s">
        <v>778</v>
      </c>
      <c r="Q206" t="s">
        <v>811</v>
      </c>
    </row>
    <row r="207" spans="1:17" hidden="1" x14ac:dyDescent="0.25">
      <c r="A207" t="s">
        <v>777</v>
      </c>
      <c r="B207" s="36">
        <v>46128</v>
      </c>
      <c r="C207" t="s">
        <v>26</v>
      </c>
      <c r="D207" t="s">
        <v>27</v>
      </c>
      <c r="E207">
        <v>15</v>
      </c>
      <c r="F207">
        <v>603</v>
      </c>
      <c r="G207" t="s">
        <v>34</v>
      </c>
      <c r="H207" t="s">
        <v>799</v>
      </c>
      <c r="I207" t="s">
        <v>381</v>
      </c>
      <c r="J207">
        <v>4357</v>
      </c>
      <c r="K207" t="s">
        <v>800</v>
      </c>
      <c r="L207">
        <v>2</v>
      </c>
      <c r="M207" t="s">
        <v>801</v>
      </c>
      <c r="N207">
        <v>8</v>
      </c>
      <c r="O207" t="s">
        <v>778</v>
      </c>
      <c r="Q207" t="s">
        <v>812</v>
      </c>
    </row>
    <row r="208" spans="1:17" hidden="1" x14ac:dyDescent="0.25">
      <c r="A208" t="s">
        <v>777</v>
      </c>
      <c r="B208" s="36">
        <v>46128</v>
      </c>
      <c r="C208" t="s">
        <v>26</v>
      </c>
      <c r="D208" t="s">
        <v>27</v>
      </c>
      <c r="E208">
        <v>15</v>
      </c>
      <c r="F208">
        <v>603</v>
      </c>
      <c r="G208" t="s">
        <v>34</v>
      </c>
      <c r="H208" t="s">
        <v>813</v>
      </c>
      <c r="I208" t="s">
        <v>795</v>
      </c>
      <c r="J208">
        <v>4358</v>
      </c>
      <c r="K208" t="s">
        <v>814</v>
      </c>
      <c r="L208">
        <v>2</v>
      </c>
      <c r="M208" t="s">
        <v>815</v>
      </c>
      <c r="N208">
        <v>8</v>
      </c>
      <c r="O208" t="s">
        <v>778</v>
      </c>
      <c r="Q208" t="s">
        <v>816</v>
      </c>
    </row>
    <row r="209" spans="1:17" hidden="1" x14ac:dyDescent="0.25">
      <c r="A209" t="s">
        <v>777</v>
      </c>
      <c r="B209" s="36">
        <v>46128</v>
      </c>
      <c r="C209" t="s">
        <v>26</v>
      </c>
      <c r="D209" t="s">
        <v>27</v>
      </c>
      <c r="E209">
        <v>15</v>
      </c>
      <c r="F209">
        <v>603</v>
      </c>
      <c r="G209" t="s">
        <v>34</v>
      </c>
      <c r="H209" t="s">
        <v>129</v>
      </c>
      <c r="I209" t="s">
        <v>498</v>
      </c>
      <c r="J209">
        <v>3944</v>
      </c>
      <c r="K209" t="s">
        <v>504</v>
      </c>
      <c r="L209">
        <v>1</v>
      </c>
      <c r="M209" t="s">
        <v>505</v>
      </c>
      <c r="N209">
        <v>8</v>
      </c>
      <c r="O209" t="s">
        <v>778</v>
      </c>
      <c r="Q209" t="s">
        <v>817</v>
      </c>
    </row>
    <row r="210" spans="1:17" hidden="1" x14ac:dyDescent="0.25">
      <c r="A210" t="s">
        <v>777</v>
      </c>
      <c r="B210" s="36">
        <v>46128</v>
      </c>
      <c r="C210" t="s">
        <v>26</v>
      </c>
      <c r="D210" t="s">
        <v>27</v>
      </c>
      <c r="E210">
        <v>15</v>
      </c>
      <c r="F210">
        <v>603</v>
      </c>
      <c r="G210" t="s">
        <v>34</v>
      </c>
      <c r="H210" t="s">
        <v>818</v>
      </c>
      <c r="I210" t="s">
        <v>795</v>
      </c>
      <c r="J210">
        <v>4288</v>
      </c>
      <c r="K210" t="s">
        <v>819</v>
      </c>
      <c r="L210">
        <v>2</v>
      </c>
      <c r="M210" t="s">
        <v>820</v>
      </c>
      <c r="N210">
        <v>8</v>
      </c>
      <c r="O210" t="s">
        <v>778</v>
      </c>
      <c r="Q210" t="s">
        <v>821</v>
      </c>
    </row>
    <row r="211" spans="1:17" hidden="1" x14ac:dyDescent="0.25">
      <c r="A211" t="s">
        <v>822</v>
      </c>
      <c r="B211" s="36">
        <v>46128</v>
      </c>
      <c r="C211" t="s">
        <v>29</v>
      </c>
      <c r="D211" t="s">
        <v>27</v>
      </c>
      <c r="E211">
        <v>16</v>
      </c>
      <c r="F211">
        <v>605</v>
      </c>
      <c r="G211" t="s">
        <v>34</v>
      </c>
      <c r="H211" t="s">
        <v>823</v>
      </c>
      <c r="I211" t="s">
        <v>824</v>
      </c>
      <c r="J211">
        <v>3641</v>
      </c>
      <c r="K211" t="s">
        <v>825</v>
      </c>
      <c r="L211">
        <v>4</v>
      </c>
      <c r="M211" t="s">
        <v>826</v>
      </c>
      <c r="N211">
        <v>8</v>
      </c>
      <c r="O211" t="s">
        <v>117</v>
      </c>
      <c r="Q211" t="s">
        <v>827</v>
      </c>
    </row>
    <row r="212" spans="1:17" hidden="1" x14ac:dyDescent="0.25">
      <c r="A212" t="s">
        <v>822</v>
      </c>
      <c r="B212" s="36">
        <v>46128</v>
      </c>
      <c r="C212" t="s">
        <v>29</v>
      </c>
      <c r="D212" t="s">
        <v>27</v>
      </c>
      <c r="E212">
        <v>16</v>
      </c>
      <c r="F212">
        <v>605</v>
      </c>
      <c r="G212" t="s">
        <v>34</v>
      </c>
      <c r="H212" t="s">
        <v>367</v>
      </c>
      <c r="I212" t="s">
        <v>427</v>
      </c>
      <c r="J212">
        <v>3847</v>
      </c>
      <c r="K212" t="s">
        <v>428</v>
      </c>
      <c r="L212">
        <v>1</v>
      </c>
      <c r="M212" t="s">
        <v>429</v>
      </c>
      <c r="N212">
        <v>8</v>
      </c>
      <c r="O212" t="s">
        <v>117</v>
      </c>
      <c r="Q212" t="s">
        <v>828</v>
      </c>
    </row>
    <row r="213" spans="1:17" hidden="1" x14ac:dyDescent="0.25">
      <c r="A213" t="s">
        <v>822</v>
      </c>
      <c r="B213" s="36">
        <v>46128</v>
      </c>
      <c r="C213" t="s">
        <v>29</v>
      </c>
      <c r="D213" t="s">
        <v>27</v>
      </c>
      <c r="E213">
        <v>16</v>
      </c>
      <c r="F213">
        <v>605</v>
      </c>
      <c r="G213" t="s">
        <v>34</v>
      </c>
      <c r="H213" t="s">
        <v>829</v>
      </c>
      <c r="I213" t="s">
        <v>368</v>
      </c>
      <c r="J213">
        <v>3896</v>
      </c>
      <c r="K213" t="s">
        <v>369</v>
      </c>
      <c r="L213">
        <v>1</v>
      </c>
      <c r="M213" t="s">
        <v>370</v>
      </c>
      <c r="N213">
        <v>8</v>
      </c>
      <c r="O213" t="s">
        <v>117</v>
      </c>
      <c r="Q213" t="s">
        <v>830</v>
      </c>
    </row>
    <row r="214" spans="1:17" hidden="1" x14ac:dyDescent="0.25">
      <c r="A214" t="s">
        <v>822</v>
      </c>
      <c r="B214" s="36">
        <v>46128</v>
      </c>
      <c r="C214" t="s">
        <v>29</v>
      </c>
      <c r="D214" t="s">
        <v>27</v>
      </c>
      <c r="E214">
        <v>16</v>
      </c>
      <c r="F214">
        <v>605</v>
      </c>
      <c r="G214" t="s">
        <v>34</v>
      </c>
      <c r="H214" t="s">
        <v>831</v>
      </c>
      <c r="I214" t="s">
        <v>832</v>
      </c>
      <c r="J214">
        <v>3899</v>
      </c>
      <c r="K214" t="s">
        <v>833</v>
      </c>
      <c r="L214">
        <v>3</v>
      </c>
      <c r="M214" t="s">
        <v>834</v>
      </c>
      <c r="N214">
        <v>8</v>
      </c>
      <c r="O214" t="s">
        <v>117</v>
      </c>
      <c r="Q214" t="s">
        <v>835</v>
      </c>
    </row>
    <row r="215" spans="1:17" hidden="1" x14ac:dyDescent="0.25">
      <c r="A215" t="s">
        <v>822</v>
      </c>
      <c r="B215" s="36">
        <v>46128</v>
      </c>
      <c r="C215" t="s">
        <v>29</v>
      </c>
      <c r="D215" t="s">
        <v>27</v>
      </c>
      <c r="E215">
        <v>16</v>
      </c>
      <c r="F215">
        <v>605</v>
      </c>
      <c r="G215" t="s">
        <v>34</v>
      </c>
      <c r="H215" t="s">
        <v>836</v>
      </c>
      <c r="I215" t="s">
        <v>837</v>
      </c>
      <c r="J215">
        <v>3900</v>
      </c>
      <c r="K215" t="s">
        <v>838</v>
      </c>
      <c r="L215">
        <v>8</v>
      </c>
      <c r="M215" t="s">
        <v>839</v>
      </c>
      <c r="N215">
        <v>8</v>
      </c>
      <c r="O215" t="s">
        <v>117</v>
      </c>
      <c r="Q215" t="s">
        <v>840</v>
      </c>
    </row>
    <row r="216" spans="1:17" hidden="1" x14ac:dyDescent="0.25">
      <c r="A216" t="s">
        <v>822</v>
      </c>
      <c r="B216" s="36">
        <v>46128</v>
      </c>
      <c r="C216" t="s">
        <v>29</v>
      </c>
      <c r="D216" t="s">
        <v>27</v>
      </c>
      <c r="E216">
        <v>16</v>
      </c>
      <c r="F216">
        <v>605</v>
      </c>
      <c r="G216" t="s">
        <v>34</v>
      </c>
      <c r="H216" t="s">
        <v>841</v>
      </c>
      <c r="I216" t="s">
        <v>842</v>
      </c>
      <c r="J216">
        <v>3907</v>
      </c>
      <c r="K216" t="s">
        <v>843</v>
      </c>
      <c r="L216">
        <v>5</v>
      </c>
      <c r="M216" t="s">
        <v>844</v>
      </c>
      <c r="N216">
        <v>8</v>
      </c>
      <c r="O216" t="s">
        <v>117</v>
      </c>
      <c r="Q216" t="s">
        <v>845</v>
      </c>
    </row>
    <row r="217" spans="1:17" hidden="1" x14ac:dyDescent="0.25">
      <c r="A217" t="s">
        <v>822</v>
      </c>
      <c r="B217" s="36">
        <v>46128</v>
      </c>
      <c r="C217" t="s">
        <v>29</v>
      </c>
      <c r="D217" t="s">
        <v>27</v>
      </c>
      <c r="E217">
        <v>16</v>
      </c>
      <c r="F217">
        <v>605</v>
      </c>
      <c r="G217" t="s">
        <v>34</v>
      </c>
      <c r="H217" t="s">
        <v>846</v>
      </c>
      <c r="I217" t="s">
        <v>847</v>
      </c>
      <c r="J217">
        <v>3934</v>
      </c>
      <c r="K217" t="s">
        <v>848</v>
      </c>
      <c r="L217">
        <v>6</v>
      </c>
      <c r="M217" t="s">
        <v>849</v>
      </c>
      <c r="N217">
        <v>8</v>
      </c>
      <c r="O217" t="s">
        <v>117</v>
      </c>
      <c r="Q217" t="s">
        <v>850</v>
      </c>
    </row>
    <row r="218" spans="1:17" hidden="1" x14ac:dyDescent="0.25">
      <c r="A218" t="s">
        <v>822</v>
      </c>
      <c r="B218" s="36">
        <v>46128</v>
      </c>
      <c r="C218" t="s">
        <v>29</v>
      </c>
      <c r="D218" t="s">
        <v>27</v>
      </c>
      <c r="E218">
        <v>16</v>
      </c>
      <c r="F218">
        <v>605</v>
      </c>
      <c r="G218" t="s">
        <v>34</v>
      </c>
      <c r="H218" t="s">
        <v>851</v>
      </c>
      <c r="I218" t="s">
        <v>852</v>
      </c>
      <c r="J218">
        <v>4227</v>
      </c>
      <c r="K218" t="s">
        <v>853</v>
      </c>
      <c r="L218">
        <v>11</v>
      </c>
      <c r="M218" t="s">
        <v>854</v>
      </c>
      <c r="N218">
        <v>8</v>
      </c>
      <c r="O218" t="s">
        <v>117</v>
      </c>
      <c r="Q218" t="s">
        <v>855</v>
      </c>
    </row>
    <row r="219" spans="1:17" hidden="1" x14ac:dyDescent="0.25">
      <c r="A219" t="s">
        <v>822</v>
      </c>
      <c r="B219" s="36">
        <v>46128</v>
      </c>
      <c r="C219" t="s">
        <v>29</v>
      </c>
      <c r="D219" t="s">
        <v>27</v>
      </c>
      <c r="E219">
        <v>16</v>
      </c>
      <c r="F219">
        <v>605</v>
      </c>
      <c r="G219" t="s">
        <v>34</v>
      </c>
      <c r="H219" t="s">
        <v>856</v>
      </c>
      <c r="I219" t="s">
        <v>857</v>
      </c>
      <c r="J219">
        <v>4281</v>
      </c>
      <c r="K219" t="s">
        <v>858</v>
      </c>
      <c r="L219">
        <v>4</v>
      </c>
      <c r="M219" t="s">
        <v>859</v>
      </c>
      <c r="N219">
        <v>8</v>
      </c>
      <c r="O219" t="s">
        <v>117</v>
      </c>
      <c r="Q219" t="s">
        <v>860</v>
      </c>
    </row>
    <row r="220" spans="1:17" hidden="1" x14ac:dyDescent="0.25">
      <c r="A220" t="s">
        <v>822</v>
      </c>
      <c r="B220" s="36">
        <v>46128</v>
      </c>
      <c r="C220" t="s">
        <v>29</v>
      </c>
      <c r="D220" t="s">
        <v>27</v>
      </c>
      <c r="E220">
        <v>16</v>
      </c>
      <c r="F220">
        <v>605</v>
      </c>
      <c r="G220" t="s">
        <v>34</v>
      </c>
      <c r="H220" t="s">
        <v>861</v>
      </c>
      <c r="I220" t="s">
        <v>862</v>
      </c>
      <c r="J220">
        <v>4282</v>
      </c>
      <c r="K220" t="s">
        <v>863</v>
      </c>
      <c r="L220">
        <v>7</v>
      </c>
      <c r="M220" t="s">
        <v>864</v>
      </c>
      <c r="N220">
        <v>8</v>
      </c>
      <c r="O220" t="s">
        <v>117</v>
      </c>
      <c r="Q220" t="s">
        <v>865</v>
      </c>
    </row>
    <row r="221" spans="1:17" hidden="1" x14ac:dyDescent="0.25">
      <c r="A221" t="s">
        <v>822</v>
      </c>
      <c r="B221" s="36">
        <v>46128</v>
      </c>
      <c r="C221" t="s">
        <v>29</v>
      </c>
      <c r="D221" t="s">
        <v>27</v>
      </c>
      <c r="E221">
        <v>16</v>
      </c>
      <c r="F221">
        <v>605</v>
      </c>
      <c r="G221" t="s">
        <v>34</v>
      </c>
      <c r="H221" t="s">
        <v>866</v>
      </c>
      <c r="I221" t="s">
        <v>867</v>
      </c>
      <c r="J221">
        <v>4374</v>
      </c>
      <c r="K221" t="s">
        <v>868</v>
      </c>
      <c r="L221">
        <v>4</v>
      </c>
      <c r="M221" t="s">
        <v>869</v>
      </c>
      <c r="N221">
        <v>8</v>
      </c>
      <c r="O221" t="s">
        <v>117</v>
      </c>
      <c r="Q221" t="s">
        <v>870</v>
      </c>
    </row>
    <row r="222" spans="1:17" hidden="1" x14ac:dyDescent="0.25">
      <c r="A222" t="s">
        <v>871</v>
      </c>
      <c r="B222" s="36">
        <v>46128</v>
      </c>
      <c r="C222" t="s">
        <v>29</v>
      </c>
      <c r="D222" t="s">
        <v>27</v>
      </c>
      <c r="E222">
        <v>16</v>
      </c>
      <c r="F222">
        <v>606</v>
      </c>
      <c r="G222" t="s">
        <v>34</v>
      </c>
      <c r="H222" t="s">
        <v>872</v>
      </c>
      <c r="I222" t="s">
        <v>873</v>
      </c>
      <c r="J222">
        <v>3131</v>
      </c>
      <c r="K222" t="s">
        <v>874</v>
      </c>
      <c r="L222">
        <v>3</v>
      </c>
      <c r="M222" t="s">
        <v>875</v>
      </c>
      <c r="N222">
        <v>10</v>
      </c>
      <c r="O222" t="s">
        <v>778</v>
      </c>
      <c r="Q222" t="s">
        <v>876</v>
      </c>
    </row>
    <row r="223" spans="1:17" hidden="1" x14ac:dyDescent="0.25">
      <c r="A223" t="s">
        <v>871</v>
      </c>
      <c r="B223" s="36">
        <v>46128</v>
      </c>
      <c r="C223" t="s">
        <v>29</v>
      </c>
      <c r="D223" t="s">
        <v>27</v>
      </c>
      <c r="E223">
        <v>16</v>
      </c>
      <c r="F223">
        <v>606</v>
      </c>
      <c r="G223" t="s">
        <v>34</v>
      </c>
      <c r="H223" t="s">
        <v>877</v>
      </c>
      <c r="I223" t="s">
        <v>878</v>
      </c>
      <c r="J223">
        <v>3132</v>
      </c>
      <c r="K223" t="s">
        <v>879</v>
      </c>
      <c r="L223">
        <v>3</v>
      </c>
      <c r="M223" t="s">
        <v>880</v>
      </c>
      <c r="N223">
        <v>10</v>
      </c>
      <c r="O223" t="s">
        <v>778</v>
      </c>
      <c r="Q223" t="s">
        <v>881</v>
      </c>
    </row>
    <row r="224" spans="1:17" hidden="1" x14ac:dyDescent="0.25">
      <c r="A224" t="s">
        <v>871</v>
      </c>
      <c r="B224" s="36">
        <v>46128</v>
      </c>
      <c r="C224" t="s">
        <v>29</v>
      </c>
      <c r="D224" t="s">
        <v>27</v>
      </c>
      <c r="E224">
        <v>16</v>
      </c>
      <c r="F224">
        <v>606</v>
      </c>
      <c r="G224" t="s">
        <v>34</v>
      </c>
      <c r="H224" t="s">
        <v>882</v>
      </c>
      <c r="I224" t="s">
        <v>883</v>
      </c>
      <c r="J224">
        <v>3761</v>
      </c>
      <c r="K224" t="s">
        <v>884</v>
      </c>
      <c r="L224">
        <v>20</v>
      </c>
      <c r="M224" t="s">
        <v>885</v>
      </c>
      <c r="N224">
        <v>16</v>
      </c>
      <c r="O224" t="s">
        <v>778</v>
      </c>
      <c r="Q224" t="s">
        <v>886</v>
      </c>
    </row>
    <row r="225" spans="1:17" hidden="1" x14ac:dyDescent="0.25">
      <c r="A225" t="s">
        <v>871</v>
      </c>
      <c r="B225" s="36">
        <v>46128</v>
      </c>
      <c r="C225" t="s">
        <v>29</v>
      </c>
      <c r="D225" t="s">
        <v>27</v>
      </c>
      <c r="E225">
        <v>16</v>
      </c>
      <c r="F225">
        <v>606</v>
      </c>
      <c r="G225" t="s">
        <v>34</v>
      </c>
      <c r="H225" t="s">
        <v>887</v>
      </c>
      <c r="I225" t="s">
        <v>888</v>
      </c>
      <c r="J225">
        <v>3762</v>
      </c>
      <c r="K225" t="s">
        <v>889</v>
      </c>
      <c r="L225">
        <v>8</v>
      </c>
      <c r="M225" t="s">
        <v>890</v>
      </c>
      <c r="N225">
        <v>16</v>
      </c>
      <c r="O225" t="s">
        <v>778</v>
      </c>
      <c r="Q225" t="s">
        <v>891</v>
      </c>
    </row>
    <row r="226" spans="1:17" hidden="1" x14ac:dyDescent="0.25">
      <c r="A226" t="s">
        <v>871</v>
      </c>
      <c r="B226" s="36">
        <v>46128</v>
      </c>
      <c r="C226" t="s">
        <v>29</v>
      </c>
      <c r="D226" t="s">
        <v>27</v>
      </c>
      <c r="E226">
        <v>16</v>
      </c>
      <c r="F226">
        <v>606</v>
      </c>
      <c r="G226" t="s">
        <v>34</v>
      </c>
      <c r="H226" t="s">
        <v>892</v>
      </c>
      <c r="I226" t="s">
        <v>893</v>
      </c>
      <c r="J226">
        <v>3845</v>
      </c>
      <c r="K226" t="s">
        <v>894</v>
      </c>
      <c r="L226">
        <v>6</v>
      </c>
      <c r="M226" t="s">
        <v>895</v>
      </c>
      <c r="N226">
        <v>10</v>
      </c>
      <c r="O226" t="s">
        <v>778</v>
      </c>
      <c r="Q226" t="s">
        <v>896</v>
      </c>
    </row>
    <row r="227" spans="1:17" hidden="1" x14ac:dyDescent="0.25">
      <c r="A227" t="s">
        <v>871</v>
      </c>
      <c r="B227" s="36">
        <v>46128</v>
      </c>
      <c r="C227" t="s">
        <v>29</v>
      </c>
      <c r="D227" t="s">
        <v>27</v>
      </c>
      <c r="E227">
        <v>16</v>
      </c>
      <c r="F227">
        <v>606</v>
      </c>
      <c r="G227" t="s">
        <v>34</v>
      </c>
      <c r="H227" t="s">
        <v>866</v>
      </c>
      <c r="I227" t="s">
        <v>897</v>
      </c>
      <c r="J227">
        <v>4184</v>
      </c>
      <c r="K227" t="s">
        <v>898</v>
      </c>
      <c r="L227">
        <v>14</v>
      </c>
      <c r="M227" t="s">
        <v>899</v>
      </c>
      <c r="N227">
        <v>16</v>
      </c>
      <c r="O227" t="s">
        <v>778</v>
      </c>
      <c r="Q227" t="s">
        <v>900</v>
      </c>
    </row>
    <row r="228" spans="1:17" hidden="1" x14ac:dyDescent="0.25">
      <c r="A228" t="s">
        <v>871</v>
      </c>
      <c r="B228" s="36">
        <v>46128</v>
      </c>
      <c r="C228" t="s">
        <v>29</v>
      </c>
      <c r="D228" t="s">
        <v>27</v>
      </c>
      <c r="E228">
        <v>16</v>
      </c>
      <c r="F228">
        <v>606</v>
      </c>
      <c r="G228" t="s">
        <v>34</v>
      </c>
      <c r="H228" t="s">
        <v>901</v>
      </c>
      <c r="I228" t="s">
        <v>902</v>
      </c>
      <c r="J228">
        <v>4185</v>
      </c>
      <c r="K228" t="s">
        <v>903</v>
      </c>
      <c r="L228">
        <v>10</v>
      </c>
      <c r="M228" t="s">
        <v>904</v>
      </c>
      <c r="N228">
        <v>16</v>
      </c>
      <c r="O228" t="s">
        <v>778</v>
      </c>
      <c r="Q228" t="s">
        <v>905</v>
      </c>
    </row>
    <row r="229" spans="1:17" hidden="1" x14ac:dyDescent="0.25">
      <c r="A229" t="s">
        <v>871</v>
      </c>
      <c r="B229" s="36">
        <v>46128</v>
      </c>
      <c r="C229" t="s">
        <v>29</v>
      </c>
      <c r="D229" t="s">
        <v>27</v>
      </c>
      <c r="E229">
        <v>16</v>
      </c>
      <c r="F229">
        <v>606</v>
      </c>
      <c r="G229" t="s">
        <v>34</v>
      </c>
      <c r="H229" t="s">
        <v>906</v>
      </c>
      <c r="I229" t="s">
        <v>907</v>
      </c>
      <c r="J229">
        <v>4186</v>
      </c>
      <c r="K229" t="s">
        <v>908</v>
      </c>
      <c r="L229">
        <v>23</v>
      </c>
      <c r="M229" t="s">
        <v>909</v>
      </c>
      <c r="N229">
        <v>16</v>
      </c>
      <c r="O229" t="s">
        <v>778</v>
      </c>
      <c r="Q229" t="s">
        <v>910</v>
      </c>
    </row>
    <row r="230" spans="1:17" hidden="1" x14ac:dyDescent="0.25">
      <c r="A230" t="s">
        <v>871</v>
      </c>
      <c r="B230" s="36">
        <v>46128</v>
      </c>
      <c r="C230" t="s">
        <v>29</v>
      </c>
      <c r="D230" t="s">
        <v>27</v>
      </c>
      <c r="E230">
        <v>16</v>
      </c>
      <c r="F230">
        <v>606</v>
      </c>
      <c r="G230" t="s">
        <v>34</v>
      </c>
      <c r="H230" t="s">
        <v>911</v>
      </c>
      <c r="I230" t="s">
        <v>912</v>
      </c>
      <c r="J230">
        <v>4188</v>
      </c>
      <c r="K230" t="s">
        <v>913</v>
      </c>
      <c r="L230">
        <v>18</v>
      </c>
      <c r="M230" t="s">
        <v>914</v>
      </c>
      <c r="N230">
        <v>16</v>
      </c>
      <c r="O230" t="s">
        <v>778</v>
      </c>
      <c r="Q230" t="s">
        <v>915</v>
      </c>
    </row>
    <row r="231" spans="1:17" hidden="1" x14ac:dyDescent="0.25">
      <c r="A231" t="s">
        <v>916</v>
      </c>
      <c r="B231" s="36">
        <v>46134</v>
      </c>
      <c r="C231" t="s">
        <v>26</v>
      </c>
      <c r="D231" t="s">
        <v>27</v>
      </c>
      <c r="E231">
        <v>15</v>
      </c>
      <c r="F231">
        <v>603</v>
      </c>
      <c r="G231" t="s">
        <v>34</v>
      </c>
      <c r="H231" t="s">
        <v>550</v>
      </c>
      <c r="I231" t="s">
        <v>512</v>
      </c>
      <c r="J231">
        <v>3850</v>
      </c>
      <c r="K231" t="s">
        <v>551</v>
      </c>
      <c r="L231">
        <v>1</v>
      </c>
      <c r="M231" t="s">
        <v>119</v>
      </c>
      <c r="N231">
        <v>8</v>
      </c>
      <c r="O231" t="s">
        <v>778</v>
      </c>
      <c r="Q231" t="s">
        <v>917</v>
      </c>
    </row>
    <row r="232" spans="1:17" hidden="1" x14ac:dyDescent="0.25">
      <c r="A232" t="s">
        <v>916</v>
      </c>
      <c r="B232" s="36">
        <v>46134</v>
      </c>
      <c r="C232" t="s">
        <v>26</v>
      </c>
      <c r="D232" t="s">
        <v>27</v>
      </c>
      <c r="E232">
        <v>15</v>
      </c>
      <c r="F232">
        <v>603</v>
      </c>
      <c r="G232" t="s">
        <v>34</v>
      </c>
      <c r="H232" t="s">
        <v>550</v>
      </c>
      <c r="I232" t="s">
        <v>512</v>
      </c>
      <c r="J232">
        <v>3852</v>
      </c>
      <c r="K232" t="s">
        <v>551</v>
      </c>
      <c r="L232">
        <v>1</v>
      </c>
      <c r="M232" t="s">
        <v>119</v>
      </c>
      <c r="N232">
        <v>8</v>
      </c>
      <c r="O232" t="s">
        <v>778</v>
      </c>
      <c r="Q232" t="s">
        <v>918</v>
      </c>
    </row>
    <row r="233" spans="1:17" hidden="1" x14ac:dyDescent="0.25">
      <c r="A233" t="s">
        <v>916</v>
      </c>
      <c r="B233" s="36">
        <v>46134</v>
      </c>
      <c r="C233" t="s">
        <v>26</v>
      </c>
      <c r="D233" t="s">
        <v>27</v>
      </c>
      <c r="E233">
        <v>15</v>
      </c>
      <c r="F233">
        <v>603</v>
      </c>
      <c r="G233" t="s">
        <v>34</v>
      </c>
      <c r="H233" t="s">
        <v>550</v>
      </c>
      <c r="I233" t="s">
        <v>512</v>
      </c>
      <c r="J233">
        <v>3853</v>
      </c>
      <c r="K233" t="s">
        <v>551</v>
      </c>
      <c r="L233">
        <v>1</v>
      </c>
      <c r="M233" t="s">
        <v>119</v>
      </c>
      <c r="N233">
        <v>8</v>
      </c>
      <c r="O233" t="s">
        <v>778</v>
      </c>
      <c r="Q233" t="s">
        <v>919</v>
      </c>
    </row>
    <row r="234" spans="1:17" hidden="1" x14ac:dyDescent="0.25">
      <c r="A234" t="s">
        <v>916</v>
      </c>
      <c r="B234" s="36">
        <v>46134</v>
      </c>
      <c r="C234" t="s">
        <v>26</v>
      </c>
      <c r="D234" t="s">
        <v>27</v>
      </c>
      <c r="E234">
        <v>15</v>
      </c>
      <c r="F234">
        <v>603</v>
      </c>
      <c r="G234" t="s">
        <v>34</v>
      </c>
      <c r="H234" t="s">
        <v>367</v>
      </c>
      <c r="I234" t="s">
        <v>368</v>
      </c>
      <c r="J234">
        <v>3859</v>
      </c>
      <c r="K234" t="s">
        <v>531</v>
      </c>
      <c r="L234">
        <v>1</v>
      </c>
      <c r="M234" t="s">
        <v>119</v>
      </c>
      <c r="N234">
        <v>8</v>
      </c>
      <c r="O234" t="s">
        <v>778</v>
      </c>
      <c r="Q234" t="s">
        <v>920</v>
      </c>
    </row>
    <row r="235" spans="1:17" hidden="1" x14ac:dyDescent="0.25">
      <c r="A235" t="s">
        <v>916</v>
      </c>
      <c r="B235" s="36">
        <v>46134</v>
      </c>
      <c r="C235" t="s">
        <v>26</v>
      </c>
      <c r="D235" t="s">
        <v>27</v>
      </c>
      <c r="E235">
        <v>15</v>
      </c>
      <c r="F235">
        <v>603</v>
      </c>
      <c r="G235" t="s">
        <v>34</v>
      </c>
      <c r="H235" t="s">
        <v>367</v>
      </c>
      <c r="I235" t="s">
        <v>368</v>
      </c>
      <c r="J235">
        <v>3860</v>
      </c>
      <c r="K235" t="s">
        <v>531</v>
      </c>
      <c r="L235">
        <v>1</v>
      </c>
      <c r="M235" t="s">
        <v>119</v>
      </c>
      <c r="N235">
        <v>8</v>
      </c>
      <c r="O235" t="s">
        <v>778</v>
      </c>
      <c r="Q235" t="s">
        <v>921</v>
      </c>
    </row>
    <row r="236" spans="1:17" hidden="1" x14ac:dyDescent="0.25">
      <c r="A236" t="s">
        <v>916</v>
      </c>
      <c r="B236" s="36">
        <v>46134</v>
      </c>
      <c r="C236" t="s">
        <v>26</v>
      </c>
      <c r="D236" t="s">
        <v>27</v>
      </c>
      <c r="E236">
        <v>15</v>
      </c>
      <c r="F236">
        <v>603</v>
      </c>
      <c r="G236" t="s">
        <v>34</v>
      </c>
      <c r="H236" t="s">
        <v>367</v>
      </c>
      <c r="I236" t="s">
        <v>368</v>
      </c>
      <c r="J236">
        <v>3861</v>
      </c>
      <c r="K236" t="s">
        <v>531</v>
      </c>
      <c r="L236">
        <v>1</v>
      </c>
      <c r="M236" t="s">
        <v>119</v>
      </c>
      <c r="N236">
        <v>8</v>
      </c>
      <c r="O236" t="s">
        <v>778</v>
      </c>
      <c r="Q236" t="s">
        <v>922</v>
      </c>
    </row>
    <row r="237" spans="1:17" hidden="1" x14ac:dyDescent="0.25">
      <c r="A237" t="s">
        <v>916</v>
      </c>
      <c r="B237" s="36">
        <v>46134</v>
      </c>
      <c r="C237" t="s">
        <v>26</v>
      </c>
      <c r="D237" t="s">
        <v>27</v>
      </c>
      <c r="E237">
        <v>15</v>
      </c>
      <c r="F237">
        <v>603</v>
      </c>
      <c r="G237" t="s">
        <v>34</v>
      </c>
      <c r="H237" t="s">
        <v>367</v>
      </c>
      <c r="I237" t="s">
        <v>368</v>
      </c>
      <c r="J237">
        <v>3862</v>
      </c>
      <c r="K237" t="s">
        <v>531</v>
      </c>
      <c r="L237">
        <v>1</v>
      </c>
      <c r="M237" t="s">
        <v>119</v>
      </c>
      <c r="N237">
        <v>8</v>
      </c>
      <c r="O237" t="s">
        <v>778</v>
      </c>
      <c r="Q237" t="s">
        <v>923</v>
      </c>
    </row>
    <row r="238" spans="1:17" hidden="1" x14ac:dyDescent="0.25">
      <c r="A238" t="s">
        <v>916</v>
      </c>
      <c r="B238" s="36">
        <v>46134</v>
      </c>
      <c r="C238" t="s">
        <v>26</v>
      </c>
      <c r="D238" t="s">
        <v>27</v>
      </c>
      <c r="E238">
        <v>15</v>
      </c>
      <c r="F238">
        <v>603</v>
      </c>
      <c r="G238" t="s">
        <v>34</v>
      </c>
      <c r="H238" t="s">
        <v>367</v>
      </c>
      <c r="I238" t="s">
        <v>368</v>
      </c>
      <c r="J238">
        <v>3863</v>
      </c>
      <c r="K238" t="s">
        <v>531</v>
      </c>
      <c r="L238">
        <v>1</v>
      </c>
      <c r="M238" t="s">
        <v>119</v>
      </c>
      <c r="N238">
        <v>8</v>
      </c>
      <c r="O238" t="s">
        <v>778</v>
      </c>
      <c r="Q238" t="s">
        <v>924</v>
      </c>
    </row>
    <row r="239" spans="1:17" hidden="1" x14ac:dyDescent="0.25">
      <c r="A239" t="s">
        <v>916</v>
      </c>
      <c r="B239" s="36">
        <v>46134</v>
      </c>
      <c r="C239" t="s">
        <v>26</v>
      </c>
      <c r="D239" t="s">
        <v>27</v>
      </c>
      <c r="E239">
        <v>15</v>
      </c>
      <c r="F239">
        <v>603</v>
      </c>
      <c r="G239" t="s">
        <v>34</v>
      </c>
      <c r="H239" t="s">
        <v>367</v>
      </c>
      <c r="I239" t="s">
        <v>368</v>
      </c>
      <c r="J239">
        <v>3864</v>
      </c>
      <c r="K239" t="s">
        <v>531</v>
      </c>
      <c r="L239">
        <v>1</v>
      </c>
      <c r="M239" t="s">
        <v>119</v>
      </c>
      <c r="N239">
        <v>8</v>
      </c>
      <c r="O239" t="s">
        <v>778</v>
      </c>
      <c r="Q239" t="s">
        <v>925</v>
      </c>
    </row>
    <row r="240" spans="1:17" hidden="1" x14ac:dyDescent="0.25">
      <c r="A240" t="s">
        <v>916</v>
      </c>
      <c r="B240" s="36">
        <v>46134</v>
      </c>
      <c r="C240" t="s">
        <v>26</v>
      </c>
      <c r="D240" t="s">
        <v>27</v>
      </c>
      <c r="E240">
        <v>15</v>
      </c>
      <c r="F240">
        <v>603</v>
      </c>
      <c r="G240" t="s">
        <v>34</v>
      </c>
      <c r="H240" t="s">
        <v>367</v>
      </c>
      <c r="I240" t="s">
        <v>368</v>
      </c>
      <c r="J240">
        <v>3865</v>
      </c>
      <c r="K240" t="s">
        <v>531</v>
      </c>
      <c r="L240">
        <v>1</v>
      </c>
      <c r="M240" t="s">
        <v>119</v>
      </c>
      <c r="N240">
        <v>8</v>
      </c>
      <c r="O240" t="s">
        <v>778</v>
      </c>
      <c r="Q240" t="s">
        <v>926</v>
      </c>
    </row>
    <row r="241" spans="1:17" hidden="1" x14ac:dyDescent="0.25">
      <c r="A241" t="s">
        <v>916</v>
      </c>
      <c r="B241" s="36">
        <v>46134</v>
      </c>
      <c r="C241" t="s">
        <v>26</v>
      </c>
      <c r="D241" t="s">
        <v>27</v>
      </c>
      <c r="E241">
        <v>15</v>
      </c>
      <c r="F241">
        <v>603</v>
      </c>
      <c r="G241" t="s">
        <v>34</v>
      </c>
      <c r="H241" t="s">
        <v>511</v>
      </c>
      <c r="I241" t="s">
        <v>512</v>
      </c>
      <c r="J241">
        <v>3870</v>
      </c>
      <c r="K241" t="s">
        <v>513</v>
      </c>
      <c r="L241">
        <v>1</v>
      </c>
      <c r="M241" t="s">
        <v>119</v>
      </c>
      <c r="N241">
        <v>8</v>
      </c>
      <c r="O241" t="s">
        <v>778</v>
      </c>
      <c r="Q241" t="s">
        <v>927</v>
      </c>
    </row>
    <row r="242" spans="1:17" hidden="1" x14ac:dyDescent="0.25">
      <c r="A242" t="s">
        <v>916</v>
      </c>
      <c r="B242" s="36">
        <v>46134</v>
      </c>
      <c r="C242" t="s">
        <v>26</v>
      </c>
      <c r="D242" t="s">
        <v>27</v>
      </c>
      <c r="E242">
        <v>15</v>
      </c>
      <c r="F242">
        <v>603</v>
      </c>
      <c r="G242" t="s">
        <v>34</v>
      </c>
      <c r="H242" t="s">
        <v>511</v>
      </c>
      <c r="I242" t="s">
        <v>512</v>
      </c>
      <c r="J242">
        <v>3872</v>
      </c>
      <c r="K242" t="s">
        <v>513</v>
      </c>
      <c r="L242">
        <v>1</v>
      </c>
      <c r="M242" t="s">
        <v>119</v>
      </c>
      <c r="N242">
        <v>8</v>
      </c>
      <c r="O242" t="s">
        <v>778</v>
      </c>
      <c r="Q242" t="s">
        <v>928</v>
      </c>
    </row>
    <row r="243" spans="1:17" hidden="1" x14ac:dyDescent="0.25">
      <c r="A243" t="s">
        <v>916</v>
      </c>
      <c r="B243" s="36">
        <v>46134</v>
      </c>
      <c r="C243" t="s">
        <v>26</v>
      </c>
      <c r="D243" t="s">
        <v>27</v>
      </c>
      <c r="E243">
        <v>15</v>
      </c>
      <c r="F243">
        <v>603</v>
      </c>
      <c r="G243" t="s">
        <v>34</v>
      </c>
      <c r="H243" t="s">
        <v>511</v>
      </c>
      <c r="I243" t="s">
        <v>512</v>
      </c>
      <c r="J243">
        <v>3874</v>
      </c>
      <c r="K243" t="s">
        <v>513</v>
      </c>
      <c r="L243">
        <v>1</v>
      </c>
      <c r="M243" t="s">
        <v>119</v>
      </c>
      <c r="N243">
        <v>8</v>
      </c>
      <c r="O243" t="s">
        <v>778</v>
      </c>
      <c r="Q243" t="s">
        <v>929</v>
      </c>
    </row>
    <row r="244" spans="1:17" hidden="1" x14ac:dyDescent="0.25">
      <c r="A244" t="s">
        <v>916</v>
      </c>
      <c r="B244" s="36">
        <v>46134</v>
      </c>
      <c r="C244" t="s">
        <v>26</v>
      </c>
      <c r="D244" t="s">
        <v>27</v>
      </c>
      <c r="E244">
        <v>15</v>
      </c>
      <c r="F244">
        <v>603</v>
      </c>
      <c r="G244" t="s">
        <v>34</v>
      </c>
      <c r="H244" t="s">
        <v>511</v>
      </c>
      <c r="I244" t="s">
        <v>512</v>
      </c>
      <c r="J244">
        <v>3875</v>
      </c>
      <c r="K244" t="s">
        <v>513</v>
      </c>
      <c r="L244">
        <v>1</v>
      </c>
      <c r="M244" t="s">
        <v>119</v>
      </c>
      <c r="N244">
        <v>8</v>
      </c>
      <c r="O244" t="s">
        <v>778</v>
      </c>
      <c r="Q244" t="s">
        <v>930</v>
      </c>
    </row>
    <row r="245" spans="1:17" hidden="1" x14ac:dyDescent="0.25">
      <c r="A245" t="s">
        <v>916</v>
      </c>
      <c r="B245" s="36">
        <v>46134</v>
      </c>
      <c r="C245" t="s">
        <v>26</v>
      </c>
      <c r="D245" t="s">
        <v>27</v>
      </c>
      <c r="E245">
        <v>15</v>
      </c>
      <c r="F245">
        <v>603</v>
      </c>
      <c r="G245" t="s">
        <v>34</v>
      </c>
      <c r="H245" t="s">
        <v>511</v>
      </c>
      <c r="I245" t="s">
        <v>512</v>
      </c>
      <c r="J245">
        <v>3877</v>
      </c>
      <c r="K245" t="s">
        <v>513</v>
      </c>
      <c r="L245">
        <v>1</v>
      </c>
      <c r="M245" t="s">
        <v>119</v>
      </c>
      <c r="N245">
        <v>8</v>
      </c>
      <c r="O245" t="s">
        <v>778</v>
      </c>
      <c r="Q245" t="s">
        <v>931</v>
      </c>
    </row>
    <row r="246" spans="1:17" hidden="1" x14ac:dyDescent="0.25">
      <c r="A246" t="s">
        <v>916</v>
      </c>
      <c r="B246" s="36">
        <v>46134</v>
      </c>
      <c r="C246" t="s">
        <v>26</v>
      </c>
      <c r="D246" t="s">
        <v>27</v>
      </c>
      <c r="E246">
        <v>15</v>
      </c>
      <c r="F246">
        <v>603</v>
      </c>
      <c r="G246" t="s">
        <v>34</v>
      </c>
      <c r="H246" t="s">
        <v>511</v>
      </c>
      <c r="I246" t="s">
        <v>512</v>
      </c>
      <c r="J246">
        <v>3878</v>
      </c>
      <c r="K246" t="s">
        <v>513</v>
      </c>
      <c r="L246">
        <v>1</v>
      </c>
      <c r="M246" t="s">
        <v>119</v>
      </c>
      <c r="N246">
        <v>8</v>
      </c>
      <c r="O246" t="s">
        <v>778</v>
      </c>
      <c r="Q246" t="s">
        <v>932</v>
      </c>
    </row>
    <row r="247" spans="1:17" hidden="1" x14ac:dyDescent="0.25">
      <c r="A247" t="s">
        <v>916</v>
      </c>
      <c r="B247" s="36">
        <v>46134</v>
      </c>
      <c r="C247" t="s">
        <v>26</v>
      </c>
      <c r="D247" t="s">
        <v>27</v>
      </c>
      <c r="E247">
        <v>15</v>
      </c>
      <c r="F247">
        <v>603</v>
      </c>
      <c r="G247" t="s">
        <v>34</v>
      </c>
      <c r="H247" t="s">
        <v>511</v>
      </c>
      <c r="I247" t="s">
        <v>512</v>
      </c>
      <c r="J247">
        <v>3883</v>
      </c>
      <c r="K247" t="s">
        <v>513</v>
      </c>
      <c r="L247">
        <v>1</v>
      </c>
      <c r="M247" t="s">
        <v>119</v>
      </c>
      <c r="N247">
        <v>8</v>
      </c>
      <c r="O247" t="s">
        <v>778</v>
      </c>
      <c r="Q247" t="s">
        <v>933</v>
      </c>
    </row>
    <row r="248" spans="1:17" hidden="1" x14ac:dyDescent="0.25">
      <c r="A248" t="s">
        <v>916</v>
      </c>
      <c r="B248" s="36">
        <v>46134</v>
      </c>
      <c r="C248" t="s">
        <v>26</v>
      </c>
      <c r="D248" t="s">
        <v>27</v>
      </c>
      <c r="E248">
        <v>15</v>
      </c>
      <c r="F248">
        <v>603</v>
      </c>
      <c r="G248" t="s">
        <v>34</v>
      </c>
      <c r="H248" t="s">
        <v>550</v>
      </c>
      <c r="I248" t="s">
        <v>512</v>
      </c>
      <c r="J248">
        <v>3904</v>
      </c>
      <c r="K248" t="s">
        <v>551</v>
      </c>
      <c r="L248">
        <v>1</v>
      </c>
      <c r="M248" t="s">
        <v>119</v>
      </c>
      <c r="N248">
        <v>8</v>
      </c>
      <c r="O248" t="s">
        <v>778</v>
      </c>
      <c r="Q248" t="s">
        <v>934</v>
      </c>
    </row>
    <row r="249" spans="1:17" hidden="1" x14ac:dyDescent="0.25">
      <c r="A249" t="s">
        <v>916</v>
      </c>
      <c r="B249" s="36">
        <v>46134</v>
      </c>
      <c r="C249" t="s">
        <v>26</v>
      </c>
      <c r="D249" t="s">
        <v>27</v>
      </c>
      <c r="E249">
        <v>15</v>
      </c>
      <c r="F249">
        <v>603</v>
      </c>
      <c r="G249" t="s">
        <v>34</v>
      </c>
      <c r="H249" t="s">
        <v>550</v>
      </c>
      <c r="I249" t="s">
        <v>512</v>
      </c>
      <c r="J249">
        <v>3905</v>
      </c>
      <c r="K249" t="s">
        <v>551</v>
      </c>
      <c r="L249">
        <v>1</v>
      </c>
      <c r="M249" t="s">
        <v>119</v>
      </c>
      <c r="N249">
        <v>8</v>
      </c>
      <c r="O249" t="s">
        <v>778</v>
      </c>
      <c r="Q249" t="s">
        <v>935</v>
      </c>
    </row>
    <row r="250" spans="1:17" hidden="1" x14ac:dyDescent="0.25">
      <c r="A250" t="s">
        <v>916</v>
      </c>
      <c r="B250" s="36">
        <v>46134</v>
      </c>
      <c r="C250" t="s">
        <v>26</v>
      </c>
      <c r="D250" t="s">
        <v>27</v>
      </c>
      <c r="E250">
        <v>15</v>
      </c>
      <c r="F250">
        <v>603</v>
      </c>
      <c r="G250" t="s">
        <v>34</v>
      </c>
      <c r="H250" t="s">
        <v>550</v>
      </c>
      <c r="I250" t="s">
        <v>512</v>
      </c>
      <c r="J250">
        <v>3906</v>
      </c>
      <c r="K250" t="s">
        <v>551</v>
      </c>
      <c r="L250">
        <v>1</v>
      </c>
      <c r="M250" t="s">
        <v>119</v>
      </c>
      <c r="N250">
        <v>8</v>
      </c>
      <c r="O250" t="s">
        <v>778</v>
      </c>
      <c r="Q250" t="s">
        <v>936</v>
      </c>
    </row>
    <row r="251" spans="1:17" hidden="1" x14ac:dyDescent="0.25">
      <c r="A251" t="s">
        <v>916</v>
      </c>
      <c r="B251" s="36">
        <v>46134</v>
      </c>
      <c r="C251" t="s">
        <v>26</v>
      </c>
      <c r="D251" t="s">
        <v>27</v>
      </c>
      <c r="E251">
        <v>15</v>
      </c>
      <c r="F251">
        <v>603</v>
      </c>
      <c r="G251" t="s">
        <v>34</v>
      </c>
      <c r="H251" t="s">
        <v>550</v>
      </c>
      <c r="I251" t="s">
        <v>512</v>
      </c>
      <c r="J251">
        <v>3964</v>
      </c>
      <c r="K251" t="s">
        <v>551</v>
      </c>
      <c r="L251">
        <v>1</v>
      </c>
      <c r="M251" t="s">
        <v>119</v>
      </c>
      <c r="N251">
        <v>8</v>
      </c>
      <c r="O251" t="s">
        <v>778</v>
      </c>
      <c r="Q251" t="s">
        <v>937</v>
      </c>
    </row>
    <row r="252" spans="1:17" hidden="1" x14ac:dyDescent="0.25">
      <c r="A252" t="s">
        <v>938</v>
      </c>
      <c r="B252" s="36">
        <v>46133</v>
      </c>
      <c r="C252" t="s">
        <v>26</v>
      </c>
      <c r="D252" t="s">
        <v>27</v>
      </c>
      <c r="E252">
        <v>15</v>
      </c>
      <c r="F252">
        <v>603</v>
      </c>
      <c r="G252" t="s">
        <v>34</v>
      </c>
      <c r="H252" t="s">
        <v>60</v>
      </c>
      <c r="I252" t="s">
        <v>60</v>
      </c>
      <c r="J252">
        <v>3122</v>
      </c>
      <c r="K252" t="s">
        <v>939</v>
      </c>
      <c r="L252">
        <v>1</v>
      </c>
      <c r="M252" t="s">
        <v>940</v>
      </c>
      <c r="N252">
        <v>6</v>
      </c>
      <c r="O252" t="s">
        <v>117</v>
      </c>
      <c r="Q252" t="s">
        <v>941</v>
      </c>
    </row>
    <row r="253" spans="1:17" hidden="1" x14ac:dyDescent="0.25">
      <c r="A253" t="s">
        <v>938</v>
      </c>
      <c r="B253" s="36">
        <v>46133</v>
      </c>
      <c r="C253" t="s">
        <v>26</v>
      </c>
      <c r="D253" t="s">
        <v>27</v>
      </c>
      <c r="E253">
        <v>15</v>
      </c>
      <c r="F253">
        <v>603</v>
      </c>
      <c r="G253" t="s">
        <v>34</v>
      </c>
      <c r="H253" t="s">
        <v>60</v>
      </c>
      <c r="I253" t="s">
        <v>60</v>
      </c>
      <c r="J253">
        <v>3123</v>
      </c>
      <c r="K253" t="s">
        <v>59</v>
      </c>
      <c r="L253">
        <v>2</v>
      </c>
      <c r="M253" t="s">
        <v>940</v>
      </c>
      <c r="N253">
        <v>6</v>
      </c>
      <c r="O253" t="s">
        <v>117</v>
      </c>
      <c r="Q253" t="s">
        <v>942</v>
      </c>
    </row>
    <row r="254" spans="1:17" hidden="1" x14ac:dyDescent="0.25">
      <c r="A254" t="s">
        <v>938</v>
      </c>
      <c r="B254" s="36">
        <v>46133</v>
      </c>
      <c r="C254" t="s">
        <v>26</v>
      </c>
      <c r="D254" t="s">
        <v>27</v>
      </c>
      <c r="E254">
        <v>15</v>
      </c>
      <c r="F254">
        <v>603</v>
      </c>
      <c r="G254" t="s">
        <v>34</v>
      </c>
      <c r="H254" t="s">
        <v>60</v>
      </c>
      <c r="I254" t="s">
        <v>60</v>
      </c>
      <c r="J254">
        <v>3124</v>
      </c>
      <c r="K254" t="s">
        <v>943</v>
      </c>
      <c r="L254">
        <v>4</v>
      </c>
      <c r="M254" t="s">
        <v>944</v>
      </c>
      <c r="N254">
        <v>6</v>
      </c>
      <c r="O254" t="s">
        <v>117</v>
      </c>
      <c r="Q254" t="s">
        <v>945</v>
      </c>
    </row>
    <row r="255" spans="1:17" hidden="1" x14ac:dyDescent="0.25">
      <c r="A255" t="s">
        <v>938</v>
      </c>
      <c r="B255" s="36">
        <v>46133</v>
      </c>
      <c r="C255" t="s">
        <v>26</v>
      </c>
      <c r="D255" t="s">
        <v>27</v>
      </c>
      <c r="E255">
        <v>15</v>
      </c>
      <c r="F255">
        <v>603</v>
      </c>
      <c r="G255" t="s">
        <v>34</v>
      </c>
      <c r="H255" t="s">
        <v>60</v>
      </c>
      <c r="I255" t="s">
        <v>60</v>
      </c>
      <c r="J255">
        <v>3125</v>
      </c>
      <c r="K255" t="s">
        <v>946</v>
      </c>
      <c r="L255">
        <v>3</v>
      </c>
      <c r="M255" t="s">
        <v>947</v>
      </c>
      <c r="N255">
        <v>6</v>
      </c>
      <c r="O255" t="s">
        <v>117</v>
      </c>
      <c r="Q255" t="s">
        <v>948</v>
      </c>
    </row>
    <row r="256" spans="1:17" hidden="1" x14ac:dyDescent="0.25">
      <c r="A256" t="s">
        <v>938</v>
      </c>
      <c r="B256" s="36">
        <v>46133</v>
      </c>
      <c r="C256" t="s">
        <v>26</v>
      </c>
      <c r="D256" t="s">
        <v>27</v>
      </c>
      <c r="E256">
        <v>15</v>
      </c>
      <c r="F256">
        <v>603</v>
      </c>
      <c r="G256" t="s">
        <v>34</v>
      </c>
      <c r="H256" t="s">
        <v>949</v>
      </c>
      <c r="I256" t="s">
        <v>949</v>
      </c>
      <c r="J256">
        <v>3126</v>
      </c>
      <c r="K256" t="s">
        <v>950</v>
      </c>
      <c r="L256">
        <v>5</v>
      </c>
      <c r="M256" t="s">
        <v>951</v>
      </c>
      <c r="N256">
        <v>6</v>
      </c>
      <c r="O256" t="s">
        <v>117</v>
      </c>
      <c r="Q256" t="s">
        <v>952</v>
      </c>
    </row>
    <row r="257" spans="1:17" hidden="1" x14ac:dyDescent="0.25">
      <c r="A257" t="s">
        <v>953</v>
      </c>
      <c r="B257" s="36">
        <v>46122</v>
      </c>
      <c r="C257" t="s">
        <v>26</v>
      </c>
      <c r="D257" t="s">
        <v>27</v>
      </c>
      <c r="E257">
        <v>15</v>
      </c>
      <c r="F257">
        <v>603</v>
      </c>
      <c r="G257" t="s">
        <v>34</v>
      </c>
      <c r="H257" t="s">
        <v>954</v>
      </c>
      <c r="I257" t="s">
        <v>955</v>
      </c>
      <c r="J257">
        <v>3529</v>
      </c>
      <c r="K257" t="s">
        <v>956</v>
      </c>
      <c r="L257">
        <v>6</v>
      </c>
      <c r="M257" t="s">
        <v>957</v>
      </c>
      <c r="N257">
        <v>8</v>
      </c>
      <c r="O257" t="s">
        <v>117</v>
      </c>
      <c r="Q257" t="s">
        <v>958</v>
      </c>
    </row>
    <row r="258" spans="1:17" hidden="1" x14ac:dyDescent="0.25">
      <c r="A258" t="s">
        <v>953</v>
      </c>
      <c r="B258" s="36">
        <v>46122</v>
      </c>
      <c r="C258" t="s">
        <v>26</v>
      </c>
      <c r="D258" t="s">
        <v>27</v>
      </c>
      <c r="E258">
        <v>15</v>
      </c>
      <c r="F258">
        <v>603</v>
      </c>
      <c r="G258" t="s">
        <v>34</v>
      </c>
      <c r="H258" t="s">
        <v>959</v>
      </c>
      <c r="I258" t="s">
        <v>960</v>
      </c>
      <c r="J258">
        <v>3531</v>
      </c>
      <c r="K258" t="s">
        <v>961</v>
      </c>
      <c r="L258">
        <v>4</v>
      </c>
      <c r="M258" t="s">
        <v>962</v>
      </c>
      <c r="N258">
        <v>8</v>
      </c>
      <c r="O258" t="s">
        <v>117</v>
      </c>
      <c r="Q258" t="s">
        <v>963</v>
      </c>
    </row>
    <row r="259" spans="1:17" hidden="1" x14ac:dyDescent="0.25">
      <c r="A259" t="s">
        <v>953</v>
      </c>
      <c r="B259" s="36">
        <v>46122</v>
      </c>
      <c r="C259" t="s">
        <v>26</v>
      </c>
      <c r="D259" t="s">
        <v>27</v>
      </c>
      <c r="E259">
        <v>15</v>
      </c>
      <c r="F259">
        <v>603</v>
      </c>
      <c r="G259" t="s">
        <v>34</v>
      </c>
      <c r="H259" t="s">
        <v>964</v>
      </c>
      <c r="I259" t="s">
        <v>773</v>
      </c>
      <c r="J259">
        <v>3601</v>
      </c>
      <c r="K259" t="s">
        <v>965</v>
      </c>
      <c r="L259">
        <v>4</v>
      </c>
      <c r="M259" t="s">
        <v>966</v>
      </c>
      <c r="N259">
        <v>8</v>
      </c>
      <c r="O259" t="s">
        <v>117</v>
      </c>
      <c r="Q259" t="s">
        <v>967</v>
      </c>
    </row>
    <row r="260" spans="1:17" hidden="1" x14ac:dyDescent="0.25">
      <c r="A260" t="s">
        <v>953</v>
      </c>
      <c r="B260" s="36">
        <v>46122</v>
      </c>
      <c r="C260" t="s">
        <v>26</v>
      </c>
      <c r="D260" t="s">
        <v>27</v>
      </c>
      <c r="E260">
        <v>15</v>
      </c>
      <c r="F260">
        <v>603</v>
      </c>
      <c r="G260" t="s">
        <v>34</v>
      </c>
      <c r="H260" t="s">
        <v>968</v>
      </c>
      <c r="I260" t="s">
        <v>969</v>
      </c>
      <c r="J260">
        <v>3911</v>
      </c>
      <c r="K260" t="s">
        <v>970</v>
      </c>
      <c r="L260">
        <v>4</v>
      </c>
      <c r="M260" t="s">
        <v>971</v>
      </c>
      <c r="N260">
        <v>8</v>
      </c>
      <c r="O260" t="s">
        <v>117</v>
      </c>
      <c r="Q260" t="s">
        <v>972</v>
      </c>
    </row>
    <row r="261" spans="1:17" hidden="1" x14ac:dyDescent="0.25">
      <c r="A261" t="s">
        <v>953</v>
      </c>
      <c r="B261" s="36">
        <v>46122</v>
      </c>
      <c r="C261" t="s">
        <v>26</v>
      </c>
      <c r="D261" t="s">
        <v>27</v>
      </c>
      <c r="E261">
        <v>15</v>
      </c>
      <c r="F261">
        <v>603</v>
      </c>
      <c r="G261" t="s">
        <v>34</v>
      </c>
      <c r="H261" t="s">
        <v>973</v>
      </c>
      <c r="I261" t="s">
        <v>974</v>
      </c>
      <c r="J261">
        <v>3917</v>
      </c>
      <c r="K261" t="s">
        <v>975</v>
      </c>
      <c r="L261">
        <v>6</v>
      </c>
      <c r="M261" t="s">
        <v>976</v>
      </c>
      <c r="N261">
        <v>8</v>
      </c>
      <c r="O261" t="s">
        <v>117</v>
      </c>
      <c r="Q261" t="s">
        <v>977</v>
      </c>
    </row>
    <row r="262" spans="1:17" hidden="1" x14ac:dyDescent="0.25">
      <c r="A262" t="s">
        <v>953</v>
      </c>
      <c r="B262" s="36">
        <v>46122</v>
      </c>
      <c r="C262" t="s">
        <v>26</v>
      </c>
      <c r="D262" t="s">
        <v>27</v>
      </c>
      <c r="E262">
        <v>15</v>
      </c>
      <c r="F262">
        <v>603</v>
      </c>
      <c r="G262" t="s">
        <v>34</v>
      </c>
      <c r="H262" t="s">
        <v>978</v>
      </c>
      <c r="I262" t="s">
        <v>195</v>
      </c>
      <c r="J262">
        <v>3921</v>
      </c>
      <c r="K262" t="s">
        <v>979</v>
      </c>
      <c r="L262">
        <v>3</v>
      </c>
      <c r="M262" t="s">
        <v>980</v>
      </c>
      <c r="N262">
        <v>8</v>
      </c>
      <c r="O262" t="s">
        <v>117</v>
      </c>
      <c r="Q262" t="s">
        <v>981</v>
      </c>
    </row>
    <row r="263" spans="1:17" hidden="1" x14ac:dyDescent="0.25">
      <c r="A263" t="s">
        <v>953</v>
      </c>
      <c r="B263" s="36">
        <v>46122</v>
      </c>
      <c r="C263" t="s">
        <v>26</v>
      </c>
      <c r="D263" t="s">
        <v>27</v>
      </c>
      <c r="E263">
        <v>15</v>
      </c>
      <c r="F263">
        <v>603</v>
      </c>
      <c r="G263" t="s">
        <v>34</v>
      </c>
      <c r="H263" t="s">
        <v>982</v>
      </c>
      <c r="I263" t="s">
        <v>983</v>
      </c>
      <c r="J263">
        <v>3928</v>
      </c>
      <c r="K263" t="s">
        <v>984</v>
      </c>
      <c r="L263">
        <v>8</v>
      </c>
      <c r="M263" t="s">
        <v>985</v>
      </c>
      <c r="N263">
        <v>8</v>
      </c>
      <c r="O263" t="s">
        <v>117</v>
      </c>
      <c r="Q263" t="s">
        <v>986</v>
      </c>
    </row>
    <row r="264" spans="1:17" hidden="1" x14ac:dyDescent="0.25">
      <c r="A264" t="s">
        <v>953</v>
      </c>
      <c r="B264" s="36">
        <v>46122</v>
      </c>
      <c r="C264" t="s">
        <v>26</v>
      </c>
      <c r="D264" t="s">
        <v>27</v>
      </c>
      <c r="E264">
        <v>15</v>
      </c>
      <c r="F264">
        <v>603</v>
      </c>
      <c r="G264" t="s">
        <v>34</v>
      </c>
      <c r="H264" t="s">
        <v>987</v>
      </c>
      <c r="I264" t="s">
        <v>773</v>
      </c>
      <c r="J264">
        <v>4226</v>
      </c>
      <c r="K264" t="s">
        <v>988</v>
      </c>
      <c r="L264">
        <v>5</v>
      </c>
      <c r="M264" t="s">
        <v>989</v>
      </c>
      <c r="N264">
        <v>8</v>
      </c>
      <c r="O264" t="s">
        <v>117</v>
      </c>
      <c r="Q264" t="s">
        <v>990</v>
      </c>
    </row>
    <row r="265" spans="1:17" hidden="1" x14ac:dyDescent="0.25">
      <c r="A265" t="s">
        <v>991</v>
      </c>
      <c r="B265" s="36">
        <v>46120</v>
      </c>
      <c r="C265" t="s">
        <v>26</v>
      </c>
      <c r="D265" t="s">
        <v>27</v>
      </c>
      <c r="E265">
        <v>15</v>
      </c>
      <c r="F265">
        <v>606</v>
      </c>
      <c r="G265" t="s">
        <v>34</v>
      </c>
      <c r="H265" t="s">
        <v>992</v>
      </c>
      <c r="I265" t="s">
        <v>993</v>
      </c>
      <c r="J265">
        <v>3943</v>
      </c>
      <c r="K265" t="s">
        <v>994</v>
      </c>
      <c r="L265">
        <v>8</v>
      </c>
      <c r="M265" t="s">
        <v>995</v>
      </c>
      <c r="N265">
        <v>8</v>
      </c>
      <c r="O265" t="s">
        <v>117</v>
      </c>
      <c r="Q265" t="s">
        <v>996</v>
      </c>
    </row>
    <row r="266" spans="1:17" hidden="1" x14ac:dyDescent="0.25">
      <c r="A266" t="s">
        <v>991</v>
      </c>
      <c r="B266" s="36">
        <v>46120</v>
      </c>
      <c r="C266" t="s">
        <v>26</v>
      </c>
      <c r="D266" t="s">
        <v>27</v>
      </c>
      <c r="E266">
        <v>15</v>
      </c>
      <c r="F266">
        <v>606</v>
      </c>
      <c r="G266" t="s">
        <v>34</v>
      </c>
      <c r="H266" t="s">
        <v>997</v>
      </c>
      <c r="I266" t="s">
        <v>998</v>
      </c>
      <c r="J266">
        <v>3947</v>
      </c>
      <c r="K266" t="s">
        <v>999</v>
      </c>
      <c r="L266">
        <v>3</v>
      </c>
      <c r="M266" t="s">
        <v>1000</v>
      </c>
      <c r="N266">
        <v>8</v>
      </c>
      <c r="O266" t="s">
        <v>117</v>
      </c>
      <c r="Q266" t="s">
        <v>1001</v>
      </c>
    </row>
    <row r="267" spans="1:17" hidden="1" x14ac:dyDescent="0.25">
      <c r="A267" t="s">
        <v>991</v>
      </c>
      <c r="B267" s="36">
        <v>46120</v>
      </c>
      <c r="C267" t="s">
        <v>26</v>
      </c>
      <c r="D267" t="s">
        <v>27</v>
      </c>
      <c r="E267">
        <v>15</v>
      </c>
      <c r="F267">
        <v>606</v>
      </c>
      <c r="G267" t="s">
        <v>34</v>
      </c>
      <c r="H267" t="s">
        <v>1002</v>
      </c>
      <c r="I267" t="s">
        <v>1003</v>
      </c>
      <c r="J267">
        <v>3950</v>
      </c>
      <c r="K267" t="s">
        <v>1004</v>
      </c>
      <c r="L267">
        <v>5</v>
      </c>
      <c r="M267" t="s">
        <v>1005</v>
      </c>
      <c r="N267">
        <v>8</v>
      </c>
      <c r="O267" t="s">
        <v>117</v>
      </c>
      <c r="Q267" t="s">
        <v>1006</v>
      </c>
    </row>
    <row r="268" spans="1:17" hidden="1" x14ac:dyDescent="0.25">
      <c r="A268" t="s">
        <v>991</v>
      </c>
      <c r="B268" s="36">
        <v>46120</v>
      </c>
      <c r="C268" t="s">
        <v>26</v>
      </c>
      <c r="D268" t="s">
        <v>27</v>
      </c>
      <c r="E268">
        <v>15</v>
      </c>
      <c r="F268">
        <v>606</v>
      </c>
      <c r="G268" t="s">
        <v>34</v>
      </c>
      <c r="H268" t="s">
        <v>1007</v>
      </c>
      <c r="I268" t="s">
        <v>126</v>
      </c>
      <c r="J268">
        <v>3952</v>
      </c>
      <c r="K268" t="s">
        <v>1008</v>
      </c>
      <c r="L268">
        <v>2</v>
      </c>
      <c r="M268" t="s">
        <v>1009</v>
      </c>
      <c r="N268">
        <v>8</v>
      </c>
      <c r="O268" t="s">
        <v>117</v>
      </c>
      <c r="Q268" t="s">
        <v>1010</v>
      </c>
    </row>
    <row r="269" spans="1:17" hidden="1" x14ac:dyDescent="0.25">
      <c r="A269" t="s">
        <v>991</v>
      </c>
      <c r="B269" s="36">
        <v>46120</v>
      </c>
      <c r="C269" t="s">
        <v>26</v>
      </c>
      <c r="D269" t="s">
        <v>27</v>
      </c>
      <c r="E269">
        <v>15</v>
      </c>
      <c r="F269">
        <v>606</v>
      </c>
      <c r="G269" t="s">
        <v>34</v>
      </c>
      <c r="H269" t="s">
        <v>1002</v>
      </c>
      <c r="I269" t="s">
        <v>1011</v>
      </c>
      <c r="J269">
        <v>4235</v>
      </c>
      <c r="K269" t="s">
        <v>1012</v>
      </c>
      <c r="L269">
        <v>7</v>
      </c>
      <c r="M269" t="s">
        <v>1013</v>
      </c>
      <c r="N269">
        <v>8</v>
      </c>
      <c r="O269" t="s">
        <v>117</v>
      </c>
      <c r="Q269" t="s">
        <v>1014</v>
      </c>
    </row>
    <row r="270" spans="1:17" hidden="1" x14ac:dyDescent="0.25">
      <c r="A270" t="s">
        <v>991</v>
      </c>
      <c r="B270" s="36">
        <v>46120</v>
      </c>
      <c r="C270" t="s">
        <v>26</v>
      </c>
      <c r="D270" t="s">
        <v>27</v>
      </c>
      <c r="E270">
        <v>15</v>
      </c>
      <c r="F270">
        <v>606</v>
      </c>
      <c r="G270" t="s">
        <v>34</v>
      </c>
      <c r="H270" t="s">
        <v>1015</v>
      </c>
      <c r="I270" t="s">
        <v>1016</v>
      </c>
      <c r="J270">
        <v>4236</v>
      </c>
      <c r="K270" t="s">
        <v>1017</v>
      </c>
      <c r="L270">
        <v>16</v>
      </c>
      <c r="M270" t="s">
        <v>1018</v>
      </c>
      <c r="N270">
        <v>8</v>
      </c>
      <c r="O270" t="s">
        <v>117</v>
      </c>
      <c r="Q270" t="s">
        <v>1019</v>
      </c>
    </row>
    <row r="271" spans="1:17" hidden="1" x14ac:dyDescent="0.25">
      <c r="A271" t="s">
        <v>991</v>
      </c>
      <c r="B271" s="36">
        <v>46120</v>
      </c>
      <c r="C271" t="s">
        <v>26</v>
      </c>
      <c r="D271" t="s">
        <v>27</v>
      </c>
      <c r="E271">
        <v>15</v>
      </c>
      <c r="F271">
        <v>606</v>
      </c>
      <c r="G271" t="s">
        <v>34</v>
      </c>
      <c r="H271" t="s">
        <v>1020</v>
      </c>
      <c r="I271" t="s">
        <v>795</v>
      </c>
      <c r="J271">
        <v>4238</v>
      </c>
      <c r="K271" t="s">
        <v>1021</v>
      </c>
      <c r="L271">
        <v>2</v>
      </c>
      <c r="M271" t="s">
        <v>1022</v>
      </c>
      <c r="N271">
        <v>8</v>
      </c>
      <c r="O271" t="s">
        <v>117</v>
      </c>
      <c r="Q271" t="s">
        <v>1023</v>
      </c>
    </row>
    <row r="272" spans="1:17" hidden="1" x14ac:dyDescent="0.25">
      <c r="A272" t="s">
        <v>991</v>
      </c>
      <c r="B272" s="36">
        <v>46120</v>
      </c>
      <c r="C272" t="s">
        <v>26</v>
      </c>
      <c r="D272" t="s">
        <v>27</v>
      </c>
      <c r="E272">
        <v>15</v>
      </c>
      <c r="F272">
        <v>606</v>
      </c>
      <c r="G272" t="s">
        <v>34</v>
      </c>
      <c r="H272" t="s">
        <v>1024</v>
      </c>
      <c r="I272" t="s">
        <v>1025</v>
      </c>
      <c r="J272">
        <v>4283</v>
      </c>
      <c r="K272" t="s">
        <v>1026</v>
      </c>
      <c r="L272">
        <v>10</v>
      </c>
      <c r="M272" t="s">
        <v>1027</v>
      </c>
      <c r="N272">
        <v>8</v>
      </c>
      <c r="O272" t="s">
        <v>117</v>
      </c>
      <c r="Q272" t="s">
        <v>1028</v>
      </c>
    </row>
    <row r="273" spans="1:17" hidden="1" x14ac:dyDescent="0.25">
      <c r="A273" t="s">
        <v>991</v>
      </c>
      <c r="B273" s="36">
        <v>46120</v>
      </c>
      <c r="C273" t="s">
        <v>26</v>
      </c>
      <c r="D273" t="s">
        <v>27</v>
      </c>
      <c r="E273">
        <v>15</v>
      </c>
      <c r="F273">
        <v>606</v>
      </c>
      <c r="G273" t="s">
        <v>34</v>
      </c>
      <c r="H273" t="s">
        <v>1029</v>
      </c>
      <c r="I273" t="s">
        <v>1030</v>
      </c>
      <c r="J273">
        <v>4325</v>
      </c>
      <c r="K273" t="s">
        <v>1031</v>
      </c>
      <c r="L273">
        <v>3</v>
      </c>
      <c r="M273" t="s">
        <v>1032</v>
      </c>
      <c r="N273">
        <v>8</v>
      </c>
      <c r="O273" t="s">
        <v>117</v>
      </c>
      <c r="Q273" t="s">
        <v>1033</v>
      </c>
    </row>
    <row r="274" spans="1:17" hidden="1" x14ac:dyDescent="0.25">
      <c r="A274" t="s">
        <v>991</v>
      </c>
      <c r="B274" s="36">
        <v>46120</v>
      </c>
      <c r="C274" t="s">
        <v>26</v>
      </c>
      <c r="D274" t="s">
        <v>27</v>
      </c>
      <c r="E274">
        <v>15</v>
      </c>
      <c r="F274">
        <v>606</v>
      </c>
      <c r="G274" t="s">
        <v>34</v>
      </c>
      <c r="H274" t="s">
        <v>1034</v>
      </c>
      <c r="I274" t="s">
        <v>1035</v>
      </c>
      <c r="J274">
        <v>4359</v>
      </c>
      <c r="K274" t="s">
        <v>1036</v>
      </c>
      <c r="L274">
        <v>7</v>
      </c>
      <c r="M274" t="s">
        <v>1037</v>
      </c>
      <c r="N274">
        <v>8</v>
      </c>
      <c r="O274" t="s">
        <v>117</v>
      </c>
      <c r="Q274" t="s">
        <v>1038</v>
      </c>
    </row>
    <row r="275" spans="1:17" hidden="1" x14ac:dyDescent="0.25">
      <c r="A275" t="s">
        <v>991</v>
      </c>
      <c r="B275" s="36">
        <v>46120</v>
      </c>
      <c r="C275" t="s">
        <v>26</v>
      </c>
      <c r="D275" t="s">
        <v>27</v>
      </c>
      <c r="E275">
        <v>15</v>
      </c>
      <c r="F275">
        <v>606</v>
      </c>
      <c r="G275" t="s">
        <v>34</v>
      </c>
      <c r="H275" t="s">
        <v>1039</v>
      </c>
      <c r="I275" t="s">
        <v>1040</v>
      </c>
      <c r="J275">
        <v>4360</v>
      </c>
      <c r="K275" t="s">
        <v>1041</v>
      </c>
      <c r="L275">
        <v>5</v>
      </c>
      <c r="M275" t="s">
        <v>1042</v>
      </c>
      <c r="N275">
        <v>8</v>
      </c>
      <c r="O275" t="s">
        <v>117</v>
      </c>
      <c r="Q275" t="s">
        <v>1043</v>
      </c>
    </row>
    <row r="276" spans="1:17" hidden="1" x14ac:dyDescent="0.25">
      <c r="A276" t="s">
        <v>991</v>
      </c>
      <c r="B276" s="36">
        <v>46120</v>
      </c>
      <c r="C276" t="s">
        <v>26</v>
      </c>
      <c r="D276" t="s">
        <v>27</v>
      </c>
      <c r="E276">
        <v>15</v>
      </c>
      <c r="F276">
        <v>606</v>
      </c>
      <c r="G276" t="s">
        <v>34</v>
      </c>
      <c r="H276" t="s">
        <v>1044</v>
      </c>
      <c r="I276" t="s">
        <v>1045</v>
      </c>
      <c r="J276">
        <v>4362</v>
      </c>
      <c r="K276" t="s">
        <v>1046</v>
      </c>
      <c r="L276">
        <v>4</v>
      </c>
      <c r="M276" t="s">
        <v>1047</v>
      </c>
      <c r="N276">
        <v>8</v>
      </c>
      <c r="O276" t="s">
        <v>117</v>
      </c>
      <c r="Q276" t="s">
        <v>1048</v>
      </c>
    </row>
    <row r="277" spans="1:17" hidden="1" x14ac:dyDescent="0.25">
      <c r="A277" t="s">
        <v>991</v>
      </c>
      <c r="B277" s="36">
        <v>46120</v>
      </c>
      <c r="C277" t="s">
        <v>26</v>
      </c>
      <c r="D277" t="s">
        <v>27</v>
      </c>
      <c r="E277">
        <v>15</v>
      </c>
      <c r="F277">
        <v>606</v>
      </c>
      <c r="G277" t="s">
        <v>34</v>
      </c>
      <c r="H277" t="s">
        <v>1049</v>
      </c>
      <c r="I277" t="s">
        <v>1050</v>
      </c>
      <c r="J277">
        <v>4363</v>
      </c>
      <c r="K277" t="s">
        <v>1051</v>
      </c>
      <c r="L277">
        <v>3</v>
      </c>
      <c r="M277" t="s">
        <v>1052</v>
      </c>
      <c r="N277">
        <v>8</v>
      </c>
      <c r="O277" t="s">
        <v>117</v>
      </c>
      <c r="Q277" t="s">
        <v>1053</v>
      </c>
    </row>
    <row r="278" spans="1:17" hidden="1" x14ac:dyDescent="0.25">
      <c r="A278" t="s">
        <v>991</v>
      </c>
      <c r="B278" s="36">
        <v>46120</v>
      </c>
      <c r="C278" t="s">
        <v>26</v>
      </c>
      <c r="D278" t="s">
        <v>27</v>
      </c>
      <c r="E278">
        <v>15</v>
      </c>
      <c r="F278">
        <v>606</v>
      </c>
      <c r="G278" t="s">
        <v>34</v>
      </c>
      <c r="H278" t="s">
        <v>1054</v>
      </c>
      <c r="I278" t="s">
        <v>381</v>
      </c>
      <c r="J278">
        <v>4754</v>
      </c>
      <c r="K278" t="s">
        <v>1055</v>
      </c>
      <c r="L278">
        <v>2</v>
      </c>
      <c r="M278" t="s">
        <v>1056</v>
      </c>
      <c r="N278">
        <v>8</v>
      </c>
      <c r="O278" t="s">
        <v>117</v>
      </c>
      <c r="Q278" t="s">
        <v>1057</v>
      </c>
    </row>
    <row r="279" spans="1:17" hidden="1" x14ac:dyDescent="0.25">
      <c r="A279" t="s">
        <v>1058</v>
      </c>
      <c r="B279" s="36">
        <v>46120</v>
      </c>
      <c r="C279" t="s">
        <v>29</v>
      </c>
      <c r="D279" t="s">
        <v>27</v>
      </c>
      <c r="E279">
        <v>16</v>
      </c>
      <c r="F279">
        <v>603</v>
      </c>
      <c r="G279" t="s">
        <v>34</v>
      </c>
      <c r="H279" t="s">
        <v>150</v>
      </c>
      <c r="I279" t="s">
        <v>498</v>
      </c>
      <c r="J279">
        <v>3560</v>
      </c>
      <c r="K279" t="s">
        <v>564</v>
      </c>
      <c r="L279">
        <v>1</v>
      </c>
      <c r="M279" t="s">
        <v>500</v>
      </c>
      <c r="N279">
        <v>8</v>
      </c>
      <c r="O279" t="s">
        <v>778</v>
      </c>
      <c r="Q279" t="s">
        <v>1059</v>
      </c>
    </row>
    <row r="280" spans="1:17" hidden="1" x14ac:dyDescent="0.25">
      <c r="A280" t="s">
        <v>1058</v>
      </c>
      <c r="B280" s="36">
        <v>46120</v>
      </c>
      <c r="C280" t="s">
        <v>29</v>
      </c>
      <c r="D280" t="s">
        <v>27</v>
      </c>
      <c r="E280">
        <v>16</v>
      </c>
      <c r="F280">
        <v>603</v>
      </c>
      <c r="G280" t="s">
        <v>34</v>
      </c>
      <c r="H280" t="s">
        <v>129</v>
      </c>
      <c r="I280" t="s">
        <v>498</v>
      </c>
      <c r="J280">
        <v>3561</v>
      </c>
      <c r="K280" t="s">
        <v>539</v>
      </c>
      <c r="L280">
        <v>1</v>
      </c>
      <c r="M280" t="s">
        <v>500</v>
      </c>
      <c r="N280">
        <v>8</v>
      </c>
      <c r="O280" t="s">
        <v>778</v>
      </c>
      <c r="Q280" t="s">
        <v>1060</v>
      </c>
    </row>
    <row r="281" spans="1:17" hidden="1" x14ac:dyDescent="0.25">
      <c r="A281" t="s">
        <v>1058</v>
      </c>
      <c r="B281" s="36">
        <v>46120</v>
      </c>
      <c r="C281" t="s">
        <v>29</v>
      </c>
      <c r="D281" t="s">
        <v>27</v>
      </c>
      <c r="E281">
        <v>16</v>
      </c>
      <c r="F281">
        <v>603</v>
      </c>
      <c r="G281" t="s">
        <v>34</v>
      </c>
      <c r="H281" t="s">
        <v>133</v>
      </c>
      <c r="I281" t="s">
        <v>498</v>
      </c>
      <c r="J281">
        <v>3562</v>
      </c>
      <c r="K281" t="s">
        <v>566</v>
      </c>
      <c r="L281">
        <v>1</v>
      </c>
      <c r="M281" t="s">
        <v>500</v>
      </c>
      <c r="N281">
        <v>8</v>
      </c>
      <c r="O281" t="s">
        <v>778</v>
      </c>
      <c r="Q281" t="s">
        <v>1061</v>
      </c>
    </row>
    <row r="282" spans="1:17" hidden="1" x14ac:dyDescent="0.25">
      <c r="A282" t="s">
        <v>1058</v>
      </c>
      <c r="B282" s="36">
        <v>46120</v>
      </c>
      <c r="C282" t="s">
        <v>29</v>
      </c>
      <c r="D282" t="s">
        <v>27</v>
      </c>
      <c r="E282">
        <v>16</v>
      </c>
      <c r="F282">
        <v>603</v>
      </c>
      <c r="G282" t="s">
        <v>34</v>
      </c>
      <c r="H282" t="s">
        <v>133</v>
      </c>
      <c r="I282" t="s">
        <v>498</v>
      </c>
      <c r="J282">
        <v>3565</v>
      </c>
      <c r="K282" t="s">
        <v>784</v>
      </c>
      <c r="L282">
        <v>1</v>
      </c>
      <c r="M282" t="s">
        <v>560</v>
      </c>
      <c r="N282">
        <v>8</v>
      </c>
      <c r="O282" t="s">
        <v>778</v>
      </c>
      <c r="Q282" t="s">
        <v>1062</v>
      </c>
    </row>
    <row r="283" spans="1:17" hidden="1" x14ac:dyDescent="0.25">
      <c r="A283" t="s">
        <v>1058</v>
      </c>
      <c r="B283" s="36">
        <v>46120</v>
      </c>
      <c r="C283" t="s">
        <v>29</v>
      </c>
      <c r="D283" t="s">
        <v>27</v>
      </c>
      <c r="E283">
        <v>16</v>
      </c>
      <c r="F283">
        <v>603</v>
      </c>
      <c r="G283" t="s">
        <v>34</v>
      </c>
      <c r="H283" t="s">
        <v>147</v>
      </c>
      <c r="I283" t="s">
        <v>498</v>
      </c>
      <c r="J283">
        <v>3571</v>
      </c>
      <c r="K283" t="s">
        <v>570</v>
      </c>
      <c r="L283">
        <v>1</v>
      </c>
      <c r="M283" t="s">
        <v>500</v>
      </c>
      <c r="N283">
        <v>8</v>
      </c>
      <c r="O283" t="s">
        <v>778</v>
      </c>
      <c r="Q283" t="s">
        <v>1063</v>
      </c>
    </row>
    <row r="284" spans="1:17" hidden="1" x14ac:dyDescent="0.25">
      <c r="A284" t="s">
        <v>1058</v>
      </c>
      <c r="B284" s="36">
        <v>46120</v>
      </c>
      <c r="C284" t="s">
        <v>29</v>
      </c>
      <c r="D284" t="s">
        <v>27</v>
      </c>
      <c r="E284">
        <v>16</v>
      </c>
      <c r="F284">
        <v>603</v>
      </c>
      <c r="G284" t="s">
        <v>34</v>
      </c>
      <c r="H284" t="s">
        <v>147</v>
      </c>
      <c r="I284" t="s">
        <v>498</v>
      </c>
      <c r="J284">
        <v>3590</v>
      </c>
      <c r="K284" t="s">
        <v>568</v>
      </c>
      <c r="L284">
        <v>1</v>
      </c>
      <c r="M284" t="s">
        <v>505</v>
      </c>
      <c r="N284">
        <v>8</v>
      </c>
      <c r="O284" t="s">
        <v>778</v>
      </c>
      <c r="Q284" t="s">
        <v>1064</v>
      </c>
    </row>
    <row r="285" spans="1:17" hidden="1" x14ac:dyDescent="0.25">
      <c r="A285" t="s">
        <v>1058</v>
      </c>
      <c r="B285" s="36">
        <v>46120</v>
      </c>
      <c r="C285" t="s">
        <v>29</v>
      </c>
      <c r="D285" t="s">
        <v>27</v>
      </c>
      <c r="E285">
        <v>16</v>
      </c>
      <c r="F285">
        <v>603</v>
      </c>
      <c r="G285" t="s">
        <v>34</v>
      </c>
      <c r="H285" t="s">
        <v>131</v>
      </c>
      <c r="I285" t="s">
        <v>498</v>
      </c>
      <c r="J285">
        <v>3598</v>
      </c>
      <c r="K285" t="s">
        <v>499</v>
      </c>
      <c r="L285">
        <v>1</v>
      </c>
      <c r="M285" t="s">
        <v>500</v>
      </c>
      <c r="N285">
        <v>8</v>
      </c>
      <c r="O285" t="s">
        <v>778</v>
      </c>
      <c r="Q285" t="s">
        <v>1065</v>
      </c>
    </row>
    <row r="286" spans="1:17" hidden="1" x14ac:dyDescent="0.25">
      <c r="A286" t="s">
        <v>1058</v>
      </c>
      <c r="B286" s="36">
        <v>46120</v>
      </c>
      <c r="C286" t="s">
        <v>29</v>
      </c>
      <c r="D286" t="s">
        <v>27</v>
      </c>
      <c r="E286">
        <v>16</v>
      </c>
      <c r="F286">
        <v>603</v>
      </c>
      <c r="G286" t="s">
        <v>34</v>
      </c>
      <c r="H286" t="s">
        <v>114</v>
      </c>
      <c r="I286" t="s">
        <v>498</v>
      </c>
      <c r="J286">
        <v>3857</v>
      </c>
      <c r="K286" t="s">
        <v>559</v>
      </c>
      <c r="L286">
        <v>1</v>
      </c>
      <c r="M286" t="s">
        <v>560</v>
      </c>
      <c r="N286">
        <v>8</v>
      </c>
      <c r="O286" t="s">
        <v>778</v>
      </c>
      <c r="Q286" t="s">
        <v>1066</v>
      </c>
    </row>
    <row r="287" spans="1:17" hidden="1" x14ac:dyDescent="0.25">
      <c r="A287" t="s">
        <v>1058</v>
      </c>
      <c r="B287" s="36">
        <v>46120</v>
      </c>
      <c r="C287" t="s">
        <v>29</v>
      </c>
      <c r="D287" t="s">
        <v>27</v>
      </c>
      <c r="E287">
        <v>16</v>
      </c>
      <c r="F287">
        <v>603</v>
      </c>
      <c r="G287" t="s">
        <v>34</v>
      </c>
      <c r="H287" t="s">
        <v>150</v>
      </c>
      <c r="I287" t="s">
        <v>498</v>
      </c>
      <c r="J287">
        <v>3873</v>
      </c>
      <c r="K287" t="s">
        <v>562</v>
      </c>
      <c r="L287">
        <v>1</v>
      </c>
      <c r="M287" t="s">
        <v>505</v>
      </c>
      <c r="N287">
        <v>8</v>
      </c>
      <c r="O287" t="s">
        <v>778</v>
      </c>
      <c r="Q287" t="s">
        <v>1067</v>
      </c>
    </row>
    <row r="288" spans="1:17" hidden="1" x14ac:dyDescent="0.25">
      <c r="A288" t="s">
        <v>1058</v>
      </c>
      <c r="B288" s="36">
        <v>46120</v>
      </c>
      <c r="C288" t="s">
        <v>29</v>
      </c>
      <c r="D288" t="s">
        <v>27</v>
      </c>
      <c r="E288">
        <v>16</v>
      </c>
      <c r="F288">
        <v>603</v>
      </c>
      <c r="G288" t="s">
        <v>34</v>
      </c>
      <c r="H288" t="s">
        <v>131</v>
      </c>
      <c r="I288" t="s">
        <v>498</v>
      </c>
      <c r="J288">
        <v>3879</v>
      </c>
      <c r="K288" t="s">
        <v>541</v>
      </c>
      <c r="L288">
        <v>1</v>
      </c>
      <c r="M288" t="s">
        <v>505</v>
      </c>
      <c r="N288">
        <v>8</v>
      </c>
      <c r="O288" t="s">
        <v>778</v>
      </c>
      <c r="Q288" t="s">
        <v>1068</v>
      </c>
    </row>
    <row r="289" spans="1:17" hidden="1" x14ac:dyDescent="0.25">
      <c r="A289" t="s">
        <v>1058</v>
      </c>
      <c r="B289" s="36">
        <v>46120</v>
      </c>
      <c r="C289" t="s">
        <v>29</v>
      </c>
      <c r="D289" t="s">
        <v>27</v>
      </c>
      <c r="E289">
        <v>16</v>
      </c>
      <c r="F289">
        <v>603</v>
      </c>
      <c r="G289" t="s">
        <v>34</v>
      </c>
      <c r="H289" t="s">
        <v>114</v>
      </c>
      <c r="I289" t="s">
        <v>498</v>
      </c>
      <c r="J289">
        <v>3909</v>
      </c>
      <c r="K289" t="s">
        <v>502</v>
      </c>
      <c r="L289">
        <v>1</v>
      </c>
      <c r="M289" t="s">
        <v>500</v>
      </c>
      <c r="N289">
        <v>8</v>
      </c>
      <c r="O289" t="s">
        <v>778</v>
      </c>
      <c r="Q289" t="s">
        <v>1069</v>
      </c>
    </row>
    <row r="290" spans="1:17" hidden="1" x14ac:dyDescent="0.25">
      <c r="A290" t="s">
        <v>1058</v>
      </c>
      <c r="B290" s="36">
        <v>46120</v>
      </c>
      <c r="C290" t="s">
        <v>29</v>
      </c>
      <c r="D290" t="s">
        <v>27</v>
      </c>
      <c r="E290">
        <v>16</v>
      </c>
      <c r="F290">
        <v>603</v>
      </c>
      <c r="G290" t="s">
        <v>34</v>
      </c>
      <c r="H290" t="s">
        <v>1070</v>
      </c>
      <c r="I290" t="s">
        <v>1071</v>
      </c>
      <c r="J290">
        <v>4244</v>
      </c>
      <c r="K290" t="s">
        <v>1072</v>
      </c>
      <c r="L290">
        <v>7</v>
      </c>
      <c r="M290" t="s">
        <v>1073</v>
      </c>
      <c r="N290">
        <v>8</v>
      </c>
      <c r="O290" t="s">
        <v>778</v>
      </c>
      <c r="Q290" t="s">
        <v>1074</v>
      </c>
    </row>
    <row r="291" spans="1:17" hidden="1" x14ac:dyDescent="0.25">
      <c r="A291" t="s">
        <v>1058</v>
      </c>
      <c r="B291" s="36">
        <v>46120</v>
      </c>
      <c r="C291" t="s">
        <v>29</v>
      </c>
      <c r="D291" t="s">
        <v>27</v>
      </c>
      <c r="E291">
        <v>16</v>
      </c>
      <c r="F291">
        <v>603</v>
      </c>
      <c r="G291" t="s">
        <v>34</v>
      </c>
      <c r="H291" t="s">
        <v>799</v>
      </c>
      <c r="I291" t="s">
        <v>381</v>
      </c>
      <c r="J291">
        <v>4349</v>
      </c>
      <c r="K291" t="s">
        <v>800</v>
      </c>
      <c r="L291">
        <v>2</v>
      </c>
      <c r="M291" t="s">
        <v>801</v>
      </c>
      <c r="N291">
        <v>8</v>
      </c>
      <c r="O291" t="s">
        <v>778</v>
      </c>
      <c r="Q291" t="s">
        <v>1075</v>
      </c>
    </row>
    <row r="292" spans="1:17" hidden="1" x14ac:dyDescent="0.25">
      <c r="A292" t="s">
        <v>1058</v>
      </c>
      <c r="B292" s="36">
        <v>46120</v>
      </c>
      <c r="C292" t="s">
        <v>29</v>
      </c>
      <c r="D292" t="s">
        <v>27</v>
      </c>
      <c r="E292">
        <v>16</v>
      </c>
      <c r="F292">
        <v>603</v>
      </c>
      <c r="G292" t="s">
        <v>34</v>
      </c>
      <c r="H292" t="s">
        <v>799</v>
      </c>
      <c r="I292" t="s">
        <v>381</v>
      </c>
      <c r="J292">
        <v>4352</v>
      </c>
      <c r="K292" t="s">
        <v>800</v>
      </c>
      <c r="L292">
        <v>2</v>
      </c>
      <c r="M292" t="s">
        <v>801</v>
      </c>
      <c r="N292">
        <v>8</v>
      </c>
      <c r="O292" t="s">
        <v>778</v>
      </c>
      <c r="Q292" t="s">
        <v>1076</v>
      </c>
    </row>
    <row r="293" spans="1:17" hidden="1" x14ac:dyDescent="0.25">
      <c r="A293" t="s">
        <v>1058</v>
      </c>
      <c r="B293" s="36">
        <v>46120</v>
      </c>
      <c r="C293" t="s">
        <v>29</v>
      </c>
      <c r="D293" t="s">
        <v>27</v>
      </c>
      <c r="E293">
        <v>16</v>
      </c>
      <c r="F293">
        <v>603</v>
      </c>
      <c r="G293" t="s">
        <v>34</v>
      </c>
      <c r="H293" t="s">
        <v>284</v>
      </c>
      <c r="I293" t="s">
        <v>292</v>
      </c>
      <c r="J293">
        <v>4353</v>
      </c>
      <c r="K293" t="s">
        <v>805</v>
      </c>
      <c r="L293">
        <v>3</v>
      </c>
      <c r="M293" t="s">
        <v>806</v>
      </c>
      <c r="N293">
        <v>8</v>
      </c>
      <c r="O293" t="s">
        <v>778</v>
      </c>
      <c r="Q293" t="s">
        <v>1077</v>
      </c>
    </row>
    <row r="294" spans="1:17" hidden="1" x14ac:dyDescent="0.25">
      <c r="A294" t="s">
        <v>1058</v>
      </c>
      <c r="B294" s="36">
        <v>46120</v>
      </c>
      <c r="C294" t="s">
        <v>29</v>
      </c>
      <c r="D294" t="s">
        <v>27</v>
      </c>
      <c r="E294">
        <v>16</v>
      </c>
      <c r="F294">
        <v>603</v>
      </c>
      <c r="G294" t="s">
        <v>34</v>
      </c>
      <c r="H294" t="s">
        <v>799</v>
      </c>
      <c r="I294" t="s">
        <v>381</v>
      </c>
      <c r="J294">
        <v>4354</v>
      </c>
      <c r="K294" t="s">
        <v>800</v>
      </c>
      <c r="L294">
        <v>2</v>
      </c>
      <c r="M294" t="s">
        <v>801</v>
      </c>
      <c r="N294">
        <v>8</v>
      </c>
      <c r="O294" t="s">
        <v>778</v>
      </c>
      <c r="Q294" t="s">
        <v>1078</v>
      </c>
    </row>
    <row r="295" spans="1:17" hidden="1" x14ac:dyDescent="0.25">
      <c r="A295" t="s">
        <v>1058</v>
      </c>
      <c r="B295" s="36">
        <v>46120</v>
      </c>
      <c r="C295" t="s">
        <v>29</v>
      </c>
      <c r="D295" t="s">
        <v>27</v>
      </c>
      <c r="E295">
        <v>16</v>
      </c>
      <c r="F295">
        <v>603</v>
      </c>
      <c r="G295" t="s">
        <v>34</v>
      </c>
      <c r="H295" t="s">
        <v>799</v>
      </c>
      <c r="I295" t="s">
        <v>381</v>
      </c>
      <c r="J295">
        <v>4355</v>
      </c>
      <c r="K295" t="s">
        <v>800</v>
      </c>
      <c r="L295">
        <v>2</v>
      </c>
      <c r="M295" t="s">
        <v>801</v>
      </c>
      <c r="N295">
        <v>8</v>
      </c>
      <c r="O295" t="s">
        <v>778</v>
      </c>
      <c r="Q295" t="s">
        <v>1079</v>
      </c>
    </row>
    <row r="296" spans="1:17" hidden="1" x14ac:dyDescent="0.25">
      <c r="A296" t="s">
        <v>1058</v>
      </c>
      <c r="B296" s="36">
        <v>46120</v>
      </c>
      <c r="C296" t="s">
        <v>29</v>
      </c>
      <c r="D296" t="s">
        <v>27</v>
      </c>
      <c r="E296">
        <v>16</v>
      </c>
      <c r="F296">
        <v>603</v>
      </c>
      <c r="G296" t="s">
        <v>34</v>
      </c>
      <c r="H296" t="s">
        <v>284</v>
      </c>
      <c r="I296" t="s">
        <v>381</v>
      </c>
      <c r="J296">
        <v>4356</v>
      </c>
      <c r="K296" t="s">
        <v>809</v>
      </c>
      <c r="L296">
        <v>3</v>
      </c>
      <c r="M296" t="s">
        <v>810</v>
      </c>
      <c r="N296">
        <v>8</v>
      </c>
      <c r="O296" t="s">
        <v>778</v>
      </c>
      <c r="Q296" t="s">
        <v>1080</v>
      </c>
    </row>
    <row r="297" spans="1:17" hidden="1" x14ac:dyDescent="0.25">
      <c r="A297" t="s">
        <v>1058</v>
      </c>
      <c r="B297" s="36">
        <v>46120</v>
      </c>
      <c r="C297" t="s">
        <v>29</v>
      </c>
      <c r="D297" t="s">
        <v>27</v>
      </c>
      <c r="E297">
        <v>16</v>
      </c>
      <c r="F297">
        <v>603</v>
      </c>
      <c r="G297" t="s">
        <v>34</v>
      </c>
      <c r="H297" t="s">
        <v>799</v>
      </c>
      <c r="I297" t="s">
        <v>381</v>
      </c>
      <c r="J297">
        <v>4357</v>
      </c>
      <c r="K297" t="s">
        <v>800</v>
      </c>
      <c r="L297">
        <v>2</v>
      </c>
      <c r="M297" t="s">
        <v>801</v>
      </c>
      <c r="N297">
        <v>8</v>
      </c>
      <c r="O297" t="s">
        <v>778</v>
      </c>
      <c r="Q297" t="s">
        <v>1081</v>
      </c>
    </row>
    <row r="298" spans="1:17" hidden="1" x14ac:dyDescent="0.25">
      <c r="A298" t="s">
        <v>1082</v>
      </c>
      <c r="B298" s="36">
        <v>46133</v>
      </c>
      <c r="C298" t="s">
        <v>26</v>
      </c>
      <c r="D298" t="s">
        <v>27</v>
      </c>
      <c r="E298">
        <v>15</v>
      </c>
      <c r="F298">
        <v>606</v>
      </c>
      <c r="G298" t="s">
        <v>34</v>
      </c>
      <c r="H298" t="s">
        <v>866</v>
      </c>
      <c r="I298" t="s">
        <v>897</v>
      </c>
      <c r="J298">
        <v>4184</v>
      </c>
      <c r="K298" t="s">
        <v>898</v>
      </c>
      <c r="L298">
        <v>14</v>
      </c>
      <c r="M298" t="s">
        <v>899</v>
      </c>
      <c r="N298">
        <v>16</v>
      </c>
      <c r="O298" t="s">
        <v>117</v>
      </c>
      <c r="Q298" t="s">
        <v>1083</v>
      </c>
    </row>
    <row r="299" spans="1:17" hidden="1" x14ac:dyDescent="0.25">
      <c r="A299" t="s">
        <v>1082</v>
      </c>
      <c r="B299" s="36">
        <v>46133</v>
      </c>
      <c r="C299" t="s">
        <v>26</v>
      </c>
      <c r="D299" t="s">
        <v>27</v>
      </c>
      <c r="E299">
        <v>15</v>
      </c>
      <c r="F299">
        <v>606</v>
      </c>
      <c r="G299" t="s">
        <v>34</v>
      </c>
      <c r="H299" t="s">
        <v>901</v>
      </c>
      <c r="I299" t="s">
        <v>902</v>
      </c>
      <c r="J299">
        <v>4185</v>
      </c>
      <c r="K299" t="s">
        <v>903</v>
      </c>
      <c r="L299">
        <v>10</v>
      </c>
      <c r="M299" t="s">
        <v>904</v>
      </c>
      <c r="N299">
        <v>16</v>
      </c>
      <c r="O299" t="s">
        <v>117</v>
      </c>
      <c r="Q299" t="s">
        <v>1084</v>
      </c>
    </row>
    <row r="300" spans="1:17" hidden="1" x14ac:dyDescent="0.25">
      <c r="A300" t="s">
        <v>1082</v>
      </c>
      <c r="B300" s="36">
        <v>46133</v>
      </c>
      <c r="C300" t="s">
        <v>26</v>
      </c>
      <c r="D300" t="s">
        <v>27</v>
      </c>
      <c r="E300">
        <v>15</v>
      </c>
      <c r="F300">
        <v>606</v>
      </c>
      <c r="G300" t="s">
        <v>34</v>
      </c>
      <c r="H300" t="s">
        <v>906</v>
      </c>
      <c r="I300" t="s">
        <v>907</v>
      </c>
      <c r="J300">
        <v>4186</v>
      </c>
      <c r="K300" t="s">
        <v>908</v>
      </c>
      <c r="L300">
        <v>23</v>
      </c>
      <c r="M300" t="s">
        <v>909</v>
      </c>
      <c r="N300">
        <v>16</v>
      </c>
      <c r="O300" t="s">
        <v>117</v>
      </c>
      <c r="Q300" t="s">
        <v>1085</v>
      </c>
    </row>
    <row r="301" spans="1:17" hidden="1" x14ac:dyDescent="0.25">
      <c r="A301" t="s">
        <v>1082</v>
      </c>
      <c r="B301" s="36">
        <v>46133</v>
      </c>
      <c r="C301" t="s">
        <v>26</v>
      </c>
      <c r="D301" t="s">
        <v>27</v>
      </c>
      <c r="E301">
        <v>15</v>
      </c>
      <c r="F301">
        <v>606</v>
      </c>
      <c r="G301" t="s">
        <v>34</v>
      </c>
      <c r="H301" t="s">
        <v>911</v>
      </c>
      <c r="I301" t="s">
        <v>912</v>
      </c>
      <c r="J301">
        <v>4188</v>
      </c>
      <c r="K301" t="s">
        <v>913</v>
      </c>
      <c r="L301">
        <v>18</v>
      </c>
      <c r="M301" t="s">
        <v>914</v>
      </c>
      <c r="N301">
        <v>16</v>
      </c>
      <c r="O301" t="s">
        <v>117</v>
      </c>
      <c r="Q301" t="s">
        <v>1086</v>
      </c>
    </row>
    <row r="302" spans="1:17" hidden="1" x14ac:dyDescent="0.25">
      <c r="A302" t="s">
        <v>1082</v>
      </c>
      <c r="B302" s="36">
        <v>46133</v>
      </c>
      <c r="C302" t="s">
        <v>26</v>
      </c>
      <c r="D302" t="s">
        <v>27</v>
      </c>
      <c r="E302">
        <v>15</v>
      </c>
      <c r="F302">
        <v>606</v>
      </c>
      <c r="G302" t="s">
        <v>34</v>
      </c>
      <c r="H302" t="s">
        <v>1087</v>
      </c>
      <c r="I302" t="s">
        <v>1088</v>
      </c>
      <c r="J302">
        <v>4189</v>
      </c>
      <c r="K302" t="s">
        <v>1089</v>
      </c>
      <c r="L302">
        <v>25</v>
      </c>
      <c r="M302" t="s">
        <v>1090</v>
      </c>
      <c r="N302">
        <v>16</v>
      </c>
      <c r="O302" t="s">
        <v>117</v>
      </c>
      <c r="Q302" t="s">
        <v>1091</v>
      </c>
    </row>
    <row r="303" spans="1:17" hidden="1" x14ac:dyDescent="0.25">
      <c r="A303" t="s">
        <v>1082</v>
      </c>
      <c r="B303" s="36">
        <v>46133</v>
      </c>
      <c r="C303" t="s">
        <v>26</v>
      </c>
      <c r="D303" t="s">
        <v>27</v>
      </c>
      <c r="E303">
        <v>15</v>
      </c>
      <c r="F303">
        <v>606</v>
      </c>
      <c r="G303" t="s">
        <v>34</v>
      </c>
      <c r="H303" t="s">
        <v>882</v>
      </c>
      <c r="I303" t="s">
        <v>883</v>
      </c>
      <c r="J303">
        <v>3761</v>
      </c>
      <c r="K303" t="s">
        <v>884</v>
      </c>
      <c r="L303">
        <v>20</v>
      </c>
      <c r="M303" t="s">
        <v>885</v>
      </c>
      <c r="N303">
        <v>16</v>
      </c>
      <c r="O303" t="s">
        <v>117</v>
      </c>
      <c r="Q303" t="s">
        <v>1092</v>
      </c>
    </row>
    <row r="304" spans="1:17" hidden="1" x14ac:dyDescent="0.25">
      <c r="A304" t="s">
        <v>1082</v>
      </c>
      <c r="B304" s="36">
        <v>46133</v>
      </c>
      <c r="C304" t="s">
        <v>26</v>
      </c>
      <c r="D304" t="s">
        <v>27</v>
      </c>
      <c r="E304">
        <v>15</v>
      </c>
      <c r="F304">
        <v>606</v>
      </c>
      <c r="G304" t="s">
        <v>34</v>
      </c>
      <c r="H304" t="s">
        <v>887</v>
      </c>
      <c r="I304" t="s">
        <v>888</v>
      </c>
      <c r="J304">
        <v>3762</v>
      </c>
      <c r="K304" t="s">
        <v>889</v>
      </c>
      <c r="L304">
        <v>8</v>
      </c>
      <c r="M304" t="s">
        <v>890</v>
      </c>
      <c r="N304">
        <v>16</v>
      </c>
      <c r="O304" t="s">
        <v>117</v>
      </c>
      <c r="Q304" t="s">
        <v>1093</v>
      </c>
    </row>
    <row r="305" spans="1:17" hidden="1" x14ac:dyDescent="0.25">
      <c r="A305" t="s">
        <v>1082</v>
      </c>
      <c r="B305" s="36">
        <v>46133</v>
      </c>
      <c r="C305" t="s">
        <v>26</v>
      </c>
      <c r="D305" t="s">
        <v>27</v>
      </c>
      <c r="E305">
        <v>15</v>
      </c>
      <c r="F305">
        <v>606</v>
      </c>
      <c r="G305" t="s">
        <v>34</v>
      </c>
      <c r="H305" t="s">
        <v>1094</v>
      </c>
      <c r="I305" t="s">
        <v>1095</v>
      </c>
      <c r="J305">
        <v>4826</v>
      </c>
      <c r="K305" t="s">
        <v>1096</v>
      </c>
      <c r="L305">
        <v>11</v>
      </c>
      <c r="M305" t="s">
        <v>1097</v>
      </c>
      <c r="N305">
        <v>16</v>
      </c>
      <c r="O305" t="s">
        <v>117</v>
      </c>
      <c r="Q305" t="s">
        <v>1098</v>
      </c>
    </row>
    <row r="306" spans="1:17" hidden="1" x14ac:dyDescent="0.25">
      <c r="A306" t="s">
        <v>1099</v>
      </c>
      <c r="B306" s="36">
        <v>46137</v>
      </c>
      <c r="C306" t="s">
        <v>26</v>
      </c>
      <c r="D306" t="s">
        <v>27</v>
      </c>
      <c r="E306">
        <v>15</v>
      </c>
      <c r="F306">
        <v>605</v>
      </c>
      <c r="G306" t="s">
        <v>34</v>
      </c>
      <c r="H306" t="s">
        <v>1100</v>
      </c>
      <c r="I306" t="s">
        <v>1101</v>
      </c>
      <c r="J306">
        <v>4453</v>
      </c>
      <c r="K306" t="s">
        <v>1102</v>
      </c>
      <c r="L306">
        <v>10</v>
      </c>
      <c r="M306" t="s">
        <v>1103</v>
      </c>
      <c r="N306">
        <v>12</v>
      </c>
      <c r="O306" t="s">
        <v>117</v>
      </c>
      <c r="Q306" t="s">
        <v>1104</v>
      </c>
    </row>
    <row r="307" spans="1:17" hidden="1" x14ac:dyDescent="0.25">
      <c r="A307" t="s">
        <v>1099</v>
      </c>
      <c r="B307" s="36">
        <v>46137</v>
      </c>
      <c r="C307" t="s">
        <v>26</v>
      </c>
      <c r="D307" t="s">
        <v>27</v>
      </c>
      <c r="E307">
        <v>15</v>
      </c>
      <c r="F307">
        <v>605</v>
      </c>
      <c r="G307" t="s">
        <v>34</v>
      </c>
      <c r="H307" t="s">
        <v>1105</v>
      </c>
      <c r="I307" t="s">
        <v>1106</v>
      </c>
      <c r="J307">
        <v>4663</v>
      </c>
      <c r="K307" t="s">
        <v>1107</v>
      </c>
      <c r="L307">
        <v>4</v>
      </c>
      <c r="M307" t="s">
        <v>1108</v>
      </c>
      <c r="N307">
        <v>12</v>
      </c>
      <c r="O307" t="s">
        <v>117</v>
      </c>
      <c r="Q307" t="s">
        <v>1109</v>
      </c>
    </row>
    <row r="308" spans="1:17" hidden="1" x14ac:dyDescent="0.25">
      <c r="A308" t="s">
        <v>1099</v>
      </c>
      <c r="B308" s="36">
        <v>46137</v>
      </c>
      <c r="C308" t="s">
        <v>26</v>
      </c>
      <c r="D308" t="s">
        <v>27</v>
      </c>
      <c r="E308">
        <v>15</v>
      </c>
      <c r="F308">
        <v>605</v>
      </c>
      <c r="G308" t="s">
        <v>34</v>
      </c>
      <c r="H308" t="s">
        <v>1110</v>
      </c>
      <c r="I308" t="s">
        <v>381</v>
      </c>
      <c r="J308">
        <v>3960</v>
      </c>
      <c r="K308" t="s">
        <v>1111</v>
      </c>
      <c r="L308">
        <v>2</v>
      </c>
      <c r="M308" t="s">
        <v>1056</v>
      </c>
      <c r="N308">
        <v>8</v>
      </c>
      <c r="O308" t="s">
        <v>117</v>
      </c>
      <c r="Q308" t="s">
        <v>1112</v>
      </c>
    </row>
    <row r="309" spans="1:17" hidden="1" x14ac:dyDescent="0.25">
      <c r="A309" t="s">
        <v>1099</v>
      </c>
      <c r="B309" s="36">
        <v>46137</v>
      </c>
      <c r="C309" t="s">
        <v>26</v>
      </c>
      <c r="D309" t="s">
        <v>27</v>
      </c>
      <c r="E309">
        <v>15</v>
      </c>
      <c r="F309">
        <v>605</v>
      </c>
      <c r="G309" t="s">
        <v>34</v>
      </c>
      <c r="H309" t="s">
        <v>1110</v>
      </c>
      <c r="I309" t="s">
        <v>381</v>
      </c>
      <c r="J309">
        <v>3961</v>
      </c>
      <c r="K309" t="s">
        <v>1111</v>
      </c>
      <c r="L309">
        <v>2</v>
      </c>
      <c r="M309" t="s">
        <v>1056</v>
      </c>
      <c r="N309">
        <v>8</v>
      </c>
      <c r="O309" t="s">
        <v>117</v>
      </c>
      <c r="Q309" t="s">
        <v>1113</v>
      </c>
    </row>
    <row r="310" spans="1:17" hidden="1" x14ac:dyDescent="0.25">
      <c r="A310" t="s">
        <v>1099</v>
      </c>
      <c r="B310" s="36">
        <v>46137</v>
      </c>
      <c r="C310" t="s">
        <v>26</v>
      </c>
      <c r="D310" t="s">
        <v>27</v>
      </c>
      <c r="E310">
        <v>15</v>
      </c>
      <c r="F310">
        <v>605</v>
      </c>
      <c r="G310" t="s">
        <v>34</v>
      </c>
      <c r="H310" t="s">
        <v>1110</v>
      </c>
      <c r="I310" t="s">
        <v>381</v>
      </c>
      <c r="J310">
        <v>3962</v>
      </c>
      <c r="K310" t="s">
        <v>1111</v>
      </c>
      <c r="L310">
        <v>2</v>
      </c>
      <c r="M310" t="s">
        <v>1056</v>
      </c>
      <c r="N310">
        <v>8</v>
      </c>
      <c r="O310" t="s">
        <v>117</v>
      </c>
      <c r="Q310" t="s">
        <v>1114</v>
      </c>
    </row>
    <row r="311" spans="1:17" hidden="1" x14ac:dyDescent="0.25">
      <c r="A311" t="s">
        <v>1099</v>
      </c>
      <c r="B311" s="36">
        <v>46137</v>
      </c>
      <c r="C311" t="s">
        <v>26</v>
      </c>
      <c r="D311" t="s">
        <v>27</v>
      </c>
      <c r="E311">
        <v>15</v>
      </c>
      <c r="F311">
        <v>605</v>
      </c>
      <c r="G311" t="s">
        <v>34</v>
      </c>
      <c r="H311" t="s">
        <v>1115</v>
      </c>
      <c r="I311" t="s">
        <v>381</v>
      </c>
      <c r="J311">
        <v>3963</v>
      </c>
      <c r="K311" t="s">
        <v>1111</v>
      </c>
      <c r="L311">
        <v>2</v>
      </c>
      <c r="M311" t="s">
        <v>1056</v>
      </c>
      <c r="N311">
        <v>8</v>
      </c>
      <c r="O311" t="s">
        <v>117</v>
      </c>
      <c r="Q311" t="s">
        <v>1116</v>
      </c>
    </row>
    <row r="312" spans="1:17" hidden="1" x14ac:dyDescent="0.25">
      <c r="A312" t="s">
        <v>1099</v>
      </c>
      <c r="B312" s="36">
        <v>46137</v>
      </c>
      <c r="C312" t="s">
        <v>26</v>
      </c>
      <c r="D312" t="s">
        <v>27</v>
      </c>
      <c r="E312">
        <v>15</v>
      </c>
      <c r="F312">
        <v>605</v>
      </c>
      <c r="G312" t="s">
        <v>34</v>
      </c>
      <c r="H312" t="s">
        <v>1117</v>
      </c>
      <c r="I312" t="s">
        <v>44</v>
      </c>
      <c r="J312">
        <v>4240</v>
      </c>
      <c r="K312" t="s">
        <v>1118</v>
      </c>
      <c r="L312">
        <v>2</v>
      </c>
      <c r="M312" t="s">
        <v>1119</v>
      </c>
      <c r="N312">
        <v>8</v>
      </c>
      <c r="O312" t="s">
        <v>117</v>
      </c>
      <c r="Q312" t="s">
        <v>1120</v>
      </c>
    </row>
    <row r="313" spans="1:17" hidden="1" x14ac:dyDescent="0.25">
      <c r="A313" t="s">
        <v>1099</v>
      </c>
      <c r="B313" s="36">
        <v>46137</v>
      </c>
      <c r="C313" t="s">
        <v>26</v>
      </c>
      <c r="D313" t="s">
        <v>27</v>
      </c>
      <c r="E313">
        <v>15</v>
      </c>
      <c r="F313">
        <v>605</v>
      </c>
      <c r="G313" t="s">
        <v>34</v>
      </c>
      <c r="H313" t="s">
        <v>1121</v>
      </c>
      <c r="I313" t="s">
        <v>1122</v>
      </c>
      <c r="J313">
        <v>4324</v>
      </c>
      <c r="K313" t="s">
        <v>1123</v>
      </c>
      <c r="L313">
        <v>3</v>
      </c>
      <c r="M313" t="s">
        <v>1124</v>
      </c>
      <c r="N313">
        <v>8</v>
      </c>
      <c r="O313" t="s">
        <v>117</v>
      </c>
      <c r="Q313" t="s">
        <v>1125</v>
      </c>
    </row>
    <row r="314" spans="1:17" hidden="1" x14ac:dyDescent="0.25">
      <c r="A314" t="s">
        <v>1099</v>
      </c>
      <c r="B314" s="36">
        <v>46137</v>
      </c>
      <c r="C314" t="s">
        <v>26</v>
      </c>
      <c r="D314" t="s">
        <v>27</v>
      </c>
      <c r="E314">
        <v>15</v>
      </c>
      <c r="F314">
        <v>605</v>
      </c>
      <c r="G314" t="s">
        <v>34</v>
      </c>
      <c r="H314" t="s">
        <v>1110</v>
      </c>
      <c r="I314" t="s">
        <v>381</v>
      </c>
      <c r="J314">
        <v>4366</v>
      </c>
      <c r="K314" t="s">
        <v>1111</v>
      </c>
      <c r="L314">
        <v>2</v>
      </c>
      <c r="M314" t="s">
        <v>1056</v>
      </c>
      <c r="N314">
        <v>8</v>
      </c>
      <c r="O314" t="s">
        <v>117</v>
      </c>
      <c r="Q314" t="s">
        <v>1126</v>
      </c>
    </row>
    <row r="315" spans="1:17" hidden="1" x14ac:dyDescent="0.25">
      <c r="A315" t="s">
        <v>1099</v>
      </c>
      <c r="B315" s="36">
        <v>46137</v>
      </c>
      <c r="C315" t="s">
        <v>26</v>
      </c>
      <c r="D315" t="s">
        <v>27</v>
      </c>
      <c r="E315">
        <v>15</v>
      </c>
      <c r="F315">
        <v>605</v>
      </c>
      <c r="G315" t="s">
        <v>34</v>
      </c>
      <c r="H315" t="s">
        <v>1110</v>
      </c>
      <c r="I315" t="s">
        <v>381</v>
      </c>
      <c r="J315">
        <v>4367</v>
      </c>
      <c r="K315" t="s">
        <v>1111</v>
      </c>
      <c r="L315">
        <v>2</v>
      </c>
      <c r="M315" t="s">
        <v>1056</v>
      </c>
      <c r="N315">
        <v>8</v>
      </c>
      <c r="O315" t="s">
        <v>117</v>
      </c>
      <c r="Q315" t="s">
        <v>1127</v>
      </c>
    </row>
    <row r="316" spans="1:17" hidden="1" x14ac:dyDescent="0.25">
      <c r="A316" t="s">
        <v>1128</v>
      </c>
      <c r="B316" s="36">
        <v>46126</v>
      </c>
      <c r="C316" t="s">
        <v>26</v>
      </c>
      <c r="D316" t="s">
        <v>27</v>
      </c>
      <c r="E316">
        <v>15</v>
      </c>
      <c r="F316">
        <v>605</v>
      </c>
      <c r="G316" t="s">
        <v>34</v>
      </c>
      <c r="H316" t="s">
        <v>1129</v>
      </c>
      <c r="I316" t="s">
        <v>1130</v>
      </c>
      <c r="J316">
        <v>3635</v>
      </c>
      <c r="K316" t="s">
        <v>1131</v>
      </c>
      <c r="L316">
        <v>5</v>
      </c>
      <c r="M316" t="s">
        <v>1132</v>
      </c>
      <c r="N316">
        <v>8</v>
      </c>
      <c r="O316" t="s">
        <v>117</v>
      </c>
      <c r="Q316" t="s">
        <v>1133</v>
      </c>
    </row>
    <row r="317" spans="1:17" hidden="1" x14ac:dyDescent="0.25">
      <c r="A317" t="s">
        <v>1128</v>
      </c>
      <c r="B317" s="36">
        <v>46126</v>
      </c>
      <c r="C317" t="s">
        <v>26</v>
      </c>
      <c r="D317" t="s">
        <v>27</v>
      </c>
      <c r="E317">
        <v>15</v>
      </c>
      <c r="F317">
        <v>605</v>
      </c>
      <c r="G317" t="s">
        <v>34</v>
      </c>
      <c r="H317" t="s">
        <v>823</v>
      </c>
      <c r="I317" t="s">
        <v>824</v>
      </c>
      <c r="J317">
        <v>3641</v>
      </c>
      <c r="K317" t="s">
        <v>825</v>
      </c>
      <c r="L317">
        <v>4</v>
      </c>
      <c r="M317" t="s">
        <v>826</v>
      </c>
      <c r="N317">
        <v>8</v>
      </c>
      <c r="O317" t="s">
        <v>117</v>
      </c>
      <c r="Q317" t="s">
        <v>1134</v>
      </c>
    </row>
    <row r="318" spans="1:17" hidden="1" x14ac:dyDescent="0.25">
      <c r="A318" t="s">
        <v>1128</v>
      </c>
      <c r="B318" s="36">
        <v>46126</v>
      </c>
      <c r="C318" t="s">
        <v>26</v>
      </c>
      <c r="D318" t="s">
        <v>27</v>
      </c>
      <c r="E318">
        <v>15</v>
      </c>
      <c r="F318">
        <v>605</v>
      </c>
      <c r="G318" t="s">
        <v>34</v>
      </c>
      <c r="H318" t="s">
        <v>367</v>
      </c>
      <c r="I318" t="s">
        <v>427</v>
      </c>
      <c r="J318">
        <v>3847</v>
      </c>
      <c r="K318" t="s">
        <v>428</v>
      </c>
      <c r="L318">
        <v>1</v>
      </c>
      <c r="M318" t="s">
        <v>429</v>
      </c>
      <c r="N318">
        <v>8</v>
      </c>
      <c r="O318" t="s">
        <v>117</v>
      </c>
      <c r="Q318" t="s">
        <v>1135</v>
      </c>
    </row>
    <row r="319" spans="1:17" hidden="1" x14ac:dyDescent="0.25">
      <c r="A319" t="s">
        <v>1128</v>
      </c>
      <c r="B319" s="36">
        <v>46126</v>
      </c>
      <c r="C319" t="s">
        <v>26</v>
      </c>
      <c r="D319" t="s">
        <v>27</v>
      </c>
      <c r="E319">
        <v>15</v>
      </c>
      <c r="F319">
        <v>605</v>
      </c>
      <c r="G319" t="s">
        <v>34</v>
      </c>
      <c r="H319" t="s">
        <v>367</v>
      </c>
      <c r="I319" t="s">
        <v>427</v>
      </c>
      <c r="J319">
        <v>3868</v>
      </c>
      <c r="K319" t="s">
        <v>428</v>
      </c>
      <c r="L319">
        <v>1</v>
      </c>
      <c r="M319" t="s">
        <v>429</v>
      </c>
      <c r="N319">
        <v>8</v>
      </c>
      <c r="O319" t="s">
        <v>117</v>
      </c>
      <c r="Q319" t="s">
        <v>1136</v>
      </c>
    </row>
    <row r="320" spans="1:17" hidden="1" x14ac:dyDescent="0.25">
      <c r="A320" t="s">
        <v>1128</v>
      </c>
      <c r="B320" s="36">
        <v>46126</v>
      </c>
      <c r="C320" t="s">
        <v>26</v>
      </c>
      <c r="D320" t="s">
        <v>27</v>
      </c>
      <c r="E320">
        <v>15</v>
      </c>
      <c r="F320">
        <v>605</v>
      </c>
      <c r="G320" t="s">
        <v>34</v>
      </c>
      <c r="H320" t="s">
        <v>829</v>
      </c>
      <c r="I320" t="s">
        <v>368</v>
      </c>
      <c r="J320">
        <v>3896</v>
      </c>
      <c r="K320" t="s">
        <v>369</v>
      </c>
      <c r="L320">
        <v>1</v>
      </c>
      <c r="M320" t="s">
        <v>370</v>
      </c>
      <c r="N320">
        <v>8</v>
      </c>
      <c r="O320" t="s">
        <v>117</v>
      </c>
      <c r="Q320" t="s">
        <v>1137</v>
      </c>
    </row>
    <row r="321" spans="1:17" hidden="1" x14ac:dyDescent="0.25">
      <c r="A321" t="s">
        <v>1128</v>
      </c>
      <c r="B321" s="36">
        <v>46126</v>
      </c>
      <c r="C321" t="s">
        <v>26</v>
      </c>
      <c r="D321" t="s">
        <v>27</v>
      </c>
      <c r="E321">
        <v>15</v>
      </c>
      <c r="F321">
        <v>605</v>
      </c>
      <c r="G321" t="s">
        <v>34</v>
      </c>
      <c r="H321" t="s">
        <v>831</v>
      </c>
      <c r="I321" t="s">
        <v>832</v>
      </c>
      <c r="J321">
        <v>3899</v>
      </c>
      <c r="K321" t="s">
        <v>833</v>
      </c>
      <c r="L321">
        <v>3</v>
      </c>
      <c r="M321" t="s">
        <v>834</v>
      </c>
      <c r="N321">
        <v>8</v>
      </c>
      <c r="O321" t="s">
        <v>117</v>
      </c>
      <c r="Q321" t="s">
        <v>1138</v>
      </c>
    </row>
    <row r="322" spans="1:17" hidden="1" x14ac:dyDescent="0.25">
      <c r="A322" t="s">
        <v>1128</v>
      </c>
      <c r="B322" s="36">
        <v>46126</v>
      </c>
      <c r="C322" t="s">
        <v>26</v>
      </c>
      <c r="D322" t="s">
        <v>27</v>
      </c>
      <c r="E322">
        <v>15</v>
      </c>
      <c r="F322">
        <v>605</v>
      </c>
      <c r="G322" t="s">
        <v>34</v>
      </c>
      <c r="H322" t="s">
        <v>836</v>
      </c>
      <c r="I322" t="s">
        <v>837</v>
      </c>
      <c r="J322">
        <v>3900</v>
      </c>
      <c r="K322" t="s">
        <v>838</v>
      </c>
      <c r="L322">
        <v>8</v>
      </c>
      <c r="M322" t="s">
        <v>839</v>
      </c>
      <c r="N322">
        <v>8</v>
      </c>
      <c r="O322" t="s">
        <v>117</v>
      </c>
      <c r="Q322" t="s">
        <v>1139</v>
      </c>
    </row>
    <row r="323" spans="1:17" hidden="1" x14ac:dyDescent="0.25">
      <c r="A323" t="s">
        <v>1128</v>
      </c>
      <c r="B323" s="36">
        <v>46126</v>
      </c>
      <c r="C323" t="s">
        <v>26</v>
      </c>
      <c r="D323" t="s">
        <v>27</v>
      </c>
      <c r="E323">
        <v>15</v>
      </c>
      <c r="F323">
        <v>605</v>
      </c>
      <c r="G323" t="s">
        <v>34</v>
      </c>
      <c r="H323" t="s">
        <v>841</v>
      </c>
      <c r="I323" t="s">
        <v>842</v>
      </c>
      <c r="J323">
        <v>3907</v>
      </c>
      <c r="K323" t="s">
        <v>843</v>
      </c>
      <c r="L323">
        <v>5</v>
      </c>
      <c r="M323" t="s">
        <v>844</v>
      </c>
      <c r="N323">
        <v>8</v>
      </c>
      <c r="O323" t="s">
        <v>117</v>
      </c>
      <c r="Q323" t="s">
        <v>1140</v>
      </c>
    </row>
    <row r="324" spans="1:17" hidden="1" x14ac:dyDescent="0.25">
      <c r="A324" t="s">
        <v>1128</v>
      </c>
      <c r="B324" s="36">
        <v>46126</v>
      </c>
      <c r="C324" t="s">
        <v>26</v>
      </c>
      <c r="D324" t="s">
        <v>27</v>
      </c>
      <c r="E324">
        <v>15</v>
      </c>
      <c r="F324">
        <v>605</v>
      </c>
      <c r="G324" t="s">
        <v>34</v>
      </c>
      <c r="H324" t="s">
        <v>1141</v>
      </c>
      <c r="I324" t="s">
        <v>1142</v>
      </c>
      <c r="J324">
        <v>3924</v>
      </c>
      <c r="K324" t="s">
        <v>1143</v>
      </c>
      <c r="L324">
        <v>3</v>
      </c>
      <c r="M324" t="s">
        <v>1144</v>
      </c>
      <c r="N324">
        <v>8</v>
      </c>
      <c r="O324" t="s">
        <v>117</v>
      </c>
      <c r="Q324" t="s">
        <v>1145</v>
      </c>
    </row>
    <row r="325" spans="1:17" hidden="1" x14ac:dyDescent="0.25">
      <c r="A325" t="s">
        <v>1128</v>
      </c>
      <c r="B325" s="36">
        <v>46126</v>
      </c>
      <c r="C325" t="s">
        <v>26</v>
      </c>
      <c r="D325" t="s">
        <v>27</v>
      </c>
      <c r="E325">
        <v>15</v>
      </c>
      <c r="F325">
        <v>605</v>
      </c>
      <c r="G325" t="s">
        <v>34</v>
      </c>
      <c r="H325" t="s">
        <v>846</v>
      </c>
      <c r="I325" t="s">
        <v>847</v>
      </c>
      <c r="J325">
        <v>3934</v>
      </c>
      <c r="K325" t="s">
        <v>848</v>
      </c>
      <c r="L325">
        <v>6</v>
      </c>
      <c r="M325" t="s">
        <v>849</v>
      </c>
      <c r="N325">
        <v>8</v>
      </c>
      <c r="O325" t="s">
        <v>117</v>
      </c>
      <c r="Q325" t="s">
        <v>1146</v>
      </c>
    </row>
    <row r="326" spans="1:17" hidden="1" x14ac:dyDescent="0.25">
      <c r="A326" t="s">
        <v>1128</v>
      </c>
      <c r="B326" s="36">
        <v>46126</v>
      </c>
      <c r="C326" t="s">
        <v>26</v>
      </c>
      <c r="D326" t="s">
        <v>27</v>
      </c>
      <c r="E326">
        <v>15</v>
      </c>
      <c r="F326">
        <v>605</v>
      </c>
      <c r="G326" t="s">
        <v>34</v>
      </c>
      <c r="H326" t="s">
        <v>866</v>
      </c>
      <c r="I326" t="s">
        <v>1147</v>
      </c>
      <c r="J326">
        <v>3939</v>
      </c>
      <c r="K326" t="s">
        <v>1148</v>
      </c>
      <c r="L326">
        <v>3</v>
      </c>
      <c r="M326" t="s">
        <v>1149</v>
      </c>
      <c r="N326">
        <v>8</v>
      </c>
      <c r="O326" t="s">
        <v>117</v>
      </c>
      <c r="Q326" t="s">
        <v>1150</v>
      </c>
    </row>
    <row r="327" spans="1:17" hidden="1" x14ac:dyDescent="0.25">
      <c r="A327" t="s">
        <v>1128</v>
      </c>
      <c r="B327" s="36">
        <v>46126</v>
      </c>
      <c r="C327" t="s">
        <v>26</v>
      </c>
      <c r="D327" t="s">
        <v>27</v>
      </c>
      <c r="E327">
        <v>15</v>
      </c>
      <c r="F327">
        <v>605</v>
      </c>
      <c r="G327" t="s">
        <v>34</v>
      </c>
      <c r="H327" t="s">
        <v>851</v>
      </c>
      <c r="I327" t="s">
        <v>852</v>
      </c>
      <c r="J327">
        <v>4227</v>
      </c>
      <c r="K327" t="s">
        <v>853</v>
      </c>
      <c r="L327">
        <v>11</v>
      </c>
      <c r="M327" t="s">
        <v>854</v>
      </c>
      <c r="N327">
        <v>8</v>
      </c>
      <c r="O327" t="s">
        <v>117</v>
      </c>
      <c r="Q327" t="s">
        <v>1151</v>
      </c>
    </row>
    <row r="328" spans="1:17" hidden="1" x14ac:dyDescent="0.25">
      <c r="A328" t="s">
        <v>1128</v>
      </c>
      <c r="B328" s="36">
        <v>46126</v>
      </c>
      <c r="C328" t="s">
        <v>26</v>
      </c>
      <c r="D328" t="s">
        <v>27</v>
      </c>
      <c r="E328">
        <v>15</v>
      </c>
      <c r="F328">
        <v>605</v>
      </c>
      <c r="G328" t="s">
        <v>34</v>
      </c>
      <c r="H328" t="s">
        <v>1070</v>
      </c>
      <c r="I328" t="s">
        <v>1071</v>
      </c>
      <c r="J328">
        <v>4244</v>
      </c>
      <c r="K328" t="s">
        <v>1072</v>
      </c>
      <c r="L328">
        <v>7</v>
      </c>
      <c r="M328" t="s">
        <v>1073</v>
      </c>
      <c r="N328">
        <v>8</v>
      </c>
      <c r="O328" t="s">
        <v>117</v>
      </c>
      <c r="Q328" t="s">
        <v>1152</v>
      </c>
    </row>
    <row r="329" spans="1:17" hidden="1" x14ac:dyDescent="0.25">
      <c r="A329" t="s">
        <v>1128</v>
      </c>
      <c r="B329" s="36">
        <v>46126</v>
      </c>
      <c r="C329" t="s">
        <v>26</v>
      </c>
      <c r="D329" t="s">
        <v>27</v>
      </c>
      <c r="E329">
        <v>15</v>
      </c>
      <c r="F329">
        <v>605</v>
      </c>
      <c r="G329" t="s">
        <v>34</v>
      </c>
      <c r="H329" t="s">
        <v>856</v>
      </c>
      <c r="I329" t="s">
        <v>857</v>
      </c>
      <c r="J329">
        <v>4281</v>
      </c>
      <c r="K329" t="s">
        <v>858</v>
      </c>
      <c r="L329">
        <v>4</v>
      </c>
      <c r="M329" t="s">
        <v>859</v>
      </c>
      <c r="N329">
        <v>8</v>
      </c>
      <c r="O329" t="s">
        <v>117</v>
      </c>
      <c r="Q329" t="s">
        <v>1153</v>
      </c>
    </row>
    <row r="330" spans="1:17" hidden="1" x14ac:dyDescent="0.25">
      <c r="A330" t="s">
        <v>1128</v>
      </c>
      <c r="B330" s="36">
        <v>46126</v>
      </c>
      <c r="C330" t="s">
        <v>26</v>
      </c>
      <c r="D330" t="s">
        <v>27</v>
      </c>
      <c r="E330">
        <v>15</v>
      </c>
      <c r="F330">
        <v>605</v>
      </c>
      <c r="G330" t="s">
        <v>34</v>
      </c>
      <c r="H330" t="s">
        <v>861</v>
      </c>
      <c r="I330" t="s">
        <v>862</v>
      </c>
      <c r="J330">
        <v>4282</v>
      </c>
      <c r="K330" t="s">
        <v>863</v>
      </c>
      <c r="L330">
        <v>7</v>
      </c>
      <c r="M330" t="s">
        <v>864</v>
      </c>
      <c r="N330">
        <v>8</v>
      </c>
      <c r="O330" t="s">
        <v>117</v>
      </c>
      <c r="Q330" t="s">
        <v>1154</v>
      </c>
    </row>
    <row r="331" spans="1:17" hidden="1" x14ac:dyDescent="0.25">
      <c r="A331" t="s">
        <v>1128</v>
      </c>
      <c r="B331" s="36">
        <v>46126</v>
      </c>
      <c r="C331" t="s">
        <v>26</v>
      </c>
      <c r="D331" t="s">
        <v>27</v>
      </c>
      <c r="E331">
        <v>15</v>
      </c>
      <c r="F331">
        <v>605</v>
      </c>
      <c r="G331" t="s">
        <v>34</v>
      </c>
      <c r="H331" t="s">
        <v>1155</v>
      </c>
      <c r="I331" t="s">
        <v>1156</v>
      </c>
      <c r="J331">
        <v>4368</v>
      </c>
      <c r="K331" t="s">
        <v>1157</v>
      </c>
      <c r="L331">
        <v>6</v>
      </c>
      <c r="M331" t="s">
        <v>1158</v>
      </c>
      <c r="N331">
        <v>8</v>
      </c>
      <c r="O331" t="s">
        <v>117</v>
      </c>
      <c r="Q331" t="s">
        <v>1159</v>
      </c>
    </row>
    <row r="332" spans="1:17" hidden="1" x14ac:dyDescent="0.25">
      <c r="A332" t="s">
        <v>1128</v>
      </c>
      <c r="B332" s="36">
        <v>46126</v>
      </c>
      <c r="C332" t="s">
        <v>26</v>
      </c>
      <c r="D332" t="s">
        <v>27</v>
      </c>
      <c r="E332">
        <v>15</v>
      </c>
      <c r="F332">
        <v>605</v>
      </c>
      <c r="G332" t="s">
        <v>34</v>
      </c>
      <c r="H332" t="s">
        <v>866</v>
      </c>
      <c r="I332" t="s">
        <v>867</v>
      </c>
      <c r="J332">
        <v>4374</v>
      </c>
      <c r="K332" t="s">
        <v>868</v>
      </c>
      <c r="L332">
        <v>4</v>
      </c>
      <c r="M332" t="s">
        <v>869</v>
      </c>
      <c r="N332">
        <v>8</v>
      </c>
      <c r="O332" t="s">
        <v>117</v>
      </c>
      <c r="Q332" t="s">
        <v>1160</v>
      </c>
    </row>
    <row r="333" spans="1:17" hidden="1" x14ac:dyDescent="0.25">
      <c r="A333" t="s">
        <v>1161</v>
      </c>
      <c r="B333" s="36">
        <v>46125</v>
      </c>
      <c r="C333" t="s">
        <v>26</v>
      </c>
      <c r="D333" t="s">
        <v>27</v>
      </c>
      <c r="E333">
        <v>15</v>
      </c>
      <c r="F333">
        <v>603</v>
      </c>
      <c r="G333" t="s">
        <v>34</v>
      </c>
      <c r="H333" t="s">
        <v>129</v>
      </c>
      <c r="I333" t="s">
        <v>115</v>
      </c>
      <c r="J333">
        <v>3527</v>
      </c>
      <c r="K333" t="s">
        <v>1162</v>
      </c>
      <c r="L333">
        <v>1</v>
      </c>
      <c r="M333" t="s">
        <v>119</v>
      </c>
      <c r="N333">
        <v>8</v>
      </c>
      <c r="O333" t="s">
        <v>117</v>
      </c>
      <c r="Q333" t="s">
        <v>1163</v>
      </c>
    </row>
    <row r="334" spans="1:17" hidden="1" x14ac:dyDescent="0.25">
      <c r="A334" t="s">
        <v>1161</v>
      </c>
      <c r="B334" s="36">
        <v>46125</v>
      </c>
      <c r="C334" t="s">
        <v>26</v>
      </c>
      <c r="D334" t="s">
        <v>27</v>
      </c>
      <c r="E334">
        <v>15</v>
      </c>
      <c r="F334">
        <v>603</v>
      </c>
      <c r="G334" t="s">
        <v>34</v>
      </c>
      <c r="H334" t="s">
        <v>131</v>
      </c>
      <c r="I334" t="s">
        <v>115</v>
      </c>
      <c r="J334">
        <v>3528</v>
      </c>
      <c r="K334" t="s">
        <v>1164</v>
      </c>
      <c r="L334">
        <v>1</v>
      </c>
      <c r="M334" t="s">
        <v>119</v>
      </c>
      <c r="N334">
        <v>8</v>
      </c>
      <c r="O334" t="s">
        <v>117</v>
      </c>
      <c r="Q334" t="s">
        <v>1165</v>
      </c>
    </row>
    <row r="335" spans="1:17" hidden="1" x14ac:dyDescent="0.25">
      <c r="A335" t="s">
        <v>1161</v>
      </c>
      <c r="B335" s="36">
        <v>46125</v>
      </c>
      <c r="C335" t="s">
        <v>26</v>
      </c>
      <c r="D335" t="s">
        <v>27</v>
      </c>
      <c r="E335">
        <v>15</v>
      </c>
      <c r="F335">
        <v>603</v>
      </c>
      <c r="G335" t="s">
        <v>34</v>
      </c>
      <c r="H335" t="s">
        <v>1166</v>
      </c>
      <c r="I335" t="s">
        <v>225</v>
      </c>
      <c r="J335">
        <v>3549</v>
      </c>
      <c r="K335" t="s">
        <v>1167</v>
      </c>
      <c r="L335">
        <v>2</v>
      </c>
      <c r="M335" t="s">
        <v>1168</v>
      </c>
      <c r="N335">
        <v>8</v>
      </c>
      <c r="O335" t="s">
        <v>117</v>
      </c>
      <c r="Q335" t="s">
        <v>1169</v>
      </c>
    </row>
    <row r="336" spans="1:17" hidden="1" x14ac:dyDescent="0.25">
      <c r="A336" t="s">
        <v>1161</v>
      </c>
      <c r="B336" s="36">
        <v>46125</v>
      </c>
      <c r="C336" t="s">
        <v>26</v>
      </c>
      <c r="D336" t="s">
        <v>27</v>
      </c>
      <c r="E336">
        <v>15</v>
      </c>
      <c r="F336">
        <v>603</v>
      </c>
      <c r="G336" t="s">
        <v>34</v>
      </c>
      <c r="H336" t="s">
        <v>150</v>
      </c>
      <c r="I336" t="s">
        <v>115</v>
      </c>
      <c r="J336">
        <v>3558</v>
      </c>
      <c r="K336" t="s">
        <v>87</v>
      </c>
      <c r="L336">
        <v>1</v>
      </c>
      <c r="M336" t="s">
        <v>116</v>
      </c>
      <c r="N336">
        <v>8</v>
      </c>
      <c r="O336" t="s">
        <v>117</v>
      </c>
      <c r="Q336" t="s">
        <v>1170</v>
      </c>
    </row>
    <row r="337" spans="1:17" hidden="1" x14ac:dyDescent="0.25">
      <c r="A337" t="s">
        <v>1161</v>
      </c>
      <c r="B337" s="36">
        <v>46125</v>
      </c>
      <c r="C337" t="s">
        <v>26</v>
      </c>
      <c r="D337" t="s">
        <v>27</v>
      </c>
      <c r="E337">
        <v>15</v>
      </c>
      <c r="F337">
        <v>603</v>
      </c>
      <c r="G337" t="s">
        <v>34</v>
      </c>
      <c r="H337" t="s">
        <v>150</v>
      </c>
      <c r="I337" t="s">
        <v>115</v>
      </c>
      <c r="J337">
        <v>3563</v>
      </c>
      <c r="K337" t="s">
        <v>96</v>
      </c>
      <c r="L337">
        <v>1</v>
      </c>
      <c r="M337" t="s">
        <v>119</v>
      </c>
      <c r="N337">
        <v>8</v>
      </c>
      <c r="O337" t="s">
        <v>117</v>
      </c>
      <c r="Q337" t="s">
        <v>1171</v>
      </c>
    </row>
    <row r="338" spans="1:17" hidden="1" x14ac:dyDescent="0.25">
      <c r="A338" t="s">
        <v>1161</v>
      </c>
      <c r="B338" s="36">
        <v>46125</v>
      </c>
      <c r="C338" t="s">
        <v>26</v>
      </c>
      <c r="D338" t="s">
        <v>27</v>
      </c>
      <c r="E338">
        <v>15</v>
      </c>
      <c r="F338">
        <v>603</v>
      </c>
      <c r="G338" t="s">
        <v>34</v>
      </c>
      <c r="H338" t="s">
        <v>147</v>
      </c>
      <c r="I338" t="s">
        <v>115</v>
      </c>
      <c r="J338">
        <v>3566</v>
      </c>
      <c r="K338" t="s">
        <v>101</v>
      </c>
      <c r="L338">
        <v>1</v>
      </c>
      <c r="M338" t="s">
        <v>116</v>
      </c>
      <c r="N338">
        <v>8</v>
      </c>
      <c r="O338" t="s">
        <v>117</v>
      </c>
      <c r="Q338" t="s">
        <v>1172</v>
      </c>
    </row>
    <row r="339" spans="1:17" hidden="1" x14ac:dyDescent="0.25">
      <c r="A339" t="s">
        <v>1161</v>
      </c>
      <c r="B339" s="36">
        <v>46125</v>
      </c>
      <c r="C339" t="s">
        <v>26</v>
      </c>
      <c r="D339" t="s">
        <v>27</v>
      </c>
      <c r="E339">
        <v>15</v>
      </c>
      <c r="F339">
        <v>603</v>
      </c>
      <c r="G339" t="s">
        <v>34</v>
      </c>
      <c r="H339" t="s">
        <v>872</v>
      </c>
      <c r="I339" t="s">
        <v>225</v>
      </c>
      <c r="J339">
        <v>3567</v>
      </c>
      <c r="K339" t="s">
        <v>1173</v>
      </c>
      <c r="L339">
        <v>2</v>
      </c>
      <c r="M339" t="s">
        <v>1168</v>
      </c>
      <c r="N339">
        <v>8</v>
      </c>
      <c r="O339" t="s">
        <v>117</v>
      </c>
      <c r="Q339" t="s">
        <v>1174</v>
      </c>
    </row>
    <row r="340" spans="1:17" hidden="1" x14ac:dyDescent="0.25">
      <c r="A340" t="s">
        <v>1161</v>
      </c>
      <c r="B340" s="36">
        <v>46125</v>
      </c>
      <c r="C340" t="s">
        <v>26</v>
      </c>
      <c r="D340" t="s">
        <v>27</v>
      </c>
      <c r="E340">
        <v>15</v>
      </c>
      <c r="F340">
        <v>603</v>
      </c>
      <c r="G340" t="s">
        <v>34</v>
      </c>
      <c r="H340" t="s">
        <v>147</v>
      </c>
      <c r="I340" t="s">
        <v>115</v>
      </c>
      <c r="J340">
        <v>3568</v>
      </c>
      <c r="K340" t="s">
        <v>102</v>
      </c>
      <c r="L340">
        <v>1</v>
      </c>
      <c r="M340" t="s">
        <v>119</v>
      </c>
      <c r="N340">
        <v>8</v>
      </c>
      <c r="O340" t="s">
        <v>117</v>
      </c>
      <c r="Q340" t="s">
        <v>1175</v>
      </c>
    </row>
    <row r="341" spans="1:17" hidden="1" x14ac:dyDescent="0.25">
      <c r="A341" t="s">
        <v>1161</v>
      </c>
      <c r="B341" s="36">
        <v>46125</v>
      </c>
      <c r="C341" t="s">
        <v>26</v>
      </c>
      <c r="D341" t="s">
        <v>27</v>
      </c>
      <c r="E341">
        <v>15</v>
      </c>
      <c r="F341">
        <v>603</v>
      </c>
      <c r="G341" t="s">
        <v>34</v>
      </c>
      <c r="H341" t="s">
        <v>129</v>
      </c>
      <c r="I341" t="s">
        <v>512</v>
      </c>
      <c r="J341">
        <v>3592</v>
      </c>
      <c r="K341" t="s">
        <v>1176</v>
      </c>
      <c r="L341">
        <v>1</v>
      </c>
      <c r="M341" t="s">
        <v>119</v>
      </c>
      <c r="N341">
        <v>8</v>
      </c>
      <c r="O341" t="s">
        <v>117</v>
      </c>
      <c r="Q341" t="s">
        <v>1177</v>
      </c>
    </row>
    <row r="342" spans="1:17" hidden="1" x14ac:dyDescent="0.25">
      <c r="A342" t="s">
        <v>1161</v>
      </c>
      <c r="B342" s="36">
        <v>46125</v>
      </c>
      <c r="C342" t="s">
        <v>26</v>
      </c>
      <c r="D342" t="s">
        <v>27</v>
      </c>
      <c r="E342">
        <v>15</v>
      </c>
      <c r="F342">
        <v>603</v>
      </c>
      <c r="G342" t="s">
        <v>34</v>
      </c>
      <c r="H342" t="s">
        <v>133</v>
      </c>
      <c r="I342" t="s">
        <v>512</v>
      </c>
      <c r="J342">
        <v>3751</v>
      </c>
      <c r="K342" t="s">
        <v>91</v>
      </c>
      <c r="L342">
        <v>1</v>
      </c>
      <c r="M342" t="s">
        <v>119</v>
      </c>
      <c r="N342">
        <v>8</v>
      </c>
      <c r="O342" t="s">
        <v>117</v>
      </c>
      <c r="Q342" t="s">
        <v>1178</v>
      </c>
    </row>
    <row r="343" spans="1:17" hidden="1" x14ac:dyDescent="0.25">
      <c r="A343" t="s">
        <v>1161</v>
      </c>
      <c r="B343" s="36">
        <v>46125</v>
      </c>
      <c r="C343" t="s">
        <v>26</v>
      </c>
      <c r="D343" t="s">
        <v>27</v>
      </c>
      <c r="E343">
        <v>15</v>
      </c>
      <c r="F343">
        <v>603</v>
      </c>
      <c r="G343" t="s">
        <v>34</v>
      </c>
      <c r="H343" t="s">
        <v>114</v>
      </c>
      <c r="I343" t="s">
        <v>512</v>
      </c>
      <c r="J343">
        <v>3855</v>
      </c>
      <c r="K343" t="s">
        <v>94</v>
      </c>
      <c r="L343">
        <v>1</v>
      </c>
      <c r="M343" t="s">
        <v>119</v>
      </c>
      <c r="N343">
        <v>8</v>
      </c>
      <c r="O343" t="s">
        <v>117</v>
      </c>
      <c r="Q343" t="s">
        <v>1179</v>
      </c>
    </row>
    <row r="344" spans="1:17" hidden="1" x14ac:dyDescent="0.25">
      <c r="A344" t="s">
        <v>1161</v>
      </c>
      <c r="B344" s="36">
        <v>46125</v>
      </c>
      <c r="C344" t="s">
        <v>26</v>
      </c>
      <c r="D344" t="s">
        <v>27</v>
      </c>
      <c r="E344">
        <v>15</v>
      </c>
      <c r="F344">
        <v>603</v>
      </c>
      <c r="G344" t="s">
        <v>34</v>
      </c>
      <c r="H344" t="s">
        <v>114</v>
      </c>
      <c r="I344" t="s">
        <v>115</v>
      </c>
      <c r="J344">
        <v>3856</v>
      </c>
      <c r="K344" t="s">
        <v>93</v>
      </c>
      <c r="L344">
        <v>1</v>
      </c>
      <c r="M344" t="s">
        <v>119</v>
      </c>
      <c r="N344">
        <v>8</v>
      </c>
      <c r="O344" t="s">
        <v>117</v>
      </c>
      <c r="Q344" t="s">
        <v>1180</v>
      </c>
    </row>
    <row r="345" spans="1:17" hidden="1" x14ac:dyDescent="0.25">
      <c r="A345" t="s">
        <v>1161</v>
      </c>
      <c r="B345" s="36">
        <v>46125</v>
      </c>
      <c r="C345" t="s">
        <v>26</v>
      </c>
      <c r="D345" t="s">
        <v>27</v>
      </c>
      <c r="E345">
        <v>15</v>
      </c>
      <c r="F345">
        <v>603</v>
      </c>
      <c r="G345" t="s">
        <v>34</v>
      </c>
      <c r="H345" t="s">
        <v>147</v>
      </c>
      <c r="I345" t="s">
        <v>512</v>
      </c>
      <c r="J345">
        <v>3869</v>
      </c>
      <c r="K345" t="s">
        <v>100</v>
      </c>
      <c r="L345">
        <v>1</v>
      </c>
      <c r="M345" t="s">
        <v>119</v>
      </c>
      <c r="N345">
        <v>8</v>
      </c>
      <c r="O345" t="s">
        <v>117</v>
      </c>
      <c r="Q345" t="s">
        <v>1181</v>
      </c>
    </row>
    <row r="346" spans="1:17" hidden="1" x14ac:dyDescent="0.25">
      <c r="A346" t="s">
        <v>1161</v>
      </c>
      <c r="B346" s="36">
        <v>46125</v>
      </c>
      <c r="C346" t="s">
        <v>26</v>
      </c>
      <c r="D346" t="s">
        <v>27</v>
      </c>
      <c r="E346">
        <v>15</v>
      </c>
      <c r="F346">
        <v>603</v>
      </c>
      <c r="G346" t="s">
        <v>34</v>
      </c>
      <c r="H346" t="s">
        <v>152</v>
      </c>
      <c r="I346" t="s">
        <v>152</v>
      </c>
      <c r="J346">
        <v>3885</v>
      </c>
      <c r="K346" t="s">
        <v>153</v>
      </c>
      <c r="L346">
        <v>1</v>
      </c>
      <c r="M346" t="s">
        <v>119</v>
      </c>
      <c r="N346">
        <v>8</v>
      </c>
      <c r="O346" t="s">
        <v>117</v>
      </c>
      <c r="Q346" t="s">
        <v>1182</v>
      </c>
    </row>
    <row r="347" spans="1:17" hidden="1" x14ac:dyDescent="0.25">
      <c r="A347" t="s">
        <v>1161</v>
      </c>
      <c r="B347" s="36">
        <v>46125</v>
      </c>
      <c r="C347" t="s">
        <v>26</v>
      </c>
      <c r="D347" t="s">
        <v>27</v>
      </c>
      <c r="E347">
        <v>15</v>
      </c>
      <c r="F347">
        <v>603</v>
      </c>
      <c r="G347" t="s">
        <v>34</v>
      </c>
      <c r="H347" t="s">
        <v>114</v>
      </c>
      <c r="I347" t="s">
        <v>115</v>
      </c>
      <c r="J347">
        <v>3892</v>
      </c>
      <c r="K347" t="s">
        <v>92</v>
      </c>
      <c r="L347">
        <v>1</v>
      </c>
      <c r="M347" t="s">
        <v>116</v>
      </c>
      <c r="N347">
        <v>8</v>
      </c>
      <c r="O347" t="s">
        <v>117</v>
      </c>
      <c r="Q347" t="s">
        <v>1183</v>
      </c>
    </row>
    <row r="348" spans="1:17" hidden="1" x14ac:dyDescent="0.25">
      <c r="A348" t="s">
        <v>1161</v>
      </c>
      <c r="B348" s="36">
        <v>46125</v>
      </c>
      <c r="C348" t="s">
        <v>26</v>
      </c>
      <c r="D348" t="s">
        <v>27</v>
      </c>
      <c r="E348">
        <v>15</v>
      </c>
      <c r="F348">
        <v>603</v>
      </c>
      <c r="G348" t="s">
        <v>34</v>
      </c>
      <c r="H348" t="s">
        <v>150</v>
      </c>
      <c r="I348" t="s">
        <v>512</v>
      </c>
      <c r="J348">
        <v>3908</v>
      </c>
      <c r="K348" t="s">
        <v>95</v>
      </c>
      <c r="L348">
        <v>1</v>
      </c>
      <c r="M348" t="s">
        <v>119</v>
      </c>
      <c r="N348">
        <v>8</v>
      </c>
      <c r="O348" t="s">
        <v>117</v>
      </c>
      <c r="Q348" t="s">
        <v>1184</v>
      </c>
    </row>
    <row r="349" spans="1:17" hidden="1" x14ac:dyDescent="0.25">
      <c r="A349" t="s">
        <v>1161</v>
      </c>
      <c r="B349" s="36">
        <v>46125</v>
      </c>
      <c r="C349" t="s">
        <v>26</v>
      </c>
      <c r="D349" t="s">
        <v>27</v>
      </c>
      <c r="E349">
        <v>15</v>
      </c>
      <c r="F349">
        <v>603</v>
      </c>
      <c r="G349" t="s">
        <v>34</v>
      </c>
      <c r="H349" t="s">
        <v>133</v>
      </c>
      <c r="I349" t="s">
        <v>115</v>
      </c>
      <c r="J349">
        <v>3910</v>
      </c>
      <c r="K349" t="s">
        <v>97</v>
      </c>
      <c r="L349">
        <v>1</v>
      </c>
      <c r="M349" t="s">
        <v>116</v>
      </c>
      <c r="N349">
        <v>8</v>
      </c>
      <c r="O349" t="s">
        <v>117</v>
      </c>
      <c r="Q349" t="s">
        <v>1185</v>
      </c>
    </row>
    <row r="350" spans="1:17" hidden="1" x14ac:dyDescent="0.25">
      <c r="A350" t="s">
        <v>1161</v>
      </c>
      <c r="B350" s="36">
        <v>46125</v>
      </c>
      <c r="C350" t="s">
        <v>26</v>
      </c>
      <c r="D350" t="s">
        <v>27</v>
      </c>
      <c r="E350">
        <v>15</v>
      </c>
      <c r="F350">
        <v>603</v>
      </c>
      <c r="G350" t="s">
        <v>34</v>
      </c>
      <c r="H350" t="s">
        <v>1186</v>
      </c>
      <c r="I350" t="s">
        <v>122</v>
      </c>
      <c r="J350">
        <v>3915</v>
      </c>
      <c r="K350" t="s">
        <v>1187</v>
      </c>
      <c r="L350">
        <v>2</v>
      </c>
      <c r="M350" t="s">
        <v>1188</v>
      </c>
      <c r="N350">
        <v>8</v>
      </c>
      <c r="O350" t="s">
        <v>117</v>
      </c>
      <c r="Q350" t="s">
        <v>1189</v>
      </c>
    </row>
    <row r="351" spans="1:17" hidden="1" x14ac:dyDescent="0.25">
      <c r="A351" t="s">
        <v>1161</v>
      </c>
      <c r="B351" s="36">
        <v>46125</v>
      </c>
      <c r="C351" t="s">
        <v>26</v>
      </c>
      <c r="D351" t="s">
        <v>27</v>
      </c>
      <c r="E351">
        <v>15</v>
      </c>
      <c r="F351">
        <v>603</v>
      </c>
      <c r="G351" t="s">
        <v>34</v>
      </c>
      <c r="H351" t="s">
        <v>131</v>
      </c>
      <c r="I351" t="s">
        <v>115</v>
      </c>
      <c r="J351">
        <v>3940</v>
      </c>
      <c r="K351" t="s">
        <v>1190</v>
      </c>
      <c r="L351">
        <v>1</v>
      </c>
      <c r="M351" t="s">
        <v>1191</v>
      </c>
      <c r="N351">
        <v>8</v>
      </c>
      <c r="O351" t="s">
        <v>117</v>
      </c>
      <c r="Q351" t="s">
        <v>1192</v>
      </c>
    </row>
    <row r="352" spans="1:17" hidden="1" x14ac:dyDescent="0.25">
      <c r="A352" t="s">
        <v>1161</v>
      </c>
      <c r="B352" s="36">
        <v>46125</v>
      </c>
      <c r="C352" t="s">
        <v>26</v>
      </c>
      <c r="D352" t="s">
        <v>27</v>
      </c>
      <c r="E352">
        <v>15</v>
      </c>
      <c r="F352">
        <v>603</v>
      </c>
      <c r="G352" t="s">
        <v>34</v>
      </c>
      <c r="H352" t="s">
        <v>129</v>
      </c>
      <c r="I352" t="s">
        <v>115</v>
      </c>
      <c r="J352">
        <v>3966</v>
      </c>
      <c r="K352" t="s">
        <v>1193</v>
      </c>
      <c r="L352">
        <v>1</v>
      </c>
      <c r="M352" t="s">
        <v>1191</v>
      </c>
      <c r="N352">
        <v>8</v>
      </c>
      <c r="O352" t="s">
        <v>117</v>
      </c>
      <c r="Q352" t="s">
        <v>1194</v>
      </c>
    </row>
    <row r="353" spans="1:17" hidden="1" x14ac:dyDescent="0.25">
      <c r="A353" t="s">
        <v>1161</v>
      </c>
      <c r="B353" s="36">
        <v>46125</v>
      </c>
      <c r="C353" t="s">
        <v>26</v>
      </c>
      <c r="D353" t="s">
        <v>27</v>
      </c>
      <c r="E353">
        <v>15</v>
      </c>
      <c r="F353">
        <v>603</v>
      </c>
      <c r="G353" t="s">
        <v>34</v>
      </c>
      <c r="H353" t="s">
        <v>813</v>
      </c>
      <c r="I353" t="s">
        <v>381</v>
      </c>
      <c r="J353">
        <v>4347</v>
      </c>
      <c r="K353" t="s">
        <v>1195</v>
      </c>
      <c r="L353">
        <v>2</v>
      </c>
      <c r="M353" t="s">
        <v>801</v>
      </c>
      <c r="N353">
        <v>8</v>
      </c>
      <c r="O353" t="s">
        <v>117</v>
      </c>
      <c r="Q353" t="s">
        <v>1196</v>
      </c>
    </row>
    <row r="354" spans="1:17" hidden="1" x14ac:dyDescent="0.25">
      <c r="A354" t="s">
        <v>1161</v>
      </c>
      <c r="B354" s="36">
        <v>46125</v>
      </c>
      <c r="C354" t="s">
        <v>26</v>
      </c>
      <c r="D354" t="s">
        <v>27</v>
      </c>
      <c r="E354">
        <v>15</v>
      </c>
      <c r="F354">
        <v>603</v>
      </c>
      <c r="G354" t="s">
        <v>34</v>
      </c>
      <c r="H354" t="s">
        <v>1197</v>
      </c>
      <c r="I354" t="s">
        <v>381</v>
      </c>
      <c r="J354">
        <v>4375</v>
      </c>
      <c r="K354" t="s">
        <v>1198</v>
      </c>
      <c r="L354">
        <v>2</v>
      </c>
      <c r="M354" t="s">
        <v>801</v>
      </c>
      <c r="N354">
        <v>8</v>
      </c>
      <c r="O354" t="s">
        <v>117</v>
      </c>
      <c r="Q354" t="s">
        <v>1199</v>
      </c>
    </row>
    <row r="355" spans="1:17" hidden="1" x14ac:dyDescent="0.25">
      <c r="A355" t="s">
        <v>1200</v>
      </c>
      <c r="B355" s="36">
        <v>46122</v>
      </c>
      <c r="C355" t="s">
        <v>26</v>
      </c>
      <c r="D355" t="s">
        <v>27</v>
      </c>
      <c r="E355">
        <v>15</v>
      </c>
      <c r="F355">
        <v>605</v>
      </c>
      <c r="G355" t="s">
        <v>34</v>
      </c>
      <c r="H355" t="s">
        <v>1201</v>
      </c>
      <c r="I355" t="s">
        <v>1202</v>
      </c>
      <c r="J355">
        <v>3605</v>
      </c>
      <c r="K355" t="s">
        <v>1203</v>
      </c>
      <c r="L355">
        <v>5</v>
      </c>
      <c r="M355" t="s">
        <v>1204</v>
      </c>
      <c r="N355">
        <v>8</v>
      </c>
      <c r="O355" t="s">
        <v>117</v>
      </c>
      <c r="Q355" t="s">
        <v>1205</v>
      </c>
    </row>
    <row r="356" spans="1:17" hidden="1" x14ac:dyDescent="0.25">
      <c r="A356" t="s">
        <v>1200</v>
      </c>
      <c r="B356" s="36">
        <v>46122</v>
      </c>
      <c r="C356" t="s">
        <v>26</v>
      </c>
      <c r="D356" t="s">
        <v>27</v>
      </c>
      <c r="E356">
        <v>15</v>
      </c>
      <c r="F356">
        <v>605</v>
      </c>
      <c r="G356" t="s">
        <v>34</v>
      </c>
      <c r="H356" t="s">
        <v>1206</v>
      </c>
      <c r="I356" t="s">
        <v>766</v>
      </c>
      <c r="J356">
        <v>3606</v>
      </c>
      <c r="K356" t="s">
        <v>1207</v>
      </c>
      <c r="L356">
        <v>2</v>
      </c>
      <c r="M356" t="s">
        <v>1208</v>
      </c>
      <c r="N356">
        <v>8</v>
      </c>
      <c r="O356" t="s">
        <v>117</v>
      </c>
      <c r="Q356" t="s">
        <v>1209</v>
      </c>
    </row>
    <row r="357" spans="1:17" hidden="1" x14ac:dyDescent="0.25">
      <c r="A357" t="s">
        <v>1200</v>
      </c>
      <c r="B357" s="36">
        <v>46122</v>
      </c>
      <c r="C357" t="s">
        <v>26</v>
      </c>
      <c r="D357" t="s">
        <v>27</v>
      </c>
      <c r="E357">
        <v>15</v>
      </c>
      <c r="F357">
        <v>605</v>
      </c>
      <c r="G357" t="s">
        <v>34</v>
      </c>
      <c r="H357" t="s">
        <v>53</v>
      </c>
      <c r="I357" t="s">
        <v>44</v>
      </c>
      <c r="J357">
        <v>3826</v>
      </c>
      <c r="K357" t="s">
        <v>48</v>
      </c>
      <c r="L357">
        <v>1</v>
      </c>
      <c r="M357" t="s">
        <v>1119</v>
      </c>
      <c r="N357">
        <v>8</v>
      </c>
      <c r="O357" t="s">
        <v>117</v>
      </c>
      <c r="Q357" t="s">
        <v>1210</v>
      </c>
    </row>
    <row r="358" spans="1:17" hidden="1" x14ac:dyDescent="0.25">
      <c r="A358" t="s">
        <v>1200</v>
      </c>
      <c r="B358" s="36">
        <v>46122</v>
      </c>
      <c r="C358" t="s">
        <v>26</v>
      </c>
      <c r="D358" t="s">
        <v>27</v>
      </c>
      <c r="E358">
        <v>15</v>
      </c>
      <c r="F358">
        <v>605</v>
      </c>
      <c r="G358" t="s">
        <v>34</v>
      </c>
      <c r="H358" t="s">
        <v>1211</v>
      </c>
      <c r="I358" t="s">
        <v>381</v>
      </c>
      <c r="J358">
        <v>3913</v>
      </c>
      <c r="K358" t="s">
        <v>1212</v>
      </c>
      <c r="L358">
        <v>2</v>
      </c>
      <c r="M358" t="s">
        <v>1213</v>
      </c>
      <c r="N358">
        <v>8</v>
      </c>
      <c r="O358" t="s">
        <v>117</v>
      </c>
      <c r="Q358" t="s">
        <v>1214</v>
      </c>
    </row>
    <row r="359" spans="1:17" hidden="1" x14ac:dyDescent="0.25">
      <c r="A359" t="s">
        <v>1200</v>
      </c>
      <c r="B359" s="36">
        <v>46122</v>
      </c>
      <c r="C359" t="s">
        <v>26</v>
      </c>
      <c r="D359" t="s">
        <v>27</v>
      </c>
      <c r="E359">
        <v>15</v>
      </c>
      <c r="F359">
        <v>605</v>
      </c>
      <c r="G359" t="s">
        <v>34</v>
      </c>
      <c r="H359" t="s">
        <v>973</v>
      </c>
      <c r="I359" t="s">
        <v>136</v>
      </c>
      <c r="J359">
        <v>3916</v>
      </c>
      <c r="K359" t="s">
        <v>1215</v>
      </c>
      <c r="L359">
        <v>4</v>
      </c>
      <c r="M359" t="s">
        <v>1216</v>
      </c>
      <c r="N359">
        <v>8</v>
      </c>
      <c r="O359" t="s">
        <v>117</v>
      </c>
      <c r="Q359" t="s">
        <v>1217</v>
      </c>
    </row>
    <row r="360" spans="1:17" hidden="1" x14ac:dyDescent="0.25">
      <c r="A360" t="s">
        <v>1200</v>
      </c>
      <c r="B360" s="36">
        <v>46122</v>
      </c>
      <c r="C360" t="s">
        <v>26</v>
      </c>
      <c r="D360" t="s">
        <v>27</v>
      </c>
      <c r="E360">
        <v>15</v>
      </c>
      <c r="F360">
        <v>605</v>
      </c>
      <c r="G360" t="s">
        <v>34</v>
      </c>
      <c r="H360" t="s">
        <v>954</v>
      </c>
      <c r="I360" t="s">
        <v>512</v>
      </c>
      <c r="J360">
        <v>3920</v>
      </c>
      <c r="K360" t="s">
        <v>1218</v>
      </c>
      <c r="L360">
        <v>3</v>
      </c>
      <c r="M360" t="s">
        <v>1219</v>
      </c>
      <c r="N360">
        <v>8</v>
      </c>
      <c r="O360" t="s">
        <v>117</v>
      </c>
      <c r="Q360" t="s">
        <v>1220</v>
      </c>
    </row>
    <row r="361" spans="1:17" hidden="1" x14ac:dyDescent="0.25">
      <c r="A361" t="s">
        <v>1200</v>
      </c>
      <c r="B361" s="36">
        <v>46122</v>
      </c>
      <c r="C361" t="s">
        <v>26</v>
      </c>
      <c r="D361" t="s">
        <v>27</v>
      </c>
      <c r="E361">
        <v>15</v>
      </c>
      <c r="F361">
        <v>605</v>
      </c>
      <c r="G361" t="s">
        <v>34</v>
      </c>
      <c r="H361" t="s">
        <v>1221</v>
      </c>
      <c r="I361" t="s">
        <v>381</v>
      </c>
      <c r="J361">
        <v>3925</v>
      </c>
      <c r="K361" t="s">
        <v>1222</v>
      </c>
      <c r="L361">
        <v>3</v>
      </c>
      <c r="M361" t="s">
        <v>1223</v>
      </c>
      <c r="N361">
        <v>8</v>
      </c>
      <c r="O361" t="s">
        <v>117</v>
      </c>
      <c r="Q361" t="s">
        <v>1224</v>
      </c>
    </row>
    <row r="362" spans="1:17" hidden="1" x14ac:dyDescent="0.25">
      <c r="A362" t="s">
        <v>1200</v>
      </c>
      <c r="B362" s="36">
        <v>46122</v>
      </c>
      <c r="C362" t="s">
        <v>26</v>
      </c>
      <c r="D362" t="s">
        <v>27</v>
      </c>
      <c r="E362">
        <v>15</v>
      </c>
      <c r="F362">
        <v>605</v>
      </c>
      <c r="G362" t="s">
        <v>34</v>
      </c>
      <c r="H362" t="s">
        <v>1225</v>
      </c>
      <c r="I362" t="s">
        <v>1226</v>
      </c>
      <c r="J362">
        <v>3926</v>
      </c>
      <c r="K362" t="s">
        <v>1227</v>
      </c>
      <c r="L362">
        <v>11</v>
      </c>
      <c r="M362" t="s">
        <v>1228</v>
      </c>
      <c r="N362">
        <v>8</v>
      </c>
      <c r="O362" t="s">
        <v>117</v>
      </c>
      <c r="Q362" t="s">
        <v>1229</v>
      </c>
    </row>
    <row r="363" spans="1:17" hidden="1" x14ac:dyDescent="0.25">
      <c r="A363" t="s">
        <v>1230</v>
      </c>
      <c r="B363" s="36">
        <v>46135</v>
      </c>
      <c r="C363" t="s">
        <v>29</v>
      </c>
      <c r="D363" t="s">
        <v>27</v>
      </c>
      <c r="E363">
        <v>16</v>
      </c>
      <c r="F363">
        <v>606</v>
      </c>
      <c r="G363" t="s">
        <v>34</v>
      </c>
      <c r="H363" t="s">
        <v>1231</v>
      </c>
      <c r="I363" t="s">
        <v>1232</v>
      </c>
      <c r="J363">
        <v>3970</v>
      </c>
      <c r="K363" t="s">
        <v>1233</v>
      </c>
      <c r="L363">
        <v>8</v>
      </c>
      <c r="M363" t="s">
        <v>1234</v>
      </c>
      <c r="N363">
        <v>12</v>
      </c>
      <c r="O363" t="s">
        <v>778</v>
      </c>
      <c r="Q363" t="s">
        <v>1235</v>
      </c>
    </row>
    <row r="364" spans="1:17" hidden="1" x14ac:dyDescent="0.25">
      <c r="A364" t="s">
        <v>1230</v>
      </c>
      <c r="B364" s="36">
        <v>46135</v>
      </c>
      <c r="C364" t="s">
        <v>29</v>
      </c>
      <c r="D364" t="s">
        <v>27</v>
      </c>
      <c r="E364">
        <v>16</v>
      </c>
      <c r="F364">
        <v>606</v>
      </c>
      <c r="G364" t="s">
        <v>34</v>
      </c>
      <c r="H364" t="s">
        <v>1236</v>
      </c>
      <c r="I364" t="s">
        <v>1237</v>
      </c>
      <c r="J364">
        <v>3971</v>
      </c>
      <c r="K364" t="s">
        <v>1238</v>
      </c>
      <c r="L364">
        <v>5</v>
      </c>
      <c r="M364" t="s">
        <v>1239</v>
      </c>
      <c r="N364">
        <v>12</v>
      </c>
      <c r="O364" t="s">
        <v>778</v>
      </c>
      <c r="Q364" t="s">
        <v>1240</v>
      </c>
    </row>
    <row r="365" spans="1:17" hidden="1" x14ac:dyDescent="0.25">
      <c r="A365" t="s">
        <v>1230</v>
      </c>
      <c r="B365" s="36">
        <v>46135</v>
      </c>
      <c r="C365" t="s">
        <v>29</v>
      </c>
      <c r="D365" t="s">
        <v>27</v>
      </c>
      <c r="E365">
        <v>16</v>
      </c>
      <c r="F365">
        <v>606</v>
      </c>
      <c r="G365" t="s">
        <v>34</v>
      </c>
      <c r="H365" t="s">
        <v>1241</v>
      </c>
      <c r="I365" t="s">
        <v>1242</v>
      </c>
      <c r="J365">
        <v>3972</v>
      </c>
      <c r="K365" t="s">
        <v>1243</v>
      </c>
      <c r="L365">
        <v>8</v>
      </c>
      <c r="M365" t="s">
        <v>1244</v>
      </c>
      <c r="N365">
        <v>12</v>
      </c>
      <c r="O365" t="s">
        <v>778</v>
      </c>
      <c r="Q365" t="s">
        <v>1245</v>
      </c>
    </row>
    <row r="366" spans="1:17" hidden="1" x14ac:dyDescent="0.25">
      <c r="A366" t="s">
        <v>1230</v>
      </c>
      <c r="B366" s="36">
        <v>46135</v>
      </c>
      <c r="C366" t="s">
        <v>29</v>
      </c>
      <c r="D366" t="s">
        <v>27</v>
      </c>
      <c r="E366">
        <v>16</v>
      </c>
      <c r="F366">
        <v>606</v>
      </c>
      <c r="G366" t="s">
        <v>34</v>
      </c>
      <c r="H366" t="s">
        <v>1246</v>
      </c>
      <c r="I366" t="s">
        <v>1247</v>
      </c>
      <c r="J366">
        <v>3973</v>
      </c>
      <c r="K366" t="s">
        <v>1248</v>
      </c>
      <c r="L366">
        <v>10</v>
      </c>
      <c r="M366" t="s">
        <v>1249</v>
      </c>
      <c r="N366">
        <v>12</v>
      </c>
      <c r="O366" t="s">
        <v>778</v>
      </c>
      <c r="Q366" t="s">
        <v>1250</v>
      </c>
    </row>
    <row r="367" spans="1:17" hidden="1" x14ac:dyDescent="0.25">
      <c r="A367" t="s">
        <v>1230</v>
      </c>
      <c r="B367" s="36">
        <v>46135</v>
      </c>
      <c r="C367" t="s">
        <v>29</v>
      </c>
      <c r="D367" t="s">
        <v>27</v>
      </c>
      <c r="E367">
        <v>16</v>
      </c>
      <c r="F367">
        <v>606</v>
      </c>
      <c r="G367" t="s">
        <v>34</v>
      </c>
      <c r="H367" t="s">
        <v>1100</v>
      </c>
      <c r="I367" t="s">
        <v>1101</v>
      </c>
      <c r="J367">
        <v>4453</v>
      </c>
      <c r="K367" t="s">
        <v>1102</v>
      </c>
      <c r="L367">
        <v>10</v>
      </c>
      <c r="M367" t="s">
        <v>1103</v>
      </c>
      <c r="N367">
        <v>12</v>
      </c>
      <c r="O367" t="s">
        <v>778</v>
      </c>
      <c r="Q367" t="s">
        <v>1251</v>
      </c>
    </row>
    <row r="368" spans="1:17" hidden="1" x14ac:dyDescent="0.25">
      <c r="A368" t="s">
        <v>1230</v>
      </c>
      <c r="B368" s="36">
        <v>46135</v>
      </c>
      <c r="C368" t="s">
        <v>29</v>
      </c>
      <c r="D368" t="s">
        <v>27</v>
      </c>
      <c r="E368">
        <v>16</v>
      </c>
      <c r="F368">
        <v>606</v>
      </c>
      <c r="G368" t="s">
        <v>34</v>
      </c>
      <c r="H368" t="s">
        <v>1105</v>
      </c>
      <c r="I368" t="s">
        <v>1106</v>
      </c>
      <c r="J368">
        <v>4663</v>
      </c>
      <c r="K368" t="s">
        <v>1107</v>
      </c>
      <c r="L368">
        <v>4</v>
      </c>
      <c r="M368" t="s">
        <v>1108</v>
      </c>
      <c r="N368">
        <v>12</v>
      </c>
      <c r="O368" t="s">
        <v>778</v>
      </c>
      <c r="Q368" t="s">
        <v>1252</v>
      </c>
    </row>
    <row r="369" spans="1:17" hidden="1" x14ac:dyDescent="0.25">
      <c r="A369" t="s">
        <v>1253</v>
      </c>
      <c r="B369" s="36">
        <v>46135</v>
      </c>
      <c r="C369" t="s">
        <v>29</v>
      </c>
      <c r="D369" t="s">
        <v>27</v>
      </c>
      <c r="E369">
        <v>16</v>
      </c>
      <c r="F369">
        <v>605</v>
      </c>
      <c r="G369" t="s">
        <v>34</v>
      </c>
      <c r="H369" t="s">
        <v>1141</v>
      </c>
      <c r="I369" t="s">
        <v>368</v>
      </c>
      <c r="J369">
        <v>3632</v>
      </c>
      <c r="K369" t="s">
        <v>369</v>
      </c>
      <c r="L369">
        <v>1</v>
      </c>
      <c r="M369" t="s">
        <v>370</v>
      </c>
      <c r="N369">
        <v>8</v>
      </c>
      <c r="O369" t="s">
        <v>778</v>
      </c>
      <c r="Q369" t="s">
        <v>1254</v>
      </c>
    </row>
    <row r="370" spans="1:17" hidden="1" x14ac:dyDescent="0.25">
      <c r="A370" t="s">
        <v>1253</v>
      </c>
      <c r="B370" s="36">
        <v>46135</v>
      </c>
      <c r="C370" t="s">
        <v>29</v>
      </c>
      <c r="D370" t="s">
        <v>27</v>
      </c>
      <c r="E370">
        <v>16</v>
      </c>
      <c r="F370">
        <v>605</v>
      </c>
      <c r="G370" t="s">
        <v>34</v>
      </c>
      <c r="H370" t="s">
        <v>1255</v>
      </c>
      <c r="I370" t="s">
        <v>1256</v>
      </c>
      <c r="J370">
        <v>3634</v>
      </c>
      <c r="K370" t="s">
        <v>1257</v>
      </c>
      <c r="L370">
        <v>5</v>
      </c>
      <c r="M370" t="s">
        <v>1258</v>
      </c>
      <c r="N370">
        <v>8</v>
      </c>
      <c r="O370" t="s">
        <v>778</v>
      </c>
      <c r="Q370" t="s">
        <v>1259</v>
      </c>
    </row>
    <row r="371" spans="1:17" hidden="1" x14ac:dyDescent="0.25">
      <c r="A371" t="s">
        <v>1253</v>
      </c>
      <c r="B371" s="36">
        <v>46135</v>
      </c>
      <c r="C371" t="s">
        <v>29</v>
      </c>
      <c r="D371" t="s">
        <v>27</v>
      </c>
      <c r="E371">
        <v>16</v>
      </c>
      <c r="F371">
        <v>605</v>
      </c>
      <c r="G371" t="s">
        <v>34</v>
      </c>
      <c r="H371" t="s">
        <v>1129</v>
      </c>
      <c r="I371" t="s">
        <v>1130</v>
      </c>
      <c r="J371">
        <v>3635</v>
      </c>
      <c r="K371" t="s">
        <v>1131</v>
      </c>
      <c r="L371">
        <v>5</v>
      </c>
      <c r="M371" t="s">
        <v>1132</v>
      </c>
      <c r="N371">
        <v>8</v>
      </c>
      <c r="O371" t="s">
        <v>778</v>
      </c>
      <c r="Q371" t="s">
        <v>1260</v>
      </c>
    </row>
    <row r="372" spans="1:17" hidden="1" x14ac:dyDescent="0.25">
      <c r="A372" t="s">
        <v>1253</v>
      </c>
      <c r="B372" s="36">
        <v>46135</v>
      </c>
      <c r="C372" t="s">
        <v>29</v>
      </c>
      <c r="D372" t="s">
        <v>27</v>
      </c>
      <c r="E372">
        <v>16</v>
      </c>
      <c r="F372">
        <v>605</v>
      </c>
      <c r="G372" t="s">
        <v>34</v>
      </c>
      <c r="H372" t="s">
        <v>1261</v>
      </c>
      <c r="I372" t="s">
        <v>44</v>
      </c>
      <c r="J372">
        <v>3669</v>
      </c>
      <c r="K372" t="s">
        <v>1262</v>
      </c>
      <c r="L372">
        <v>2</v>
      </c>
      <c r="M372" t="s">
        <v>1119</v>
      </c>
      <c r="N372">
        <v>8</v>
      </c>
      <c r="O372" t="s">
        <v>778</v>
      </c>
      <c r="Q372" t="s">
        <v>1263</v>
      </c>
    </row>
    <row r="373" spans="1:17" hidden="1" x14ac:dyDescent="0.25">
      <c r="A373" t="s">
        <v>1253</v>
      </c>
      <c r="B373" s="36">
        <v>46135</v>
      </c>
      <c r="C373" t="s">
        <v>29</v>
      </c>
      <c r="D373" t="s">
        <v>27</v>
      </c>
      <c r="E373">
        <v>16</v>
      </c>
      <c r="F373">
        <v>605</v>
      </c>
      <c r="G373" t="s">
        <v>34</v>
      </c>
      <c r="H373" t="s">
        <v>1264</v>
      </c>
      <c r="I373" t="s">
        <v>44</v>
      </c>
      <c r="J373">
        <v>3670</v>
      </c>
      <c r="K373" t="s">
        <v>45</v>
      </c>
      <c r="L373">
        <v>1</v>
      </c>
      <c r="M373" t="s">
        <v>1119</v>
      </c>
      <c r="N373">
        <v>8</v>
      </c>
      <c r="O373" t="s">
        <v>778</v>
      </c>
      <c r="Q373" t="s">
        <v>1265</v>
      </c>
    </row>
    <row r="374" spans="1:17" hidden="1" x14ac:dyDescent="0.25">
      <c r="A374" t="s">
        <v>1253</v>
      </c>
      <c r="B374" s="36">
        <v>46135</v>
      </c>
      <c r="C374" t="s">
        <v>29</v>
      </c>
      <c r="D374" t="s">
        <v>27</v>
      </c>
      <c r="E374">
        <v>16</v>
      </c>
      <c r="F374">
        <v>605</v>
      </c>
      <c r="G374" t="s">
        <v>34</v>
      </c>
      <c r="H374" t="s">
        <v>1266</v>
      </c>
      <c r="I374" t="s">
        <v>44</v>
      </c>
      <c r="J374">
        <v>3671</v>
      </c>
      <c r="K374" t="s">
        <v>45</v>
      </c>
      <c r="L374">
        <v>1</v>
      </c>
      <c r="M374" t="s">
        <v>1119</v>
      </c>
      <c r="N374">
        <v>8</v>
      </c>
      <c r="O374" t="s">
        <v>778</v>
      </c>
      <c r="Q374" t="s">
        <v>1267</v>
      </c>
    </row>
    <row r="375" spans="1:17" hidden="1" x14ac:dyDescent="0.25">
      <c r="A375" t="s">
        <v>1253</v>
      </c>
      <c r="B375" s="36">
        <v>46135</v>
      </c>
      <c r="C375" t="s">
        <v>29</v>
      </c>
      <c r="D375" t="s">
        <v>27</v>
      </c>
      <c r="E375">
        <v>16</v>
      </c>
      <c r="F375">
        <v>605</v>
      </c>
      <c r="G375" t="s">
        <v>34</v>
      </c>
      <c r="H375" t="s">
        <v>1141</v>
      </c>
      <c r="I375" t="s">
        <v>1142</v>
      </c>
      <c r="J375">
        <v>3924</v>
      </c>
      <c r="K375" t="s">
        <v>1143</v>
      </c>
      <c r="L375">
        <v>3</v>
      </c>
      <c r="M375" t="s">
        <v>1144</v>
      </c>
      <c r="N375">
        <v>8</v>
      </c>
      <c r="O375" t="s">
        <v>778</v>
      </c>
      <c r="Q375" t="s">
        <v>1268</v>
      </c>
    </row>
    <row r="376" spans="1:17" hidden="1" x14ac:dyDescent="0.25">
      <c r="A376" t="s">
        <v>1253</v>
      </c>
      <c r="B376" s="36">
        <v>46135</v>
      </c>
      <c r="C376" t="s">
        <v>29</v>
      </c>
      <c r="D376" t="s">
        <v>27</v>
      </c>
      <c r="E376">
        <v>16</v>
      </c>
      <c r="F376">
        <v>605</v>
      </c>
      <c r="G376" t="s">
        <v>34</v>
      </c>
      <c r="H376" t="s">
        <v>866</v>
      </c>
      <c r="I376" t="s">
        <v>1147</v>
      </c>
      <c r="J376">
        <v>3939</v>
      </c>
      <c r="K376" t="s">
        <v>1148</v>
      </c>
      <c r="L376">
        <v>3</v>
      </c>
      <c r="M376" t="s">
        <v>1149</v>
      </c>
      <c r="N376">
        <v>8</v>
      </c>
      <c r="O376" t="s">
        <v>778</v>
      </c>
      <c r="Q376" t="s">
        <v>1269</v>
      </c>
    </row>
    <row r="377" spans="1:17" hidden="1" x14ac:dyDescent="0.25">
      <c r="A377" t="s">
        <v>1253</v>
      </c>
      <c r="B377" s="36">
        <v>46135</v>
      </c>
      <c r="C377" t="s">
        <v>29</v>
      </c>
      <c r="D377" t="s">
        <v>27</v>
      </c>
      <c r="E377">
        <v>16</v>
      </c>
      <c r="F377">
        <v>605</v>
      </c>
      <c r="G377" t="s">
        <v>34</v>
      </c>
      <c r="H377" t="s">
        <v>1270</v>
      </c>
      <c r="I377" t="s">
        <v>44</v>
      </c>
      <c r="J377">
        <v>3941</v>
      </c>
      <c r="K377" t="s">
        <v>1271</v>
      </c>
      <c r="L377">
        <v>9</v>
      </c>
      <c r="M377" t="s">
        <v>1272</v>
      </c>
      <c r="N377">
        <v>8</v>
      </c>
      <c r="O377" t="s">
        <v>778</v>
      </c>
      <c r="Q377" t="s">
        <v>1273</v>
      </c>
    </row>
    <row r="378" spans="1:17" hidden="1" x14ac:dyDescent="0.25">
      <c r="A378" t="s">
        <v>1253</v>
      </c>
      <c r="B378" s="36">
        <v>46135</v>
      </c>
      <c r="C378" t="s">
        <v>29</v>
      </c>
      <c r="D378" t="s">
        <v>27</v>
      </c>
      <c r="E378">
        <v>16</v>
      </c>
      <c r="F378">
        <v>605</v>
      </c>
      <c r="G378" t="s">
        <v>34</v>
      </c>
      <c r="H378" t="s">
        <v>1117</v>
      </c>
      <c r="I378" t="s">
        <v>44</v>
      </c>
      <c r="J378">
        <v>4240</v>
      </c>
      <c r="K378" t="s">
        <v>1118</v>
      </c>
      <c r="L378">
        <v>2</v>
      </c>
      <c r="M378" t="s">
        <v>1119</v>
      </c>
      <c r="N378">
        <v>8</v>
      </c>
      <c r="O378" t="s">
        <v>778</v>
      </c>
      <c r="Q378" t="s">
        <v>1274</v>
      </c>
    </row>
    <row r="379" spans="1:17" hidden="1" x14ac:dyDescent="0.25">
      <c r="A379" t="s">
        <v>1253</v>
      </c>
      <c r="B379" s="36">
        <v>46135</v>
      </c>
      <c r="C379" t="s">
        <v>29</v>
      </c>
      <c r="D379" t="s">
        <v>27</v>
      </c>
      <c r="E379">
        <v>16</v>
      </c>
      <c r="F379">
        <v>605</v>
      </c>
      <c r="G379" t="s">
        <v>34</v>
      </c>
      <c r="H379" t="s">
        <v>1275</v>
      </c>
      <c r="I379" t="s">
        <v>44</v>
      </c>
      <c r="J379">
        <v>4241</v>
      </c>
      <c r="K379" t="s">
        <v>54</v>
      </c>
      <c r="L379">
        <v>1</v>
      </c>
      <c r="M379" t="s">
        <v>1119</v>
      </c>
      <c r="N379">
        <v>8</v>
      </c>
      <c r="O379" t="s">
        <v>778</v>
      </c>
      <c r="Q379" t="s">
        <v>1276</v>
      </c>
    </row>
    <row r="380" spans="1:17" hidden="1" x14ac:dyDescent="0.25">
      <c r="A380" t="s">
        <v>1253</v>
      </c>
      <c r="B380" s="36">
        <v>46135</v>
      </c>
      <c r="C380" t="s">
        <v>29</v>
      </c>
      <c r="D380" t="s">
        <v>27</v>
      </c>
      <c r="E380">
        <v>16</v>
      </c>
      <c r="F380">
        <v>605</v>
      </c>
      <c r="G380" t="s">
        <v>34</v>
      </c>
      <c r="H380" t="s">
        <v>1277</v>
      </c>
      <c r="I380" t="s">
        <v>44</v>
      </c>
      <c r="J380">
        <v>4242</v>
      </c>
      <c r="K380" t="s">
        <v>54</v>
      </c>
      <c r="L380">
        <v>1</v>
      </c>
      <c r="M380" t="s">
        <v>1119</v>
      </c>
      <c r="N380">
        <v>8</v>
      </c>
      <c r="O380" t="s">
        <v>778</v>
      </c>
      <c r="Q380" t="s">
        <v>1278</v>
      </c>
    </row>
    <row r="381" spans="1:17" hidden="1" x14ac:dyDescent="0.25">
      <c r="A381" t="s">
        <v>1253</v>
      </c>
      <c r="B381" s="36">
        <v>46135</v>
      </c>
      <c r="C381" t="s">
        <v>29</v>
      </c>
      <c r="D381" t="s">
        <v>27</v>
      </c>
      <c r="E381">
        <v>16</v>
      </c>
      <c r="F381">
        <v>605</v>
      </c>
      <c r="G381" t="s">
        <v>34</v>
      </c>
      <c r="H381" t="s">
        <v>1279</v>
      </c>
      <c r="I381" t="s">
        <v>44</v>
      </c>
      <c r="J381">
        <v>4243</v>
      </c>
      <c r="K381" t="s">
        <v>54</v>
      </c>
      <c r="L381">
        <v>1</v>
      </c>
      <c r="M381" t="s">
        <v>1119</v>
      </c>
      <c r="N381">
        <v>8</v>
      </c>
      <c r="O381" t="s">
        <v>778</v>
      </c>
      <c r="Q381" t="s">
        <v>1280</v>
      </c>
    </row>
    <row r="382" spans="1:17" hidden="1" x14ac:dyDescent="0.25">
      <c r="A382" t="s">
        <v>1253</v>
      </c>
      <c r="B382" s="36">
        <v>46135</v>
      </c>
      <c r="C382" t="s">
        <v>29</v>
      </c>
      <c r="D382" t="s">
        <v>27</v>
      </c>
      <c r="E382">
        <v>16</v>
      </c>
      <c r="F382">
        <v>605</v>
      </c>
      <c r="G382" t="s">
        <v>34</v>
      </c>
      <c r="H382" t="s">
        <v>1155</v>
      </c>
      <c r="I382" t="s">
        <v>1156</v>
      </c>
      <c r="J382">
        <v>4368</v>
      </c>
      <c r="K382" t="s">
        <v>1157</v>
      </c>
      <c r="L382">
        <v>6</v>
      </c>
      <c r="M382" t="s">
        <v>1158</v>
      </c>
      <c r="N382">
        <v>8</v>
      </c>
      <c r="O382" t="s">
        <v>778</v>
      </c>
      <c r="Q382" t="s">
        <v>1281</v>
      </c>
    </row>
    <row r="383" spans="1:17" hidden="1" x14ac:dyDescent="0.25">
      <c r="A383" t="s">
        <v>1282</v>
      </c>
      <c r="B383" s="36">
        <v>46136</v>
      </c>
      <c r="C383" t="s">
        <v>29</v>
      </c>
      <c r="D383" t="s">
        <v>27</v>
      </c>
      <c r="E383">
        <v>16</v>
      </c>
      <c r="F383">
        <v>603</v>
      </c>
      <c r="G383" t="s">
        <v>34</v>
      </c>
      <c r="H383" t="s">
        <v>550</v>
      </c>
      <c r="I383" t="s">
        <v>512</v>
      </c>
      <c r="J383">
        <v>3850</v>
      </c>
      <c r="K383" t="s">
        <v>551</v>
      </c>
      <c r="L383">
        <v>1</v>
      </c>
      <c r="M383" t="s">
        <v>119</v>
      </c>
      <c r="N383">
        <v>8</v>
      </c>
      <c r="O383" t="s">
        <v>778</v>
      </c>
      <c r="Q383" t="s">
        <v>1283</v>
      </c>
    </row>
    <row r="384" spans="1:17" hidden="1" x14ac:dyDescent="0.25">
      <c r="A384" t="s">
        <v>1282</v>
      </c>
      <c r="B384" s="36">
        <v>46136</v>
      </c>
      <c r="C384" t="s">
        <v>29</v>
      </c>
      <c r="D384" t="s">
        <v>27</v>
      </c>
      <c r="E384">
        <v>16</v>
      </c>
      <c r="F384">
        <v>603</v>
      </c>
      <c r="G384" t="s">
        <v>34</v>
      </c>
      <c r="H384" t="s">
        <v>550</v>
      </c>
      <c r="I384" t="s">
        <v>512</v>
      </c>
      <c r="J384">
        <v>3852</v>
      </c>
      <c r="K384" t="s">
        <v>551</v>
      </c>
      <c r="L384">
        <v>1</v>
      </c>
      <c r="M384" t="s">
        <v>119</v>
      </c>
      <c r="N384">
        <v>8</v>
      </c>
      <c r="O384" t="s">
        <v>778</v>
      </c>
      <c r="Q384" t="s">
        <v>1284</v>
      </c>
    </row>
    <row r="385" spans="1:17" hidden="1" x14ac:dyDescent="0.25">
      <c r="A385" t="s">
        <v>1282</v>
      </c>
      <c r="B385" s="36">
        <v>46136</v>
      </c>
      <c r="C385" t="s">
        <v>29</v>
      </c>
      <c r="D385" t="s">
        <v>27</v>
      </c>
      <c r="E385">
        <v>16</v>
      </c>
      <c r="F385">
        <v>603</v>
      </c>
      <c r="G385" t="s">
        <v>34</v>
      </c>
      <c r="H385" t="s">
        <v>550</v>
      </c>
      <c r="I385" t="s">
        <v>512</v>
      </c>
      <c r="J385">
        <v>3853</v>
      </c>
      <c r="K385" t="s">
        <v>551</v>
      </c>
      <c r="L385">
        <v>1</v>
      </c>
      <c r="M385" t="s">
        <v>119</v>
      </c>
      <c r="N385">
        <v>8</v>
      </c>
      <c r="O385" t="s">
        <v>778</v>
      </c>
      <c r="Q385" t="s">
        <v>1285</v>
      </c>
    </row>
    <row r="386" spans="1:17" hidden="1" x14ac:dyDescent="0.25">
      <c r="A386" t="s">
        <v>1282</v>
      </c>
      <c r="B386" s="36">
        <v>46136</v>
      </c>
      <c r="C386" t="s">
        <v>29</v>
      </c>
      <c r="D386" t="s">
        <v>27</v>
      </c>
      <c r="E386">
        <v>16</v>
      </c>
      <c r="F386">
        <v>603</v>
      </c>
      <c r="G386" t="s">
        <v>34</v>
      </c>
      <c r="H386" t="s">
        <v>530</v>
      </c>
      <c r="I386" t="s">
        <v>368</v>
      </c>
      <c r="J386">
        <v>3859</v>
      </c>
      <c r="K386" t="s">
        <v>531</v>
      </c>
      <c r="L386">
        <v>1</v>
      </c>
      <c r="M386" t="s">
        <v>119</v>
      </c>
      <c r="N386">
        <v>8</v>
      </c>
      <c r="O386" t="s">
        <v>778</v>
      </c>
      <c r="Q386" t="s">
        <v>1286</v>
      </c>
    </row>
    <row r="387" spans="1:17" hidden="1" x14ac:dyDescent="0.25">
      <c r="A387" t="s">
        <v>1282</v>
      </c>
      <c r="B387" s="36">
        <v>46136</v>
      </c>
      <c r="C387" t="s">
        <v>29</v>
      </c>
      <c r="D387" t="s">
        <v>27</v>
      </c>
      <c r="E387">
        <v>16</v>
      </c>
      <c r="F387">
        <v>603</v>
      </c>
      <c r="G387" t="s">
        <v>34</v>
      </c>
      <c r="H387" t="s">
        <v>530</v>
      </c>
      <c r="I387" t="s">
        <v>368</v>
      </c>
      <c r="J387">
        <v>3860</v>
      </c>
      <c r="K387" t="s">
        <v>531</v>
      </c>
      <c r="L387">
        <v>1</v>
      </c>
      <c r="M387" t="s">
        <v>119</v>
      </c>
      <c r="N387">
        <v>8</v>
      </c>
      <c r="O387" t="s">
        <v>778</v>
      </c>
      <c r="Q387" t="s">
        <v>1287</v>
      </c>
    </row>
    <row r="388" spans="1:17" hidden="1" x14ac:dyDescent="0.25">
      <c r="A388" t="s">
        <v>1282</v>
      </c>
      <c r="B388" s="36">
        <v>46136</v>
      </c>
      <c r="C388" t="s">
        <v>29</v>
      </c>
      <c r="D388" t="s">
        <v>27</v>
      </c>
      <c r="E388">
        <v>16</v>
      </c>
      <c r="F388">
        <v>603</v>
      </c>
      <c r="G388" t="s">
        <v>34</v>
      </c>
      <c r="H388" t="s">
        <v>530</v>
      </c>
      <c r="I388" t="s">
        <v>368</v>
      </c>
      <c r="J388">
        <v>3861</v>
      </c>
      <c r="K388" t="s">
        <v>531</v>
      </c>
      <c r="L388">
        <v>1</v>
      </c>
      <c r="M388" t="s">
        <v>119</v>
      </c>
      <c r="N388">
        <v>8</v>
      </c>
      <c r="O388" t="s">
        <v>778</v>
      </c>
      <c r="Q388" t="s">
        <v>1288</v>
      </c>
    </row>
    <row r="389" spans="1:17" hidden="1" x14ac:dyDescent="0.25">
      <c r="A389" t="s">
        <v>1282</v>
      </c>
      <c r="B389" s="36">
        <v>46136</v>
      </c>
      <c r="C389" t="s">
        <v>29</v>
      </c>
      <c r="D389" t="s">
        <v>27</v>
      </c>
      <c r="E389">
        <v>16</v>
      </c>
      <c r="F389">
        <v>603</v>
      </c>
      <c r="G389" t="s">
        <v>34</v>
      </c>
      <c r="H389" t="s">
        <v>530</v>
      </c>
      <c r="I389" t="s">
        <v>368</v>
      </c>
      <c r="J389">
        <v>3862</v>
      </c>
      <c r="K389" t="s">
        <v>531</v>
      </c>
      <c r="L389">
        <v>1</v>
      </c>
      <c r="M389" t="s">
        <v>119</v>
      </c>
      <c r="N389">
        <v>8</v>
      </c>
      <c r="O389" t="s">
        <v>778</v>
      </c>
      <c r="Q389" t="s">
        <v>1289</v>
      </c>
    </row>
    <row r="390" spans="1:17" hidden="1" x14ac:dyDescent="0.25">
      <c r="A390" t="s">
        <v>1282</v>
      </c>
      <c r="B390" s="36">
        <v>46136</v>
      </c>
      <c r="C390" t="s">
        <v>29</v>
      </c>
      <c r="D390" t="s">
        <v>27</v>
      </c>
      <c r="E390">
        <v>16</v>
      </c>
      <c r="F390">
        <v>603</v>
      </c>
      <c r="G390" t="s">
        <v>34</v>
      </c>
      <c r="H390" t="s">
        <v>530</v>
      </c>
      <c r="I390" t="s">
        <v>368</v>
      </c>
      <c r="J390">
        <v>3863</v>
      </c>
      <c r="K390" t="s">
        <v>531</v>
      </c>
      <c r="L390">
        <v>1</v>
      </c>
      <c r="M390" t="s">
        <v>119</v>
      </c>
      <c r="N390">
        <v>8</v>
      </c>
      <c r="O390" t="s">
        <v>778</v>
      </c>
      <c r="Q390" t="s">
        <v>1290</v>
      </c>
    </row>
    <row r="391" spans="1:17" hidden="1" x14ac:dyDescent="0.25">
      <c r="A391" t="s">
        <v>1282</v>
      </c>
      <c r="B391" s="36">
        <v>46136</v>
      </c>
      <c r="C391" t="s">
        <v>29</v>
      </c>
      <c r="D391" t="s">
        <v>27</v>
      </c>
      <c r="E391">
        <v>16</v>
      </c>
      <c r="F391">
        <v>603</v>
      </c>
      <c r="G391" t="s">
        <v>34</v>
      </c>
      <c r="H391" t="s">
        <v>530</v>
      </c>
      <c r="I391" t="s">
        <v>368</v>
      </c>
      <c r="J391">
        <v>3864</v>
      </c>
      <c r="K391" t="s">
        <v>531</v>
      </c>
      <c r="L391">
        <v>1</v>
      </c>
      <c r="M391" t="s">
        <v>119</v>
      </c>
      <c r="N391">
        <v>8</v>
      </c>
      <c r="O391" t="s">
        <v>778</v>
      </c>
      <c r="Q391" t="s">
        <v>1291</v>
      </c>
    </row>
    <row r="392" spans="1:17" hidden="1" x14ac:dyDescent="0.25">
      <c r="A392" t="s">
        <v>1282</v>
      </c>
      <c r="B392" s="36">
        <v>46136</v>
      </c>
      <c r="C392" t="s">
        <v>29</v>
      </c>
      <c r="D392" t="s">
        <v>27</v>
      </c>
      <c r="E392">
        <v>16</v>
      </c>
      <c r="F392">
        <v>603</v>
      </c>
      <c r="G392" t="s">
        <v>34</v>
      </c>
      <c r="H392" t="s">
        <v>530</v>
      </c>
      <c r="I392" t="s">
        <v>368</v>
      </c>
      <c r="J392">
        <v>3865</v>
      </c>
      <c r="K392" t="s">
        <v>531</v>
      </c>
      <c r="L392">
        <v>1</v>
      </c>
      <c r="M392" t="s">
        <v>119</v>
      </c>
      <c r="N392">
        <v>8</v>
      </c>
      <c r="O392" t="s">
        <v>778</v>
      </c>
      <c r="Q392" t="s">
        <v>1292</v>
      </c>
    </row>
    <row r="393" spans="1:17" hidden="1" x14ac:dyDescent="0.25">
      <c r="A393" t="s">
        <v>1282</v>
      </c>
      <c r="B393" s="36">
        <v>46136</v>
      </c>
      <c r="C393" t="s">
        <v>29</v>
      </c>
      <c r="D393" t="s">
        <v>27</v>
      </c>
      <c r="E393">
        <v>16</v>
      </c>
      <c r="F393">
        <v>603</v>
      </c>
      <c r="G393" t="s">
        <v>34</v>
      </c>
      <c r="H393" t="s">
        <v>511</v>
      </c>
      <c r="I393" t="s">
        <v>512</v>
      </c>
      <c r="J393">
        <v>3870</v>
      </c>
      <c r="K393" t="s">
        <v>513</v>
      </c>
      <c r="L393">
        <v>1</v>
      </c>
      <c r="M393" t="s">
        <v>119</v>
      </c>
      <c r="N393">
        <v>8</v>
      </c>
      <c r="O393" t="s">
        <v>778</v>
      </c>
      <c r="Q393" t="s">
        <v>1293</v>
      </c>
    </row>
    <row r="394" spans="1:17" hidden="1" x14ac:dyDescent="0.25">
      <c r="A394" t="s">
        <v>1282</v>
      </c>
      <c r="B394" s="36">
        <v>46136</v>
      </c>
      <c r="C394" t="s">
        <v>29</v>
      </c>
      <c r="D394" t="s">
        <v>27</v>
      </c>
      <c r="E394">
        <v>16</v>
      </c>
      <c r="F394">
        <v>603</v>
      </c>
      <c r="G394" t="s">
        <v>34</v>
      </c>
      <c r="H394" t="s">
        <v>511</v>
      </c>
      <c r="I394" t="s">
        <v>512</v>
      </c>
      <c r="J394">
        <v>3872</v>
      </c>
      <c r="K394" t="s">
        <v>513</v>
      </c>
      <c r="L394">
        <v>1</v>
      </c>
      <c r="M394" t="s">
        <v>119</v>
      </c>
      <c r="N394">
        <v>8</v>
      </c>
      <c r="O394" t="s">
        <v>778</v>
      </c>
      <c r="Q394" t="s">
        <v>1294</v>
      </c>
    </row>
    <row r="395" spans="1:17" hidden="1" x14ac:dyDescent="0.25">
      <c r="A395" t="s">
        <v>1282</v>
      </c>
      <c r="B395" s="36">
        <v>46136</v>
      </c>
      <c r="C395" t="s">
        <v>29</v>
      </c>
      <c r="D395" t="s">
        <v>27</v>
      </c>
      <c r="E395">
        <v>16</v>
      </c>
      <c r="F395">
        <v>603</v>
      </c>
      <c r="G395" t="s">
        <v>34</v>
      </c>
      <c r="H395" t="s">
        <v>511</v>
      </c>
      <c r="I395" t="s">
        <v>512</v>
      </c>
      <c r="J395">
        <v>3874</v>
      </c>
      <c r="K395" t="s">
        <v>513</v>
      </c>
      <c r="L395">
        <v>1</v>
      </c>
      <c r="M395" t="s">
        <v>119</v>
      </c>
      <c r="N395">
        <v>8</v>
      </c>
      <c r="O395" t="s">
        <v>778</v>
      </c>
      <c r="Q395" t="s">
        <v>1295</v>
      </c>
    </row>
    <row r="396" spans="1:17" hidden="1" x14ac:dyDescent="0.25">
      <c r="A396" t="s">
        <v>1282</v>
      </c>
      <c r="B396" s="36">
        <v>46136</v>
      </c>
      <c r="C396" t="s">
        <v>29</v>
      </c>
      <c r="D396" t="s">
        <v>27</v>
      </c>
      <c r="E396">
        <v>16</v>
      </c>
      <c r="F396">
        <v>603</v>
      </c>
      <c r="G396" t="s">
        <v>34</v>
      </c>
      <c r="H396" t="s">
        <v>511</v>
      </c>
      <c r="I396" t="s">
        <v>512</v>
      </c>
      <c r="J396">
        <v>3875</v>
      </c>
      <c r="K396" t="s">
        <v>513</v>
      </c>
      <c r="L396">
        <v>1</v>
      </c>
      <c r="M396" t="s">
        <v>119</v>
      </c>
      <c r="N396">
        <v>8</v>
      </c>
      <c r="O396" t="s">
        <v>778</v>
      </c>
      <c r="Q396" t="s">
        <v>1296</v>
      </c>
    </row>
    <row r="397" spans="1:17" hidden="1" x14ac:dyDescent="0.25">
      <c r="A397" t="s">
        <v>1282</v>
      </c>
      <c r="B397" s="36">
        <v>46136</v>
      </c>
      <c r="C397" t="s">
        <v>29</v>
      </c>
      <c r="D397" t="s">
        <v>27</v>
      </c>
      <c r="E397">
        <v>16</v>
      </c>
      <c r="F397">
        <v>603</v>
      </c>
      <c r="G397" t="s">
        <v>34</v>
      </c>
      <c r="H397" t="s">
        <v>511</v>
      </c>
      <c r="I397" t="s">
        <v>512</v>
      </c>
      <c r="J397">
        <v>3877</v>
      </c>
      <c r="K397" t="s">
        <v>513</v>
      </c>
      <c r="L397">
        <v>1</v>
      </c>
      <c r="M397" t="s">
        <v>119</v>
      </c>
      <c r="N397">
        <v>8</v>
      </c>
      <c r="O397" t="s">
        <v>778</v>
      </c>
      <c r="Q397" t="s">
        <v>1297</v>
      </c>
    </row>
    <row r="398" spans="1:17" hidden="1" x14ac:dyDescent="0.25">
      <c r="A398" t="s">
        <v>1282</v>
      </c>
      <c r="B398" s="36">
        <v>46136</v>
      </c>
      <c r="C398" t="s">
        <v>29</v>
      </c>
      <c r="D398" t="s">
        <v>27</v>
      </c>
      <c r="E398">
        <v>16</v>
      </c>
      <c r="F398">
        <v>603</v>
      </c>
      <c r="G398" t="s">
        <v>34</v>
      </c>
      <c r="H398" t="s">
        <v>511</v>
      </c>
      <c r="I398" t="s">
        <v>512</v>
      </c>
      <c r="J398">
        <v>3878</v>
      </c>
      <c r="K398" t="s">
        <v>513</v>
      </c>
      <c r="L398">
        <v>1</v>
      </c>
      <c r="M398" t="s">
        <v>119</v>
      </c>
      <c r="N398">
        <v>8</v>
      </c>
      <c r="O398" t="s">
        <v>778</v>
      </c>
      <c r="Q398" t="s">
        <v>1298</v>
      </c>
    </row>
    <row r="399" spans="1:17" hidden="1" x14ac:dyDescent="0.25">
      <c r="A399" t="s">
        <v>1282</v>
      </c>
      <c r="B399" s="36">
        <v>46136</v>
      </c>
      <c r="C399" t="s">
        <v>29</v>
      </c>
      <c r="D399" t="s">
        <v>27</v>
      </c>
      <c r="E399">
        <v>16</v>
      </c>
      <c r="F399">
        <v>603</v>
      </c>
      <c r="G399" t="s">
        <v>34</v>
      </c>
      <c r="H399" t="s">
        <v>511</v>
      </c>
      <c r="I399" t="s">
        <v>512</v>
      </c>
      <c r="J399">
        <v>3883</v>
      </c>
      <c r="K399" t="s">
        <v>513</v>
      </c>
      <c r="L399">
        <v>1</v>
      </c>
      <c r="M399" t="s">
        <v>119</v>
      </c>
      <c r="N399">
        <v>8</v>
      </c>
      <c r="O399" t="s">
        <v>778</v>
      </c>
      <c r="Q399" t="s">
        <v>1299</v>
      </c>
    </row>
    <row r="400" spans="1:17" hidden="1" x14ac:dyDescent="0.25">
      <c r="A400" t="s">
        <v>1282</v>
      </c>
      <c r="B400" s="36">
        <v>46136</v>
      </c>
      <c r="C400" t="s">
        <v>29</v>
      </c>
      <c r="D400" t="s">
        <v>27</v>
      </c>
      <c r="E400">
        <v>16</v>
      </c>
      <c r="F400">
        <v>603</v>
      </c>
      <c r="G400" t="s">
        <v>34</v>
      </c>
      <c r="H400" t="s">
        <v>550</v>
      </c>
      <c r="I400" t="s">
        <v>512</v>
      </c>
      <c r="J400">
        <v>3904</v>
      </c>
      <c r="K400" t="s">
        <v>551</v>
      </c>
      <c r="L400">
        <v>1</v>
      </c>
      <c r="M400" t="s">
        <v>119</v>
      </c>
      <c r="N400">
        <v>8</v>
      </c>
      <c r="O400" t="s">
        <v>778</v>
      </c>
      <c r="Q400" t="s">
        <v>1300</v>
      </c>
    </row>
    <row r="401" spans="1:17" hidden="1" x14ac:dyDescent="0.25">
      <c r="A401" t="s">
        <v>1282</v>
      </c>
      <c r="B401" s="36">
        <v>46136</v>
      </c>
      <c r="C401" t="s">
        <v>29</v>
      </c>
      <c r="D401" t="s">
        <v>27</v>
      </c>
      <c r="E401">
        <v>16</v>
      </c>
      <c r="F401">
        <v>603</v>
      </c>
      <c r="G401" t="s">
        <v>34</v>
      </c>
      <c r="H401" t="s">
        <v>550</v>
      </c>
      <c r="I401" t="s">
        <v>512</v>
      </c>
      <c r="J401">
        <v>3905</v>
      </c>
      <c r="K401" t="s">
        <v>551</v>
      </c>
      <c r="L401">
        <v>1</v>
      </c>
      <c r="M401" t="s">
        <v>119</v>
      </c>
      <c r="N401">
        <v>8</v>
      </c>
      <c r="O401" t="s">
        <v>778</v>
      </c>
      <c r="Q401" t="s">
        <v>1301</v>
      </c>
    </row>
    <row r="402" spans="1:17" hidden="1" x14ac:dyDescent="0.25">
      <c r="A402" t="s">
        <v>1282</v>
      </c>
      <c r="B402" s="36">
        <v>46136</v>
      </c>
      <c r="C402" t="s">
        <v>29</v>
      </c>
      <c r="D402" t="s">
        <v>27</v>
      </c>
      <c r="E402">
        <v>16</v>
      </c>
      <c r="F402">
        <v>603</v>
      </c>
      <c r="G402" t="s">
        <v>34</v>
      </c>
      <c r="H402" t="s">
        <v>550</v>
      </c>
      <c r="I402" t="s">
        <v>512</v>
      </c>
      <c r="J402">
        <v>3906</v>
      </c>
      <c r="K402" t="s">
        <v>551</v>
      </c>
      <c r="L402">
        <v>1</v>
      </c>
      <c r="M402" t="s">
        <v>119</v>
      </c>
      <c r="N402">
        <v>8</v>
      </c>
      <c r="O402" t="s">
        <v>778</v>
      </c>
      <c r="Q402" t="s">
        <v>1302</v>
      </c>
    </row>
    <row r="403" spans="1:17" hidden="1" x14ac:dyDescent="0.25">
      <c r="A403" t="s">
        <v>1282</v>
      </c>
      <c r="B403" s="36">
        <v>46136</v>
      </c>
      <c r="C403" t="s">
        <v>29</v>
      </c>
      <c r="D403" t="s">
        <v>27</v>
      </c>
      <c r="E403">
        <v>16</v>
      </c>
      <c r="F403">
        <v>603</v>
      </c>
      <c r="G403" t="s">
        <v>34</v>
      </c>
      <c r="H403" t="s">
        <v>550</v>
      </c>
      <c r="I403" t="s">
        <v>512</v>
      </c>
      <c r="J403">
        <v>3964</v>
      </c>
      <c r="K403" t="s">
        <v>551</v>
      </c>
      <c r="L403">
        <v>1</v>
      </c>
      <c r="M403" t="s">
        <v>119</v>
      </c>
      <c r="N403">
        <v>8</v>
      </c>
      <c r="O403" t="s">
        <v>778</v>
      </c>
      <c r="Q403" t="s">
        <v>1303</v>
      </c>
    </row>
    <row r="404" spans="1:17" hidden="1" x14ac:dyDescent="0.25">
      <c r="A404" t="s">
        <v>1304</v>
      </c>
      <c r="B404" s="36">
        <v>46126</v>
      </c>
      <c r="C404" t="s">
        <v>29</v>
      </c>
      <c r="D404" t="s">
        <v>27</v>
      </c>
      <c r="E404">
        <v>16</v>
      </c>
      <c r="F404">
        <v>605</v>
      </c>
      <c r="G404" t="s">
        <v>34</v>
      </c>
      <c r="H404" t="s">
        <v>992</v>
      </c>
      <c r="I404" t="s">
        <v>993</v>
      </c>
      <c r="J404">
        <v>3943</v>
      </c>
      <c r="K404" t="s">
        <v>994</v>
      </c>
      <c r="L404">
        <v>8</v>
      </c>
      <c r="M404" t="s">
        <v>995</v>
      </c>
      <c r="N404">
        <v>8</v>
      </c>
      <c r="O404" t="s">
        <v>778</v>
      </c>
      <c r="Q404" t="s">
        <v>1305</v>
      </c>
    </row>
    <row r="405" spans="1:17" hidden="1" x14ac:dyDescent="0.25">
      <c r="A405" t="s">
        <v>1304</v>
      </c>
      <c r="B405" s="36">
        <v>46126</v>
      </c>
      <c r="C405" t="s">
        <v>29</v>
      </c>
      <c r="D405" t="s">
        <v>27</v>
      </c>
      <c r="E405">
        <v>16</v>
      </c>
      <c r="F405">
        <v>605</v>
      </c>
      <c r="G405" t="s">
        <v>34</v>
      </c>
      <c r="H405" t="s">
        <v>997</v>
      </c>
      <c r="I405" t="s">
        <v>998</v>
      </c>
      <c r="J405">
        <v>3947</v>
      </c>
      <c r="K405" t="s">
        <v>999</v>
      </c>
      <c r="L405">
        <v>3</v>
      </c>
      <c r="M405" t="s">
        <v>1000</v>
      </c>
      <c r="N405">
        <v>8</v>
      </c>
      <c r="O405" t="s">
        <v>778</v>
      </c>
      <c r="Q405" t="s">
        <v>1306</v>
      </c>
    </row>
    <row r="406" spans="1:17" hidden="1" x14ac:dyDescent="0.25">
      <c r="A406" t="s">
        <v>1304</v>
      </c>
      <c r="B406" s="36">
        <v>46126</v>
      </c>
      <c r="C406" t="s">
        <v>29</v>
      </c>
      <c r="D406" t="s">
        <v>27</v>
      </c>
      <c r="E406">
        <v>16</v>
      </c>
      <c r="F406">
        <v>605</v>
      </c>
      <c r="G406" t="s">
        <v>34</v>
      </c>
      <c r="H406" t="s">
        <v>1002</v>
      </c>
      <c r="I406" t="s">
        <v>1003</v>
      </c>
      <c r="J406">
        <v>3950</v>
      </c>
      <c r="K406" t="s">
        <v>1004</v>
      </c>
      <c r="L406">
        <v>5</v>
      </c>
      <c r="M406" t="s">
        <v>1005</v>
      </c>
      <c r="N406">
        <v>8</v>
      </c>
      <c r="O406" t="s">
        <v>778</v>
      </c>
      <c r="Q406" t="s">
        <v>1307</v>
      </c>
    </row>
    <row r="407" spans="1:17" hidden="1" x14ac:dyDescent="0.25">
      <c r="A407" t="s">
        <v>1304</v>
      </c>
      <c r="B407" s="36">
        <v>46126</v>
      </c>
      <c r="C407" t="s">
        <v>29</v>
      </c>
      <c r="D407" t="s">
        <v>27</v>
      </c>
      <c r="E407">
        <v>16</v>
      </c>
      <c r="F407">
        <v>605</v>
      </c>
      <c r="G407" t="s">
        <v>34</v>
      </c>
      <c r="H407" t="s">
        <v>1002</v>
      </c>
      <c r="I407" t="s">
        <v>1011</v>
      </c>
      <c r="J407">
        <v>4235</v>
      </c>
      <c r="K407" t="s">
        <v>1012</v>
      </c>
      <c r="L407">
        <v>7</v>
      </c>
      <c r="M407" t="s">
        <v>1013</v>
      </c>
      <c r="N407">
        <v>8</v>
      </c>
      <c r="O407" t="s">
        <v>778</v>
      </c>
      <c r="Q407" t="s">
        <v>1308</v>
      </c>
    </row>
    <row r="408" spans="1:17" hidden="1" x14ac:dyDescent="0.25">
      <c r="A408" t="s">
        <v>1304</v>
      </c>
      <c r="B408" s="36">
        <v>46126</v>
      </c>
      <c r="C408" t="s">
        <v>29</v>
      </c>
      <c r="D408" t="s">
        <v>27</v>
      </c>
      <c r="E408">
        <v>16</v>
      </c>
      <c r="F408">
        <v>605</v>
      </c>
      <c r="G408" t="s">
        <v>34</v>
      </c>
      <c r="H408" t="s">
        <v>1015</v>
      </c>
      <c r="I408" t="s">
        <v>1016</v>
      </c>
      <c r="J408">
        <v>4236</v>
      </c>
      <c r="K408" t="s">
        <v>1017</v>
      </c>
      <c r="L408">
        <v>16</v>
      </c>
      <c r="M408" t="s">
        <v>1018</v>
      </c>
      <c r="N408">
        <v>8</v>
      </c>
      <c r="O408" t="s">
        <v>778</v>
      </c>
      <c r="Q408" t="s">
        <v>1309</v>
      </c>
    </row>
    <row r="409" spans="1:17" hidden="1" x14ac:dyDescent="0.25">
      <c r="A409" t="s">
        <v>1304</v>
      </c>
      <c r="B409" s="36">
        <v>46126</v>
      </c>
      <c r="C409" t="s">
        <v>29</v>
      </c>
      <c r="D409" t="s">
        <v>27</v>
      </c>
      <c r="E409">
        <v>16</v>
      </c>
      <c r="F409">
        <v>605</v>
      </c>
      <c r="G409" t="s">
        <v>34</v>
      </c>
      <c r="H409" t="s">
        <v>1024</v>
      </c>
      <c r="I409" t="s">
        <v>1025</v>
      </c>
      <c r="J409">
        <v>4283</v>
      </c>
      <c r="K409" t="s">
        <v>1026</v>
      </c>
      <c r="L409">
        <v>10</v>
      </c>
      <c r="M409" t="s">
        <v>1027</v>
      </c>
      <c r="N409">
        <v>8</v>
      </c>
      <c r="O409" t="s">
        <v>778</v>
      </c>
      <c r="Q409" t="s">
        <v>1310</v>
      </c>
    </row>
    <row r="410" spans="1:17" hidden="1" x14ac:dyDescent="0.25">
      <c r="A410" t="s">
        <v>1304</v>
      </c>
      <c r="B410" s="36">
        <v>46126</v>
      </c>
      <c r="C410" t="s">
        <v>29</v>
      </c>
      <c r="D410" t="s">
        <v>27</v>
      </c>
      <c r="E410">
        <v>16</v>
      </c>
      <c r="F410">
        <v>605</v>
      </c>
      <c r="G410" t="s">
        <v>34</v>
      </c>
      <c r="H410" t="s">
        <v>1029</v>
      </c>
      <c r="I410" t="s">
        <v>1030</v>
      </c>
      <c r="J410">
        <v>4325</v>
      </c>
      <c r="K410" t="s">
        <v>1031</v>
      </c>
      <c r="L410">
        <v>3</v>
      </c>
      <c r="M410" t="s">
        <v>1032</v>
      </c>
      <c r="N410">
        <v>8</v>
      </c>
      <c r="O410" t="s">
        <v>778</v>
      </c>
      <c r="Q410" t="s">
        <v>1311</v>
      </c>
    </row>
    <row r="411" spans="1:17" hidden="1" x14ac:dyDescent="0.25">
      <c r="A411" t="s">
        <v>1304</v>
      </c>
      <c r="B411" s="36">
        <v>46126</v>
      </c>
      <c r="C411" t="s">
        <v>29</v>
      </c>
      <c r="D411" t="s">
        <v>27</v>
      </c>
      <c r="E411">
        <v>16</v>
      </c>
      <c r="F411">
        <v>605</v>
      </c>
      <c r="G411" t="s">
        <v>34</v>
      </c>
      <c r="H411" t="s">
        <v>1034</v>
      </c>
      <c r="I411" t="s">
        <v>1035</v>
      </c>
      <c r="J411">
        <v>4359</v>
      </c>
      <c r="K411" t="s">
        <v>1036</v>
      </c>
      <c r="L411">
        <v>7</v>
      </c>
      <c r="M411" t="s">
        <v>1037</v>
      </c>
      <c r="N411">
        <v>8</v>
      </c>
      <c r="O411" t="s">
        <v>778</v>
      </c>
      <c r="Q411" t="s">
        <v>1312</v>
      </c>
    </row>
    <row r="412" spans="1:17" hidden="1" x14ac:dyDescent="0.25">
      <c r="A412" t="s">
        <v>1304</v>
      </c>
      <c r="B412" s="36">
        <v>46126</v>
      </c>
      <c r="C412" t="s">
        <v>29</v>
      </c>
      <c r="D412" t="s">
        <v>27</v>
      </c>
      <c r="E412">
        <v>16</v>
      </c>
      <c r="F412">
        <v>605</v>
      </c>
      <c r="G412" t="s">
        <v>34</v>
      </c>
      <c r="H412" t="s">
        <v>1039</v>
      </c>
      <c r="I412" t="s">
        <v>1040</v>
      </c>
      <c r="J412">
        <v>4360</v>
      </c>
      <c r="K412" t="s">
        <v>1041</v>
      </c>
      <c r="L412">
        <v>5</v>
      </c>
      <c r="M412" t="s">
        <v>1042</v>
      </c>
      <c r="N412">
        <v>8</v>
      </c>
      <c r="O412" t="s">
        <v>778</v>
      </c>
      <c r="Q412" t="s">
        <v>1313</v>
      </c>
    </row>
    <row r="413" spans="1:17" hidden="1" x14ac:dyDescent="0.25">
      <c r="A413" t="s">
        <v>1304</v>
      </c>
      <c r="B413" s="36">
        <v>46126</v>
      </c>
      <c r="C413" t="s">
        <v>29</v>
      </c>
      <c r="D413" t="s">
        <v>27</v>
      </c>
      <c r="E413">
        <v>16</v>
      </c>
      <c r="F413">
        <v>605</v>
      </c>
      <c r="G413" t="s">
        <v>34</v>
      </c>
      <c r="H413" t="s">
        <v>1044</v>
      </c>
      <c r="I413" t="s">
        <v>1045</v>
      </c>
      <c r="J413">
        <v>4362</v>
      </c>
      <c r="K413" t="s">
        <v>1046</v>
      </c>
      <c r="L413">
        <v>4</v>
      </c>
      <c r="M413" t="s">
        <v>1047</v>
      </c>
      <c r="N413">
        <v>8</v>
      </c>
      <c r="O413" t="s">
        <v>778</v>
      </c>
      <c r="Q413" t="s">
        <v>1314</v>
      </c>
    </row>
    <row r="414" spans="1:17" hidden="1" x14ac:dyDescent="0.25">
      <c r="A414" t="s">
        <v>1304</v>
      </c>
      <c r="B414" s="36">
        <v>46126</v>
      </c>
      <c r="C414" t="s">
        <v>29</v>
      </c>
      <c r="D414" t="s">
        <v>27</v>
      </c>
      <c r="E414">
        <v>16</v>
      </c>
      <c r="F414">
        <v>605</v>
      </c>
      <c r="G414" t="s">
        <v>34</v>
      </c>
      <c r="H414" t="s">
        <v>1049</v>
      </c>
      <c r="I414" t="s">
        <v>1050</v>
      </c>
      <c r="J414">
        <v>4363</v>
      </c>
      <c r="K414" t="s">
        <v>1051</v>
      </c>
      <c r="L414">
        <v>3</v>
      </c>
      <c r="M414" t="s">
        <v>1052</v>
      </c>
      <c r="N414">
        <v>8</v>
      </c>
      <c r="O414" t="s">
        <v>778</v>
      </c>
      <c r="Q414" t="s">
        <v>1315</v>
      </c>
    </row>
    <row r="415" spans="1:17" hidden="1" x14ac:dyDescent="0.25">
      <c r="A415" t="s">
        <v>1316</v>
      </c>
      <c r="B415" s="36">
        <v>46132</v>
      </c>
      <c r="C415" t="s">
        <v>28</v>
      </c>
      <c r="D415" t="s">
        <v>25</v>
      </c>
      <c r="E415">
        <v>14</v>
      </c>
      <c r="F415">
        <v>606</v>
      </c>
      <c r="G415" t="s">
        <v>34</v>
      </c>
      <c r="H415" t="s">
        <v>245</v>
      </c>
      <c r="I415" t="s">
        <v>246</v>
      </c>
      <c r="J415">
        <v>3350</v>
      </c>
      <c r="K415" t="s">
        <v>247</v>
      </c>
      <c r="L415">
        <v>14</v>
      </c>
      <c r="M415" t="s">
        <v>248</v>
      </c>
      <c r="N415">
        <v>16</v>
      </c>
      <c r="O415" t="s">
        <v>778</v>
      </c>
      <c r="Q415" t="s">
        <v>1317</v>
      </c>
    </row>
    <row r="416" spans="1:17" hidden="1" x14ac:dyDescent="0.25">
      <c r="A416" t="s">
        <v>1316</v>
      </c>
      <c r="B416" s="36">
        <v>46132</v>
      </c>
      <c r="C416" t="s">
        <v>28</v>
      </c>
      <c r="D416" t="s">
        <v>25</v>
      </c>
      <c r="E416">
        <v>14</v>
      </c>
      <c r="F416">
        <v>606</v>
      </c>
      <c r="G416" t="s">
        <v>34</v>
      </c>
      <c r="H416" t="s">
        <v>250</v>
      </c>
      <c r="I416" t="s">
        <v>251</v>
      </c>
      <c r="J416">
        <v>3351</v>
      </c>
      <c r="K416" t="s">
        <v>252</v>
      </c>
      <c r="L416">
        <v>29</v>
      </c>
      <c r="M416" t="s">
        <v>253</v>
      </c>
      <c r="N416">
        <v>16</v>
      </c>
      <c r="O416" t="s">
        <v>778</v>
      </c>
      <c r="Q416" t="s">
        <v>1318</v>
      </c>
    </row>
    <row r="417" spans="1:17" hidden="1" x14ac:dyDescent="0.25">
      <c r="A417" t="s">
        <v>1316</v>
      </c>
      <c r="B417" s="36">
        <v>46132</v>
      </c>
      <c r="C417" t="s">
        <v>28</v>
      </c>
      <c r="D417" t="s">
        <v>25</v>
      </c>
      <c r="E417">
        <v>14</v>
      </c>
      <c r="F417">
        <v>606</v>
      </c>
      <c r="G417" t="s">
        <v>34</v>
      </c>
      <c r="H417" t="s">
        <v>255</v>
      </c>
      <c r="I417" t="s">
        <v>256</v>
      </c>
      <c r="J417">
        <v>3352</v>
      </c>
      <c r="K417" t="s">
        <v>257</v>
      </c>
      <c r="L417">
        <v>23</v>
      </c>
      <c r="M417" t="s">
        <v>258</v>
      </c>
      <c r="N417">
        <v>16</v>
      </c>
      <c r="O417" t="s">
        <v>778</v>
      </c>
      <c r="Q417" t="s">
        <v>1319</v>
      </c>
    </row>
    <row r="418" spans="1:17" hidden="1" x14ac:dyDescent="0.25">
      <c r="A418" t="s">
        <v>1316</v>
      </c>
      <c r="B418" s="36">
        <v>46132</v>
      </c>
      <c r="C418" t="s">
        <v>28</v>
      </c>
      <c r="D418" t="s">
        <v>25</v>
      </c>
      <c r="E418">
        <v>14</v>
      </c>
      <c r="F418">
        <v>606</v>
      </c>
      <c r="G418" t="s">
        <v>34</v>
      </c>
      <c r="H418" t="s">
        <v>260</v>
      </c>
      <c r="I418" t="s">
        <v>261</v>
      </c>
      <c r="J418">
        <v>3353</v>
      </c>
      <c r="K418" t="s">
        <v>262</v>
      </c>
      <c r="L418">
        <v>16</v>
      </c>
      <c r="M418" t="s">
        <v>263</v>
      </c>
      <c r="N418">
        <v>16</v>
      </c>
      <c r="O418" t="s">
        <v>778</v>
      </c>
      <c r="Q418" t="s">
        <v>1320</v>
      </c>
    </row>
    <row r="419" spans="1:17" hidden="1" x14ac:dyDescent="0.25">
      <c r="A419" t="s">
        <v>1316</v>
      </c>
      <c r="B419" s="36">
        <v>46132</v>
      </c>
      <c r="C419" t="s">
        <v>28</v>
      </c>
      <c r="D419" t="s">
        <v>25</v>
      </c>
      <c r="E419">
        <v>14</v>
      </c>
      <c r="F419">
        <v>606</v>
      </c>
      <c r="G419" t="s">
        <v>34</v>
      </c>
      <c r="H419" t="s">
        <v>265</v>
      </c>
      <c r="I419" t="s">
        <v>266</v>
      </c>
      <c r="J419">
        <v>3355</v>
      </c>
      <c r="K419" t="s">
        <v>267</v>
      </c>
      <c r="L419">
        <v>9</v>
      </c>
      <c r="M419" t="s">
        <v>268</v>
      </c>
      <c r="N419">
        <v>16</v>
      </c>
      <c r="O419" t="s">
        <v>778</v>
      </c>
      <c r="Q419" t="s">
        <v>1321</v>
      </c>
    </row>
    <row r="420" spans="1:17" hidden="1" x14ac:dyDescent="0.25">
      <c r="A420" t="s">
        <v>1316</v>
      </c>
      <c r="B420" s="36">
        <v>46132</v>
      </c>
      <c r="C420" t="s">
        <v>28</v>
      </c>
      <c r="D420" t="s">
        <v>25</v>
      </c>
      <c r="E420">
        <v>14</v>
      </c>
      <c r="F420">
        <v>606</v>
      </c>
      <c r="G420" t="s">
        <v>34</v>
      </c>
      <c r="H420" t="s">
        <v>245</v>
      </c>
      <c r="I420" t="s">
        <v>270</v>
      </c>
      <c r="J420">
        <v>3356</v>
      </c>
      <c r="K420" t="s">
        <v>271</v>
      </c>
      <c r="L420">
        <v>23</v>
      </c>
      <c r="M420" t="s">
        <v>272</v>
      </c>
      <c r="N420">
        <v>16</v>
      </c>
      <c r="O420" t="s">
        <v>778</v>
      </c>
      <c r="Q420" t="s">
        <v>1322</v>
      </c>
    </row>
    <row r="421" spans="1:17" hidden="1" x14ac:dyDescent="0.25">
      <c r="A421" t="s">
        <v>1316</v>
      </c>
      <c r="B421" s="36">
        <v>46132</v>
      </c>
      <c r="C421" t="s">
        <v>28</v>
      </c>
      <c r="D421" t="s">
        <v>25</v>
      </c>
      <c r="E421">
        <v>14</v>
      </c>
      <c r="F421">
        <v>606</v>
      </c>
      <c r="G421" t="s">
        <v>34</v>
      </c>
      <c r="H421" t="s">
        <v>587</v>
      </c>
      <c r="I421" t="s">
        <v>588</v>
      </c>
      <c r="J421">
        <v>3368</v>
      </c>
      <c r="K421" t="s">
        <v>589</v>
      </c>
      <c r="L421">
        <v>5</v>
      </c>
      <c r="M421" t="s">
        <v>590</v>
      </c>
      <c r="N421">
        <v>12</v>
      </c>
      <c r="O421" t="s">
        <v>778</v>
      </c>
      <c r="Q421" t="s">
        <v>1323</v>
      </c>
    </row>
    <row r="422" spans="1:17" hidden="1" x14ac:dyDescent="0.25">
      <c r="A422" t="s">
        <v>1316</v>
      </c>
      <c r="B422" s="36">
        <v>46132</v>
      </c>
      <c r="C422" t="s">
        <v>28</v>
      </c>
      <c r="D422" t="s">
        <v>25</v>
      </c>
      <c r="E422">
        <v>14</v>
      </c>
      <c r="F422">
        <v>606</v>
      </c>
      <c r="G422" t="s">
        <v>34</v>
      </c>
      <c r="H422" t="s">
        <v>703</v>
      </c>
      <c r="I422" t="s">
        <v>704</v>
      </c>
      <c r="J422">
        <v>3376</v>
      </c>
      <c r="K422" t="s">
        <v>705</v>
      </c>
      <c r="L422">
        <v>9</v>
      </c>
      <c r="M422" t="s">
        <v>706</v>
      </c>
      <c r="N422">
        <v>12</v>
      </c>
      <c r="O422" t="s">
        <v>778</v>
      </c>
      <c r="Q422" t="s">
        <v>1324</v>
      </c>
    </row>
    <row r="423" spans="1:17" hidden="1" x14ac:dyDescent="0.25">
      <c r="A423" t="s">
        <v>1316</v>
      </c>
      <c r="B423" s="36">
        <v>46132</v>
      </c>
      <c r="C423" t="s">
        <v>28</v>
      </c>
      <c r="D423" t="s">
        <v>25</v>
      </c>
      <c r="E423">
        <v>14</v>
      </c>
      <c r="F423">
        <v>606</v>
      </c>
      <c r="G423" t="s">
        <v>34</v>
      </c>
      <c r="H423" t="s">
        <v>431</v>
      </c>
      <c r="I423" t="s">
        <v>602</v>
      </c>
      <c r="J423">
        <v>3377</v>
      </c>
      <c r="K423" t="s">
        <v>603</v>
      </c>
      <c r="L423">
        <v>7</v>
      </c>
      <c r="M423" t="s">
        <v>604</v>
      </c>
      <c r="N423">
        <v>12</v>
      </c>
      <c r="O423" t="s">
        <v>778</v>
      </c>
      <c r="Q423" t="s">
        <v>1325</v>
      </c>
    </row>
    <row r="424" spans="1:17" hidden="1" x14ac:dyDescent="0.25">
      <c r="A424" t="s">
        <v>1316</v>
      </c>
      <c r="B424" s="36">
        <v>46132</v>
      </c>
      <c r="C424" t="s">
        <v>28</v>
      </c>
      <c r="D424" t="s">
        <v>25</v>
      </c>
      <c r="E424">
        <v>14</v>
      </c>
      <c r="F424">
        <v>606</v>
      </c>
      <c r="G424" t="s">
        <v>34</v>
      </c>
      <c r="H424" t="s">
        <v>708</v>
      </c>
      <c r="I424" t="s">
        <v>709</v>
      </c>
      <c r="J424">
        <v>3378</v>
      </c>
      <c r="K424" t="s">
        <v>710</v>
      </c>
      <c r="L424">
        <v>8</v>
      </c>
      <c r="M424" t="s">
        <v>711</v>
      </c>
      <c r="N424">
        <v>12</v>
      </c>
      <c r="O424" t="s">
        <v>778</v>
      </c>
      <c r="Q424" t="s">
        <v>1326</v>
      </c>
    </row>
    <row r="425" spans="1:17" hidden="1" x14ac:dyDescent="0.25">
      <c r="A425" t="s">
        <v>1316</v>
      </c>
      <c r="B425" s="36">
        <v>46132</v>
      </c>
      <c r="C425" t="s">
        <v>28</v>
      </c>
      <c r="D425" t="s">
        <v>25</v>
      </c>
      <c r="E425">
        <v>14</v>
      </c>
      <c r="F425">
        <v>606</v>
      </c>
      <c r="G425" t="s">
        <v>34</v>
      </c>
      <c r="H425" t="s">
        <v>713</v>
      </c>
      <c r="I425" t="s">
        <v>512</v>
      </c>
      <c r="J425">
        <v>3379</v>
      </c>
      <c r="K425" t="s">
        <v>714</v>
      </c>
      <c r="L425">
        <v>4</v>
      </c>
      <c r="M425" t="s">
        <v>715</v>
      </c>
      <c r="N425">
        <v>12</v>
      </c>
      <c r="O425" t="s">
        <v>778</v>
      </c>
      <c r="Q425" t="s">
        <v>1327</v>
      </c>
    </row>
    <row r="426" spans="1:17" hidden="1" x14ac:dyDescent="0.25">
      <c r="A426" t="s">
        <v>1316</v>
      </c>
      <c r="B426" s="36">
        <v>46132</v>
      </c>
      <c r="C426" t="s">
        <v>28</v>
      </c>
      <c r="D426" t="s">
        <v>25</v>
      </c>
      <c r="E426">
        <v>14</v>
      </c>
      <c r="F426">
        <v>606</v>
      </c>
      <c r="G426" t="s">
        <v>34</v>
      </c>
      <c r="H426" t="s">
        <v>279</v>
      </c>
      <c r="I426" t="s">
        <v>280</v>
      </c>
      <c r="J426">
        <v>3522</v>
      </c>
      <c r="K426" t="s">
        <v>281</v>
      </c>
      <c r="L426">
        <v>15</v>
      </c>
      <c r="M426" t="s">
        <v>282</v>
      </c>
      <c r="N426">
        <v>16</v>
      </c>
      <c r="O426" t="s">
        <v>778</v>
      </c>
      <c r="Q426" t="s">
        <v>1328</v>
      </c>
    </row>
    <row r="427" spans="1:17" hidden="1" x14ac:dyDescent="0.25">
      <c r="A427" t="s">
        <v>1316</v>
      </c>
      <c r="B427" s="36">
        <v>46132</v>
      </c>
      <c r="C427" t="s">
        <v>28</v>
      </c>
      <c r="D427" t="s">
        <v>25</v>
      </c>
      <c r="E427">
        <v>14</v>
      </c>
      <c r="F427">
        <v>606</v>
      </c>
      <c r="G427" t="s">
        <v>34</v>
      </c>
      <c r="H427" t="s">
        <v>260</v>
      </c>
      <c r="I427" t="s">
        <v>477</v>
      </c>
      <c r="J427">
        <v>3523</v>
      </c>
      <c r="K427" t="s">
        <v>478</v>
      </c>
      <c r="L427">
        <v>7</v>
      </c>
      <c r="M427" t="s">
        <v>479</v>
      </c>
      <c r="N427">
        <v>16</v>
      </c>
      <c r="O427" t="s">
        <v>778</v>
      </c>
      <c r="Q427" t="s">
        <v>1329</v>
      </c>
    </row>
    <row r="428" spans="1:17" hidden="1" x14ac:dyDescent="0.25">
      <c r="A428" t="s">
        <v>1316</v>
      </c>
      <c r="B428" s="36">
        <v>46132</v>
      </c>
      <c r="C428" t="s">
        <v>28</v>
      </c>
      <c r="D428" t="s">
        <v>25</v>
      </c>
      <c r="E428">
        <v>14</v>
      </c>
      <c r="F428">
        <v>606</v>
      </c>
      <c r="G428" t="s">
        <v>34</v>
      </c>
      <c r="H428" t="s">
        <v>751</v>
      </c>
      <c r="I428" t="s">
        <v>195</v>
      </c>
      <c r="J428">
        <v>3716</v>
      </c>
      <c r="K428" t="s">
        <v>752</v>
      </c>
      <c r="L428">
        <v>4</v>
      </c>
      <c r="M428" t="s">
        <v>753</v>
      </c>
      <c r="N428">
        <v>12</v>
      </c>
      <c r="O428" t="s">
        <v>778</v>
      </c>
      <c r="Q428" t="s">
        <v>1330</v>
      </c>
    </row>
    <row r="429" spans="1:17" hidden="1" x14ac:dyDescent="0.25">
      <c r="A429" t="s">
        <v>1316</v>
      </c>
      <c r="B429" s="36">
        <v>46132</v>
      </c>
      <c r="C429" t="s">
        <v>28</v>
      </c>
      <c r="D429" t="s">
        <v>25</v>
      </c>
      <c r="E429">
        <v>14</v>
      </c>
      <c r="F429">
        <v>606</v>
      </c>
      <c r="G429" t="s">
        <v>34</v>
      </c>
      <c r="H429" t="s">
        <v>346</v>
      </c>
      <c r="I429" t="s">
        <v>347</v>
      </c>
      <c r="J429">
        <v>3718</v>
      </c>
      <c r="K429" t="s">
        <v>348</v>
      </c>
      <c r="L429">
        <v>9</v>
      </c>
      <c r="M429" t="s">
        <v>349</v>
      </c>
      <c r="N429">
        <v>12</v>
      </c>
      <c r="O429" t="s">
        <v>778</v>
      </c>
      <c r="Q429" t="s">
        <v>1331</v>
      </c>
    </row>
    <row r="430" spans="1:17" hidden="1" x14ac:dyDescent="0.25">
      <c r="A430" t="s">
        <v>1316</v>
      </c>
      <c r="B430" s="36">
        <v>46132</v>
      </c>
      <c r="C430" t="s">
        <v>28</v>
      </c>
      <c r="D430" t="s">
        <v>25</v>
      </c>
      <c r="E430">
        <v>14</v>
      </c>
      <c r="F430">
        <v>606</v>
      </c>
      <c r="G430" t="s">
        <v>34</v>
      </c>
      <c r="H430" t="s">
        <v>722</v>
      </c>
      <c r="I430" t="s">
        <v>723</v>
      </c>
      <c r="J430">
        <v>4269</v>
      </c>
      <c r="K430" t="s">
        <v>724</v>
      </c>
      <c r="L430">
        <v>4</v>
      </c>
      <c r="M430" t="s">
        <v>725</v>
      </c>
      <c r="N430">
        <v>12</v>
      </c>
      <c r="O430" t="s">
        <v>778</v>
      </c>
      <c r="Q430" t="s">
        <v>1332</v>
      </c>
    </row>
    <row r="431" spans="1:17" hidden="1" x14ac:dyDescent="0.25">
      <c r="A431" t="s">
        <v>1316</v>
      </c>
      <c r="B431" s="36">
        <v>46132</v>
      </c>
      <c r="C431" t="s">
        <v>28</v>
      </c>
      <c r="D431" t="s">
        <v>25</v>
      </c>
      <c r="E431">
        <v>14</v>
      </c>
      <c r="F431">
        <v>606</v>
      </c>
      <c r="G431" t="s">
        <v>34</v>
      </c>
      <c r="H431" t="s">
        <v>755</v>
      </c>
      <c r="I431" t="s">
        <v>756</v>
      </c>
      <c r="J431">
        <v>4335</v>
      </c>
      <c r="K431" t="s">
        <v>757</v>
      </c>
      <c r="L431">
        <v>5</v>
      </c>
      <c r="M431" t="s">
        <v>758</v>
      </c>
      <c r="N431">
        <v>12</v>
      </c>
      <c r="O431" t="s">
        <v>778</v>
      </c>
      <c r="Q431" t="s">
        <v>1333</v>
      </c>
    </row>
    <row r="432" spans="1:17" hidden="1" x14ac:dyDescent="0.25">
      <c r="A432" t="s">
        <v>1316</v>
      </c>
      <c r="B432" s="36">
        <v>46132</v>
      </c>
      <c r="C432" t="s">
        <v>28</v>
      </c>
      <c r="D432" t="s">
        <v>25</v>
      </c>
      <c r="E432">
        <v>14</v>
      </c>
      <c r="F432">
        <v>606</v>
      </c>
      <c r="G432" t="s">
        <v>34</v>
      </c>
      <c r="H432" t="s">
        <v>315</v>
      </c>
      <c r="I432" t="s">
        <v>573</v>
      </c>
      <c r="J432">
        <v>4465</v>
      </c>
      <c r="K432" t="s">
        <v>574</v>
      </c>
      <c r="L432">
        <v>11</v>
      </c>
      <c r="M432" t="s">
        <v>575</v>
      </c>
      <c r="N432">
        <v>19</v>
      </c>
      <c r="O432" t="s">
        <v>778</v>
      </c>
      <c r="Q432" t="s">
        <v>1334</v>
      </c>
    </row>
    <row r="433" spans="1:17" hidden="1" x14ac:dyDescent="0.25">
      <c r="A433" t="s">
        <v>1316</v>
      </c>
      <c r="B433" s="36">
        <v>46132</v>
      </c>
      <c r="C433" t="s">
        <v>28</v>
      </c>
      <c r="D433" t="s">
        <v>25</v>
      </c>
      <c r="E433">
        <v>14</v>
      </c>
      <c r="F433">
        <v>606</v>
      </c>
      <c r="G433" t="s">
        <v>34</v>
      </c>
      <c r="H433" t="s">
        <v>717</v>
      </c>
      <c r="I433" t="s">
        <v>718</v>
      </c>
      <c r="J433">
        <v>4467</v>
      </c>
      <c r="K433" t="s">
        <v>719</v>
      </c>
      <c r="L433">
        <v>10</v>
      </c>
      <c r="M433" t="s">
        <v>720</v>
      </c>
      <c r="N433">
        <v>12</v>
      </c>
      <c r="O433" t="s">
        <v>778</v>
      </c>
      <c r="Q433" t="s">
        <v>1335</v>
      </c>
    </row>
    <row r="434" spans="1:17" hidden="1" x14ac:dyDescent="0.25">
      <c r="A434" t="s">
        <v>1316</v>
      </c>
      <c r="B434" s="36">
        <v>46132</v>
      </c>
      <c r="C434" t="s">
        <v>28</v>
      </c>
      <c r="D434" t="s">
        <v>25</v>
      </c>
      <c r="E434">
        <v>14</v>
      </c>
      <c r="F434">
        <v>606</v>
      </c>
      <c r="G434" t="s">
        <v>34</v>
      </c>
      <c r="H434" t="s">
        <v>486</v>
      </c>
      <c r="I434" t="s">
        <v>487</v>
      </c>
      <c r="J434">
        <v>4519</v>
      </c>
      <c r="K434" t="s">
        <v>488</v>
      </c>
      <c r="L434">
        <v>17</v>
      </c>
      <c r="M434" t="s">
        <v>489</v>
      </c>
      <c r="N434">
        <v>16</v>
      </c>
      <c r="O434" t="s">
        <v>778</v>
      </c>
      <c r="Q434" t="s">
        <v>1336</v>
      </c>
    </row>
    <row r="435" spans="1:17" hidden="1" x14ac:dyDescent="0.25">
      <c r="A435" t="s">
        <v>1337</v>
      </c>
      <c r="B435" s="36">
        <v>46136</v>
      </c>
      <c r="C435" t="s">
        <v>28</v>
      </c>
      <c r="D435" t="s">
        <v>25</v>
      </c>
      <c r="E435">
        <v>14</v>
      </c>
      <c r="F435">
        <v>605</v>
      </c>
      <c r="G435" t="s">
        <v>34</v>
      </c>
      <c r="H435" t="s">
        <v>447</v>
      </c>
      <c r="I435" t="s">
        <v>448</v>
      </c>
      <c r="J435">
        <v>3381</v>
      </c>
      <c r="K435" t="s">
        <v>449</v>
      </c>
      <c r="L435">
        <v>10</v>
      </c>
      <c r="M435" t="s">
        <v>450</v>
      </c>
      <c r="N435">
        <v>10</v>
      </c>
      <c r="O435" t="s">
        <v>778</v>
      </c>
      <c r="Q435" t="s">
        <v>1338</v>
      </c>
    </row>
    <row r="436" spans="1:17" hidden="1" x14ac:dyDescent="0.25">
      <c r="A436" t="s">
        <v>1337</v>
      </c>
      <c r="B436" s="36">
        <v>46136</v>
      </c>
      <c r="C436" t="s">
        <v>28</v>
      </c>
      <c r="D436" t="s">
        <v>25</v>
      </c>
      <c r="E436">
        <v>14</v>
      </c>
      <c r="F436">
        <v>605</v>
      </c>
      <c r="G436" t="s">
        <v>34</v>
      </c>
      <c r="H436" t="s">
        <v>135</v>
      </c>
      <c r="I436" t="s">
        <v>452</v>
      </c>
      <c r="J436">
        <v>3382</v>
      </c>
      <c r="K436" t="s">
        <v>453</v>
      </c>
      <c r="L436">
        <v>8</v>
      </c>
      <c r="M436" t="s">
        <v>454</v>
      </c>
      <c r="N436">
        <v>10</v>
      </c>
      <c r="O436" t="s">
        <v>778</v>
      </c>
      <c r="Q436" t="s">
        <v>1339</v>
      </c>
    </row>
    <row r="437" spans="1:17" hidden="1" x14ac:dyDescent="0.25">
      <c r="A437" t="s">
        <v>1337</v>
      </c>
      <c r="B437" s="36">
        <v>46136</v>
      </c>
      <c r="C437" t="s">
        <v>28</v>
      </c>
      <c r="D437" t="s">
        <v>25</v>
      </c>
      <c r="E437">
        <v>14</v>
      </c>
      <c r="F437">
        <v>605</v>
      </c>
      <c r="G437" t="s">
        <v>34</v>
      </c>
      <c r="H437" t="s">
        <v>447</v>
      </c>
      <c r="I437" t="s">
        <v>456</v>
      </c>
      <c r="J437">
        <v>3383</v>
      </c>
      <c r="K437" t="s">
        <v>457</v>
      </c>
      <c r="L437">
        <v>7</v>
      </c>
      <c r="M437" t="s">
        <v>458</v>
      </c>
      <c r="N437">
        <v>10</v>
      </c>
      <c r="O437" t="s">
        <v>778</v>
      </c>
      <c r="Q437" t="s">
        <v>1340</v>
      </c>
    </row>
    <row r="438" spans="1:17" hidden="1" x14ac:dyDescent="0.25">
      <c r="A438" t="s">
        <v>1337</v>
      </c>
      <c r="B438" s="36">
        <v>46136</v>
      </c>
      <c r="C438" t="s">
        <v>28</v>
      </c>
      <c r="D438" t="s">
        <v>25</v>
      </c>
      <c r="E438">
        <v>14</v>
      </c>
      <c r="F438">
        <v>605</v>
      </c>
      <c r="G438" t="s">
        <v>34</v>
      </c>
      <c r="H438" t="s">
        <v>155</v>
      </c>
      <c r="I438" t="s">
        <v>460</v>
      </c>
      <c r="J438">
        <v>3384</v>
      </c>
      <c r="K438" t="s">
        <v>461</v>
      </c>
      <c r="L438">
        <v>7</v>
      </c>
      <c r="M438" t="s">
        <v>462</v>
      </c>
      <c r="N438">
        <v>10</v>
      </c>
      <c r="O438" t="s">
        <v>778</v>
      </c>
      <c r="Q438" t="s">
        <v>1341</v>
      </c>
    </row>
    <row r="439" spans="1:17" hidden="1" x14ac:dyDescent="0.25">
      <c r="A439" t="s">
        <v>1337</v>
      </c>
      <c r="B439" s="36">
        <v>46136</v>
      </c>
      <c r="C439" t="s">
        <v>28</v>
      </c>
      <c r="D439" t="s">
        <v>25</v>
      </c>
      <c r="E439">
        <v>14</v>
      </c>
      <c r="F439">
        <v>605</v>
      </c>
      <c r="G439" t="s">
        <v>34</v>
      </c>
      <c r="H439" t="s">
        <v>155</v>
      </c>
      <c r="I439" t="s">
        <v>464</v>
      </c>
      <c r="J439">
        <v>3385</v>
      </c>
      <c r="K439" t="s">
        <v>465</v>
      </c>
      <c r="L439">
        <v>6</v>
      </c>
      <c r="M439" t="s">
        <v>466</v>
      </c>
      <c r="N439">
        <v>10</v>
      </c>
      <c r="O439" t="s">
        <v>778</v>
      </c>
      <c r="Q439" t="s">
        <v>1342</v>
      </c>
    </row>
    <row r="440" spans="1:17" hidden="1" x14ac:dyDescent="0.25">
      <c r="A440" t="s">
        <v>1337</v>
      </c>
      <c r="B440" s="36">
        <v>46136</v>
      </c>
      <c r="C440" t="s">
        <v>28</v>
      </c>
      <c r="D440" t="s">
        <v>25</v>
      </c>
      <c r="E440">
        <v>14</v>
      </c>
      <c r="F440">
        <v>605</v>
      </c>
      <c r="G440" t="s">
        <v>34</v>
      </c>
      <c r="H440" t="s">
        <v>155</v>
      </c>
      <c r="I440" t="s">
        <v>468</v>
      </c>
      <c r="J440">
        <v>3386</v>
      </c>
      <c r="K440" t="s">
        <v>469</v>
      </c>
      <c r="L440">
        <v>15</v>
      </c>
      <c r="M440" t="s">
        <v>470</v>
      </c>
      <c r="N440">
        <v>10</v>
      </c>
      <c r="O440" t="s">
        <v>778</v>
      </c>
      <c r="Q440" t="s">
        <v>1343</v>
      </c>
    </row>
    <row r="441" spans="1:17" hidden="1" x14ac:dyDescent="0.25">
      <c r="A441" t="s">
        <v>1337</v>
      </c>
      <c r="B441" s="36">
        <v>46136</v>
      </c>
      <c r="C441" t="s">
        <v>28</v>
      </c>
      <c r="D441" t="s">
        <v>25</v>
      </c>
      <c r="E441">
        <v>14</v>
      </c>
      <c r="F441">
        <v>605</v>
      </c>
      <c r="G441" t="s">
        <v>34</v>
      </c>
      <c r="H441" t="s">
        <v>441</v>
      </c>
      <c r="I441" t="s">
        <v>442</v>
      </c>
      <c r="J441">
        <v>3487</v>
      </c>
      <c r="K441" t="s">
        <v>443</v>
      </c>
      <c r="L441">
        <v>5</v>
      </c>
      <c r="M441" t="s">
        <v>444</v>
      </c>
      <c r="N441">
        <v>8</v>
      </c>
      <c r="O441" t="s">
        <v>778</v>
      </c>
      <c r="Q441" t="s">
        <v>1344</v>
      </c>
    </row>
    <row r="442" spans="1:17" hidden="1" x14ac:dyDescent="0.25">
      <c r="A442" t="s">
        <v>1337</v>
      </c>
      <c r="B442" s="36">
        <v>46136</v>
      </c>
      <c r="C442" t="s">
        <v>28</v>
      </c>
      <c r="D442" t="s">
        <v>25</v>
      </c>
      <c r="E442">
        <v>14</v>
      </c>
      <c r="F442">
        <v>605</v>
      </c>
      <c r="G442" t="s">
        <v>34</v>
      </c>
      <c r="H442" t="s">
        <v>481</v>
      </c>
      <c r="I442" t="s">
        <v>482</v>
      </c>
      <c r="J442">
        <v>3705</v>
      </c>
      <c r="K442" t="s">
        <v>483</v>
      </c>
      <c r="L442">
        <v>5</v>
      </c>
      <c r="M442" t="s">
        <v>484</v>
      </c>
      <c r="N442">
        <v>10</v>
      </c>
      <c r="O442" t="s">
        <v>778</v>
      </c>
      <c r="Q442" t="s">
        <v>1345</v>
      </c>
    </row>
    <row r="443" spans="1:17" hidden="1" x14ac:dyDescent="0.25">
      <c r="A443" t="s">
        <v>1337</v>
      </c>
      <c r="B443" s="36">
        <v>46136</v>
      </c>
      <c r="C443" t="s">
        <v>28</v>
      </c>
      <c r="D443" t="s">
        <v>25</v>
      </c>
      <c r="E443">
        <v>14</v>
      </c>
      <c r="F443">
        <v>605</v>
      </c>
      <c r="G443" t="s">
        <v>34</v>
      </c>
      <c r="H443" t="s">
        <v>165</v>
      </c>
      <c r="I443" t="s">
        <v>166</v>
      </c>
      <c r="J443">
        <v>3980</v>
      </c>
      <c r="K443" t="s">
        <v>167</v>
      </c>
      <c r="L443">
        <v>5</v>
      </c>
      <c r="M443" t="s">
        <v>168</v>
      </c>
      <c r="N443">
        <v>8</v>
      </c>
      <c r="O443" t="s">
        <v>778</v>
      </c>
      <c r="Q443" t="s">
        <v>1346</v>
      </c>
    </row>
    <row r="444" spans="1:17" hidden="1" x14ac:dyDescent="0.25">
      <c r="A444" t="s">
        <v>1337</v>
      </c>
      <c r="B444" s="36">
        <v>46136</v>
      </c>
      <c r="C444" t="s">
        <v>28</v>
      </c>
      <c r="D444" t="s">
        <v>25</v>
      </c>
      <c r="E444">
        <v>14</v>
      </c>
      <c r="F444">
        <v>605</v>
      </c>
      <c r="G444" t="s">
        <v>34</v>
      </c>
      <c r="H444" t="s">
        <v>170</v>
      </c>
      <c r="I444" t="s">
        <v>171</v>
      </c>
      <c r="J444">
        <v>3981</v>
      </c>
      <c r="K444" t="s">
        <v>172</v>
      </c>
      <c r="L444">
        <v>5</v>
      </c>
      <c r="M444" t="s">
        <v>173</v>
      </c>
      <c r="N444">
        <v>8</v>
      </c>
      <c r="O444" t="s">
        <v>778</v>
      </c>
      <c r="Q444" t="s">
        <v>1347</v>
      </c>
    </row>
    <row r="445" spans="1:17" hidden="1" x14ac:dyDescent="0.25">
      <c r="A445" t="s">
        <v>1337</v>
      </c>
      <c r="B445" s="36">
        <v>46136</v>
      </c>
      <c r="C445" t="s">
        <v>28</v>
      </c>
      <c r="D445" t="s">
        <v>25</v>
      </c>
      <c r="E445">
        <v>14</v>
      </c>
      <c r="F445">
        <v>605</v>
      </c>
      <c r="G445" t="s">
        <v>34</v>
      </c>
      <c r="H445" t="s">
        <v>431</v>
      </c>
      <c r="I445" t="s">
        <v>432</v>
      </c>
      <c r="J445">
        <v>3983</v>
      </c>
      <c r="K445" t="s">
        <v>433</v>
      </c>
      <c r="L445">
        <v>13</v>
      </c>
      <c r="M445" t="s">
        <v>434</v>
      </c>
      <c r="N445">
        <v>8</v>
      </c>
      <c r="O445" t="s">
        <v>778</v>
      </c>
      <c r="Q445" t="s">
        <v>1348</v>
      </c>
    </row>
    <row r="446" spans="1:17" x14ac:dyDescent="0.25">
      <c r="A446" t="s">
        <v>1337</v>
      </c>
      <c r="B446" s="36">
        <v>46136</v>
      </c>
      <c r="C446" t="s">
        <v>28</v>
      </c>
      <c r="D446" t="s">
        <v>25</v>
      </c>
      <c r="E446">
        <v>14</v>
      </c>
      <c r="F446">
        <v>605</v>
      </c>
      <c r="G446" t="s">
        <v>34</v>
      </c>
      <c r="H446" t="s">
        <v>284</v>
      </c>
      <c r="I446" t="s">
        <v>381</v>
      </c>
      <c r="J446">
        <v>3994</v>
      </c>
      <c r="K446" t="s">
        <v>385</v>
      </c>
      <c r="L446">
        <v>3</v>
      </c>
      <c r="M446" t="s">
        <v>386</v>
      </c>
      <c r="N446">
        <v>8</v>
      </c>
      <c r="O446" t="s">
        <v>778</v>
      </c>
      <c r="Q446" t="s">
        <v>1349</v>
      </c>
    </row>
    <row r="447" spans="1:17" hidden="1" x14ac:dyDescent="0.25">
      <c r="A447" t="s">
        <v>1337</v>
      </c>
      <c r="B447" s="36">
        <v>46136</v>
      </c>
      <c r="C447" t="s">
        <v>28</v>
      </c>
      <c r="D447" t="s">
        <v>25</v>
      </c>
      <c r="E447">
        <v>14</v>
      </c>
      <c r="F447">
        <v>605</v>
      </c>
      <c r="G447" t="s">
        <v>34</v>
      </c>
      <c r="H447" t="s">
        <v>180</v>
      </c>
      <c r="I447" t="s">
        <v>181</v>
      </c>
      <c r="J447">
        <v>4007</v>
      </c>
      <c r="K447" t="s">
        <v>182</v>
      </c>
      <c r="L447">
        <v>13</v>
      </c>
      <c r="M447" t="s">
        <v>183</v>
      </c>
      <c r="N447">
        <v>8</v>
      </c>
      <c r="O447" t="s">
        <v>778</v>
      </c>
      <c r="Q447" t="s">
        <v>1350</v>
      </c>
    </row>
    <row r="448" spans="1:17" hidden="1" x14ac:dyDescent="0.25">
      <c r="A448" t="s">
        <v>1337</v>
      </c>
      <c r="B448" s="36">
        <v>46136</v>
      </c>
      <c r="C448" t="s">
        <v>28</v>
      </c>
      <c r="D448" t="s">
        <v>25</v>
      </c>
      <c r="E448">
        <v>14</v>
      </c>
      <c r="F448">
        <v>605</v>
      </c>
      <c r="G448" t="s">
        <v>34</v>
      </c>
      <c r="H448" t="s">
        <v>155</v>
      </c>
      <c r="I448" t="s">
        <v>185</v>
      </c>
      <c r="J448">
        <v>4052</v>
      </c>
      <c r="K448" t="s">
        <v>186</v>
      </c>
      <c r="L448">
        <v>7</v>
      </c>
      <c r="M448" t="s">
        <v>187</v>
      </c>
      <c r="N448">
        <v>8</v>
      </c>
      <c r="O448" t="s">
        <v>778</v>
      </c>
      <c r="Q448" t="s">
        <v>1351</v>
      </c>
    </row>
    <row r="449" spans="1:17" hidden="1" x14ac:dyDescent="0.25">
      <c r="A449" t="s">
        <v>1337</v>
      </c>
      <c r="B449" s="36">
        <v>46136</v>
      </c>
      <c r="C449" t="s">
        <v>28</v>
      </c>
      <c r="D449" t="s">
        <v>25</v>
      </c>
      <c r="E449">
        <v>14</v>
      </c>
      <c r="F449">
        <v>605</v>
      </c>
      <c r="G449" t="s">
        <v>34</v>
      </c>
      <c r="H449" t="s">
        <v>577</v>
      </c>
      <c r="I449" t="s">
        <v>578</v>
      </c>
      <c r="J449">
        <v>4057</v>
      </c>
      <c r="K449" t="s">
        <v>579</v>
      </c>
      <c r="L449">
        <v>5</v>
      </c>
      <c r="M449" t="s">
        <v>580</v>
      </c>
      <c r="N449">
        <v>8</v>
      </c>
      <c r="O449" t="s">
        <v>778</v>
      </c>
      <c r="Q449" t="s">
        <v>1352</v>
      </c>
    </row>
    <row r="450" spans="1:17" hidden="1" x14ac:dyDescent="0.25">
      <c r="A450" t="s">
        <v>1337</v>
      </c>
      <c r="B450" s="36">
        <v>46136</v>
      </c>
      <c r="C450" t="s">
        <v>28</v>
      </c>
      <c r="D450" t="s">
        <v>25</v>
      </c>
      <c r="E450">
        <v>14</v>
      </c>
      <c r="F450">
        <v>605</v>
      </c>
      <c r="G450" t="s">
        <v>34</v>
      </c>
      <c r="H450" t="s">
        <v>189</v>
      </c>
      <c r="I450" t="s">
        <v>190</v>
      </c>
      <c r="J450">
        <v>4059</v>
      </c>
      <c r="K450" t="s">
        <v>191</v>
      </c>
      <c r="L450">
        <v>10</v>
      </c>
      <c r="M450" t="s">
        <v>192</v>
      </c>
      <c r="N450">
        <v>8</v>
      </c>
      <c r="O450" t="s">
        <v>778</v>
      </c>
      <c r="Q450" t="s">
        <v>1353</v>
      </c>
    </row>
    <row r="451" spans="1:17" hidden="1" x14ac:dyDescent="0.25">
      <c r="A451" t="s">
        <v>1337</v>
      </c>
      <c r="B451" s="36">
        <v>46136</v>
      </c>
      <c r="C451" t="s">
        <v>28</v>
      </c>
      <c r="D451" t="s">
        <v>25</v>
      </c>
      <c r="E451">
        <v>14</v>
      </c>
      <c r="F451">
        <v>605</v>
      </c>
      <c r="G451" t="s">
        <v>34</v>
      </c>
      <c r="H451" t="s">
        <v>388</v>
      </c>
      <c r="I451" t="s">
        <v>389</v>
      </c>
      <c r="J451">
        <v>4069</v>
      </c>
      <c r="K451" t="s">
        <v>390</v>
      </c>
      <c r="L451">
        <v>7</v>
      </c>
      <c r="M451" t="s">
        <v>391</v>
      </c>
      <c r="N451">
        <v>8</v>
      </c>
      <c r="O451" t="s">
        <v>778</v>
      </c>
      <c r="Q451" t="s">
        <v>1354</v>
      </c>
    </row>
    <row r="452" spans="1:17" hidden="1" x14ac:dyDescent="0.25">
      <c r="A452" t="s">
        <v>1337</v>
      </c>
      <c r="B452" s="36">
        <v>46136</v>
      </c>
      <c r="C452" t="s">
        <v>28</v>
      </c>
      <c r="D452" t="s">
        <v>25</v>
      </c>
      <c r="E452">
        <v>14</v>
      </c>
      <c r="F452">
        <v>605</v>
      </c>
      <c r="G452" t="s">
        <v>34</v>
      </c>
      <c r="H452" t="s">
        <v>772</v>
      </c>
      <c r="I452" t="s">
        <v>773</v>
      </c>
      <c r="J452">
        <v>4074</v>
      </c>
      <c r="K452" t="s">
        <v>774</v>
      </c>
      <c r="L452">
        <v>4</v>
      </c>
      <c r="M452" t="s">
        <v>775</v>
      </c>
      <c r="N452">
        <v>8</v>
      </c>
      <c r="O452" t="s">
        <v>778</v>
      </c>
      <c r="Q452" t="s">
        <v>1355</v>
      </c>
    </row>
    <row r="453" spans="1:17" hidden="1" x14ac:dyDescent="0.25">
      <c r="A453" t="s">
        <v>1337</v>
      </c>
      <c r="B453" s="36">
        <v>46136</v>
      </c>
      <c r="C453" t="s">
        <v>28</v>
      </c>
      <c r="D453" t="s">
        <v>25</v>
      </c>
      <c r="E453">
        <v>14</v>
      </c>
      <c r="F453">
        <v>605</v>
      </c>
      <c r="G453" t="s">
        <v>34</v>
      </c>
      <c r="H453" t="s">
        <v>194</v>
      </c>
      <c r="I453" t="s">
        <v>195</v>
      </c>
      <c r="J453">
        <v>4085</v>
      </c>
      <c r="K453" t="s">
        <v>196</v>
      </c>
      <c r="L453">
        <v>3</v>
      </c>
      <c r="M453" t="s">
        <v>197</v>
      </c>
      <c r="N453">
        <v>8</v>
      </c>
      <c r="O453" t="s">
        <v>778</v>
      </c>
      <c r="Q453" t="s">
        <v>1356</v>
      </c>
    </row>
    <row r="454" spans="1:17" hidden="1" x14ac:dyDescent="0.25">
      <c r="A454" t="s">
        <v>1337</v>
      </c>
      <c r="B454" s="36">
        <v>46136</v>
      </c>
      <c r="C454" t="s">
        <v>28</v>
      </c>
      <c r="D454" t="s">
        <v>25</v>
      </c>
      <c r="E454">
        <v>14</v>
      </c>
      <c r="F454">
        <v>605</v>
      </c>
      <c r="G454" t="s">
        <v>34</v>
      </c>
      <c r="H454" t="s">
        <v>199</v>
      </c>
      <c r="I454" t="s">
        <v>200</v>
      </c>
      <c r="J454">
        <v>4087</v>
      </c>
      <c r="K454" t="s">
        <v>201</v>
      </c>
      <c r="L454">
        <v>4</v>
      </c>
      <c r="M454" t="s">
        <v>202</v>
      </c>
      <c r="N454">
        <v>8</v>
      </c>
      <c r="O454" t="s">
        <v>778</v>
      </c>
      <c r="Q454" t="s">
        <v>1357</v>
      </c>
    </row>
    <row r="455" spans="1:17" hidden="1" x14ac:dyDescent="0.25">
      <c r="A455" t="s">
        <v>1337</v>
      </c>
      <c r="B455" s="36">
        <v>46136</v>
      </c>
      <c r="C455" t="s">
        <v>28</v>
      </c>
      <c r="D455" t="s">
        <v>25</v>
      </c>
      <c r="E455">
        <v>14</v>
      </c>
      <c r="F455">
        <v>605</v>
      </c>
      <c r="G455" t="s">
        <v>34</v>
      </c>
      <c r="H455" t="s">
        <v>204</v>
      </c>
      <c r="I455" t="s">
        <v>205</v>
      </c>
      <c r="J455">
        <v>4090</v>
      </c>
      <c r="K455" t="s">
        <v>206</v>
      </c>
      <c r="L455">
        <v>5</v>
      </c>
      <c r="M455" t="s">
        <v>207</v>
      </c>
      <c r="N455">
        <v>8</v>
      </c>
      <c r="O455" t="s">
        <v>778</v>
      </c>
      <c r="Q455" t="s">
        <v>1358</v>
      </c>
    </row>
    <row r="456" spans="1:17" hidden="1" x14ac:dyDescent="0.25">
      <c r="A456" t="s">
        <v>1337</v>
      </c>
      <c r="B456" s="36">
        <v>46136</v>
      </c>
      <c r="C456" t="s">
        <v>28</v>
      </c>
      <c r="D456" t="s">
        <v>25</v>
      </c>
      <c r="E456">
        <v>14</v>
      </c>
      <c r="F456">
        <v>605</v>
      </c>
      <c r="G456" t="s">
        <v>34</v>
      </c>
      <c r="H456" t="s">
        <v>209</v>
      </c>
      <c r="I456" t="s">
        <v>210</v>
      </c>
      <c r="J456">
        <v>4094</v>
      </c>
      <c r="K456" t="s">
        <v>211</v>
      </c>
      <c r="L456">
        <v>3</v>
      </c>
      <c r="M456" t="s">
        <v>212</v>
      </c>
      <c r="N456">
        <v>8</v>
      </c>
      <c r="O456" t="s">
        <v>778</v>
      </c>
      <c r="Q456" t="s">
        <v>1359</v>
      </c>
    </row>
    <row r="457" spans="1:17" hidden="1" x14ac:dyDescent="0.25">
      <c r="A457" t="s">
        <v>1337</v>
      </c>
      <c r="B457" s="36">
        <v>46136</v>
      </c>
      <c r="C457" t="s">
        <v>28</v>
      </c>
      <c r="D457" t="s">
        <v>25</v>
      </c>
      <c r="E457">
        <v>14</v>
      </c>
      <c r="F457">
        <v>605</v>
      </c>
      <c r="G457" t="s">
        <v>34</v>
      </c>
      <c r="H457" t="s">
        <v>609</v>
      </c>
      <c r="I457" t="s">
        <v>610</v>
      </c>
      <c r="J457">
        <v>4095</v>
      </c>
      <c r="K457" t="s">
        <v>611</v>
      </c>
      <c r="L457">
        <v>11</v>
      </c>
      <c r="M457" t="s">
        <v>612</v>
      </c>
      <c r="N457">
        <v>8</v>
      </c>
      <c r="O457" t="s">
        <v>778</v>
      </c>
      <c r="Q457" t="s">
        <v>1360</v>
      </c>
    </row>
    <row r="458" spans="1:17" hidden="1" x14ac:dyDescent="0.25">
      <c r="A458" t="s">
        <v>1337</v>
      </c>
      <c r="B458" s="36">
        <v>46136</v>
      </c>
      <c r="C458" t="s">
        <v>28</v>
      </c>
      <c r="D458" t="s">
        <v>25</v>
      </c>
      <c r="E458">
        <v>14</v>
      </c>
      <c r="F458">
        <v>605</v>
      </c>
      <c r="G458" t="s">
        <v>34</v>
      </c>
      <c r="H458" t="s">
        <v>214</v>
      </c>
      <c r="I458" t="s">
        <v>215</v>
      </c>
      <c r="J458">
        <v>4259</v>
      </c>
      <c r="K458" t="s">
        <v>216</v>
      </c>
      <c r="L458">
        <v>5</v>
      </c>
      <c r="M458" t="s">
        <v>217</v>
      </c>
      <c r="N458">
        <v>8</v>
      </c>
      <c r="O458" t="s">
        <v>778</v>
      </c>
      <c r="Q458" t="s">
        <v>1361</v>
      </c>
    </row>
    <row r="459" spans="1:17" hidden="1" x14ac:dyDescent="0.25">
      <c r="A459" t="s">
        <v>1337</v>
      </c>
      <c r="B459" s="36">
        <v>46136</v>
      </c>
      <c r="C459" t="s">
        <v>28</v>
      </c>
      <c r="D459" t="s">
        <v>25</v>
      </c>
      <c r="E459">
        <v>14</v>
      </c>
      <c r="F459">
        <v>605</v>
      </c>
      <c r="G459" t="s">
        <v>34</v>
      </c>
      <c r="H459" t="s">
        <v>219</v>
      </c>
      <c r="I459" t="s">
        <v>220</v>
      </c>
      <c r="J459">
        <v>4262</v>
      </c>
      <c r="K459" t="s">
        <v>221</v>
      </c>
      <c r="L459">
        <v>13</v>
      </c>
      <c r="M459" t="s">
        <v>222</v>
      </c>
      <c r="N459">
        <v>8</v>
      </c>
      <c r="O459" t="s">
        <v>778</v>
      </c>
      <c r="Q459" t="s">
        <v>1362</v>
      </c>
    </row>
    <row r="460" spans="1:17" hidden="1" x14ac:dyDescent="0.25">
      <c r="A460" t="s">
        <v>1337</v>
      </c>
      <c r="B460" s="36">
        <v>46136</v>
      </c>
      <c r="C460" t="s">
        <v>28</v>
      </c>
      <c r="D460" t="s">
        <v>25</v>
      </c>
      <c r="E460">
        <v>14</v>
      </c>
      <c r="F460">
        <v>605</v>
      </c>
      <c r="G460" t="s">
        <v>34</v>
      </c>
      <c r="H460" t="s">
        <v>224</v>
      </c>
      <c r="I460" t="s">
        <v>225</v>
      </c>
      <c r="J460">
        <v>4314</v>
      </c>
      <c r="K460" t="s">
        <v>226</v>
      </c>
      <c r="L460">
        <v>4</v>
      </c>
      <c r="M460" t="s">
        <v>227</v>
      </c>
      <c r="N460">
        <v>8</v>
      </c>
      <c r="O460" t="s">
        <v>778</v>
      </c>
      <c r="Q460" t="s">
        <v>1363</v>
      </c>
    </row>
    <row r="461" spans="1:17" hidden="1" x14ac:dyDescent="0.25">
      <c r="A461" t="s">
        <v>1337</v>
      </c>
      <c r="B461" s="36">
        <v>46136</v>
      </c>
      <c r="C461" t="s">
        <v>28</v>
      </c>
      <c r="D461" t="s">
        <v>25</v>
      </c>
      <c r="E461">
        <v>14</v>
      </c>
      <c r="F461">
        <v>605</v>
      </c>
      <c r="G461" t="s">
        <v>34</v>
      </c>
      <c r="H461" t="s">
        <v>229</v>
      </c>
      <c r="I461" t="s">
        <v>230</v>
      </c>
      <c r="J461">
        <v>4512</v>
      </c>
      <c r="K461" t="s">
        <v>231</v>
      </c>
      <c r="L461">
        <v>6</v>
      </c>
      <c r="M461" t="s">
        <v>232</v>
      </c>
      <c r="N461">
        <v>8</v>
      </c>
      <c r="O461" t="s">
        <v>778</v>
      </c>
      <c r="Q461" t="s">
        <v>1364</v>
      </c>
    </row>
    <row r="462" spans="1:17" hidden="1" x14ac:dyDescent="0.25">
      <c r="A462" t="s">
        <v>1337</v>
      </c>
      <c r="B462" s="36">
        <v>46136</v>
      </c>
      <c r="C462" t="s">
        <v>28</v>
      </c>
      <c r="D462" t="s">
        <v>25</v>
      </c>
      <c r="E462">
        <v>14</v>
      </c>
      <c r="F462">
        <v>605</v>
      </c>
      <c r="G462" t="s">
        <v>34</v>
      </c>
      <c r="H462" t="s">
        <v>296</v>
      </c>
      <c r="I462" t="s">
        <v>297</v>
      </c>
      <c r="J462">
        <v>4515</v>
      </c>
      <c r="K462" t="s">
        <v>298</v>
      </c>
      <c r="L462">
        <v>10</v>
      </c>
      <c r="M462" t="s">
        <v>299</v>
      </c>
      <c r="N462">
        <v>8</v>
      </c>
      <c r="O462" t="s">
        <v>778</v>
      </c>
      <c r="Q462" t="s">
        <v>1365</v>
      </c>
    </row>
    <row r="463" spans="1:17" hidden="1" x14ac:dyDescent="0.25">
      <c r="A463" t="s">
        <v>1337</v>
      </c>
      <c r="B463" s="36">
        <v>46136</v>
      </c>
      <c r="C463" t="s">
        <v>28</v>
      </c>
      <c r="D463" t="s">
        <v>25</v>
      </c>
      <c r="E463">
        <v>14</v>
      </c>
      <c r="F463">
        <v>605</v>
      </c>
      <c r="G463" t="s">
        <v>34</v>
      </c>
      <c r="H463" t="s">
        <v>234</v>
      </c>
      <c r="I463" t="s">
        <v>235</v>
      </c>
      <c r="J463">
        <v>4516</v>
      </c>
      <c r="K463" t="s">
        <v>236</v>
      </c>
      <c r="L463">
        <v>5</v>
      </c>
      <c r="M463" t="s">
        <v>237</v>
      </c>
      <c r="N463">
        <v>8</v>
      </c>
      <c r="O463" t="s">
        <v>778</v>
      </c>
      <c r="Q463" t="s">
        <v>1366</v>
      </c>
    </row>
    <row r="464" spans="1:17" hidden="1" x14ac:dyDescent="0.25">
      <c r="A464" t="s">
        <v>1367</v>
      </c>
      <c r="B464" s="36">
        <v>46133</v>
      </c>
      <c r="C464" t="s">
        <v>26</v>
      </c>
      <c r="D464" t="s">
        <v>27</v>
      </c>
      <c r="E464">
        <v>15</v>
      </c>
      <c r="F464">
        <v>605</v>
      </c>
      <c r="G464" t="s">
        <v>34</v>
      </c>
      <c r="H464" t="s">
        <v>1368</v>
      </c>
      <c r="I464" t="s">
        <v>1369</v>
      </c>
      <c r="J464">
        <v>3317</v>
      </c>
      <c r="K464" t="s">
        <v>1370</v>
      </c>
      <c r="L464">
        <v>4</v>
      </c>
      <c r="M464" t="s">
        <v>1371</v>
      </c>
      <c r="N464">
        <v>12</v>
      </c>
      <c r="O464" t="s">
        <v>117</v>
      </c>
      <c r="Q464" t="s">
        <v>1372</v>
      </c>
    </row>
    <row r="465" spans="1:17" hidden="1" x14ac:dyDescent="0.25">
      <c r="A465" t="s">
        <v>1367</v>
      </c>
      <c r="B465" s="36">
        <v>46133</v>
      </c>
      <c r="C465" t="s">
        <v>26</v>
      </c>
      <c r="D465" t="s">
        <v>27</v>
      </c>
      <c r="E465">
        <v>15</v>
      </c>
      <c r="F465">
        <v>605</v>
      </c>
      <c r="G465" t="s">
        <v>34</v>
      </c>
      <c r="H465" t="s">
        <v>1373</v>
      </c>
      <c r="I465" t="s">
        <v>1374</v>
      </c>
      <c r="J465">
        <v>3754</v>
      </c>
      <c r="K465" t="s">
        <v>1375</v>
      </c>
      <c r="L465">
        <v>6</v>
      </c>
      <c r="M465" t="s">
        <v>1376</v>
      </c>
      <c r="N465">
        <v>12</v>
      </c>
      <c r="O465" t="s">
        <v>117</v>
      </c>
      <c r="Q465" t="s">
        <v>1377</v>
      </c>
    </row>
    <row r="466" spans="1:17" hidden="1" x14ac:dyDescent="0.25">
      <c r="A466" t="s">
        <v>1367</v>
      </c>
      <c r="B466" s="36">
        <v>46133</v>
      </c>
      <c r="C466" t="s">
        <v>26</v>
      </c>
      <c r="D466" t="s">
        <v>27</v>
      </c>
      <c r="E466">
        <v>15</v>
      </c>
      <c r="F466">
        <v>605</v>
      </c>
      <c r="G466" t="s">
        <v>34</v>
      </c>
      <c r="H466" t="s">
        <v>1378</v>
      </c>
      <c r="I466" t="s">
        <v>1379</v>
      </c>
      <c r="J466">
        <v>3757</v>
      </c>
      <c r="K466" t="s">
        <v>1380</v>
      </c>
      <c r="L466">
        <v>4</v>
      </c>
      <c r="M466" t="s">
        <v>1381</v>
      </c>
      <c r="N466">
        <v>12</v>
      </c>
      <c r="O466" t="s">
        <v>117</v>
      </c>
      <c r="Q466" t="s">
        <v>1382</v>
      </c>
    </row>
    <row r="467" spans="1:17" hidden="1" x14ac:dyDescent="0.25">
      <c r="A467" t="s">
        <v>1367</v>
      </c>
      <c r="B467" s="36">
        <v>46133</v>
      </c>
      <c r="C467" t="s">
        <v>26</v>
      </c>
      <c r="D467" t="s">
        <v>27</v>
      </c>
      <c r="E467">
        <v>15</v>
      </c>
      <c r="F467">
        <v>605</v>
      </c>
      <c r="G467" t="s">
        <v>34</v>
      </c>
      <c r="H467" t="s">
        <v>1236</v>
      </c>
      <c r="I467" t="s">
        <v>1237</v>
      </c>
      <c r="J467">
        <v>3971</v>
      </c>
      <c r="K467" t="s">
        <v>1238</v>
      </c>
      <c r="L467">
        <v>5</v>
      </c>
      <c r="M467" t="s">
        <v>1239</v>
      </c>
      <c r="N467">
        <v>12</v>
      </c>
      <c r="O467" t="s">
        <v>117</v>
      </c>
      <c r="Q467" t="s">
        <v>1383</v>
      </c>
    </row>
    <row r="468" spans="1:17" hidden="1" x14ac:dyDescent="0.25">
      <c r="A468" t="s">
        <v>1367</v>
      </c>
      <c r="B468" s="36">
        <v>46133</v>
      </c>
      <c r="C468" t="s">
        <v>26</v>
      </c>
      <c r="D468" t="s">
        <v>27</v>
      </c>
      <c r="E468">
        <v>15</v>
      </c>
      <c r="F468">
        <v>605</v>
      </c>
      <c r="G468" t="s">
        <v>34</v>
      </c>
      <c r="H468" t="s">
        <v>1246</v>
      </c>
      <c r="I468" t="s">
        <v>1247</v>
      </c>
      <c r="J468">
        <v>3973</v>
      </c>
      <c r="K468" t="s">
        <v>1248</v>
      </c>
      <c r="L468">
        <v>10</v>
      </c>
      <c r="M468" t="s">
        <v>1249</v>
      </c>
      <c r="N468">
        <v>12</v>
      </c>
      <c r="O468" t="s">
        <v>117</v>
      </c>
      <c r="Q468" t="s">
        <v>1384</v>
      </c>
    </row>
    <row r="469" spans="1:17" hidden="1" x14ac:dyDescent="0.25">
      <c r="A469" t="s">
        <v>1367</v>
      </c>
      <c r="B469" s="36">
        <v>46133</v>
      </c>
      <c r="C469" t="s">
        <v>26</v>
      </c>
      <c r="D469" t="s">
        <v>27</v>
      </c>
      <c r="E469">
        <v>15</v>
      </c>
      <c r="F469">
        <v>605</v>
      </c>
      <c r="G469" t="s">
        <v>34</v>
      </c>
      <c r="H469" t="s">
        <v>1368</v>
      </c>
      <c r="I469" t="s">
        <v>1369</v>
      </c>
      <c r="J469">
        <v>4410</v>
      </c>
      <c r="K469" t="s">
        <v>1385</v>
      </c>
      <c r="L469">
        <v>5</v>
      </c>
      <c r="M469" t="s">
        <v>1386</v>
      </c>
      <c r="N469">
        <v>12</v>
      </c>
      <c r="O469" t="s">
        <v>117</v>
      </c>
      <c r="Q469" t="s">
        <v>1387</v>
      </c>
    </row>
    <row r="470" spans="1:17" hidden="1" x14ac:dyDescent="0.25">
      <c r="A470" t="s">
        <v>1388</v>
      </c>
      <c r="B470" s="36">
        <v>46133</v>
      </c>
      <c r="C470" t="s">
        <v>26</v>
      </c>
      <c r="D470" t="s">
        <v>27</v>
      </c>
      <c r="E470">
        <v>15</v>
      </c>
      <c r="F470">
        <v>605</v>
      </c>
      <c r="G470" t="s">
        <v>34</v>
      </c>
      <c r="H470" t="s">
        <v>1141</v>
      </c>
      <c r="I470" t="s">
        <v>368</v>
      </c>
      <c r="J470">
        <v>3632</v>
      </c>
      <c r="K470" t="s">
        <v>369</v>
      </c>
      <c r="L470">
        <v>1</v>
      </c>
      <c r="M470" t="s">
        <v>370</v>
      </c>
      <c r="N470">
        <v>8</v>
      </c>
      <c r="O470" t="s">
        <v>778</v>
      </c>
      <c r="Q470" t="s">
        <v>1389</v>
      </c>
    </row>
    <row r="471" spans="1:17" hidden="1" x14ac:dyDescent="0.25">
      <c r="A471" t="s">
        <v>1388</v>
      </c>
      <c r="B471" s="36">
        <v>46133</v>
      </c>
      <c r="C471" t="s">
        <v>26</v>
      </c>
      <c r="D471" t="s">
        <v>27</v>
      </c>
      <c r="E471">
        <v>15</v>
      </c>
      <c r="F471">
        <v>605</v>
      </c>
      <c r="G471" t="s">
        <v>34</v>
      </c>
      <c r="H471" t="s">
        <v>1390</v>
      </c>
      <c r="I471" t="s">
        <v>1391</v>
      </c>
      <c r="J471">
        <v>3866</v>
      </c>
      <c r="K471" t="s">
        <v>1392</v>
      </c>
      <c r="L471">
        <v>4</v>
      </c>
      <c r="M471" t="s">
        <v>1393</v>
      </c>
      <c r="N471">
        <v>8</v>
      </c>
      <c r="O471" t="s">
        <v>778</v>
      </c>
      <c r="Q471" t="s">
        <v>1394</v>
      </c>
    </row>
    <row r="472" spans="1:17" hidden="1" x14ac:dyDescent="0.25">
      <c r="A472" t="s">
        <v>1388</v>
      </c>
      <c r="B472" s="36">
        <v>46133</v>
      </c>
      <c r="C472" t="s">
        <v>26</v>
      </c>
      <c r="D472" t="s">
        <v>27</v>
      </c>
      <c r="E472">
        <v>15</v>
      </c>
      <c r="F472">
        <v>605</v>
      </c>
      <c r="G472" t="s">
        <v>34</v>
      </c>
      <c r="H472" t="s">
        <v>823</v>
      </c>
      <c r="I472" t="s">
        <v>1395</v>
      </c>
      <c r="J472">
        <v>3903</v>
      </c>
      <c r="K472" t="s">
        <v>1396</v>
      </c>
      <c r="L472">
        <v>10</v>
      </c>
      <c r="M472" t="s">
        <v>1397</v>
      </c>
      <c r="N472">
        <v>8</v>
      </c>
      <c r="O472" t="s">
        <v>778</v>
      </c>
      <c r="Q472" t="s">
        <v>1398</v>
      </c>
    </row>
    <row r="473" spans="1:17" hidden="1" x14ac:dyDescent="0.25">
      <c r="A473" t="s">
        <v>1388</v>
      </c>
      <c r="B473" s="36">
        <v>46133</v>
      </c>
      <c r="C473" t="s">
        <v>26</v>
      </c>
      <c r="D473" t="s">
        <v>27</v>
      </c>
      <c r="E473">
        <v>15</v>
      </c>
      <c r="F473">
        <v>605</v>
      </c>
      <c r="G473" t="s">
        <v>34</v>
      </c>
      <c r="H473" t="s">
        <v>1399</v>
      </c>
      <c r="I473" t="s">
        <v>1400</v>
      </c>
      <c r="J473">
        <v>3914</v>
      </c>
      <c r="K473" t="s">
        <v>1401</v>
      </c>
      <c r="L473">
        <v>5</v>
      </c>
      <c r="M473" t="s">
        <v>1402</v>
      </c>
      <c r="N473">
        <v>8</v>
      </c>
      <c r="O473" t="s">
        <v>778</v>
      </c>
      <c r="Q473" t="s">
        <v>1403</v>
      </c>
    </row>
    <row r="474" spans="1:17" hidden="1" x14ac:dyDescent="0.25">
      <c r="A474" t="s">
        <v>1388</v>
      </c>
      <c r="B474" s="36">
        <v>46133</v>
      </c>
      <c r="C474" t="s">
        <v>26</v>
      </c>
      <c r="D474" t="s">
        <v>27</v>
      </c>
      <c r="E474">
        <v>15</v>
      </c>
      <c r="F474">
        <v>605</v>
      </c>
      <c r="G474" t="s">
        <v>34</v>
      </c>
      <c r="H474" t="s">
        <v>1404</v>
      </c>
      <c r="I474" t="s">
        <v>1405</v>
      </c>
      <c r="J474">
        <v>3938</v>
      </c>
      <c r="K474" t="s">
        <v>1406</v>
      </c>
      <c r="L474">
        <v>7</v>
      </c>
      <c r="M474" t="s">
        <v>1407</v>
      </c>
      <c r="N474">
        <v>8</v>
      </c>
      <c r="O474" t="s">
        <v>778</v>
      </c>
      <c r="Q474" t="s">
        <v>1408</v>
      </c>
    </row>
    <row r="475" spans="1:17" hidden="1" x14ac:dyDescent="0.25">
      <c r="A475" t="s">
        <v>1388</v>
      </c>
      <c r="B475" s="36">
        <v>46133</v>
      </c>
      <c r="C475" t="s">
        <v>26</v>
      </c>
      <c r="D475" t="s">
        <v>27</v>
      </c>
      <c r="E475">
        <v>15</v>
      </c>
      <c r="F475">
        <v>605</v>
      </c>
      <c r="G475" t="s">
        <v>34</v>
      </c>
      <c r="H475" t="s">
        <v>1409</v>
      </c>
      <c r="I475" t="s">
        <v>1410</v>
      </c>
      <c r="J475">
        <v>4228</v>
      </c>
      <c r="K475" t="s">
        <v>1411</v>
      </c>
      <c r="L475">
        <v>5</v>
      </c>
      <c r="M475" t="s">
        <v>1412</v>
      </c>
      <c r="N475">
        <v>8</v>
      </c>
      <c r="O475" t="s">
        <v>778</v>
      </c>
      <c r="Q475" t="s">
        <v>1413</v>
      </c>
    </row>
    <row r="476" spans="1:17" hidden="1" x14ac:dyDescent="0.25">
      <c r="A476" t="s">
        <v>1388</v>
      </c>
      <c r="B476" s="36">
        <v>46133</v>
      </c>
      <c r="C476" t="s">
        <v>26</v>
      </c>
      <c r="D476" t="s">
        <v>27</v>
      </c>
      <c r="E476">
        <v>15</v>
      </c>
      <c r="F476">
        <v>605</v>
      </c>
      <c r="G476" t="s">
        <v>34</v>
      </c>
      <c r="H476" t="s">
        <v>376</v>
      </c>
      <c r="I476" t="s">
        <v>1414</v>
      </c>
      <c r="J476">
        <v>4229</v>
      </c>
      <c r="K476" t="s">
        <v>1415</v>
      </c>
      <c r="L476">
        <v>3</v>
      </c>
      <c r="M476" t="s">
        <v>1416</v>
      </c>
      <c r="N476">
        <v>8</v>
      </c>
      <c r="O476" t="s">
        <v>778</v>
      </c>
      <c r="Q476" t="s">
        <v>1417</v>
      </c>
    </row>
    <row r="477" spans="1:17" hidden="1" x14ac:dyDescent="0.25">
      <c r="A477" t="s">
        <v>1388</v>
      </c>
      <c r="B477" s="36">
        <v>46133</v>
      </c>
      <c r="C477" t="s">
        <v>26</v>
      </c>
      <c r="D477" t="s">
        <v>27</v>
      </c>
      <c r="E477">
        <v>15</v>
      </c>
      <c r="F477">
        <v>605</v>
      </c>
      <c r="G477" t="s">
        <v>34</v>
      </c>
      <c r="H477" t="s">
        <v>1110</v>
      </c>
      <c r="I477" t="s">
        <v>381</v>
      </c>
      <c r="J477">
        <v>4365</v>
      </c>
      <c r="K477" t="s">
        <v>1111</v>
      </c>
      <c r="L477">
        <v>2</v>
      </c>
      <c r="M477" t="s">
        <v>1056</v>
      </c>
      <c r="N477">
        <v>8</v>
      </c>
      <c r="O477" t="s">
        <v>778</v>
      </c>
      <c r="Q477" t="s">
        <v>1418</v>
      </c>
    </row>
    <row r="478" spans="1:17" hidden="1" x14ac:dyDescent="0.25">
      <c r="A478" t="s">
        <v>1388</v>
      </c>
      <c r="B478" s="36">
        <v>46133</v>
      </c>
      <c r="C478" t="s">
        <v>26</v>
      </c>
      <c r="D478" t="s">
        <v>27</v>
      </c>
      <c r="E478">
        <v>15</v>
      </c>
      <c r="F478">
        <v>605</v>
      </c>
      <c r="G478" t="s">
        <v>34</v>
      </c>
      <c r="H478" t="s">
        <v>1419</v>
      </c>
      <c r="I478" t="s">
        <v>381</v>
      </c>
      <c r="J478">
        <v>4370</v>
      </c>
      <c r="K478" t="s">
        <v>1420</v>
      </c>
      <c r="L478">
        <v>4</v>
      </c>
      <c r="M478" t="s">
        <v>1223</v>
      </c>
      <c r="N478">
        <v>8</v>
      </c>
      <c r="O478" t="s">
        <v>778</v>
      </c>
      <c r="Q478" t="s">
        <v>1421</v>
      </c>
    </row>
    <row r="479" spans="1:17" hidden="1" x14ac:dyDescent="0.25">
      <c r="A479" t="s">
        <v>1422</v>
      </c>
      <c r="B479" s="36">
        <v>46133</v>
      </c>
      <c r="C479" t="s">
        <v>28</v>
      </c>
      <c r="D479" t="s">
        <v>25</v>
      </c>
      <c r="E479">
        <v>14</v>
      </c>
      <c r="F479">
        <v>605</v>
      </c>
      <c r="G479" t="s">
        <v>34</v>
      </c>
      <c r="H479" t="s">
        <v>472</v>
      </c>
      <c r="I479" t="s">
        <v>473</v>
      </c>
      <c r="J479">
        <v>3387</v>
      </c>
      <c r="K479" t="s">
        <v>474</v>
      </c>
      <c r="L479">
        <v>3</v>
      </c>
      <c r="M479" t="s">
        <v>475</v>
      </c>
      <c r="N479">
        <v>10</v>
      </c>
      <c r="O479" t="s">
        <v>778</v>
      </c>
      <c r="Q479" t="s">
        <v>1423</v>
      </c>
    </row>
    <row r="480" spans="1:17" hidden="1" x14ac:dyDescent="0.25">
      <c r="A480" t="s">
        <v>1422</v>
      </c>
      <c r="B480" s="36">
        <v>46133</v>
      </c>
      <c r="C480" t="s">
        <v>28</v>
      </c>
      <c r="D480" t="s">
        <v>25</v>
      </c>
      <c r="E480">
        <v>14</v>
      </c>
      <c r="F480">
        <v>605</v>
      </c>
      <c r="G480" t="s">
        <v>34</v>
      </c>
      <c r="H480" t="s">
        <v>160</v>
      </c>
      <c r="I480" t="s">
        <v>161</v>
      </c>
      <c r="J480">
        <v>3423</v>
      </c>
      <c r="K480" t="s">
        <v>162</v>
      </c>
      <c r="L480">
        <v>9</v>
      </c>
      <c r="M480" t="s">
        <v>163</v>
      </c>
      <c r="N480">
        <v>8</v>
      </c>
      <c r="O480" t="s">
        <v>778</v>
      </c>
      <c r="Q480" t="s">
        <v>1424</v>
      </c>
    </row>
    <row r="481" spans="1:17" hidden="1" x14ac:dyDescent="0.25">
      <c r="A481" t="s">
        <v>1422</v>
      </c>
      <c r="B481" s="36">
        <v>46133</v>
      </c>
      <c r="C481" t="s">
        <v>28</v>
      </c>
      <c r="D481" t="s">
        <v>25</v>
      </c>
      <c r="E481">
        <v>14</v>
      </c>
      <c r="F481">
        <v>605</v>
      </c>
      <c r="G481" t="s">
        <v>34</v>
      </c>
      <c r="H481" t="s">
        <v>65</v>
      </c>
      <c r="I481" t="s">
        <v>492</v>
      </c>
      <c r="J481">
        <v>3431</v>
      </c>
      <c r="K481" t="s">
        <v>493</v>
      </c>
      <c r="L481">
        <v>1</v>
      </c>
      <c r="M481" t="s">
        <v>494</v>
      </c>
      <c r="N481">
        <v>8</v>
      </c>
      <c r="O481" t="s">
        <v>778</v>
      </c>
      <c r="Q481" t="s">
        <v>1425</v>
      </c>
    </row>
    <row r="482" spans="1:17" hidden="1" x14ac:dyDescent="0.25">
      <c r="A482" t="s">
        <v>1422</v>
      </c>
      <c r="B482" s="36">
        <v>46133</v>
      </c>
      <c r="C482" t="s">
        <v>28</v>
      </c>
      <c r="D482" t="s">
        <v>25</v>
      </c>
      <c r="E482">
        <v>14</v>
      </c>
      <c r="F482">
        <v>605</v>
      </c>
      <c r="G482" t="s">
        <v>34</v>
      </c>
      <c r="H482" t="s">
        <v>362</v>
      </c>
      <c r="I482" t="s">
        <v>363</v>
      </c>
      <c r="J482">
        <v>3475</v>
      </c>
      <c r="K482" t="s">
        <v>364</v>
      </c>
      <c r="L482">
        <v>8</v>
      </c>
      <c r="M482" t="s">
        <v>365</v>
      </c>
      <c r="N482">
        <v>8</v>
      </c>
      <c r="O482" t="s">
        <v>778</v>
      </c>
      <c r="Q482" t="s">
        <v>1426</v>
      </c>
    </row>
    <row r="483" spans="1:17" hidden="1" x14ac:dyDescent="0.25">
      <c r="A483" t="s">
        <v>1422</v>
      </c>
      <c r="B483" s="36">
        <v>46133</v>
      </c>
      <c r="C483" t="s">
        <v>28</v>
      </c>
      <c r="D483" t="s">
        <v>25</v>
      </c>
      <c r="E483">
        <v>14</v>
      </c>
      <c r="F483">
        <v>605</v>
      </c>
      <c r="G483" t="s">
        <v>34</v>
      </c>
      <c r="H483" t="s">
        <v>65</v>
      </c>
      <c r="I483" t="s">
        <v>492</v>
      </c>
      <c r="J483">
        <v>3476</v>
      </c>
      <c r="K483" t="s">
        <v>496</v>
      </c>
      <c r="L483">
        <v>1</v>
      </c>
      <c r="M483" t="s">
        <v>494</v>
      </c>
      <c r="N483">
        <v>8</v>
      </c>
      <c r="O483" t="s">
        <v>778</v>
      </c>
      <c r="Q483" t="s">
        <v>1427</v>
      </c>
    </row>
    <row r="484" spans="1:17" hidden="1" x14ac:dyDescent="0.25">
      <c r="A484" t="s">
        <v>1422</v>
      </c>
      <c r="B484" s="36">
        <v>46133</v>
      </c>
      <c r="C484" t="s">
        <v>28</v>
      </c>
      <c r="D484" t="s">
        <v>25</v>
      </c>
      <c r="E484">
        <v>14</v>
      </c>
      <c r="F484">
        <v>605</v>
      </c>
      <c r="G484" t="s">
        <v>34</v>
      </c>
      <c r="H484" t="s">
        <v>60</v>
      </c>
      <c r="I484" t="s">
        <v>60</v>
      </c>
      <c r="J484">
        <v>3693</v>
      </c>
      <c r="K484" t="s">
        <v>62</v>
      </c>
      <c r="L484">
        <v>5</v>
      </c>
      <c r="M484" t="s">
        <v>1428</v>
      </c>
      <c r="N484">
        <v>6</v>
      </c>
      <c r="O484" t="s">
        <v>778</v>
      </c>
      <c r="Q484" t="s">
        <v>1429</v>
      </c>
    </row>
    <row r="485" spans="1:17" hidden="1" x14ac:dyDescent="0.25">
      <c r="A485" t="s">
        <v>1422</v>
      </c>
      <c r="B485" s="36">
        <v>46133</v>
      </c>
      <c r="C485" t="s">
        <v>28</v>
      </c>
      <c r="D485" t="s">
        <v>25</v>
      </c>
      <c r="E485">
        <v>14</v>
      </c>
      <c r="F485">
        <v>605</v>
      </c>
      <c r="G485" t="s">
        <v>34</v>
      </c>
      <c r="H485" t="s">
        <v>65</v>
      </c>
      <c r="I485" t="s">
        <v>66</v>
      </c>
      <c r="J485">
        <v>3695</v>
      </c>
      <c r="K485" t="s">
        <v>67</v>
      </c>
      <c r="L485">
        <v>2</v>
      </c>
      <c r="M485" t="s">
        <v>1430</v>
      </c>
      <c r="N485">
        <v>6</v>
      </c>
      <c r="O485" t="s">
        <v>778</v>
      </c>
      <c r="Q485" t="s">
        <v>1431</v>
      </c>
    </row>
    <row r="486" spans="1:17" hidden="1" x14ac:dyDescent="0.25">
      <c r="A486" t="s">
        <v>1422</v>
      </c>
      <c r="B486" s="36">
        <v>46133</v>
      </c>
      <c r="C486" t="s">
        <v>28</v>
      </c>
      <c r="D486" t="s">
        <v>25</v>
      </c>
      <c r="E486">
        <v>14</v>
      </c>
      <c r="F486">
        <v>605</v>
      </c>
      <c r="G486" t="s">
        <v>34</v>
      </c>
      <c r="H486" t="s">
        <v>511</v>
      </c>
      <c r="I486" t="s">
        <v>512</v>
      </c>
      <c r="J486">
        <v>4001</v>
      </c>
      <c r="K486" t="s">
        <v>513</v>
      </c>
      <c r="L486">
        <v>1</v>
      </c>
      <c r="M486" t="s">
        <v>119</v>
      </c>
      <c r="N486">
        <v>8</v>
      </c>
      <c r="O486" t="s">
        <v>778</v>
      </c>
      <c r="Q486" t="s">
        <v>1432</v>
      </c>
    </row>
    <row r="487" spans="1:17" hidden="1" x14ac:dyDescent="0.25">
      <c r="A487" t="s">
        <v>1422</v>
      </c>
      <c r="B487" s="36">
        <v>46133</v>
      </c>
      <c r="C487" t="s">
        <v>28</v>
      </c>
      <c r="D487" t="s">
        <v>25</v>
      </c>
      <c r="E487">
        <v>14</v>
      </c>
      <c r="F487">
        <v>605</v>
      </c>
      <c r="G487" t="s">
        <v>34</v>
      </c>
      <c r="H487" t="s">
        <v>135</v>
      </c>
      <c r="I487" t="s">
        <v>337</v>
      </c>
      <c r="J487">
        <v>4026</v>
      </c>
      <c r="K487" t="s">
        <v>338</v>
      </c>
      <c r="L487">
        <v>7</v>
      </c>
      <c r="M487" t="s">
        <v>339</v>
      </c>
      <c r="N487">
        <v>8</v>
      </c>
      <c r="O487" t="s">
        <v>778</v>
      </c>
      <c r="Q487" t="s">
        <v>1433</v>
      </c>
    </row>
    <row r="488" spans="1:17" hidden="1" x14ac:dyDescent="0.25">
      <c r="A488" t="s">
        <v>1422</v>
      </c>
      <c r="B488" s="36">
        <v>46133</v>
      </c>
      <c r="C488" t="s">
        <v>28</v>
      </c>
      <c r="D488" t="s">
        <v>25</v>
      </c>
      <c r="E488">
        <v>14</v>
      </c>
      <c r="F488">
        <v>605</v>
      </c>
      <c r="G488" t="s">
        <v>34</v>
      </c>
      <c r="H488" t="s">
        <v>638</v>
      </c>
      <c r="I488" t="s">
        <v>639</v>
      </c>
      <c r="J488">
        <v>4058</v>
      </c>
      <c r="K488" t="s">
        <v>640</v>
      </c>
      <c r="L488">
        <v>8</v>
      </c>
      <c r="M488" t="s">
        <v>641</v>
      </c>
      <c r="N488">
        <v>8</v>
      </c>
      <c r="O488" t="s">
        <v>778</v>
      </c>
      <c r="Q488" t="s">
        <v>1434</v>
      </c>
    </row>
    <row r="489" spans="1:17" hidden="1" x14ac:dyDescent="0.25">
      <c r="A489" t="s">
        <v>1422</v>
      </c>
      <c r="B489" s="36">
        <v>46133</v>
      </c>
      <c r="C489" t="s">
        <v>28</v>
      </c>
      <c r="D489" t="s">
        <v>25</v>
      </c>
      <c r="E489">
        <v>14</v>
      </c>
      <c r="F489">
        <v>605</v>
      </c>
      <c r="G489" t="s">
        <v>34</v>
      </c>
      <c r="H489" t="s">
        <v>614</v>
      </c>
      <c r="I489" t="s">
        <v>615</v>
      </c>
      <c r="J489">
        <v>4479</v>
      </c>
      <c r="K489" t="s">
        <v>616</v>
      </c>
      <c r="L489">
        <v>4</v>
      </c>
      <c r="M489" t="s">
        <v>617</v>
      </c>
      <c r="N489">
        <v>8</v>
      </c>
      <c r="O489" t="s">
        <v>778</v>
      </c>
      <c r="Q489" t="s">
        <v>1435</v>
      </c>
    </row>
    <row r="490" spans="1:17" hidden="1" x14ac:dyDescent="0.25">
      <c r="A490" t="s">
        <v>1422</v>
      </c>
      <c r="B490" s="36">
        <v>46133</v>
      </c>
      <c r="C490" t="s">
        <v>28</v>
      </c>
      <c r="D490" t="s">
        <v>25</v>
      </c>
      <c r="E490">
        <v>14</v>
      </c>
      <c r="F490">
        <v>605</v>
      </c>
      <c r="G490" t="s">
        <v>34</v>
      </c>
      <c r="H490" t="s">
        <v>619</v>
      </c>
      <c r="I490" t="s">
        <v>620</v>
      </c>
      <c r="J490">
        <v>4480</v>
      </c>
      <c r="K490" t="s">
        <v>621</v>
      </c>
      <c r="L490">
        <v>3</v>
      </c>
      <c r="M490" t="s">
        <v>622</v>
      </c>
      <c r="N490">
        <v>8</v>
      </c>
      <c r="O490" t="s">
        <v>778</v>
      </c>
      <c r="Q490" t="s">
        <v>1436</v>
      </c>
    </row>
    <row r="491" spans="1:17" hidden="1" x14ac:dyDescent="0.25">
      <c r="A491" t="s">
        <v>1422</v>
      </c>
      <c r="B491" s="36">
        <v>46133</v>
      </c>
      <c r="C491" t="s">
        <v>28</v>
      </c>
      <c r="D491" t="s">
        <v>25</v>
      </c>
      <c r="E491">
        <v>14</v>
      </c>
      <c r="F491">
        <v>605</v>
      </c>
      <c r="G491" t="s">
        <v>34</v>
      </c>
      <c r="H491" t="s">
        <v>417</v>
      </c>
      <c r="I491" t="s">
        <v>418</v>
      </c>
      <c r="J491">
        <v>4513</v>
      </c>
      <c r="K491" t="s">
        <v>419</v>
      </c>
      <c r="L491">
        <v>6</v>
      </c>
      <c r="M491" t="s">
        <v>420</v>
      </c>
      <c r="N491">
        <v>8</v>
      </c>
      <c r="O491" t="s">
        <v>778</v>
      </c>
      <c r="Q491" t="s">
        <v>1437</v>
      </c>
    </row>
    <row r="492" spans="1:17" hidden="1" x14ac:dyDescent="0.25">
      <c r="A492" t="s">
        <v>1422</v>
      </c>
      <c r="B492" s="36">
        <v>46133</v>
      </c>
      <c r="C492" t="s">
        <v>28</v>
      </c>
      <c r="D492" t="s">
        <v>25</v>
      </c>
      <c r="E492">
        <v>14</v>
      </c>
      <c r="F492">
        <v>605</v>
      </c>
      <c r="G492" t="s">
        <v>34</v>
      </c>
      <c r="H492" t="s">
        <v>422</v>
      </c>
      <c r="I492" t="s">
        <v>423</v>
      </c>
      <c r="J492">
        <v>4514</v>
      </c>
      <c r="K492" t="s">
        <v>424</v>
      </c>
      <c r="L492">
        <v>5</v>
      </c>
      <c r="M492" t="s">
        <v>425</v>
      </c>
      <c r="N492">
        <v>8</v>
      </c>
      <c r="O492" t="s">
        <v>778</v>
      </c>
      <c r="Q492" t="s">
        <v>1438</v>
      </c>
    </row>
    <row r="493" spans="1:17" hidden="1" x14ac:dyDescent="0.25">
      <c r="A493" t="s">
        <v>69</v>
      </c>
      <c r="B493" s="36">
        <v>46139</v>
      </c>
      <c r="C493" t="s">
        <v>28</v>
      </c>
      <c r="D493" t="s">
        <v>25</v>
      </c>
      <c r="E493">
        <v>14</v>
      </c>
      <c r="F493">
        <v>603</v>
      </c>
      <c r="G493" t="s">
        <v>34</v>
      </c>
      <c r="H493" t="s">
        <v>155</v>
      </c>
      <c r="I493" t="s">
        <v>156</v>
      </c>
      <c r="J493">
        <v>3472</v>
      </c>
      <c r="K493" t="s">
        <v>81</v>
      </c>
      <c r="L493">
        <v>4</v>
      </c>
      <c r="M493" t="s">
        <v>157</v>
      </c>
      <c r="N493">
        <v>8</v>
      </c>
      <c r="O493" t="s">
        <v>778</v>
      </c>
      <c r="Q493" t="s">
        <v>1439</v>
      </c>
    </row>
    <row r="494" spans="1:17" hidden="1" x14ac:dyDescent="0.25">
      <c r="A494" t="s">
        <v>69</v>
      </c>
      <c r="B494" s="36">
        <v>46139</v>
      </c>
      <c r="C494" t="s">
        <v>28</v>
      </c>
      <c r="D494" t="s">
        <v>25</v>
      </c>
      <c r="E494">
        <v>14</v>
      </c>
      <c r="F494">
        <v>603</v>
      </c>
      <c r="G494" t="s">
        <v>34</v>
      </c>
      <c r="H494" t="s">
        <v>129</v>
      </c>
      <c r="I494" t="s">
        <v>115</v>
      </c>
      <c r="J494">
        <v>3798</v>
      </c>
      <c r="K494" t="s">
        <v>82</v>
      </c>
      <c r="L494">
        <v>1</v>
      </c>
      <c r="M494" t="s">
        <v>119</v>
      </c>
      <c r="N494">
        <v>8</v>
      </c>
      <c r="O494" t="s">
        <v>778</v>
      </c>
      <c r="Q494" t="s">
        <v>1440</v>
      </c>
    </row>
    <row r="495" spans="1:17" hidden="1" x14ac:dyDescent="0.25">
      <c r="A495" t="s">
        <v>69</v>
      </c>
      <c r="B495" s="36">
        <v>46139</v>
      </c>
      <c r="C495" t="s">
        <v>28</v>
      </c>
      <c r="D495" t="s">
        <v>25</v>
      </c>
      <c r="E495">
        <v>14</v>
      </c>
      <c r="F495">
        <v>603</v>
      </c>
      <c r="G495" t="s">
        <v>34</v>
      </c>
      <c r="H495" t="s">
        <v>131</v>
      </c>
      <c r="I495" t="s">
        <v>115</v>
      </c>
      <c r="J495">
        <v>3800</v>
      </c>
      <c r="K495" t="s">
        <v>83</v>
      </c>
      <c r="L495">
        <v>1</v>
      </c>
      <c r="M495" t="s">
        <v>119</v>
      </c>
      <c r="N495">
        <v>8</v>
      </c>
      <c r="O495" t="s">
        <v>778</v>
      </c>
      <c r="Q495" t="s">
        <v>1441</v>
      </c>
    </row>
    <row r="496" spans="1:17" hidden="1" x14ac:dyDescent="0.25">
      <c r="A496" t="s">
        <v>69</v>
      </c>
      <c r="B496" s="36">
        <v>46139</v>
      </c>
      <c r="C496" t="s">
        <v>28</v>
      </c>
      <c r="D496" t="s">
        <v>25</v>
      </c>
      <c r="E496">
        <v>14</v>
      </c>
      <c r="F496">
        <v>603</v>
      </c>
      <c r="G496" t="s">
        <v>34</v>
      </c>
      <c r="H496" t="s">
        <v>131</v>
      </c>
      <c r="I496" t="s">
        <v>512</v>
      </c>
      <c r="J496">
        <v>4027</v>
      </c>
      <c r="K496" t="s">
        <v>84</v>
      </c>
      <c r="L496">
        <v>1</v>
      </c>
      <c r="M496" t="s">
        <v>770</v>
      </c>
      <c r="N496">
        <v>8</v>
      </c>
      <c r="O496" t="s">
        <v>778</v>
      </c>
      <c r="Q496" t="s">
        <v>1442</v>
      </c>
    </row>
    <row r="497" spans="1:17" hidden="1" x14ac:dyDescent="0.25">
      <c r="A497" t="s">
        <v>69</v>
      </c>
      <c r="B497" s="36">
        <v>46139</v>
      </c>
      <c r="C497" t="s">
        <v>28</v>
      </c>
      <c r="D497" t="s">
        <v>25</v>
      </c>
      <c r="E497">
        <v>14</v>
      </c>
      <c r="F497">
        <v>603</v>
      </c>
      <c r="G497" t="s">
        <v>34</v>
      </c>
      <c r="H497" t="s">
        <v>143</v>
      </c>
      <c r="I497" t="s">
        <v>144</v>
      </c>
      <c r="J497">
        <v>4053</v>
      </c>
      <c r="K497" t="s">
        <v>85</v>
      </c>
      <c r="L497">
        <v>4</v>
      </c>
      <c r="M497" t="s">
        <v>145</v>
      </c>
      <c r="N497">
        <v>8</v>
      </c>
      <c r="O497" t="s">
        <v>778</v>
      </c>
      <c r="Q497" t="s">
        <v>1443</v>
      </c>
    </row>
    <row r="498" spans="1:17" hidden="1" x14ac:dyDescent="0.25">
      <c r="A498" t="s">
        <v>69</v>
      </c>
      <c r="B498" s="36">
        <v>46139</v>
      </c>
      <c r="C498" t="s">
        <v>28</v>
      </c>
      <c r="D498" t="s">
        <v>25</v>
      </c>
      <c r="E498">
        <v>14</v>
      </c>
      <c r="F498">
        <v>603</v>
      </c>
      <c r="G498" t="s">
        <v>34</v>
      </c>
      <c r="H498" t="s">
        <v>121</v>
      </c>
      <c r="I498" t="s">
        <v>122</v>
      </c>
      <c r="J498">
        <v>4081</v>
      </c>
      <c r="K498" t="s">
        <v>86</v>
      </c>
      <c r="L498">
        <v>2</v>
      </c>
      <c r="M498" t="s">
        <v>123</v>
      </c>
      <c r="N498">
        <v>8</v>
      </c>
      <c r="O498" t="s">
        <v>778</v>
      </c>
      <c r="Q498" t="s">
        <v>1444</v>
      </c>
    </row>
    <row r="499" spans="1:17" hidden="1" x14ac:dyDescent="0.25">
      <c r="A499" t="s">
        <v>69</v>
      </c>
      <c r="B499" s="36">
        <v>46139</v>
      </c>
      <c r="C499" t="s">
        <v>28</v>
      </c>
      <c r="D499" t="s">
        <v>25</v>
      </c>
      <c r="E499">
        <v>14</v>
      </c>
      <c r="F499">
        <v>603</v>
      </c>
      <c r="G499" t="s">
        <v>34</v>
      </c>
      <c r="H499" t="s">
        <v>150</v>
      </c>
      <c r="I499" t="s">
        <v>115</v>
      </c>
      <c r="J499">
        <v>4096</v>
      </c>
      <c r="K499" t="s">
        <v>87</v>
      </c>
      <c r="L499">
        <v>1</v>
      </c>
      <c r="M499" t="s">
        <v>116</v>
      </c>
      <c r="N499">
        <v>8</v>
      </c>
      <c r="O499" t="s">
        <v>778</v>
      </c>
      <c r="Q499" t="s">
        <v>1445</v>
      </c>
    </row>
    <row r="500" spans="1:17" hidden="1" x14ac:dyDescent="0.25">
      <c r="A500" t="s">
        <v>69</v>
      </c>
      <c r="B500" s="36">
        <v>46139</v>
      </c>
      <c r="C500" t="s">
        <v>28</v>
      </c>
      <c r="D500" t="s">
        <v>25</v>
      </c>
      <c r="E500">
        <v>14</v>
      </c>
      <c r="F500">
        <v>603</v>
      </c>
      <c r="G500" t="s">
        <v>34</v>
      </c>
      <c r="H500" t="s">
        <v>139</v>
      </c>
      <c r="I500" t="s">
        <v>140</v>
      </c>
      <c r="J500">
        <v>4252</v>
      </c>
      <c r="K500" t="s">
        <v>88</v>
      </c>
      <c r="L500">
        <v>7</v>
      </c>
      <c r="M500" t="s">
        <v>141</v>
      </c>
      <c r="N500">
        <v>8</v>
      </c>
      <c r="O500" t="s">
        <v>778</v>
      </c>
      <c r="Q500" t="s">
        <v>1446</v>
      </c>
    </row>
    <row r="501" spans="1:17" hidden="1" x14ac:dyDescent="0.25">
      <c r="A501" t="s">
        <v>69</v>
      </c>
      <c r="B501" s="36">
        <v>46139</v>
      </c>
      <c r="C501" t="s">
        <v>28</v>
      </c>
      <c r="D501" t="s">
        <v>25</v>
      </c>
      <c r="E501">
        <v>14</v>
      </c>
      <c r="F501">
        <v>603</v>
      </c>
      <c r="G501" t="s">
        <v>34</v>
      </c>
      <c r="H501" t="s">
        <v>125</v>
      </c>
      <c r="I501" t="s">
        <v>126</v>
      </c>
      <c r="J501">
        <v>4258</v>
      </c>
      <c r="K501" t="s">
        <v>89</v>
      </c>
      <c r="L501">
        <v>4</v>
      </c>
      <c r="M501" t="s">
        <v>127</v>
      </c>
      <c r="N501">
        <v>8</v>
      </c>
      <c r="O501" t="s">
        <v>778</v>
      </c>
      <c r="Q501" t="s">
        <v>1447</v>
      </c>
    </row>
    <row r="502" spans="1:17" hidden="1" x14ac:dyDescent="0.25">
      <c r="A502" t="s">
        <v>69</v>
      </c>
      <c r="B502" s="36">
        <v>46139</v>
      </c>
      <c r="C502" t="s">
        <v>28</v>
      </c>
      <c r="D502" t="s">
        <v>25</v>
      </c>
      <c r="E502">
        <v>14</v>
      </c>
      <c r="F502">
        <v>603</v>
      </c>
      <c r="G502" t="s">
        <v>34</v>
      </c>
      <c r="H502" t="s">
        <v>765</v>
      </c>
      <c r="I502" t="s">
        <v>766</v>
      </c>
      <c r="J502">
        <v>4260</v>
      </c>
      <c r="K502" t="s">
        <v>90</v>
      </c>
      <c r="L502">
        <v>2</v>
      </c>
      <c r="M502" t="s">
        <v>767</v>
      </c>
      <c r="N502">
        <v>8</v>
      </c>
      <c r="O502" t="s">
        <v>778</v>
      </c>
      <c r="Q502" t="s">
        <v>1448</v>
      </c>
    </row>
    <row r="503" spans="1:17" hidden="1" x14ac:dyDescent="0.25">
      <c r="A503" t="s">
        <v>69</v>
      </c>
      <c r="B503" s="36">
        <v>46139</v>
      </c>
      <c r="C503" t="s">
        <v>28</v>
      </c>
      <c r="D503" t="s">
        <v>25</v>
      </c>
      <c r="E503">
        <v>14</v>
      </c>
      <c r="F503">
        <v>603</v>
      </c>
      <c r="G503" t="s">
        <v>34</v>
      </c>
      <c r="H503" t="s">
        <v>133</v>
      </c>
      <c r="I503" t="s">
        <v>512</v>
      </c>
      <c r="J503">
        <v>4481</v>
      </c>
      <c r="K503" t="s">
        <v>91</v>
      </c>
      <c r="L503">
        <v>1</v>
      </c>
      <c r="M503" t="s">
        <v>119</v>
      </c>
      <c r="N503">
        <v>8</v>
      </c>
      <c r="O503" t="s">
        <v>778</v>
      </c>
      <c r="Q503" t="s">
        <v>1449</v>
      </c>
    </row>
    <row r="504" spans="1:17" hidden="1" x14ac:dyDescent="0.25">
      <c r="A504" t="s">
        <v>69</v>
      </c>
      <c r="B504" s="36">
        <v>46139</v>
      </c>
      <c r="C504" t="s">
        <v>28</v>
      </c>
      <c r="D504" t="s">
        <v>25</v>
      </c>
      <c r="E504">
        <v>14</v>
      </c>
      <c r="F504">
        <v>603</v>
      </c>
      <c r="G504" t="s">
        <v>34</v>
      </c>
      <c r="H504" t="s">
        <v>114</v>
      </c>
      <c r="I504" t="s">
        <v>115</v>
      </c>
      <c r="J504">
        <v>4490</v>
      </c>
      <c r="K504" t="s">
        <v>92</v>
      </c>
      <c r="L504">
        <v>1</v>
      </c>
      <c r="M504" t="s">
        <v>116</v>
      </c>
      <c r="N504">
        <v>8</v>
      </c>
      <c r="O504" t="s">
        <v>778</v>
      </c>
      <c r="Q504" t="s">
        <v>1450</v>
      </c>
    </row>
    <row r="505" spans="1:17" hidden="1" x14ac:dyDescent="0.25">
      <c r="A505" t="s">
        <v>69</v>
      </c>
      <c r="B505" s="36">
        <v>46139</v>
      </c>
      <c r="C505" t="s">
        <v>28</v>
      </c>
      <c r="D505" t="s">
        <v>25</v>
      </c>
      <c r="E505">
        <v>14</v>
      </c>
      <c r="F505">
        <v>603</v>
      </c>
      <c r="G505" t="s">
        <v>34</v>
      </c>
      <c r="H505" t="s">
        <v>114</v>
      </c>
      <c r="I505" t="s">
        <v>115</v>
      </c>
      <c r="J505">
        <v>4491</v>
      </c>
      <c r="K505" t="s">
        <v>93</v>
      </c>
      <c r="L505">
        <v>1</v>
      </c>
      <c r="M505" t="s">
        <v>119</v>
      </c>
      <c r="N505">
        <v>8</v>
      </c>
      <c r="O505" t="s">
        <v>778</v>
      </c>
      <c r="Q505" t="s">
        <v>1451</v>
      </c>
    </row>
    <row r="506" spans="1:17" hidden="1" x14ac:dyDescent="0.25">
      <c r="A506" t="s">
        <v>69</v>
      </c>
      <c r="B506" s="36">
        <v>46139</v>
      </c>
      <c r="C506" t="s">
        <v>28</v>
      </c>
      <c r="D506" t="s">
        <v>25</v>
      </c>
      <c r="E506">
        <v>14</v>
      </c>
      <c r="F506">
        <v>603</v>
      </c>
      <c r="G506" t="s">
        <v>34</v>
      </c>
      <c r="H506" t="s">
        <v>114</v>
      </c>
      <c r="I506" t="s">
        <v>512</v>
      </c>
      <c r="J506">
        <v>4492</v>
      </c>
      <c r="K506" t="s">
        <v>94</v>
      </c>
      <c r="L506">
        <v>1</v>
      </c>
      <c r="M506" t="s">
        <v>119</v>
      </c>
      <c r="N506">
        <v>8</v>
      </c>
      <c r="O506" t="s">
        <v>778</v>
      </c>
      <c r="Q506" t="s">
        <v>1452</v>
      </c>
    </row>
    <row r="507" spans="1:17" hidden="1" x14ac:dyDescent="0.25">
      <c r="A507" t="s">
        <v>69</v>
      </c>
      <c r="B507" s="36">
        <v>46139</v>
      </c>
      <c r="C507" t="s">
        <v>28</v>
      </c>
      <c r="D507" t="s">
        <v>25</v>
      </c>
      <c r="E507">
        <v>14</v>
      </c>
      <c r="F507">
        <v>603</v>
      </c>
      <c r="G507" t="s">
        <v>34</v>
      </c>
      <c r="H507" t="s">
        <v>150</v>
      </c>
      <c r="I507" t="s">
        <v>512</v>
      </c>
      <c r="J507">
        <v>4494</v>
      </c>
      <c r="K507" t="s">
        <v>95</v>
      </c>
      <c r="L507">
        <v>1</v>
      </c>
      <c r="M507" t="s">
        <v>119</v>
      </c>
      <c r="N507">
        <v>8</v>
      </c>
      <c r="O507" t="s">
        <v>778</v>
      </c>
      <c r="Q507" t="s">
        <v>1453</v>
      </c>
    </row>
    <row r="508" spans="1:17" hidden="1" x14ac:dyDescent="0.25">
      <c r="A508" t="s">
        <v>69</v>
      </c>
      <c r="B508" s="36">
        <v>46139</v>
      </c>
      <c r="C508" t="s">
        <v>28</v>
      </c>
      <c r="D508" t="s">
        <v>25</v>
      </c>
      <c r="E508">
        <v>14</v>
      </c>
      <c r="F508">
        <v>603</v>
      </c>
      <c r="G508" t="s">
        <v>34</v>
      </c>
      <c r="H508" t="s">
        <v>150</v>
      </c>
      <c r="I508" t="s">
        <v>115</v>
      </c>
      <c r="J508">
        <v>4495</v>
      </c>
      <c r="K508" t="s">
        <v>96</v>
      </c>
      <c r="L508">
        <v>1</v>
      </c>
      <c r="M508" t="s">
        <v>119</v>
      </c>
      <c r="N508">
        <v>8</v>
      </c>
      <c r="O508" t="s">
        <v>778</v>
      </c>
      <c r="Q508" t="s">
        <v>1454</v>
      </c>
    </row>
    <row r="509" spans="1:17" hidden="1" x14ac:dyDescent="0.25">
      <c r="A509" t="s">
        <v>69</v>
      </c>
      <c r="B509" s="36">
        <v>46139</v>
      </c>
      <c r="C509" t="s">
        <v>28</v>
      </c>
      <c r="D509" t="s">
        <v>25</v>
      </c>
      <c r="E509">
        <v>14</v>
      </c>
      <c r="F509">
        <v>603</v>
      </c>
      <c r="G509" t="s">
        <v>34</v>
      </c>
      <c r="H509" t="s">
        <v>133</v>
      </c>
      <c r="I509" t="s">
        <v>115</v>
      </c>
      <c r="J509">
        <v>4496</v>
      </c>
      <c r="K509" t="s">
        <v>97</v>
      </c>
      <c r="L509">
        <v>1</v>
      </c>
      <c r="M509" t="s">
        <v>116</v>
      </c>
      <c r="N509">
        <v>8</v>
      </c>
      <c r="O509" t="s">
        <v>778</v>
      </c>
      <c r="Q509" t="s">
        <v>1455</v>
      </c>
    </row>
    <row r="510" spans="1:17" hidden="1" x14ac:dyDescent="0.25">
      <c r="A510" t="s">
        <v>69</v>
      </c>
      <c r="B510" s="36">
        <v>46139</v>
      </c>
      <c r="C510" t="s">
        <v>28</v>
      </c>
      <c r="D510" t="s">
        <v>25</v>
      </c>
      <c r="E510">
        <v>14</v>
      </c>
      <c r="F510">
        <v>603</v>
      </c>
      <c r="G510" t="s">
        <v>34</v>
      </c>
      <c r="H510" t="s">
        <v>311</v>
      </c>
      <c r="I510" t="s">
        <v>312</v>
      </c>
      <c r="J510">
        <v>4499</v>
      </c>
      <c r="K510" t="s">
        <v>98</v>
      </c>
      <c r="L510">
        <v>4</v>
      </c>
      <c r="M510" t="s">
        <v>313</v>
      </c>
      <c r="N510">
        <v>8</v>
      </c>
      <c r="O510" t="s">
        <v>778</v>
      </c>
      <c r="Q510" t="s">
        <v>1456</v>
      </c>
    </row>
    <row r="511" spans="1:17" hidden="1" x14ac:dyDescent="0.25">
      <c r="A511" t="s">
        <v>69</v>
      </c>
      <c r="B511" s="36">
        <v>46139</v>
      </c>
      <c r="C511" t="s">
        <v>28</v>
      </c>
      <c r="D511" t="s">
        <v>25</v>
      </c>
      <c r="E511">
        <v>14</v>
      </c>
      <c r="F511">
        <v>603</v>
      </c>
      <c r="G511" t="s">
        <v>34</v>
      </c>
      <c r="H511" t="s">
        <v>135</v>
      </c>
      <c r="I511" t="s">
        <v>136</v>
      </c>
      <c r="J511">
        <v>4500</v>
      </c>
      <c r="K511" t="s">
        <v>99</v>
      </c>
      <c r="L511">
        <v>3</v>
      </c>
      <c r="M511" t="s">
        <v>137</v>
      </c>
      <c r="N511">
        <v>8</v>
      </c>
      <c r="O511" t="s">
        <v>778</v>
      </c>
      <c r="Q511" t="s">
        <v>1457</v>
      </c>
    </row>
    <row r="512" spans="1:17" hidden="1" x14ac:dyDescent="0.25">
      <c r="A512" t="s">
        <v>69</v>
      </c>
      <c r="B512" s="36">
        <v>46139</v>
      </c>
      <c r="C512" t="s">
        <v>28</v>
      </c>
      <c r="D512" t="s">
        <v>25</v>
      </c>
      <c r="E512">
        <v>14</v>
      </c>
      <c r="F512">
        <v>603</v>
      </c>
      <c r="G512" t="s">
        <v>34</v>
      </c>
      <c r="H512" t="s">
        <v>147</v>
      </c>
      <c r="I512" t="s">
        <v>512</v>
      </c>
      <c r="J512">
        <v>4502</v>
      </c>
      <c r="K512" t="s">
        <v>100</v>
      </c>
      <c r="L512">
        <v>1</v>
      </c>
      <c r="M512" t="s">
        <v>119</v>
      </c>
      <c r="N512">
        <v>8</v>
      </c>
      <c r="O512" t="s">
        <v>778</v>
      </c>
      <c r="Q512" t="s">
        <v>1458</v>
      </c>
    </row>
    <row r="513" spans="1:17" hidden="1" x14ac:dyDescent="0.25">
      <c r="A513" t="s">
        <v>69</v>
      </c>
      <c r="B513" s="36">
        <v>46139</v>
      </c>
      <c r="C513" t="s">
        <v>28</v>
      </c>
      <c r="D513" t="s">
        <v>25</v>
      </c>
      <c r="E513">
        <v>14</v>
      </c>
      <c r="F513">
        <v>603</v>
      </c>
      <c r="G513" t="s">
        <v>34</v>
      </c>
      <c r="H513" t="s">
        <v>147</v>
      </c>
      <c r="I513" t="s">
        <v>115</v>
      </c>
      <c r="J513">
        <v>4503</v>
      </c>
      <c r="K513" t="s">
        <v>101</v>
      </c>
      <c r="L513">
        <v>1</v>
      </c>
      <c r="M513" t="s">
        <v>116</v>
      </c>
      <c r="N513">
        <v>8</v>
      </c>
      <c r="O513" t="s">
        <v>778</v>
      </c>
      <c r="Q513" t="s">
        <v>1459</v>
      </c>
    </row>
    <row r="514" spans="1:17" hidden="1" x14ac:dyDescent="0.25">
      <c r="A514" t="s">
        <v>69</v>
      </c>
      <c r="B514" s="36">
        <v>46139</v>
      </c>
      <c r="C514" t="s">
        <v>28</v>
      </c>
      <c r="D514" t="s">
        <v>25</v>
      </c>
      <c r="E514">
        <v>14</v>
      </c>
      <c r="F514">
        <v>603</v>
      </c>
      <c r="G514" t="s">
        <v>34</v>
      </c>
      <c r="H514" t="s">
        <v>147</v>
      </c>
      <c r="I514" t="s">
        <v>115</v>
      </c>
      <c r="J514">
        <v>4504</v>
      </c>
      <c r="K514" t="s">
        <v>102</v>
      </c>
      <c r="L514">
        <v>1</v>
      </c>
      <c r="M514" t="s">
        <v>119</v>
      </c>
      <c r="N514">
        <v>8</v>
      </c>
      <c r="O514" t="s">
        <v>778</v>
      </c>
      <c r="Q514" t="s">
        <v>1460</v>
      </c>
    </row>
    <row r="515" spans="1:17" hidden="1" x14ac:dyDescent="0.25">
      <c r="A515" t="s">
        <v>69</v>
      </c>
      <c r="B515" s="36">
        <v>46139</v>
      </c>
      <c r="C515" t="s">
        <v>28</v>
      </c>
      <c r="D515" t="s">
        <v>25</v>
      </c>
      <c r="E515">
        <v>14</v>
      </c>
      <c r="F515">
        <v>603</v>
      </c>
      <c r="G515" t="s">
        <v>34</v>
      </c>
      <c r="H515" t="s">
        <v>547</v>
      </c>
      <c r="I515" t="s">
        <v>606</v>
      </c>
      <c r="J515">
        <v>4508</v>
      </c>
      <c r="K515" t="s">
        <v>103</v>
      </c>
      <c r="L515">
        <v>3</v>
      </c>
      <c r="M515" t="s">
        <v>607</v>
      </c>
      <c r="N515">
        <v>8</v>
      </c>
      <c r="O515" t="s">
        <v>778</v>
      </c>
      <c r="Q515" t="s">
        <v>1461</v>
      </c>
    </row>
    <row r="516" spans="1:17" hidden="1" x14ac:dyDescent="0.25">
      <c r="A516" t="s">
        <v>1462</v>
      </c>
      <c r="B516" s="36">
        <v>46139</v>
      </c>
      <c r="C516" t="s">
        <v>28</v>
      </c>
      <c r="D516" t="s">
        <v>25</v>
      </c>
      <c r="E516">
        <v>14</v>
      </c>
      <c r="F516">
        <v>605</v>
      </c>
      <c r="G516" t="s">
        <v>34</v>
      </c>
      <c r="H516" t="s">
        <v>152</v>
      </c>
      <c r="I516" t="s">
        <v>152</v>
      </c>
      <c r="J516">
        <v>4336</v>
      </c>
      <c r="K516" t="s">
        <v>629</v>
      </c>
      <c r="L516">
        <v>1</v>
      </c>
      <c r="M516" t="s">
        <v>630</v>
      </c>
      <c r="N516">
        <v>12</v>
      </c>
      <c r="O516" t="s">
        <v>778</v>
      </c>
      <c r="Q516" t="s">
        <v>1463</v>
      </c>
    </row>
    <row r="517" spans="1:17" hidden="1" x14ac:dyDescent="0.25">
      <c r="A517" t="s">
        <v>1462</v>
      </c>
      <c r="B517" s="36">
        <v>46139</v>
      </c>
      <c r="C517" t="s">
        <v>28</v>
      </c>
      <c r="D517" t="s">
        <v>25</v>
      </c>
      <c r="E517">
        <v>14</v>
      </c>
      <c r="F517">
        <v>605</v>
      </c>
      <c r="G517" t="s">
        <v>34</v>
      </c>
      <c r="H517" t="s">
        <v>152</v>
      </c>
      <c r="I517" t="s">
        <v>152</v>
      </c>
      <c r="J517">
        <v>4337</v>
      </c>
      <c r="K517" t="s">
        <v>629</v>
      </c>
      <c r="L517">
        <v>1</v>
      </c>
      <c r="M517" t="s">
        <v>630</v>
      </c>
      <c r="N517">
        <v>12</v>
      </c>
      <c r="O517" t="s">
        <v>778</v>
      </c>
      <c r="Q517" t="s">
        <v>1464</v>
      </c>
    </row>
    <row r="518" spans="1:17" hidden="1" x14ac:dyDescent="0.25">
      <c r="A518" t="s">
        <v>1462</v>
      </c>
      <c r="B518" s="36">
        <v>46139</v>
      </c>
      <c r="C518" t="s">
        <v>28</v>
      </c>
      <c r="D518" t="s">
        <v>25</v>
      </c>
      <c r="E518">
        <v>14</v>
      </c>
      <c r="F518">
        <v>605</v>
      </c>
      <c r="G518" t="s">
        <v>34</v>
      </c>
      <c r="H518" t="s">
        <v>152</v>
      </c>
      <c r="I518" t="s">
        <v>152</v>
      </c>
      <c r="J518">
        <v>4338</v>
      </c>
      <c r="K518" t="s">
        <v>629</v>
      </c>
      <c r="L518">
        <v>1</v>
      </c>
      <c r="M518" t="s">
        <v>630</v>
      </c>
      <c r="N518">
        <v>12</v>
      </c>
      <c r="O518" t="s">
        <v>778</v>
      </c>
      <c r="Q518" t="s">
        <v>1465</v>
      </c>
    </row>
    <row r="519" spans="1:17" hidden="1" x14ac:dyDescent="0.25">
      <c r="A519" t="s">
        <v>1462</v>
      </c>
      <c r="B519" s="36">
        <v>46139</v>
      </c>
      <c r="C519" t="s">
        <v>28</v>
      </c>
      <c r="D519" t="s">
        <v>25</v>
      </c>
      <c r="E519">
        <v>14</v>
      </c>
      <c r="F519">
        <v>605</v>
      </c>
      <c r="G519" t="s">
        <v>34</v>
      </c>
      <c r="H519" t="s">
        <v>152</v>
      </c>
      <c r="I519" t="s">
        <v>152</v>
      </c>
      <c r="J519">
        <v>4339</v>
      </c>
      <c r="K519" t="s">
        <v>634</v>
      </c>
      <c r="L519">
        <v>1</v>
      </c>
      <c r="M519" t="s">
        <v>630</v>
      </c>
      <c r="N519">
        <v>12</v>
      </c>
      <c r="O519" t="s">
        <v>778</v>
      </c>
      <c r="Q519" t="s">
        <v>1466</v>
      </c>
    </row>
    <row r="520" spans="1:17" hidden="1" x14ac:dyDescent="0.25">
      <c r="A520" t="s">
        <v>1462</v>
      </c>
      <c r="B520" s="36">
        <v>46139</v>
      </c>
      <c r="C520" t="s">
        <v>28</v>
      </c>
      <c r="D520" t="s">
        <v>25</v>
      </c>
      <c r="E520">
        <v>14</v>
      </c>
      <c r="F520">
        <v>605</v>
      </c>
      <c r="G520" t="s">
        <v>34</v>
      </c>
      <c r="H520" t="s">
        <v>152</v>
      </c>
      <c r="I520" t="s">
        <v>152</v>
      </c>
      <c r="J520">
        <v>4340</v>
      </c>
      <c r="K520" t="s">
        <v>634</v>
      </c>
      <c r="L520">
        <v>1</v>
      </c>
      <c r="M520" t="s">
        <v>630</v>
      </c>
      <c r="N520">
        <v>12</v>
      </c>
      <c r="O520" t="s">
        <v>778</v>
      </c>
      <c r="Q520" t="s">
        <v>1467</v>
      </c>
    </row>
    <row r="521" spans="1:17" hidden="1" x14ac:dyDescent="0.25">
      <c r="A521" t="s">
        <v>1462</v>
      </c>
      <c r="B521" s="36">
        <v>46139</v>
      </c>
      <c r="C521" t="s">
        <v>28</v>
      </c>
      <c r="D521" t="s">
        <v>25</v>
      </c>
      <c r="E521">
        <v>14</v>
      </c>
      <c r="F521">
        <v>605</v>
      </c>
      <c r="G521" t="s">
        <v>34</v>
      </c>
      <c r="H521" t="s">
        <v>152</v>
      </c>
      <c r="I521" t="s">
        <v>152</v>
      </c>
      <c r="J521">
        <v>4341</v>
      </c>
      <c r="K521" t="s">
        <v>634</v>
      </c>
      <c r="L521">
        <v>1</v>
      </c>
      <c r="M521" t="s">
        <v>630</v>
      </c>
      <c r="N521">
        <v>12</v>
      </c>
      <c r="O521" t="s">
        <v>778</v>
      </c>
      <c r="Q521" t="s">
        <v>1468</v>
      </c>
    </row>
    <row r="522" spans="1:17" hidden="1" x14ac:dyDescent="0.25">
      <c r="A522" t="s">
        <v>1462</v>
      </c>
      <c r="B522" s="36">
        <v>46139</v>
      </c>
      <c r="C522" t="s">
        <v>28</v>
      </c>
      <c r="D522" t="s">
        <v>25</v>
      </c>
      <c r="E522">
        <v>14</v>
      </c>
      <c r="F522">
        <v>605</v>
      </c>
      <c r="G522" t="s">
        <v>34</v>
      </c>
      <c r="H522" t="s">
        <v>152</v>
      </c>
      <c r="I522" t="s">
        <v>152</v>
      </c>
      <c r="J522">
        <v>4342</v>
      </c>
      <c r="K522" t="s">
        <v>643</v>
      </c>
      <c r="L522">
        <v>1</v>
      </c>
      <c r="M522" t="s">
        <v>644</v>
      </c>
      <c r="N522">
        <v>12</v>
      </c>
      <c r="O522" t="s">
        <v>778</v>
      </c>
      <c r="Q522" t="s">
        <v>1469</v>
      </c>
    </row>
    <row r="523" spans="1:17" hidden="1" x14ac:dyDescent="0.25">
      <c r="A523" t="s">
        <v>1462</v>
      </c>
      <c r="B523" s="36">
        <v>46139</v>
      </c>
      <c r="C523" t="s">
        <v>28</v>
      </c>
      <c r="D523" t="s">
        <v>25</v>
      </c>
      <c r="E523">
        <v>14</v>
      </c>
      <c r="F523">
        <v>605</v>
      </c>
      <c r="G523" t="s">
        <v>34</v>
      </c>
      <c r="H523" t="s">
        <v>152</v>
      </c>
      <c r="I523" t="s">
        <v>152</v>
      </c>
      <c r="J523">
        <v>4343</v>
      </c>
      <c r="K523" t="s">
        <v>643</v>
      </c>
      <c r="L523">
        <v>1</v>
      </c>
      <c r="M523" t="s">
        <v>644</v>
      </c>
      <c r="N523">
        <v>12</v>
      </c>
      <c r="O523" t="s">
        <v>778</v>
      </c>
      <c r="Q523" t="s">
        <v>1470</v>
      </c>
    </row>
    <row r="524" spans="1:17" hidden="1" x14ac:dyDescent="0.25">
      <c r="A524" t="s">
        <v>1462</v>
      </c>
      <c r="B524" s="36">
        <v>46139</v>
      </c>
      <c r="C524" t="s">
        <v>28</v>
      </c>
      <c r="D524" t="s">
        <v>25</v>
      </c>
      <c r="E524">
        <v>14</v>
      </c>
      <c r="F524">
        <v>605</v>
      </c>
      <c r="G524" t="s">
        <v>34</v>
      </c>
      <c r="H524" t="s">
        <v>152</v>
      </c>
      <c r="I524" t="s">
        <v>152</v>
      </c>
      <c r="J524">
        <v>4344</v>
      </c>
      <c r="K524" t="s">
        <v>643</v>
      </c>
      <c r="L524">
        <v>1</v>
      </c>
      <c r="M524" t="s">
        <v>644</v>
      </c>
      <c r="N524">
        <v>12</v>
      </c>
      <c r="O524" t="s">
        <v>778</v>
      </c>
      <c r="Q524" t="s">
        <v>1471</v>
      </c>
    </row>
    <row r="525" spans="1:17" hidden="1" x14ac:dyDescent="0.25">
      <c r="A525" t="s">
        <v>1472</v>
      </c>
      <c r="B525" s="36">
        <v>46139</v>
      </c>
      <c r="C525" t="s">
        <v>29</v>
      </c>
      <c r="D525" t="s">
        <v>27</v>
      </c>
      <c r="E525">
        <v>16</v>
      </c>
      <c r="F525">
        <v>606</v>
      </c>
      <c r="G525" t="s">
        <v>34</v>
      </c>
      <c r="H525" t="s">
        <v>152</v>
      </c>
      <c r="I525" t="s">
        <v>152</v>
      </c>
      <c r="J525">
        <v>4842</v>
      </c>
      <c r="K525" t="s">
        <v>643</v>
      </c>
      <c r="L525">
        <v>1</v>
      </c>
      <c r="M525" t="s">
        <v>644</v>
      </c>
      <c r="N525">
        <v>12</v>
      </c>
      <c r="O525" t="s">
        <v>778</v>
      </c>
      <c r="Q525" t="s">
        <v>1473</v>
      </c>
    </row>
    <row r="526" spans="1:17" hidden="1" x14ac:dyDescent="0.25">
      <c r="A526" t="s">
        <v>1472</v>
      </c>
      <c r="B526" s="36">
        <v>46139</v>
      </c>
      <c r="C526" t="s">
        <v>29</v>
      </c>
      <c r="D526" t="s">
        <v>27</v>
      </c>
      <c r="E526">
        <v>16</v>
      </c>
      <c r="F526">
        <v>606</v>
      </c>
      <c r="G526" t="s">
        <v>34</v>
      </c>
      <c r="H526" t="s">
        <v>152</v>
      </c>
      <c r="I526" t="s">
        <v>152</v>
      </c>
      <c r="J526">
        <v>4843</v>
      </c>
      <c r="K526" t="s">
        <v>643</v>
      </c>
      <c r="L526">
        <v>1</v>
      </c>
      <c r="M526" t="s">
        <v>644</v>
      </c>
      <c r="N526">
        <v>12</v>
      </c>
      <c r="O526" t="s">
        <v>778</v>
      </c>
      <c r="Q526" t="s">
        <v>1474</v>
      </c>
    </row>
    <row r="527" spans="1:17" hidden="1" x14ac:dyDescent="0.25">
      <c r="A527" t="s">
        <v>1472</v>
      </c>
      <c r="B527" s="36">
        <v>46139</v>
      </c>
      <c r="C527" t="s">
        <v>29</v>
      </c>
      <c r="D527" t="s">
        <v>27</v>
      </c>
      <c r="E527">
        <v>16</v>
      </c>
      <c r="F527">
        <v>606</v>
      </c>
      <c r="G527" t="s">
        <v>34</v>
      </c>
      <c r="H527" t="s">
        <v>152</v>
      </c>
      <c r="I527" t="s">
        <v>152</v>
      </c>
      <c r="J527">
        <v>4844</v>
      </c>
      <c r="K527" t="s">
        <v>643</v>
      </c>
      <c r="L527">
        <v>1</v>
      </c>
      <c r="M527" t="s">
        <v>644</v>
      </c>
      <c r="N527">
        <v>12</v>
      </c>
      <c r="O527" t="s">
        <v>778</v>
      </c>
      <c r="Q527" t="s">
        <v>1475</v>
      </c>
    </row>
    <row r="528" spans="1:17" hidden="1" x14ac:dyDescent="0.25">
      <c r="A528" t="s">
        <v>1472</v>
      </c>
      <c r="B528" s="36">
        <v>46139</v>
      </c>
      <c r="C528" t="s">
        <v>29</v>
      </c>
      <c r="D528" t="s">
        <v>27</v>
      </c>
      <c r="E528">
        <v>16</v>
      </c>
      <c r="F528">
        <v>606</v>
      </c>
      <c r="G528" t="s">
        <v>34</v>
      </c>
      <c r="H528" t="s">
        <v>152</v>
      </c>
      <c r="I528" t="s">
        <v>152</v>
      </c>
      <c r="J528">
        <v>4845</v>
      </c>
      <c r="K528" t="s">
        <v>643</v>
      </c>
      <c r="L528">
        <v>1</v>
      </c>
      <c r="M528" t="s">
        <v>644</v>
      </c>
      <c r="N528">
        <v>12</v>
      </c>
      <c r="O528" t="s">
        <v>778</v>
      </c>
      <c r="Q528" t="s">
        <v>1476</v>
      </c>
    </row>
    <row r="529" spans="1:17" hidden="1" x14ac:dyDescent="0.25">
      <c r="A529" t="s">
        <v>1472</v>
      </c>
      <c r="B529" s="36">
        <v>46139</v>
      </c>
      <c r="C529" t="s">
        <v>29</v>
      </c>
      <c r="D529" t="s">
        <v>27</v>
      </c>
      <c r="E529">
        <v>16</v>
      </c>
      <c r="F529">
        <v>606</v>
      </c>
      <c r="G529" t="s">
        <v>34</v>
      </c>
      <c r="H529" t="s">
        <v>152</v>
      </c>
      <c r="I529" t="s">
        <v>152</v>
      </c>
      <c r="J529">
        <v>4846</v>
      </c>
      <c r="K529" t="s">
        <v>643</v>
      </c>
      <c r="L529">
        <v>1</v>
      </c>
      <c r="M529" t="s">
        <v>644</v>
      </c>
      <c r="N529">
        <v>12</v>
      </c>
      <c r="O529" t="s">
        <v>778</v>
      </c>
      <c r="Q529" t="s">
        <v>1477</v>
      </c>
    </row>
    <row r="530" spans="1:17" hidden="1" x14ac:dyDescent="0.25">
      <c r="A530" t="s">
        <v>1472</v>
      </c>
      <c r="B530" s="36">
        <v>46139</v>
      </c>
      <c r="C530" t="s">
        <v>29</v>
      </c>
      <c r="D530" t="s">
        <v>27</v>
      </c>
      <c r="E530">
        <v>16</v>
      </c>
      <c r="F530">
        <v>606</v>
      </c>
      <c r="G530" t="s">
        <v>34</v>
      </c>
      <c r="H530" t="s">
        <v>152</v>
      </c>
      <c r="I530" t="s">
        <v>152</v>
      </c>
      <c r="J530">
        <v>4847</v>
      </c>
      <c r="K530" t="s">
        <v>634</v>
      </c>
      <c r="L530">
        <v>1</v>
      </c>
      <c r="M530" t="s">
        <v>630</v>
      </c>
      <c r="N530">
        <v>12</v>
      </c>
      <c r="O530" t="s">
        <v>778</v>
      </c>
      <c r="Q530" t="s">
        <v>1478</v>
      </c>
    </row>
    <row r="531" spans="1:17" hidden="1" x14ac:dyDescent="0.25">
      <c r="A531" t="s">
        <v>1472</v>
      </c>
      <c r="B531" s="36">
        <v>46139</v>
      </c>
      <c r="C531" t="s">
        <v>29</v>
      </c>
      <c r="D531" t="s">
        <v>27</v>
      </c>
      <c r="E531">
        <v>16</v>
      </c>
      <c r="F531">
        <v>606</v>
      </c>
      <c r="G531" t="s">
        <v>34</v>
      </c>
      <c r="H531" t="s">
        <v>152</v>
      </c>
      <c r="I531" t="s">
        <v>152</v>
      </c>
      <c r="J531">
        <v>4848</v>
      </c>
      <c r="K531" t="s">
        <v>634</v>
      </c>
      <c r="L531">
        <v>1</v>
      </c>
      <c r="M531" t="s">
        <v>630</v>
      </c>
      <c r="N531">
        <v>12</v>
      </c>
      <c r="O531" t="s">
        <v>778</v>
      </c>
      <c r="Q531" t="s">
        <v>1479</v>
      </c>
    </row>
    <row r="532" spans="1:17" hidden="1" x14ac:dyDescent="0.25">
      <c r="A532" t="s">
        <v>1472</v>
      </c>
      <c r="B532" s="36">
        <v>46139</v>
      </c>
      <c r="C532" t="s">
        <v>29</v>
      </c>
      <c r="D532" t="s">
        <v>27</v>
      </c>
      <c r="E532">
        <v>16</v>
      </c>
      <c r="F532">
        <v>606</v>
      </c>
      <c r="G532" t="s">
        <v>34</v>
      </c>
      <c r="H532" t="s">
        <v>152</v>
      </c>
      <c r="I532" t="s">
        <v>152</v>
      </c>
      <c r="J532">
        <v>4849</v>
      </c>
      <c r="K532" t="s">
        <v>634</v>
      </c>
      <c r="L532">
        <v>1</v>
      </c>
      <c r="M532" t="s">
        <v>630</v>
      </c>
      <c r="N532">
        <v>12</v>
      </c>
      <c r="O532" t="s">
        <v>778</v>
      </c>
      <c r="Q532" t="s">
        <v>1480</v>
      </c>
    </row>
    <row r="533" spans="1:17" hidden="1" x14ac:dyDescent="0.25">
      <c r="A533" t="s">
        <v>1472</v>
      </c>
      <c r="B533" s="36">
        <v>46139</v>
      </c>
      <c r="C533" t="s">
        <v>29</v>
      </c>
      <c r="D533" t="s">
        <v>27</v>
      </c>
      <c r="E533">
        <v>16</v>
      </c>
      <c r="F533">
        <v>606</v>
      </c>
      <c r="G533" t="s">
        <v>34</v>
      </c>
      <c r="H533" t="s">
        <v>152</v>
      </c>
      <c r="I533" t="s">
        <v>152</v>
      </c>
      <c r="J533">
        <v>4850</v>
      </c>
      <c r="K533" t="s">
        <v>634</v>
      </c>
      <c r="L533">
        <v>1</v>
      </c>
      <c r="M533" t="s">
        <v>630</v>
      </c>
      <c r="N533">
        <v>12</v>
      </c>
      <c r="O533" t="s">
        <v>778</v>
      </c>
      <c r="Q533" t="s">
        <v>1481</v>
      </c>
    </row>
    <row r="534" spans="1:17" hidden="1" x14ac:dyDescent="0.25">
      <c r="A534" t="s">
        <v>1472</v>
      </c>
      <c r="B534" s="36">
        <v>46139</v>
      </c>
      <c r="C534" t="s">
        <v>29</v>
      </c>
      <c r="D534" t="s">
        <v>27</v>
      </c>
      <c r="E534">
        <v>16</v>
      </c>
      <c r="F534">
        <v>606</v>
      </c>
      <c r="G534" t="s">
        <v>34</v>
      </c>
      <c r="H534" t="s">
        <v>152</v>
      </c>
      <c r="I534" t="s">
        <v>152</v>
      </c>
      <c r="J534">
        <v>4851</v>
      </c>
      <c r="K534" t="s">
        <v>634</v>
      </c>
      <c r="L534">
        <v>1</v>
      </c>
      <c r="M534" t="s">
        <v>630</v>
      </c>
      <c r="N534">
        <v>12</v>
      </c>
      <c r="O534" t="s">
        <v>778</v>
      </c>
      <c r="Q534" t="s">
        <v>1482</v>
      </c>
    </row>
    <row r="535" spans="1:17" hidden="1" x14ac:dyDescent="0.25">
      <c r="A535" t="s">
        <v>1472</v>
      </c>
      <c r="B535" s="36">
        <v>46139</v>
      </c>
      <c r="C535" t="s">
        <v>29</v>
      </c>
      <c r="D535" t="s">
        <v>27</v>
      </c>
      <c r="E535">
        <v>16</v>
      </c>
      <c r="F535">
        <v>606</v>
      </c>
      <c r="G535" t="s">
        <v>34</v>
      </c>
      <c r="H535" t="s">
        <v>152</v>
      </c>
      <c r="I535" t="s">
        <v>152</v>
      </c>
      <c r="J535">
        <v>4852</v>
      </c>
      <c r="K535" t="s">
        <v>629</v>
      </c>
      <c r="L535">
        <v>1</v>
      </c>
      <c r="M535" t="s">
        <v>630</v>
      </c>
      <c r="N535">
        <v>12</v>
      </c>
      <c r="O535" t="s">
        <v>778</v>
      </c>
      <c r="Q535" t="s">
        <v>1483</v>
      </c>
    </row>
    <row r="536" spans="1:17" hidden="1" x14ac:dyDescent="0.25">
      <c r="A536" t="s">
        <v>1472</v>
      </c>
      <c r="B536" s="36">
        <v>46139</v>
      </c>
      <c r="C536" t="s">
        <v>29</v>
      </c>
      <c r="D536" t="s">
        <v>27</v>
      </c>
      <c r="E536">
        <v>16</v>
      </c>
      <c r="F536">
        <v>606</v>
      </c>
      <c r="G536" t="s">
        <v>34</v>
      </c>
      <c r="H536" t="s">
        <v>152</v>
      </c>
      <c r="I536" t="s">
        <v>152</v>
      </c>
      <c r="J536">
        <v>4854</v>
      </c>
      <c r="K536" t="s">
        <v>629</v>
      </c>
      <c r="L536">
        <v>1</v>
      </c>
      <c r="M536" t="s">
        <v>630</v>
      </c>
      <c r="N536">
        <v>12</v>
      </c>
      <c r="O536" t="s">
        <v>778</v>
      </c>
      <c r="Q536" t="s">
        <v>1484</v>
      </c>
    </row>
    <row r="537" spans="1:17" hidden="1" x14ac:dyDescent="0.25">
      <c r="A537" t="s">
        <v>1472</v>
      </c>
      <c r="B537" s="36">
        <v>46139</v>
      </c>
      <c r="C537" t="s">
        <v>29</v>
      </c>
      <c r="D537" t="s">
        <v>27</v>
      </c>
      <c r="E537">
        <v>16</v>
      </c>
      <c r="F537">
        <v>606</v>
      </c>
      <c r="G537" t="s">
        <v>34</v>
      </c>
      <c r="H537" t="s">
        <v>152</v>
      </c>
      <c r="I537" t="s">
        <v>152</v>
      </c>
      <c r="J537">
        <v>4855</v>
      </c>
      <c r="K537" t="s">
        <v>629</v>
      </c>
      <c r="L537">
        <v>1</v>
      </c>
      <c r="M537" t="s">
        <v>630</v>
      </c>
      <c r="N537">
        <v>12</v>
      </c>
      <c r="O537" t="s">
        <v>778</v>
      </c>
      <c r="Q537" t="s">
        <v>1485</v>
      </c>
    </row>
    <row r="538" spans="1:17" hidden="1" x14ac:dyDescent="0.25">
      <c r="A538" t="s">
        <v>1472</v>
      </c>
      <c r="B538" s="36">
        <v>46139</v>
      </c>
      <c r="C538" t="s">
        <v>29</v>
      </c>
      <c r="D538" t="s">
        <v>27</v>
      </c>
      <c r="E538">
        <v>16</v>
      </c>
      <c r="F538">
        <v>606</v>
      </c>
      <c r="G538" t="s">
        <v>34</v>
      </c>
      <c r="H538" t="s">
        <v>152</v>
      </c>
      <c r="I538" t="s">
        <v>152</v>
      </c>
      <c r="J538">
        <v>4856</v>
      </c>
      <c r="K538" t="s">
        <v>629</v>
      </c>
      <c r="L538">
        <v>1</v>
      </c>
      <c r="M538" t="s">
        <v>630</v>
      </c>
      <c r="N538">
        <v>12</v>
      </c>
      <c r="O538" t="s">
        <v>778</v>
      </c>
      <c r="Q538" t="s">
        <v>1486</v>
      </c>
    </row>
    <row r="539" spans="1:17" hidden="1" x14ac:dyDescent="0.25">
      <c r="A539" t="s">
        <v>1472</v>
      </c>
      <c r="B539" s="36">
        <v>46139</v>
      </c>
      <c r="C539" t="s">
        <v>29</v>
      </c>
      <c r="D539" t="s">
        <v>27</v>
      </c>
      <c r="E539">
        <v>16</v>
      </c>
      <c r="F539">
        <v>606</v>
      </c>
      <c r="G539" t="s">
        <v>34</v>
      </c>
      <c r="H539" t="s">
        <v>1487</v>
      </c>
      <c r="I539" t="s">
        <v>1488</v>
      </c>
      <c r="J539">
        <v>4862</v>
      </c>
      <c r="K539" t="s">
        <v>1489</v>
      </c>
      <c r="L539">
        <v>3</v>
      </c>
      <c r="M539" t="s">
        <v>1490</v>
      </c>
      <c r="N539">
        <v>12</v>
      </c>
      <c r="O539" t="s">
        <v>778</v>
      </c>
      <c r="Q539" t="s">
        <v>1491</v>
      </c>
    </row>
    <row r="540" spans="1:17" hidden="1" x14ac:dyDescent="0.25">
      <c r="A540" t="s">
        <v>1472</v>
      </c>
      <c r="B540" s="36">
        <v>46139</v>
      </c>
      <c r="C540" t="s">
        <v>29</v>
      </c>
      <c r="D540" t="s">
        <v>27</v>
      </c>
      <c r="E540">
        <v>16</v>
      </c>
      <c r="F540">
        <v>606</v>
      </c>
      <c r="G540" t="s">
        <v>34</v>
      </c>
      <c r="H540" t="s">
        <v>1492</v>
      </c>
      <c r="I540" t="s">
        <v>1492</v>
      </c>
      <c r="J540">
        <v>4863</v>
      </c>
      <c r="K540" t="s">
        <v>1493</v>
      </c>
      <c r="L540">
        <v>3</v>
      </c>
      <c r="M540" t="s">
        <v>1494</v>
      </c>
      <c r="N540">
        <v>12</v>
      </c>
      <c r="O540" t="s">
        <v>778</v>
      </c>
      <c r="Q540" t="s">
        <v>1495</v>
      </c>
    </row>
    <row r="541" spans="1:17" hidden="1" x14ac:dyDescent="0.25">
      <c r="A541" t="s">
        <v>1472</v>
      </c>
      <c r="B541" s="36">
        <v>46139</v>
      </c>
      <c r="C541" t="s">
        <v>29</v>
      </c>
      <c r="D541" t="s">
        <v>27</v>
      </c>
      <c r="E541">
        <v>16</v>
      </c>
      <c r="F541">
        <v>606</v>
      </c>
      <c r="G541" t="s">
        <v>34</v>
      </c>
      <c r="H541" t="s">
        <v>152</v>
      </c>
      <c r="I541" t="s">
        <v>152</v>
      </c>
      <c r="J541">
        <v>4865</v>
      </c>
      <c r="K541" t="s">
        <v>629</v>
      </c>
      <c r="L541">
        <v>1</v>
      </c>
      <c r="M541" t="s">
        <v>630</v>
      </c>
      <c r="N541">
        <v>12</v>
      </c>
      <c r="O541" t="s">
        <v>778</v>
      </c>
      <c r="Q541" t="s">
        <v>1496</v>
      </c>
    </row>
    <row r="542" spans="1:17" hidden="1" x14ac:dyDescent="0.25">
      <c r="A542" t="s">
        <v>1497</v>
      </c>
      <c r="B542" s="36">
        <v>46139</v>
      </c>
      <c r="C542" t="s">
        <v>28</v>
      </c>
      <c r="D542" t="s">
        <v>25</v>
      </c>
      <c r="E542">
        <v>14</v>
      </c>
      <c r="F542">
        <v>603</v>
      </c>
      <c r="G542" t="s">
        <v>34</v>
      </c>
      <c r="H542" t="s">
        <v>60</v>
      </c>
      <c r="I542" t="s">
        <v>60</v>
      </c>
      <c r="J542">
        <v>3696</v>
      </c>
      <c r="K542" t="s">
        <v>59</v>
      </c>
      <c r="L542">
        <v>2</v>
      </c>
      <c r="M542" t="s">
        <v>1498</v>
      </c>
      <c r="N542">
        <v>6</v>
      </c>
      <c r="O542" t="s">
        <v>778</v>
      </c>
      <c r="Q542" t="s">
        <v>1499</v>
      </c>
    </row>
    <row r="543" spans="1:17" hidden="1" x14ac:dyDescent="0.25">
      <c r="A543" t="s">
        <v>1497</v>
      </c>
      <c r="B543" s="36">
        <v>46139</v>
      </c>
      <c r="C543" t="s">
        <v>28</v>
      </c>
      <c r="D543" t="s">
        <v>25</v>
      </c>
      <c r="E543">
        <v>14</v>
      </c>
      <c r="F543">
        <v>603</v>
      </c>
      <c r="G543" t="s">
        <v>34</v>
      </c>
      <c r="H543" t="s">
        <v>60</v>
      </c>
      <c r="I543" t="s">
        <v>60</v>
      </c>
      <c r="J543">
        <v>3697</v>
      </c>
      <c r="K543" t="s">
        <v>59</v>
      </c>
      <c r="L543">
        <v>2</v>
      </c>
      <c r="M543" t="s">
        <v>1498</v>
      </c>
      <c r="N543">
        <v>6</v>
      </c>
      <c r="O543" t="s">
        <v>778</v>
      </c>
      <c r="Q543" t="s">
        <v>1500</v>
      </c>
    </row>
    <row r="544" spans="1:17" hidden="1" x14ac:dyDescent="0.25">
      <c r="A544" t="s">
        <v>1497</v>
      </c>
      <c r="B544" s="36">
        <v>46139</v>
      </c>
      <c r="C544" t="s">
        <v>28</v>
      </c>
      <c r="D544" t="s">
        <v>25</v>
      </c>
      <c r="E544">
        <v>14</v>
      </c>
      <c r="F544">
        <v>603</v>
      </c>
      <c r="G544" t="s">
        <v>34</v>
      </c>
      <c r="H544" t="s">
        <v>60</v>
      </c>
      <c r="I544" t="s">
        <v>60</v>
      </c>
      <c r="J544">
        <v>3692</v>
      </c>
      <c r="K544" t="s">
        <v>61</v>
      </c>
      <c r="L544">
        <v>4</v>
      </c>
      <c r="M544" t="s">
        <v>1428</v>
      </c>
      <c r="N544">
        <v>6</v>
      </c>
      <c r="O544" t="s">
        <v>778</v>
      </c>
      <c r="Q544" t="s">
        <v>1501</v>
      </c>
    </row>
    <row r="545" spans="1:17" hidden="1" x14ac:dyDescent="0.25">
      <c r="A545" t="s">
        <v>1497</v>
      </c>
      <c r="B545" s="36">
        <v>46139</v>
      </c>
      <c r="C545" t="s">
        <v>28</v>
      </c>
      <c r="D545" t="s">
        <v>25</v>
      </c>
      <c r="E545">
        <v>14</v>
      </c>
      <c r="F545">
        <v>603</v>
      </c>
      <c r="G545" t="s">
        <v>34</v>
      </c>
      <c r="H545" t="s">
        <v>60</v>
      </c>
      <c r="I545" t="s">
        <v>60</v>
      </c>
      <c r="J545">
        <v>3690</v>
      </c>
      <c r="K545" t="s">
        <v>63</v>
      </c>
      <c r="L545">
        <v>4</v>
      </c>
      <c r="M545" t="s">
        <v>1502</v>
      </c>
      <c r="N545">
        <v>6</v>
      </c>
      <c r="O545" t="s">
        <v>778</v>
      </c>
      <c r="Q545" t="s">
        <v>1503</v>
      </c>
    </row>
    <row r="546" spans="1:17" hidden="1" x14ac:dyDescent="0.25">
      <c r="A546" t="s">
        <v>1504</v>
      </c>
      <c r="B546" s="36">
        <v>46141</v>
      </c>
      <c r="C546" t="s">
        <v>28</v>
      </c>
      <c r="D546" t="s">
        <v>25</v>
      </c>
      <c r="E546">
        <v>14</v>
      </c>
      <c r="F546">
        <v>603</v>
      </c>
      <c r="G546" t="s">
        <v>34</v>
      </c>
      <c r="H546" t="s">
        <v>511</v>
      </c>
      <c r="I546" t="s">
        <v>512</v>
      </c>
      <c r="J546">
        <v>3990</v>
      </c>
      <c r="K546" t="s">
        <v>513</v>
      </c>
      <c r="L546">
        <v>1</v>
      </c>
      <c r="M546" t="s">
        <v>119</v>
      </c>
      <c r="N546">
        <v>8</v>
      </c>
      <c r="O546" t="s">
        <v>778</v>
      </c>
      <c r="Q546" t="s">
        <v>1505</v>
      </c>
    </row>
    <row r="547" spans="1:17" hidden="1" x14ac:dyDescent="0.25">
      <c r="A547" t="s">
        <v>1504</v>
      </c>
      <c r="B547" s="36">
        <v>46141</v>
      </c>
      <c r="C547" t="s">
        <v>28</v>
      </c>
      <c r="D547" t="s">
        <v>25</v>
      </c>
      <c r="E547">
        <v>14</v>
      </c>
      <c r="F547">
        <v>603</v>
      </c>
      <c r="G547" t="s">
        <v>34</v>
      </c>
      <c r="H547" t="s">
        <v>511</v>
      </c>
      <c r="I547" t="s">
        <v>512</v>
      </c>
      <c r="J547">
        <v>3996</v>
      </c>
      <c r="K547" t="s">
        <v>513</v>
      </c>
      <c r="L547">
        <v>1</v>
      </c>
      <c r="M547" t="s">
        <v>119</v>
      </c>
      <c r="N547">
        <v>8</v>
      </c>
      <c r="O547" t="s">
        <v>778</v>
      </c>
      <c r="Q547" t="s">
        <v>1506</v>
      </c>
    </row>
    <row r="548" spans="1:17" hidden="1" x14ac:dyDescent="0.25">
      <c r="A548" t="s">
        <v>1504</v>
      </c>
      <c r="B548" s="36">
        <v>46141</v>
      </c>
      <c r="C548" t="s">
        <v>28</v>
      </c>
      <c r="D548" t="s">
        <v>25</v>
      </c>
      <c r="E548">
        <v>14</v>
      </c>
      <c r="F548">
        <v>603</v>
      </c>
      <c r="G548" t="s">
        <v>34</v>
      </c>
      <c r="H548" t="s">
        <v>511</v>
      </c>
      <c r="I548" t="s">
        <v>512</v>
      </c>
      <c r="J548">
        <v>3997</v>
      </c>
      <c r="K548" t="s">
        <v>513</v>
      </c>
      <c r="L548">
        <v>1</v>
      </c>
      <c r="M548" t="s">
        <v>119</v>
      </c>
      <c r="N548">
        <v>8</v>
      </c>
      <c r="O548" t="s">
        <v>778</v>
      </c>
      <c r="Q548" t="s">
        <v>1507</v>
      </c>
    </row>
    <row r="549" spans="1:17" hidden="1" x14ac:dyDescent="0.25">
      <c r="A549" t="s">
        <v>1504</v>
      </c>
      <c r="B549" s="36">
        <v>46141</v>
      </c>
      <c r="C549" t="s">
        <v>28</v>
      </c>
      <c r="D549" t="s">
        <v>25</v>
      </c>
      <c r="E549">
        <v>14</v>
      </c>
      <c r="F549">
        <v>603</v>
      </c>
      <c r="G549" t="s">
        <v>34</v>
      </c>
      <c r="H549" t="s">
        <v>511</v>
      </c>
      <c r="I549" t="s">
        <v>512</v>
      </c>
      <c r="J549">
        <v>3998</v>
      </c>
      <c r="K549" t="s">
        <v>513</v>
      </c>
      <c r="L549">
        <v>1</v>
      </c>
      <c r="M549" t="s">
        <v>119</v>
      </c>
      <c r="N549">
        <v>8</v>
      </c>
      <c r="O549" t="s">
        <v>778</v>
      </c>
      <c r="Q549" t="s">
        <v>1508</v>
      </c>
    </row>
    <row r="550" spans="1:17" hidden="1" x14ac:dyDescent="0.25">
      <c r="A550" t="s">
        <v>1504</v>
      </c>
      <c r="B550" s="36">
        <v>46141</v>
      </c>
      <c r="C550" t="s">
        <v>28</v>
      </c>
      <c r="D550" t="s">
        <v>25</v>
      </c>
      <c r="E550">
        <v>14</v>
      </c>
      <c r="F550">
        <v>603</v>
      </c>
      <c r="G550" t="s">
        <v>34</v>
      </c>
      <c r="H550" t="s">
        <v>511</v>
      </c>
      <c r="I550" t="s">
        <v>512</v>
      </c>
      <c r="J550">
        <v>3999</v>
      </c>
      <c r="K550" t="s">
        <v>513</v>
      </c>
      <c r="L550">
        <v>1</v>
      </c>
      <c r="M550" t="s">
        <v>119</v>
      </c>
      <c r="N550">
        <v>8</v>
      </c>
      <c r="O550" t="s">
        <v>778</v>
      </c>
      <c r="Q550" t="s">
        <v>1509</v>
      </c>
    </row>
    <row r="551" spans="1:17" hidden="1" x14ac:dyDescent="0.25">
      <c r="A551" t="s">
        <v>1504</v>
      </c>
      <c r="B551" s="36">
        <v>46141</v>
      </c>
      <c r="C551" t="s">
        <v>28</v>
      </c>
      <c r="D551" t="s">
        <v>25</v>
      </c>
      <c r="E551">
        <v>14</v>
      </c>
      <c r="F551">
        <v>603</v>
      </c>
      <c r="G551" t="s">
        <v>34</v>
      </c>
      <c r="H551" t="s">
        <v>511</v>
      </c>
      <c r="I551" t="s">
        <v>512</v>
      </c>
      <c r="J551">
        <v>4000</v>
      </c>
      <c r="K551" t="s">
        <v>513</v>
      </c>
      <c r="L551">
        <v>1</v>
      </c>
      <c r="M551" t="s">
        <v>119</v>
      </c>
      <c r="N551">
        <v>8</v>
      </c>
      <c r="O551" t="s">
        <v>778</v>
      </c>
      <c r="Q551" t="s">
        <v>1510</v>
      </c>
    </row>
    <row r="552" spans="1:17" hidden="1" x14ac:dyDescent="0.25">
      <c r="A552" t="s">
        <v>1504</v>
      </c>
      <c r="B552" s="36">
        <v>46141</v>
      </c>
      <c r="C552" t="s">
        <v>28</v>
      </c>
      <c r="D552" t="s">
        <v>25</v>
      </c>
      <c r="E552">
        <v>14</v>
      </c>
      <c r="F552">
        <v>603</v>
      </c>
      <c r="G552" t="s">
        <v>34</v>
      </c>
      <c r="H552" t="s">
        <v>530</v>
      </c>
      <c r="I552" t="s">
        <v>512</v>
      </c>
      <c r="J552">
        <v>4073</v>
      </c>
      <c r="K552" t="s">
        <v>531</v>
      </c>
      <c r="L552">
        <v>1</v>
      </c>
      <c r="M552" t="s">
        <v>119</v>
      </c>
      <c r="N552">
        <v>8</v>
      </c>
      <c r="O552" t="s">
        <v>778</v>
      </c>
      <c r="Q552" t="s">
        <v>1511</v>
      </c>
    </row>
    <row r="553" spans="1:17" hidden="1" x14ac:dyDescent="0.25">
      <c r="A553" t="s">
        <v>1504</v>
      </c>
      <c r="B553" s="36">
        <v>46141</v>
      </c>
      <c r="C553" t="s">
        <v>28</v>
      </c>
      <c r="D553" t="s">
        <v>25</v>
      </c>
      <c r="E553">
        <v>14</v>
      </c>
      <c r="F553">
        <v>603</v>
      </c>
      <c r="G553" t="s">
        <v>34</v>
      </c>
      <c r="H553" t="s">
        <v>530</v>
      </c>
      <c r="I553" t="s">
        <v>512</v>
      </c>
      <c r="J553">
        <v>4075</v>
      </c>
      <c r="K553" t="s">
        <v>531</v>
      </c>
      <c r="L553">
        <v>1</v>
      </c>
      <c r="M553" t="s">
        <v>119</v>
      </c>
      <c r="N553">
        <v>8</v>
      </c>
      <c r="O553" t="s">
        <v>778</v>
      </c>
      <c r="Q553" t="s">
        <v>1512</v>
      </c>
    </row>
    <row r="554" spans="1:17" hidden="1" x14ac:dyDescent="0.25">
      <c r="A554" t="s">
        <v>1504</v>
      </c>
      <c r="B554" s="36">
        <v>46141</v>
      </c>
      <c r="C554" t="s">
        <v>28</v>
      </c>
      <c r="D554" t="s">
        <v>25</v>
      </c>
      <c r="E554">
        <v>14</v>
      </c>
      <c r="F554">
        <v>603</v>
      </c>
      <c r="G554" t="s">
        <v>34</v>
      </c>
      <c r="H554" t="s">
        <v>530</v>
      </c>
      <c r="I554" t="s">
        <v>512</v>
      </c>
      <c r="J554">
        <v>4076</v>
      </c>
      <c r="K554" t="s">
        <v>531</v>
      </c>
      <c r="L554">
        <v>1</v>
      </c>
      <c r="M554" t="s">
        <v>119</v>
      </c>
      <c r="N554">
        <v>8</v>
      </c>
      <c r="O554" t="s">
        <v>778</v>
      </c>
      <c r="Q554" t="s">
        <v>1513</v>
      </c>
    </row>
    <row r="555" spans="1:17" hidden="1" x14ac:dyDescent="0.25">
      <c r="A555" t="s">
        <v>1504</v>
      </c>
      <c r="B555" s="36">
        <v>46141</v>
      </c>
      <c r="C555" t="s">
        <v>28</v>
      </c>
      <c r="D555" t="s">
        <v>25</v>
      </c>
      <c r="E555">
        <v>14</v>
      </c>
      <c r="F555">
        <v>603</v>
      </c>
      <c r="G555" t="s">
        <v>34</v>
      </c>
      <c r="H555" t="s">
        <v>530</v>
      </c>
      <c r="I555" t="s">
        <v>512</v>
      </c>
      <c r="J555">
        <v>4077</v>
      </c>
      <c r="K555" t="s">
        <v>531</v>
      </c>
      <c r="L555">
        <v>1</v>
      </c>
      <c r="M555" t="s">
        <v>119</v>
      </c>
      <c r="N555">
        <v>8</v>
      </c>
      <c r="O555" t="s">
        <v>778</v>
      </c>
      <c r="Q555" t="s">
        <v>1514</v>
      </c>
    </row>
    <row r="556" spans="1:17" hidden="1" x14ac:dyDescent="0.25">
      <c r="A556" t="s">
        <v>1504</v>
      </c>
      <c r="B556" s="36">
        <v>46141</v>
      </c>
      <c r="C556" t="s">
        <v>28</v>
      </c>
      <c r="D556" t="s">
        <v>25</v>
      </c>
      <c r="E556">
        <v>14</v>
      </c>
      <c r="F556">
        <v>603</v>
      </c>
      <c r="G556" t="s">
        <v>34</v>
      </c>
      <c r="H556" t="s">
        <v>530</v>
      </c>
      <c r="I556" t="s">
        <v>512</v>
      </c>
      <c r="J556">
        <v>4078</v>
      </c>
      <c r="K556" t="s">
        <v>531</v>
      </c>
      <c r="L556">
        <v>1</v>
      </c>
      <c r="M556" t="s">
        <v>119</v>
      </c>
      <c r="N556">
        <v>8</v>
      </c>
      <c r="O556" t="s">
        <v>778</v>
      </c>
      <c r="Q556" t="s">
        <v>1515</v>
      </c>
    </row>
    <row r="557" spans="1:17" hidden="1" x14ac:dyDescent="0.25">
      <c r="A557" t="s">
        <v>1504</v>
      </c>
      <c r="B557" s="36">
        <v>46141</v>
      </c>
      <c r="C557" t="s">
        <v>28</v>
      </c>
      <c r="D557" t="s">
        <v>25</v>
      </c>
      <c r="E557">
        <v>14</v>
      </c>
      <c r="F557">
        <v>603</v>
      </c>
      <c r="G557" t="s">
        <v>34</v>
      </c>
      <c r="H557" t="s">
        <v>530</v>
      </c>
      <c r="I557" t="s">
        <v>512</v>
      </c>
      <c r="J557">
        <v>4079</v>
      </c>
      <c r="K557" t="s">
        <v>531</v>
      </c>
      <c r="L557">
        <v>1</v>
      </c>
      <c r="M557" t="s">
        <v>119</v>
      </c>
      <c r="N557">
        <v>8</v>
      </c>
      <c r="O557" t="s">
        <v>778</v>
      </c>
      <c r="Q557" t="s">
        <v>1516</v>
      </c>
    </row>
    <row r="558" spans="1:17" hidden="1" x14ac:dyDescent="0.25">
      <c r="A558" t="s">
        <v>1504</v>
      </c>
      <c r="B558" s="36">
        <v>46141</v>
      </c>
      <c r="C558" t="s">
        <v>28</v>
      </c>
      <c r="D558" t="s">
        <v>25</v>
      </c>
      <c r="E558">
        <v>14</v>
      </c>
      <c r="F558">
        <v>603</v>
      </c>
      <c r="G558" t="s">
        <v>34</v>
      </c>
      <c r="H558" t="s">
        <v>530</v>
      </c>
      <c r="I558" t="s">
        <v>512</v>
      </c>
      <c r="J558">
        <v>4080</v>
      </c>
      <c r="K558" t="s">
        <v>531</v>
      </c>
      <c r="L558">
        <v>1</v>
      </c>
      <c r="M558" t="s">
        <v>119</v>
      </c>
      <c r="N558">
        <v>8</v>
      </c>
      <c r="O558" t="s">
        <v>778</v>
      </c>
      <c r="Q558" t="s">
        <v>1517</v>
      </c>
    </row>
    <row r="559" spans="1:17" hidden="1" x14ac:dyDescent="0.25">
      <c r="A559" t="s">
        <v>1504</v>
      </c>
      <c r="B559" s="36">
        <v>46141</v>
      </c>
      <c r="C559" t="s">
        <v>28</v>
      </c>
      <c r="D559" t="s">
        <v>25</v>
      </c>
      <c r="E559">
        <v>14</v>
      </c>
      <c r="F559">
        <v>603</v>
      </c>
      <c r="G559" t="s">
        <v>34</v>
      </c>
      <c r="H559" t="s">
        <v>550</v>
      </c>
      <c r="I559" t="s">
        <v>512</v>
      </c>
      <c r="J559">
        <v>4482</v>
      </c>
      <c r="K559" t="s">
        <v>551</v>
      </c>
      <c r="L559">
        <v>1</v>
      </c>
      <c r="M559" t="s">
        <v>119</v>
      </c>
      <c r="N559">
        <v>8</v>
      </c>
      <c r="O559" t="s">
        <v>778</v>
      </c>
      <c r="Q559" t="s">
        <v>1518</v>
      </c>
    </row>
    <row r="560" spans="1:17" hidden="1" x14ac:dyDescent="0.25">
      <c r="A560" t="s">
        <v>1504</v>
      </c>
      <c r="B560" s="36">
        <v>46141</v>
      </c>
      <c r="C560" t="s">
        <v>28</v>
      </c>
      <c r="D560" t="s">
        <v>25</v>
      </c>
      <c r="E560">
        <v>14</v>
      </c>
      <c r="F560">
        <v>603</v>
      </c>
      <c r="G560" t="s">
        <v>34</v>
      </c>
      <c r="H560" t="s">
        <v>550</v>
      </c>
      <c r="I560" t="s">
        <v>512</v>
      </c>
      <c r="J560">
        <v>4483</v>
      </c>
      <c r="K560" t="s">
        <v>551</v>
      </c>
      <c r="L560">
        <v>1</v>
      </c>
      <c r="M560" t="s">
        <v>119</v>
      </c>
      <c r="N560">
        <v>8</v>
      </c>
      <c r="O560" t="s">
        <v>778</v>
      </c>
      <c r="Q560" t="s">
        <v>1519</v>
      </c>
    </row>
    <row r="561" spans="1:17" hidden="1" x14ac:dyDescent="0.25">
      <c r="A561" t="s">
        <v>1504</v>
      </c>
      <c r="B561" s="36">
        <v>46141</v>
      </c>
      <c r="C561" t="s">
        <v>28</v>
      </c>
      <c r="D561" t="s">
        <v>25</v>
      </c>
      <c r="E561">
        <v>14</v>
      </c>
      <c r="F561">
        <v>603</v>
      </c>
      <c r="G561" t="s">
        <v>34</v>
      </c>
      <c r="H561" t="s">
        <v>550</v>
      </c>
      <c r="I561" t="s">
        <v>512</v>
      </c>
      <c r="J561">
        <v>4484</v>
      </c>
      <c r="K561" t="s">
        <v>551</v>
      </c>
      <c r="L561">
        <v>1</v>
      </c>
      <c r="M561" t="s">
        <v>119</v>
      </c>
      <c r="N561">
        <v>8</v>
      </c>
      <c r="O561" t="s">
        <v>778</v>
      </c>
      <c r="Q561" t="s">
        <v>1520</v>
      </c>
    </row>
    <row r="562" spans="1:17" hidden="1" x14ac:dyDescent="0.25">
      <c r="A562" t="s">
        <v>1504</v>
      </c>
      <c r="B562" s="36">
        <v>46141</v>
      </c>
      <c r="C562" t="s">
        <v>28</v>
      </c>
      <c r="D562" t="s">
        <v>25</v>
      </c>
      <c r="E562">
        <v>14</v>
      </c>
      <c r="F562">
        <v>603</v>
      </c>
      <c r="G562" t="s">
        <v>34</v>
      </c>
      <c r="H562" t="s">
        <v>550</v>
      </c>
      <c r="I562" t="s">
        <v>512</v>
      </c>
      <c r="J562">
        <v>4485</v>
      </c>
      <c r="K562" t="s">
        <v>551</v>
      </c>
      <c r="L562">
        <v>1</v>
      </c>
      <c r="M562" t="s">
        <v>119</v>
      </c>
      <c r="N562">
        <v>8</v>
      </c>
      <c r="O562" t="s">
        <v>778</v>
      </c>
      <c r="Q562" t="s">
        <v>1521</v>
      </c>
    </row>
    <row r="563" spans="1:17" hidden="1" x14ac:dyDescent="0.25">
      <c r="A563" t="s">
        <v>1504</v>
      </c>
      <c r="B563" s="36">
        <v>46141</v>
      </c>
      <c r="C563" t="s">
        <v>28</v>
      </c>
      <c r="D563" t="s">
        <v>25</v>
      </c>
      <c r="E563">
        <v>14</v>
      </c>
      <c r="F563">
        <v>603</v>
      </c>
      <c r="G563" t="s">
        <v>34</v>
      </c>
      <c r="H563" t="s">
        <v>550</v>
      </c>
      <c r="I563" t="s">
        <v>512</v>
      </c>
      <c r="J563">
        <v>4486</v>
      </c>
      <c r="K563" t="s">
        <v>551</v>
      </c>
      <c r="L563">
        <v>1</v>
      </c>
      <c r="M563" t="s">
        <v>119</v>
      </c>
      <c r="N563">
        <v>8</v>
      </c>
      <c r="O563" t="s">
        <v>778</v>
      </c>
      <c r="Q563" t="s">
        <v>1522</v>
      </c>
    </row>
    <row r="564" spans="1:17" hidden="1" x14ac:dyDescent="0.25">
      <c r="A564" t="s">
        <v>1504</v>
      </c>
      <c r="B564" s="36">
        <v>46141</v>
      </c>
      <c r="C564" t="s">
        <v>28</v>
      </c>
      <c r="D564" t="s">
        <v>25</v>
      </c>
      <c r="E564">
        <v>14</v>
      </c>
      <c r="F564">
        <v>603</v>
      </c>
      <c r="G564" t="s">
        <v>34</v>
      </c>
      <c r="H564" t="s">
        <v>550</v>
      </c>
      <c r="I564" t="s">
        <v>512</v>
      </c>
      <c r="J564">
        <v>4487</v>
      </c>
      <c r="K564" t="s">
        <v>551</v>
      </c>
      <c r="L564">
        <v>1</v>
      </c>
      <c r="M564" t="s">
        <v>119</v>
      </c>
      <c r="N564">
        <v>8</v>
      </c>
      <c r="O564" t="s">
        <v>778</v>
      </c>
      <c r="Q564" t="s">
        <v>1523</v>
      </c>
    </row>
    <row r="565" spans="1:17" hidden="1" x14ac:dyDescent="0.25">
      <c r="A565" t="s">
        <v>1504</v>
      </c>
      <c r="B565" s="36">
        <v>46141</v>
      </c>
      <c r="C565" t="s">
        <v>28</v>
      </c>
      <c r="D565" t="s">
        <v>25</v>
      </c>
      <c r="E565">
        <v>14</v>
      </c>
      <c r="F565">
        <v>603</v>
      </c>
      <c r="G565" t="s">
        <v>34</v>
      </c>
      <c r="H565" t="s">
        <v>550</v>
      </c>
      <c r="I565" t="s">
        <v>512</v>
      </c>
      <c r="J565">
        <v>4489</v>
      </c>
      <c r="K565" t="s">
        <v>551</v>
      </c>
      <c r="L565">
        <v>1</v>
      </c>
      <c r="M565" t="s">
        <v>119</v>
      </c>
      <c r="N565">
        <v>8</v>
      </c>
      <c r="O565" t="s">
        <v>778</v>
      </c>
      <c r="Q565" t="s">
        <v>1524</v>
      </c>
    </row>
    <row r="566" spans="1:17" hidden="1" x14ac:dyDescent="0.25">
      <c r="A566" t="s">
        <v>1525</v>
      </c>
      <c r="B566" s="36">
        <v>46140</v>
      </c>
      <c r="C566" t="s">
        <v>28</v>
      </c>
      <c r="D566" t="s">
        <v>25</v>
      </c>
      <c r="E566">
        <v>14</v>
      </c>
      <c r="F566">
        <v>603</v>
      </c>
      <c r="G566" t="s">
        <v>34</v>
      </c>
      <c r="H566" t="s">
        <v>367</v>
      </c>
      <c r="I566" t="s">
        <v>368</v>
      </c>
      <c r="J566">
        <v>3425</v>
      </c>
      <c r="K566" t="s">
        <v>369</v>
      </c>
      <c r="L566">
        <v>1</v>
      </c>
      <c r="M566" t="s">
        <v>370</v>
      </c>
      <c r="N566">
        <v>8</v>
      </c>
      <c r="O566" t="s">
        <v>778</v>
      </c>
      <c r="Q566" t="s">
        <v>1526</v>
      </c>
    </row>
    <row r="567" spans="1:17" hidden="1" x14ac:dyDescent="0.25">
      <c r="A567" t="s">
        <v>1525</v>
      </c>
      <c r="B567" s="36">
        <v>46140</v>
      </c>
      <c r="C567" t="s">
        <v>28</v>
      </c>
      <c r="D567" t="s">
        <v>25</v>
      </c>
      <c r="E567">
        <v>14</v>
      </c>
      <c r="F567">
        <v>603</v>
      </c>
      <c r="G567" t="s">
        <v>34</v>
      </c>
      <c r="H567" t="s">
        <v>131</v>
      </c>
      <c r="I567" t="s">
        <v>498</v>
      </c>
      <c r="J567">
        <v>3802</v>
      </c>
      <c r="K567" t="s">
        <v>499</v>
      </c>
      <c r="L567">
        <v>1</v>
      </c>
      <c r="M567" t="s">
        <v>500</v>
      </c>
      <c r="N567">
        <v>8</v>
      </c>
      <c r="O567" t="s">
        <v>778</v>
      </c>
      <c r="Q567" t="s">
        <v>1527</v>
      </c>
    </row>
    <row r="568" spans="1:17" hidden="1" x14ac:dyDescent="0.25">
      <c r="A568" t="s">
        <v>1525</v>
      </c>
      <c r="B568" s="36">
        <v>46140</v>
      </c>
      <c r="C568" t="s">
        <v>28</v>
      </c>
      <c r="D568" t="s">
        <v>25</v>
      </c>
      <c r="E568">
        <v>14</v>
      </c>
      <c r="F568">
        <v>603</v>
      </c>
      <c r="G568" t="s">
        <v>34</v>
      </c>
      <c r="H568" t="s">
        <v>114</v>
      </c>
      <c r="I568" t="s">
        <v>498</v>
      </c>
      <c r="J568">
        <v>3816</v>
      </c>
      <c r="K568" t="s">
        <v>502</v>
      </c>
      <c r="L568">
        <v>1</v>
      </c>
      <c r="M568" t="s">
        <v>500</v>
      </c>
      <c r="N568">
        <v>8</v>
      </c>
      <c r="O568" t="s">
        <v>778</v>
      </c>
      <c r="Q568" t="s">
        <v>1528</v>
      </c>
    </row>
    <row r="569" spans="1:17" hidden="1" x14ac:dyDescent="0.25">
      <c r="A569" t="s">
        <v>1525</v>
      </c>
      <c r="B569" s="36">
        <v>46140</v>
      </c>
      <c r="C569" t="s">
        <v>28</v>
      </c>
      <c r="D569" t="s">
        <v>25</v>
      </c>
      <c r="E569">
        <v>14</v>
      </c>
      <c r="F569">
        <v>603</v>
      </c>
      <c r="G569" t="s">
        <v>34</v>
      </c>
      <c r="H569" t="s">
        <v>129</v>
      </c>
      <c r="I569" t="s">
        <v>498</v>
      </c>
      <c r="J569">
        <v>3819</v>
      </c>
      <c r="K569" t="s">
        <v>504</v>
      </c>
      <c r="L569">
        <v>1</v>
      </c>
      <c r="M569" t="s">
        <v>505</v>
      </c>
      <c r="N569">
        <v>8</v>
      </c>
      <c r="O569" t="s">
        <v>778</v>
      </c>
      <c r="Q569" t="s">
        <v>1529</v>
      </c>
    </row>
    <row r="570" spans="1:17" hidden="1" x14ac:dyDescent="0.25">
      <c r="A570" t="s">
        <v>1525</v>
      </c>
      <c r="B570" s="36">
        <v>46140</v>
      </c>
      <c r="C570" t="s">
        <v>28</v>
      </c>
      <c r="D570" t="s">
        <v>25</v>
      </c>
      <c r="E570">
        <v>14</v>
      </c>
      <c r="F570">
        <v>603</v>
      </c>
      <c r="G570" t="s">
        <v>34</v>
      </c>
      <c r="H570" t="s">
        <v>367</v>
      </c>
      <c r="I570" t="s">
        <v>427</v>
      </c>
      <c r="J570">
        <v>3982</v>
      </c>
      <c r="K570" t="s">
        <v>428</v>
      </c>
      <c r="L570">
        <v>1</v>
      </c>
      <c r="M570" t="s">
        <v>429</v>
      </c>
      <c r="N570">
        <v>8</v>
      </c>
      <c r="O570" t="s">
        <v>778</v>
      </c>
      <c r="Q570" t="s">
        <v>1530</v>
      </c>
    </row>
    <row r="571" spans="1:17" hidden="1" x14ac:dyDescent="0.25">
      <c r="A571" t="s">
        <v>1525</v>
      </c>
      <c r="B571" s="36">
        <v>46140</v>
      </c>
      <c r="C571" t="s">
        <v>28</v>
      </c>
      <c r="D571" t="s">
        <v>25</v>
      </c>
      <c r="E571">
        <v>14</v>
      </c>
      <c r="F571">
        <v>603</v>
      </c>
      <c r="G571" t="s">
        <v>34</v>
      </c>
      <c r="H571" t="s">
        <v>65</v>
      </c>
      <c r="I571" t="s">
        <v>368</v>
      </c>
      <c r="J571">
        <v>4006</v>
      </c>
      <c r="K571" t="s">
        <v>521</v>
      </c>
      <c r="L571">
        <v>1</v>
      </c>
      <c r="M571" t="s">
        <v>522</v>
      </c>
      <c r="N571">
        <v>8</v>
      </c>
      <c r="O571" t="s">
        <v>778</v>
      </c>
      <c r="Q571" t="s">
        <v>1531</v>
      </c>
    </row>
    <row r="572" spans="1:17" hidden="1" x14ac:dyDescent="0.25">
      <c r="A572" t="s">
        <v>1525</v>
      </c>
      <c r="B572" s="36">
        <v>46140</v>
      </c>
      <c r="C572" t="s">
        <v>28</v>
      </c>
      <c r="D572" t="s">
        <v>25</v>
      </c>
      <c r="E572">
        <v>14</v>
      </c>
      <c r="F572">
        <v>603</v>
      </c>
      <c r="G572" t="s">
        <v>34</v>
      </c>
      <c r="H572" t="s">
        <v>65</v>
      </c>
      <c r="I572" t="s">
        <v>368</v>
      </c>
      <c r="J572">
        <v>4010</v>
      </c>
      <c r="K572" t="s">
        <v>524</v>
      </c>
      <c r="L572">
        <v>1</v>
      </c>
      <c r="M572" t="s">
        <v>522</v>
      </c>
      <c r="N572">
        <v>8</v>
      </c>
      <c r="O572" t="s">
        <v>778</v>
      </c>
      <c r="Q572" t="s">
        <v>1532</v>
      </c>
    </row>
    <row r="573" spans="1:17" hidden="1" x14ac:dyDescent="0.25">
      <c r="A573" t="s">
        <v>1525</v>
      </c>
      <c r="B573" s="36">
        <v>46140</v>
      </c>
      <c r="C573" t="s">
        <v>28</v>
      </c>
      <c r="D573" t="s">
        <v>25</v>
      </c>
      <c r="E573">
        <v>14</v>
      </c>
      <c r="F573">
        <v>603</v>
      </c>
      <c r="G573" t="s">
        <v>34</v>
      </c>
      <c r="H573" t="s">
        <v>65</v>
      </c>
      <c r="I573" t="s">
        <v>368</v>
      </c>
      <c r="J573">
        <v>4011</v>
      </c>
      <c r="K573" t="s">
        <v>524</v>
      </c>
      <c r="L573">
        <v>1</v>
      </c>
      <c r="M573" t="s">
        <v>522</v>
      </c>
      <c r="N573">
        <v>8</v>
      </c>
      <c r="O573" t="s">
        <v>778</v>
      </c>
      <c r="Q573" t="s">
        <v>1533</v>
      </c>
    </row>
    <row r="574" spans="1:17" hidden="1" x14ac:dyDescent="0.25">
      <c r="A574" t="s">
        <v>1525</v>
      </c>
      <c r="B574" s="36">
        <v>46140</v>
      </c>
      <c r="C574" t="s">
        <v>28</v>
      </c>
      <c r="D574" t="s">
        <v>25</v>
      </c>
      <c r="E574">
        <v>14</v>
      </c>
      <c r="F574">
        <v>603</v>
      </c>
      <c r="G574" t="s">
        <v>34</v>
      </c>
      <c r="H574" t="s">
        <v>65</v>
      </c>
      <c r="I574" t="s">
        <v>368</v>
      </c>
      <c r="J574">
        <v>4012</v>
      </c>
      <c r="K574" t="s">
        <v>524</v>
      </c>
      <c r="L574">
        <v>1</v>
      </c>
      <c r="M574" t="s">
        <v>522</v>
      </c>
      <c r="N574">
        <v>8</v>
      </c>
      <c r="O574" t="s">
        <v>778</v>
      </c>
      <c r="Q574" t="s">
        <v>1534</v>
      </c>
    </row>
    <row r="575" spans="1:17" hidden="1" x14ac:dyDescent="0.25">
      <c r="A575" t="s">
        <v>1525</v>
      </c>
      <c r="B575" s="36">
        <v>46140</v>
      </c>
      <c r="C575" t="s">
        <v>28</v>
      </c>
      <c r="D575" t="s">
        <v>25</v>
      </c>
      <c r="E575">
        <v>14</v>
      </c>
      <c r="F575">
        <v>603</v>
      </c>
      <c r="G575" t="s">
        <v>34</v>
      </c>
      <c r="H575" t="s">
        <v>65</v>
      </c>
      <c r="I575" t="s">
        <v>368</v>
      </c>
      <c r="J575">
        <v>4013</v>
      </c>
      <c r="K575" t="s">
        <v>524</v>
      </c>
      <c r="L575">
        <v>1</v>
      </c>
      <c r="M575" t="s">
        <v>522</v>
      </c>
      <c r="N575">
        <v>8</v>
      </c>
      <c r="O575" t="s">
        <v>778</v>
      </c>
      <c r="Q575" t="s">
        <v>1535</v>
      </c>
    </row>
    <row r="576" spans="1:17" hidden="1" x14ac:dyDescent="0.25">
      <c r="A576" t="s">
        <v>1525</v>
      </c>
      <c r="B576" s="36">
        <v>46140</v>
      </c>
      <c r="C576" t="s">
        <v>28</v>
      </c>
      <c r="D576" t="s">
        <v>25</v>
      </c>
      <c r="E576">
        <v>14</v>
      </c>
      <c r="F576">
        <v>603</v>
      </c>
      <c r="G576" t="s">
        <v>34</v>
      </c>
      <c r="H576" t="s">
        <v>65</v>
      </c>
      <c r="I576" t="s">
        <v>368</v>
      </c>
      <c r="J576">
        <v>4014</v>
      </c>
      <c r="K576" t="s">
        <v>524</v>
      </c>
      <c r="L576">
        <v>1</v>
      </c>
      <c r="M576" t="s">
        <v>522</v>
      </c>
      <c r="N576">
        <v>8</v>
      </c>
      <c r="O576" t="s">
        <v>778</v>
      </c>
      <c r="Q576" t="s">
        <v>1536</v>
      </c>
    </row>
    <row r="577" spans="1:17" hidden="1" x14ac:dyDescent="0.25">
      <c r="A577" t="s">
        <v>1525</v>
      </c>
      <c r="B577" s="36">
        <v>46140</v>
      </c>
      <c r="C577" t="s">
        <v>28</v>
      </c>
      <c r="D577" t="s">
        <v>25</v>
      </c>
      <c r="E577">
        <v>14</v>
      </c>
      <c r="F577">
        <v>603</v>
      </c>
      <c r="G577" t="s">
        <v>34</v>
      </c>
      <c r="H577" t="s">
        <v>152</v>
      </c>
      <c r="I577" t="s">
        <v>152</v>
      </c>
      <c r="J577">
        <v>4071</v>
      </c>
      <c r="K577" t="s">
        <v>153</v>
      </c>
      <c r="L577">
        <v>1</v>
      </c>
      <c r="M577" t="s">
        <v>119</v>
      </c>
      <c r="N577">
        <v>8</v>
      </c>
      <c r="O577" t="s">
        <v>778</v>
      </c>
      <c r="Q577" t="s">
        <v>1537</v>
      </c>
    </row>
    <row r="578" spans="1:17" hidden="1" x14ac:dyDescent="0.25">
      <c r="A578" t="s">
        <v>1525</v>
      </c>
      <c r="B578" s="36">
        <v>46140</v>
      </c>
      <c r="C578" t="s">
        <v>28</v>
      </c>
      <c r="D578" t="s">
        <v>25</v>
      </c>
      <c r="E578">
        <v>14</v>
      </c>
      <c r="F578">
        <v>603</v>
      </c>
      <c r="G578" t="s">
        <v>34</v>
      </c>
      <c r="H578" t="s">
        <v>129</v>
      </c>
      <c r="I578" t="s">
        <v>498</v>
      </c>
      <c r="J578">
        <v>4084</v>
      </c>
      <c r="K578" t="s">
        <v>539</v>
      </c>
      <c r="L578">
        <v>1</v>
      </c>
      <c r="M578" t="s">
        <v>500</v>
      </c>
      <c r="N578">
        <v>8</v>
      </c>
      <c r="O578" t="s">
        <v>778</v>
      </c>
      <c r="Q578" t="s">
        <v>1538</v>
      </c>
    </row>
    <row r="579" spans="1:17" hidden="1" x14ac:dyDescent="0.25">
      <c r="A579" t="s">
        <v>1525</v>
      </c>
      <c r="B579" s="36">
        <v>46140</v>
      </c>
      <c r="C579" t="s">
        <v>28</v>
      </c>
      <c r="D579" t="s">
        <v>25</v>
      </c>
      <c r="E579">
        <v>14</v>
      </c>
      <c r="F579">
        <v>603</v>
      </c>
      <c r="G579" t="s">
        <v>34</v>
      </c>
      <c r="H579" t="s">
        <v>399</v>
      </c>
      <c r="I579" t="s">
        <v>400</v>
      </c>
      <c r="J579">
        <v>4089</v>
      </c>
      <c r="K579" t="s">
        <v>401</v>
      </c>
      <c r="L579">
        <v>2</v>
      </c>
      <c r="M579" t="s">
        <v>402</v>
      </c>
      <c r="N579">
        <v>8</v>
      </c>
      <c r="O579" t="s">
        <v>778</v>
      </c>
      <c r="Q579" t="s">
        <v>1539</v>
      </c>
    </row>
    <row r="580" spans="1:17" hidden="1" x14ac:dyDescent="0.25">
      <c r="A580" t="s">
        <v>1525</v>
      </c>
      <c r="B580" s="36">
        <v>46140</v>
      </c>
      <c r="C580" t="s">
        <v>28</v>
      </c>
      <c r="D580" t="s">
        <v>25</v>
      </c>
      <c r="E580">
        <v>14</v>
      </c>
      <c r="F580">
        <v>603</v>
      </c>
      <c r="G580" t="s">
        <v>34</v>
      </c>
      <c r="H580" t="s">
        <v>131</v>
      </c>
      <c r="I580" t="s">
        <v>498</v>
      </c>
      <c r="J580">
        <v>4092</v>
      </c>
      <c r="K580" t="s">
        <v>541</v>
      </c>
      <c r="L580">
        <v>1</v>
      </c>
      <c r="M580" t="s">
        <v>505</v>
      </c>
      <c r="N580">
        <v>8</v>
      </c>
      <c r="O580" t="s">
        <v>778</v>
      </c>
      <c r="Q580" t="s">
        <v>1540</v>
      </c>
    </row>
    <row r="581" spans="1:17" hidden="1" x14ac:dyDescent="0.25">
      <c r="A581" t="s">
        <v>1525</v>
      </c>
      <c r="B581" s="36">
        <v>46140</v>
      </c>
      <c r="C581" t="s">
        <v>28</v>
      </c>
      <c r="D581" t="s">
        <v>25</v>
      </c>
      <c r="E581">
        <v>14</v>
      </c>
      <c r="F581">
        <v>603</v>
      </c>
      <c r="G581" t="s">
        <v>34</v>
      </c>
      <c r="H581" t="s">
        <v>65</v>
      </c>
      <c r="I581" t="s">
        <v>543</v>
      </c>
      <c r="J581">
        <v>4246</v>
      </c>
      <c r="K581" t="s">
        <v>544</v>
      </c>
      <c r="L581">
        <v>3</v>
      </c>
      <c r="M581" t="s">
        <v>545</v>
      </c>
      <c r="N581">
        <v>8</v>
      </c>
      <c r="O581" t="s">
        <v>778</v>
      </c>
      <c r="Q581" t="s">
        <v>1541</v>
      </c>
    </row>
    <row r="582" spans="1:17" hidden="1" x14ac:dyDescent="0.25">
      <c r="A582" t="s">
        <v>1525</v>
      </c>
      <c r="B582" s="36">
        <v>46140</v>
      </c>
      <c r="C582" t="s">
        <v>28</v>
      </c>
      <c r="D582" t="s">
        <v>25</v>
      </c>
      <c r="E582">
        <v>14</v>
      </c>
      <c r="F582">
        <v>603</v>
      </c>
      <c r="G582" t="s">
        <v>34</v>
      </c>
      <c r="H582" t="s">
        <v>315</v>
      </c>
      <c r="I582" t="s">
        <v>316</v>
      </c>
      <c r="J582">
        <v>4249</v>
      </c>
      <c r="K582" t="s">
        <v>317</v>
      </c>
      <c r="L582">
        <v>8</v>
      </c>
      <c r="M582" t="s">
        <v>318</v>
      </c>
      <c r="N582">
        <v>8</v>
      </c>
      <c r="O582" t="s">
        <v>778</v>
      </c>
      <c r="Q582" t="s">
        <v>1542</v>
      </c>
    </row>
    <row r="583" spans="1:17" hidden="1" x14ac:dyDescent="0.25">
      <c r="A583" t="s">
        <v>1525</v>
      </c>
      <c r="B583" s="36">
        <v>46140</v>
      </c>
      <c r="C583" t="s">
        <v>28</v>
      </c>
      <c r="D583" t="s">
        <v>25</v>
      </c>
      <c r="E583">
        <v>14</v>
      </c>
      <c r="F583">
        <v>603</v>
      </c>
      <c r="G583" t="s">
        <v>34</v>
      </c>
      <c r="H583" t="s">
        <v>114</v>
      </c>
      <c r="I583" t="s">
        <v>498</v>
      </c>
      <c r="J583">
        <v>4493</v>
      </c>
      <c r="K583" t="s">
        <v>559</v>
      </c>
      <c r="L583">
        <v>1</v>
      </c>
      <c r="M583" t="s">
        <v>560</v>
      </c>
      <c r="N583">
        <v>8</v>
      </c>
      <c r="O583" t="s">
        <v>778</v>
      </c>
      <c r="Q583" t="s">
        <v>1543</v>
      </c>
    </row>
    <row r="584" spans="1:17" hidden="1" x14ac:dyDescent="0.25">
      <c r="A584" t="s">
        <v>1525</v>
      </c>
      <c r="B584" s="36">
        <v>46140</v>
      </c>
      <c r="C584" t="s">
        <v>28</v>
      </c>
      <c r="D584" t="s">
        <v>25</v>
      </c>
      <c r="E584">
        <v>14</v>
      </c>
      <c r="F584">
        <v>603</v>
      </c>
      <c r="G584" t="s">
        <v>34</v>
      </c>
      <c r="H584" t="s">
        <v>150</v>
      </c>
      <c r="I584" t="s">
        <v>498</v>
      </c>
      <c r="J584">
        <v>4497</v>
      </c>
      <c r="K584" t="s">
        <v>562</v>
      </c>
      <c r="L584">
        <v>1</v>
      </c>
      <c r="M584" t="s">
        <v>505</v>
      </c>
      <c r="N584">
        <v>8</v>
      </c>
      <c r="O584" t="s">
        <v>778</v>
      </c>
      <c r="Q584" t="s">
        <v>1544</v>
      </c>
    </row>
    <row r="585" spans="1:17" hidden="1" x14ac:dyDescent="0.25">
      <c r="A585" t="s">
        <v>1525</v>
      </c>
      <c r="B585" s="36">
        <v>46140</v>
      </c>
      <c r="C585" t="s">
        <v>28</v>
      </c>
      <c r="D585" t="s">
        <v>25</v>
      </c>
      <c r="E585">
        <v>14</v>
      </c>
      <c r="F585">
        <v>603</v>
      </c>
      <c r="G585" t="s">
        <v>34</v>
      </c>
      <c r="H585" t="s">
        <v>150</v>
      </c>
      <c r="I585" t="s">
        <v>498</v>
      </c>
      <c r="J585">
        <v>4498</v>
      </c>
      <c r="K585" t="s">
        <v>564</v>
      </c>
      <c r="L585">
        <v>1</v>
      </c>
      <c r="M585" t="s">
        <v>500</v>
      </c>
      <c r="N585">
        <v>8</v>
      </c>
      <c r="O585" t="s">
        <v>778</v>
      </c>
      <c r="Q585" t="s">
        <v>1545</v>
      </c>
    </row>
    <row r="586" spans="1:17" hidden="1" x14ac:dyDescent="0.25">
      <c r="A586" t="s">
        <v>1525</v>
      </c>
      <c r="B586" s="36">
        <v>46140</v>
      </c>
      <c r="C586" t="s">
        <v>28</v>
      </c>
      <c r="D586" t="s">
        <v>25</v>
      </c>
      <c r="E586">
        <v>14</v>
      </c>
      <c r="F586">
        <v>603</v>
      </c>
      <c r="G586" t="s">
        <v>34</v>
      </c>
      <c r="H586" t="s">
        <v>133</v>
      </c>
      <c r="I586" t="s">
        <v>498</v>
      </c>
      <c r="J586">
        <v>4501</v>
      </c>
      <c r="K586" t="s">
        <v>566</v>
      </c>
      <c r="L586">
        <v>1</v>
      </c>
      <c r="M586" t="s">
        <v>500</v>
      </c>
      <c r="N586">
        <v>8</v>
      </c>
      <c r="O586" t="s">
        <v>778</v>
      </c>
      <c r="Q586" t="s">
        <v>1546</v>
      </c>
    </row>
    <row r="587" spans="1:17" hidden="1" x14ac:dyDescent="0.25">
      <c r="A587" t="s">
        <v>1525</v>
      </c>
      <c r="B587" s="36">
        <v>46140</v>
      </c>
      <c r="C587" t="s">
        <v>28</v>
      </c>
      <c r="D587" t="s">
        <v>25</v>
      </c>
      <c r="E587">
        <v>14</v>
      </c>
      <c r="F587">
        <v>603</v>
      </c>
      <c r="G587" t="s">
        <v>34</v>
      </c>
      <c r="H587" t="s">
        <v>147</v>
      </c>
      <c r="I587" t="s">
        <v>498</v>
      </c>
      <c r="J587">
        <v>4505</v>
      </c>
      <c r="K587" t="s">
        <v>568</v>
      </c>
      <c r="L587">
        <v>1</v>
      </c>
      <c r="M587" t="s">
        <v>505</v>
      </c>
      <c r="N587">
        <v>8</v>
      </c>
      <c r="O587" t="s">
        <v>778</v>
      </c>
      <c r="Q587" t="s">
        <v>1547</v>
      </c>
    </row>
    <row r="588" spans="1:17" hidden="1" x14ac:dyDescent="0.25">
      <c r="A588" t="s">
        <v>1525</v>
      </c>
      <c r="B588" s="36">
        <v>46140</v>
      </c>
      <c r="C588" t="s">
        <v>28</v>
      </c>
      <c r="D588" t="s">
        <v>25</v>
      </c>
      <c r="E588">
        <v>14</v>
      </c>
      <c r="F588">
        <v>603</v>
      </c>
      <c r="G588" t="s">
        <v>34</v>
      </c>
      <c r="H588" t="s">
        <v>147</v>
      </c>
      <c r="I588" t="s">
        <v>498</v>
      </c>
      <c r="J588">
        <v>4506</v>
      </c>
      <c r="K588" t="s">
        <v>570</v>
      </c>
      <c r="L588">
        <v>1</v>
      </c>
      <c r="M588" t="s">
        <v>500</v>
      </c>
      <c r="N588">
        <v>8</v>
      </c>
      <c r="O588" t="s">
        <v>778</v>
      </c>
      <c r="Q588" t="s">
        <v>1548</v>
      </c>
    </row>
    <row r="589" spans="1:17" x14ac:dyDescent="0.25">
      <c r="A589" t="s">
        <v>1549</v>
      </c>
      <c r="B589" s="36">
        <v>46140</v>
      </c>
      <c r="C589" t="s">
        <v>28</v>
      </c>
      <c r="D589" t="s">
        <v>25</v>
      </c>
      <c r="E589">
        <v>14</v>
      </c>
      <c r="F589">
        <v>605</v>
      </c>
      <c r="G589" t="s">
        <v>34</v>
      </c>
      <c r="H589" t="s">
        <v>234</v>
      </c>
      <c r="I589" t="s">
        <v>507</v>
      </c>
      <c r="J589">
        <v>3986</v>
      </c>
      <c r="K589" t="s">
        <v>508</v>
      </c>
      <c r="L589">
        <v>3</v>
      </c>
      <c r="M589" t="s">
        <v>509</v>
      </c>
      <c r="N589">
        <v>8</v>
      </c>
      <c r="O589" t="s">
        <v>778</v>
      </c>
      <c r="Q589" t="s">
        <v>1550</v>
      </c>
    </row>
    <row r="590" spans="1:17" x14ac:dyDescent="0.25">
      <c r="A590" t="s">
        <v>1549</v>
      </c>
      <c r="B590" s="36">
        <v>46140</v>
      </c>
      <c r="C590" t="s">
        <v>28</v>
      </c>
      <c r="D590" t="s">
        <v>25</v>
      </c>
      <c r="E590">
        <v>14</v>
      </c>
      <c r="F590">
        <v>605</v>
      </c>
      <c r="G590" t="s">
        <v>34</v>
      </c>
      <c r="H590" t="s">
        <v>284</v>
      </c>
      <c r="I590" t="s">
        <v>381</v>
      </c>
      <c r="J590">
        <v>3993</v>
      </c>
      <c r="K590" t="s">
        <v>382</v>
      </c>
      <c r="L590">
        <v>3</v>
      </c>
      <c r="M590" t="s">
        <v>383</v>
      </c>
      <c r="N590">
        <v>8</v>
      </c>
      <c r="O590" t="s">
        <v>778</v>
      </c>
      <c r="Q590" t="s">
        <v>1551</v>
      </c>
    </row>
    <row r="591" spans="1:17" x14ac:dyDescent="0.25">
      <c r="A591" t="s">
        <v>1549</v>
      </c>
      <c r="B591" s="36">
        <v>46140</v>
      </c>
      <c r="C591" t="s">
        <v>28</v>
      </c>
      <c r="D591" t="s">
        <v>25</v>
      </c>
      <c r="E591">
        <v>14</v>
      </c>
      <c r="F591">
        <v>605</v>
      </c>
      <c r="G591" t="s">
        <v>34</v>
      </c>
      <c r="H591" t="s">
        <v>284</v>
      </c>
      <c r="I591" t="s">
        <v>381</v>
      </c>
      <c r="J591">
        <v>3995</v>
      </c>
      <c r="K591" t="s">
        <v>385</v>
      </c>
      <c r="L591">
        <v>3</v>
      </c>
      <c r="M591" t="s">
        <v>386</v>
      </c>
      <c r="N591">
        <v>8</v>
      </c>
      <c r="O591" t="s">
        <v>778</v>
      </c>
      <c r="Q591" t="s">
        <v>1552</v>
      </c>
    </row>
    <row r="592" spans="1:17" x14ac:dyDescent="0.25">
      <c r="A592" t="s">
        <v>1549</v>
      </c>
      <c r="B592" s="36">
        <v>46140</v>
      </c>
      <c r="C592" t="s">
        <v>28</v>
      </c>
      <c r="D592" t="s">
        <v>25</v>
      </c>
      <c r="E592">
        <v>14</v>
      </c>
      <c r="F592">
        <v>605</v>
      </c>
      <c r="G592" t="s">
        <v>34</v>
      </c>
      <c r="H592" t="s">
        <v>306</v>
      </c>
      <c r="I592" t="s">
        <v>307</v>
      </c>
      <c r="J592">
        <v>4316</v>
      </c>
      <c r="K592" t="s">
        <v>308</v>
      </c>
      <c r="L592">
        <v>4</v>
      </c>
      <c r="M592" t="s">
        <v>309</v>
      </c>
      <c r="N592">
        <v>8</v>
      </c>
      <c r="O592" t="s">
        <v>778</v>
      </c>
      <c r="Q592" t="s">
        <v>1553</v>
      </c>
    </row>
    <row r="593" spans="1:17" x14ac:dyDescent="0.25">
      <c r="A593" t="s">
        <v>1549</v>
      </c>
      <c r="B593" s="36">
        <v>46140</v>
      </c>
      <c r="C593" t="s">
        <v>28</v>
      </c>
      <c r="D593" t="s">
        <v>25</v>
      </c>
      <c r="E593">
        <v>14</v>
      </c>
      <c r="F593">
        <v>605</v>
      </c>
      <c r="G593" t="s">
        <v>34</v>
      </c>
      <c r="H593" t="s">
        <v>376</v>
      </c>
      <c r="I593" t="s">
        <v>377</v>
      </c>
      <c r="J593">
        <v>4317</v>
      </c>
      <c r="K593" t="s">
        <v>378</v>
      </c>
      <c r="L593">
        <v>3</v>
      </c>
      <c r="M593" t="s">
        <v>379</v>
      </c>
      <c r="N593">
        <v>8</v>
      </c>
      <c r="O593" t="s">
        <v>778</v>
      </c>
      <c r="Q593" t="s">
        <v>1554</v>
      </c>
    </row>
    <row r="594" spans="1:17" x14ac:dyDescent="0.25">
      <c r="A594" t="s">
        <v>1549</v>
      </c>
      <c r="B594" s="36">
        <v>46140</v>
      </c>
      <c r="C594" t="s">
        <v>28</v>
      </c>
      <c r="D594" t="s">
        <v>25</v>
      </c>
      <c r="E594">
        <v>14</v>
      </c>
      <c r="F594">
        <v>605</v>
      </c>
      <c r="G594" t="s">
        <v>34</v>
      </c>
      <c r="H594" t="s">
        <v>547</v>
      </c>
      <c r="I594" t="s">
        <v>507</v>
      </c>
      <c r="J594">
        <v>4473</v>
      </c>
      <c r="K594" t="s">
        <v>548</v>
      </c>
      <c r="L594">
        <v>3</v>
      </c>
      <c r="M594" t="s">
        <v>509</v>
      </c>
      <c r="N594">
        <v>8</v>
      </c>
      <c r="O594" t="s">
        <v>778</v>
      </c>
      <c r="Q594" t="s">
        <v>1555</v>
      </c>
    </row>
    <row r="595" spans="1:17" x14ac:dyDescent="0.25">
      <c r="A595" t="s">
        <v>1549</v>
      </c>
      <c r="B595" s="36">
        <v>46140</v>
      </c>
      <c r="C595" t="s">
        <v>28</v>
      </c>
      <c r="D595" t="s">
        <v>25</v>
      </c>
      <c r="E595">
        <v>14</v>
      </c>
      <c r="F595">
        <v>605</v>
      </c>
      <c r="G595" t="s">
        <v>34</v>
      </c>
      <c r="H595" t="s">
        <v>284</v>
      </c>
      <c r="I595" t="s">
        <v>372</v>
      </c>
      <c r="J595">
        <v>4475</v>
      </c>
      <c r="K595" t="s">
        <v>373</v>
      </c>
      <c r="L595">
        <v>3</v>
      </c>
      <c r="M595" t="s">
        <v>374</v>
      </c>
      <c r="N595">
        <v>8</v>
      </c>
      <c r="O595" t="s">
        <v>778</v>
      </c>
      <c r="Q595" t="s">
        <v>1556</v>
      </c>
    </row>
    <row r="596" spans="1:17" x14ac:dyDescent="0.25">
      <c r="A596" t="s">
        <v>1549</v>
      </c>
      <c r="B596" s="36">
        <v>46140</v>
      </c>
      <c r="C596" t="s">
        <v>28</v>
      </c>
      <c r="D596" t="s">
        <v>25</v>
      </c>
      <c r="E596">
        <v>14</v>
      </c>
      <c r="F596">
        <v>605</v>
      </c>
      <c r="G596" t="s">
        <v>34</v>
      </c>
      <c r="H596" t="s">
        <v>284</v>
      </c>
      <c r="I596" t="s">
        <v>285</v>
      </c>
      <c r="J596">
        <v>4478</v>
      </c>
      <c r="K596" t="s">
        <v>286</v>
      </c>
      <c r="L596">
        <v>4</v>
      </c>
      <c r="M596" t="s">
        <v>287</v>
      </c>
      <c r="N596">
        <v>8</v>
      </c>
      <c r="O596" t="s">
        <v>778</v>
      </c>
      <c r="Q596" t="s">
        <v>1557</v>
      </c>
    </row>
    <row r="597" spans="1:17" x14ac:dyDescent="0.25">
      <c r="A597" t="s">
        <v>1549</v>
      </c>
      <c r="B597" s="36">
        <v>46140</v>
      </c>
      <c r="C597" t="s">
        <v>28</v>
      </c>
      <c r="D597" t="s">
        <v>25</v>
      </c>
      <c r="E597">
        <v>14</v>
      </c>
      <c r="F597">
        <v>605</v>
      </c>
      <c r="G597" t="s">
        <v>34</v>
      </c>
      <c r="H597" t="s">
        <v>284</v>
      </c>
      <c r="I597" t="s">
        <v>285</v>
      </c>
      <c r="J597">
        <v>4509</v>
      </c>
      <c r="K597" t="s">
        <v>289</v>
      </c>
      <c r="L597">
        <v>4</v>
      </c>
      <c r="M597" t="s">
        <v>287</v>
      </c>
      <c r="N597">
        <v>8</v>
      </c>
      <c r="O597" t="s">
        <v>778</v>
      </c>
      <c r="Q597" t="s">
        <v>1558</v>
      </c>
    </row>
    <row r="598" spans="1:17" x14ac:dyDescent="0.25">
      <c r="A598" t="s">
        <v>1549</v>
      </c>
      <c r="B598" s="36">
        <v>46140</v>
      </c>
      <c r="C598" t="s">
        <v>28</v>
      </c>
      <c r="D598" t="s">
        <v>25</v>
      </c>
      <c r="E598">
        <v>14</v>
      </c>
      <c r="F598">
        <v>605</v>
      </c>
      <c r="G598" t="s">
        <v>34</v>
      </c>
      <c r="H598" t="s">
        <v>291</v>
      </c>
      <c r="I598" t="s">
        <v>292</v>
      </c>
      <c r="J598">
        <v>4510</v>
      </c>
      <c r="K598" t="s">
        <v>293</v>
      </c>
      <c r="L598">
        <v>4</v>
      </c>
      <c r="M598" t="s">
        <v>294</v>
      </c>
      <c r="N598">
        <v>8</v>
      </c>
      <c r="O598" t="s">
        <v>778</v>
      </c>
      <c r="Q598" t="s">
        <v>1559</v>
      </c>
    </row>
    <row r="599" spans="1:17" x14ac:dyDescent="0.25">
      <c r="A599" t="s">
        <v>3910</v>
      </c>
      <c r="B599" s="36">
        <v>46140</v>
      </c>
      <c r="C599" t="s">
        <v>28</v>
      </c>
      <c r="D599" t="s">
        <v>25</v>
      </c>
      <c r="E599">
        <v>14</v>
      </c>
      <c r="F599">
        <v>605</v>
      </c>
      <c r="G599" t="s">
        <v>34</v>
      </c>
      <c r="H599" t="s">
        <v>582</v>
      </c>
      <c r="I599" t="s">
        <v>583</v>
      </c>
      <c r="J599">
        <v>3367</v>
      </c>
      <c r="K599" t="s">
        <v>584</v>
      </c>
      <c r="L599">
        <v>9</v>
      </c>
      <c r="M599" t="s">
        <v>585</v>
      </c>
      <c r="N599">
        <v>12</v>
      </c>
      <c r="O599" t="s">
        <v>778</v>
      </c>
      <c r="Q599" t="s">
        <v>3911</v>
      </c>
    </row>
    <row r="600" spans="1:17" x14ac:dyDescent="0.25">
      <c r="A600" t="s">
        <v>3910</v>
      </c>
      <c r="B600" s="36">
        <v>46140</v>
      </c>
      <c r="C600" t="s">
        <v>28</v>
      </c>
      <c r="D600" t="s">
        <v>25</v>
      </c>
      <c r="E600">
        <v>14</v>
      </c>
      <c r="F600">
        <v>605</v>
      </c>
      <c r="G600" t="s">
        <v>34</v>
      </c>
      <c r="H600" t="s">
        <v>679</v>
      </c>
      <c r="I600" t="s">
        <v>680</v>
      </c>
      <c r="J600">
        <v>3369</v>
      </c>
      <c r="K600" t="s">
        <v>681</v>
      </c>
      <c r="L600">
        <v>7</v>
      </c>
      <c r="M600" t="s">
        <v>682</v>
      </c>
      <c r="N600">
        <v>12</v>
      </c>
      <c r="O600" t="s">
        <v>778</v>
      </c>
      <c r="Q600" t="s">
        <v>3912</v>
      </c>
    </row>
    <row r="601" spans="1:17" x14ac:dyDescent="0.25">
      <c r="A601" t="s">
        <v>3910</v>
      </c>
      <c r="B601" s="36">
        <v>46140</v>
      </c>
      <c r="C601" t="s">
        <v>28</v>
      </c>
      <c r="D601" t="s">
        <v>25</v>
      </c>
      <c r="E601">
        <v>14</v>
      </c>
      <c r="F601">
        <v>605</v>
      </c>
      <c r="G601" t="s">
        <v>34</v>
      </c>
      <c r="H601" t="s">
        <v>592</v>
      </c>
      <c r="I601" t="s">
        <v>593</v>
      </c>
      <c r="J601">
        <v>3370</v>
      </c>
      <c r="K601" t="s">
        <v>594</v>
      </c>
      <c r="L601">
        <v>11</v>
      </c>
      <c r="M601" t="s">
        <v>595</v>
      </c>
      <c r="N601">
        <v>12</v>
      </c>
      <c r="O601" t="s">
        <v>778</v>
      </c>
      <c r="Q601" t="s">
        <v>3913</v>
      </c>
    </row>
    <row r="602" spans="1:17" x14ac:dyDescent="0.25">
      <c r="A602" t="s">
        <v>3910</v>
      </c>
      <c r="B602" s="36">
        <v>46140</v>
      </c>
      <c r="C602" t="s">
        <v>28</v>
      </c>
      <c r="D602" t="s">
        <v>25</v>
      </c>
      <c r="E602">
        <v>14</v>
      </c>
      <c r="F602">
        <v>605</v>
      </c>
      <c r="G602" t="s">
        <v>34</v>
      </c>
      <c r="H602" t="s">
        <v>679</v>
      </c>
      <c r="I602" t="s">
        <v>684</v>
      </c>
      <c r="J602">
        <v>3371</v>
      </c>
      <c r="K602" t="s">
        <v>685</v>
      </c>
      <c r="L602">
        <v>6</v>
      </c>
      <c r="M602" t="s">
        <v>686</v>
      </c>
      <c r="N602">
        <v>12</v>
      </c>
      <c r="O602" t="s">
        <v>778</v>
      </c>
      <c r="Q602" t="s">
        <v>3914</v>
      </c>
    </row>
    <row r="603" spans="1:17" x14ac:dyDescent="0.25">
      <c r="A603" t="s">
        <v>3910</v>
      </c>
      <c r="B603" s="36">
        <v>46140</v>
      </c>
      <c r="C603" t="s">
        <v>28</v>
      </c>
      <c r="D603" t="s">
        <v>25</v>
      </c>
      <c r="E603">
        <v>14</v>
      </c>
      <c r="F603">
        <v>605</v>
      </c>
      <c r="G603" t="s">
        <v>34</v>
      </c>
      <c r="H603" t="s">
        <v>597</v>
      </c>
      <c r="I603" t="s">
        <v>598</v>
      </c>
      <c r="J603">
        <v>3372</v>
      </c>
      <c r="K603" t="s">
        <v>599</v>
      </c>
      <c r="L603">
        <v>10</v>
      </c>
      <c r="M603" t="s">
        <v>600</v>
      </c>
      <c r="N603">
        <v>12</v>
      </c>
      <c r="O603" t="s">
        <v>778</v>
      </c>
      <c r="Q603" t="s">
        <v>3915</v>
      </c>
    </row>
    <row r="604" spans="1:17" x14ac:dyDescent="0.25">
      <c r="A604" t="s">
        <v>3910</v>
      </c>
      <c r="B604" s="36">
        <v>46140</v>
      </c>
      <c r="C604" t="s">
        <v>28</v>
      </c>
      <c r="D604" t="s">
        <v>25</v>
      </c>
      <c r="E604">
        <v>14</v>
      </c>
      <c r="F604">
        <v>605</v>
      </c>
      <c r="G604" t="s">
        <v>34</v>
      </c>
      <c r="H604" t="s">
        <v>688</v>
      </c>
      <c r="I604" t="s">
        <v>689</v>
      </c>
      <c r="J604">
        <v>3373</v>
      </c>
      <c r="K604" t="s">
        <v>690</v>
      </c>
      <c r="L604">
        <v>8</v>
      </c>
      <c r="M604" t="s">
        <v>691</v>
      </c>
      <c r="N604">
        <v>12</v>
      </c>
      <c r="O604" t="s">
        <v>778</v>
      </c>
      <c r="Q604" t="s">
        <v>3916</v>
      </c>
    </row>
    <row r="605" spans="1:17" x14ac:dyDescent="0.25">
      <c r="A605" t="s">
        <v>3910</v>
      </c>
      <c r="B605" s="36">
        <v>46140</v>
      </c>
      <c r="C605" t="s">
        <v>28</v>
      </c>
      <c r="D605" t="s">
        <v>25</v>
      </c>
      <c r="E605">
        <v>14</v>
      </c>
      <c r="F605">
        <v>605</v>
      </c>
      <c r="G605" t="s">
        <v>34</v>
      </c>
      <c r="H605" t="s">
        <v>693</v>
      </c>
      <c r="I605" t="s">
        <v>694</v>
      </c>
      <c r="J605">
        <v>3374</v>
      </c>
      <c r="K605" t="s">
        <v>695</v>
      </c>
      <c r="L605">
        <v>5</v>
      </c>
      <c r="M605" t="s">
        <v>696</v>
      </c>
      <c r="N605">
        <v>12</v>
      </c>
      <c r="O605" t="s">
        <v>778</v>
      </c>
      <c r="Q605" t="s">
        <v>3917</v>
      </c>
    </row>
    <row r="606" spans="1:17" x14ac:dyDescent="0.25">
      <c r="A606" t="s">
        <v>3910</v>
      </c>
      <c r="B606" s="36">
        <v>46140</v>
      </c>
      <c r="C606" t="s">
        <v>28</v>
      </c>
      <c r="D606" t="s">
        <v>25</v>
      </c>
      <c r="E606">
        <v>14</v>
      </c>
      <c r="F606">
        <v>605</v>
      </c>
      <c r="G606" t="s">
        <v>34</v>
      </c>
      <c r="H606" t="s">
        <v>698</v>
      </c>
      <c r="I606" t="s">
        <v>699</v>
      </c>
      <c r="J606">
        <v>3375</v>
      </c>
      <c r="K606" t="s">
        <v>700</v>
      </c>
      <c r="L606">
        <v>4</v>
      </c>
      <c r="M606" t="s">
        <v>701</v>
      </c>
      <c r="N606">
        <v>12</v>
      </c>
      <c r="O606" t="s">
        <v>778</v>
      </c>
      <c r="Q606" t="s">
        <v>3918</v>
      </c>
    </row>
    <row r="607" spans="1:17" x14ac:dyDescent="0.25">
      <c r="A607" t="s">
        <v>3910</v>
      </c>
      <c r="B607" s="36">
        <v>46140</v>
      </c>
      <c r="C607" t="s">
        <v>28</v>
      </c>
      <c r="D607" t="s">
        <v>25</v>
      </c>
      <c r="E607">
        <v>14</v>
      </c>
      <c r="F607">
        <v>605</v>
      </c>
      <c r="G607" t="s">
        <v>34</v>
      </c>
      <c r="H607" t="s">
        <v>727</v>
      </c>
      <c r="I607" t="s">
        <v>728</v>
      </c>
      <c r="J607">
        <v>3709</v>
      </c>
      <c r="K607" t="s">
        <v>729</v>
      </c>
      <c r="L607">
        <v>4</v>
      </c>
      <c r="M607" t="s">
        <v>730</v>
      </c>
      <c r="N607">
        <v>12</v>
      </c>
      <c r="O607" t="s">
        <v>778</v>
      </c>
      <c r="Q607" t="s">
        <v>3919</v>
      </c>
    </row>
    <row r="608" spans="1:17" x14ac:dyDescent="0.25">
      <c r="A608" t="s">
        <v>3910</v>
      </c>
      <c r="B608" s="36">
        <v>46140</v>
      </c>
      <c r="C608" t="s">
        <v>28</v>
      </c>
      <c r="D608" t="s">
        <v>25</v>
      </c>
      <c r="E608">
        <v>14</v>
      </c>
      <c r="F608">
        <v>605</v>
      </c>
      <c r="G608" t="s">
        <v>34</v>
      </c>
      <c r="H608" t="s">
        <v>727</v>
      </c>
      <c r="I608" t="s">
        <v>728</v>
      </c>
      <c r="J608">
        <v>3710</v>
      </c>
      <c r="K608" t="s">
        <v>729</v>
      </c>
      <c r="L608">
        <v>4</v>
      </c>
      <c r="M608" t="s">
        <v>730</v>
      </c>
      <c r="N608">
        <v>12</v>
      </c>
      <c r="O608" t="s">
        <v>778</v>
      </c>
      <c r="Q608" t="s">
        <v>3920</v>
      </c>
    </row>
    <row r="609" spans="1:17" x14ac:dyDescent="0.25">
      <c r="A609" t="s">
        <v>3910</v>
      </c>
      <c r="B609" s="36">
        <v>46140</v>
      </c>
      <c r="C609" t="s">
        <v>28</v>
      </c>
      <c r="D609" t="s">
        <v>25</v>
      </c>
      <c r="E609">
        <v>14</v>
      </c>
      <c r="F609">
        <v>605</v>
      </c>
      <c r="G609" t="s">
        <v>34</v>
      </c>
      <c r="H609" t="s">
        <v>733</v>
      </c>
      <c r="I609" t="s">
        <v>728</v>
      </c>
      <c r="J609">
        <v>3711</v>
      </c>
      <c r="K609" t="s">
        <v>734</v>
      </c>
      <c r="L609">
        <v>4</v>
      </c>
      <c r="M609" t="s">
        <v>730</v>
      </c>
      <c r="N609">
        <v>12</v>
      </c>
      <c r="O609" t="s">
        <v>778</v>
      </c>
      <c r="Q609" t="s">
        <v>3921</v>
      </c>
    </row>
    <row r="610" spans="1:17" x14ac:dyDescent="0.25">
      <c r="A610" t="s">
        <v>3910</v>
      </c>
      <c r="B610" s="36">
        <v>46140</v>
      </c>
      <c r="C610" t="s">
        <v>28</v>
      </c>
      <c r="D610" t="s">
        <v>25</v>
      </c>
      <c r="E610">
        <v>14</v>
      </c>
      <c r="F610">
        <v>605</v>
      </c>
      <c r="G610" t="s">
        <v>34</v>
      </c>
      <c r="H610" t="s">
        <v>741</v>
      </c>
      <c r="I610" t="s">
        <v>742</v>
      </c>
      <c r="J610">
        <v>3712</v>
      </c>
      <c r="K610" t="s">
        <v>743</v>
      </c>
      <c r="L610">
        <v>3</v>
      </c>
      <c r="M610" t="s">
        <v>744</v>
      </c>
      <c r="N610">
        <v>12</v>
      </c>
      <c r="O610" t="s">
        <v>778</v>
      </c>
      <c r="Q610" t="s">
        <v>3922</v>
      </c>
    </row>
    <row r="611" spans="1:17" x14ac:dyDescent="0.25">
      <c r="A611" t="s">
        <v>3910</v>
      </c>
      <c r="B611" s="36">
        <v>46140</v>
      </c>
      <c r="C611" t="s">
        <v>28</v>
      </c>
      <c r="D611" t="s">
        <v>25</v>
      </c>
      <c r="E611">
        <v>14</v>
      </c>
      <c r="F611">
        <v>605</v>
      </c>
      <c r="G611" t="s">
        <v>34</v>
      </c>
      <c r="H611" t="s">
        <v>736</v>
      </c>
      <c r="I611" t="s">
        <v>737</v>
      </c>
      <c r="J611">
        <v>3714</v>
      </c>
      <c r="K611" t="s">
        <v>738</v>
      </c>
      <c r="L611">
        <v>5</v>
      </c>
      <c r="M611" t="s">
        <v>739</v>
      </c>
      <c r="N611">
        <v>12</v>
      </c>
      <c r="O611" t="s">
        <v>778</v>
      </c>
      <c r="Q611" t="s">
        <v>3923</v>
      </c>
    </row>
    <row r="612" spans="1:17" x14ac:dyDescent="0.25">
      <c r="A612" t="s">
        <v>3910</v>
      </c>
      <c r="B612" s="36">
        <v>46140</v>
      </c>
      <c r="C612" t="s">
        <v>28</v>
      </c>
      <c r="D612" t="s">
        <v>25</v>
      </c>
      <c r="E612">
        <v>14</v>
      </c>
      <c r="F612">
        <v>605</v>
      </c>
      <c r="G612" t="s">
        <v>34</v>
      </c>
      <c r="H612" t="s">
        <v>664</v>
      </c>
      <c r="I612" t="s">
        <v>665</v>
      </c>
      <c r="J612">
        <v>4520</v>
      </c>
      <c r="K612" t="s">
        <v>666</v>
      </c>
      <c r="L612">
        <v>4</v>
      </c>
      <c r="M612" t="s">
        <v>667</v>
      </c>
      <c r="N612">
        <v>12</v>
      </c>
      <c r="O612" t="s">
        <v>778</v>
      </c>
      <c r="Q612" t="s">
        <v>3924</v>
      </c>
    </row>
    <row r="613" spans="1:17" x14ac:dyDescent="0.25">
      <c r="A613" t="s">
        <v>3910</v>
      </c>
      <c r="B613" s="36">
        <v>46140</v>
      </c>
      <c r="C613" t="s">
        <v>28</v>
      </c>
      <c r="D613" t="s">
        <v>25</v>
      </c>
      <c r="E613">
        <v>14</v>
      </c>
      <c r="F613">
        <v>605</v>
      </c>
      <c r="G613" t="s">
        <v>34</v>
      </c>
      <c r="H613" t="s">
        <v>648</v>
      </c>
      <c r="I613" t="s">
        <v>649</v>
      </c>
      <c r="J613">
        <v>4521</v>
      </c>
      <c r="K613" t="s">
        <v>650</v>
      </c>
      <c r="L613">
        <v>9</v>
      </c>
      <c r="M613" t="s">
        <v>651</v>
      </c>
      <c r="N613">
        <v>12</v>
      </c>
      <c r="O613" t="s">
        <v>778</v>
      </c>
      <c r="Q613" t="s">
        <v>3925</v>
      </c>
    </row>
    <row r="614" spans="1:17" x14ac:dyDescent="0.25">
      <c r="A614" t="s">
        <v>3910</v>
      </c>
      <c r="B614" s="36">
        <v>46140</v>
      </c>
      <c r="C614" t="s">
        <v>28</v>
      </c>
      <c r="D614" t="s">
        <v>25</v>
      </c>
      <c r="E614">
        <v>14</v>
      </c>
      <c r="F614">
        <v>605</v>
      </c>
      <c r="G614" t="s">
        <v>34</v>
      </c>
      <c r="H614" t="s">
        <v>653</v>
      </c>
      <c r="I614" t="s">
        <v>654</v>
      </c>
      <c r="J614">
        <v>4523</v>
      </c>
      <c r="K614" t="s">
        <v>655</v>
      </c>
      <c r="L614">
        <v>6</v>
      </c>
      <c r="M614" t="s">
        <v>656</v>
      </c>
      <c r="N614">
        <v>12</v>
      </c>
      <c r="O614" t="s">
        <v>778</v>
      </c>
      <c r="Q614" t="s">
        <v>3926</v>
      </c>
    </row>
    <row r="615" spans="1:17" x14ac:dyDescent="0.25">
      <c r="A615" t="s">
        <v>3910</v>
      </c>
      <c r="B615" s="36">
        <v>46140</v>
      </c>
      <c r="C615" t="s">
        <v>28</v>
      </c>
      <c r="D615" t="s">
        <v>25</v>
      </c>
      <c r="E615">
        <v>14</v>
      </c>
      <c r="F615">
        <v>605</v>
      </c>
      <c r="G615" t="s">
        <v>34</v>
      </c>
      <c r="H615" t="s">
        <v>669</v>
      </c>
      <c r="I615" t="s">
        <v>670</v>
      </c>
      <c r="J615">
        <v>4524</v>
      </c>
      <c r="K615" t="s">
        <v>671</v>
      </c>
      <c r="L615">
        <v>4</v>
      </c>
      <c r="M615" t="s">
        <v>672</v>
      </c>
      <c r="N615">
        <v>12</v>
      </c>
      <c r="O615" t="s">
        <v>778</v>
      </c>
      <c r="Q615" t="s">
        <v>3927</v>
      </c>
    </row>
    <row r="616" spans="1:17" x14ac:dyDescent="0.25">
      <c r="A616" t="s">
        <v>3910</v>
      </c>
      <c r="B616" s="36">
        <v>46140</v>
      </c>
      <c r="C616" t="s">
        <v>28</v>
      </c>
      <c r="D616" t="s">
        <v>25</v>
      </c>
      <c r="E616">
        <v>14</v>
      </c>
      <c r="F616">
        <v>605</v>
      </c>
      <c r="G616" t="s">
        <v>34</v>
      </c>
      <c r="H616" t="s">
        <v>274</v>
      </c>
      <c r="I616" t="s">
        <v>275</v>
      </c>
      <c r="J616">
        <v>4656</v>
      </c>
      <c r="K616" t="s">
        <v>276</v>
      </c>
      <c r="L616">
        <v>2</v>
      </c>
      <c r="M616" t="s">
        <v>277</v>
      </c>
      <c r="N616">
        <v>12</v>
      </c>
      <c r="O616" t="s">
        <v>778</v>
      </c>
      <c r="Q616" t="s">
        <v>3928</v>
      </c>
    </row>
    <row r="617" spans="1:17" x14ac:dyDescent="0.25">
      <c r="A617" t="s">
        <v>3910</v>
      </c>
      <c r="B617" s="36">
        <v>46140</v>
      </c>
      <c r="C617" t="s">
        <v>28</v>
      </c>
      <c r="D617" t="s">
        <v>25</v>
      </c>
      <c r="E617">
        <v>14</v>
      </c>
      <c r="F617">
        <v>605</v>
      </c>
      <c r="G617" t="s">
        <v>34</v>
      </c>
      <c r="H617" t="s">
        <v>658</v>
      </c>
      <c r="I617" t="s">
        <v>659</v>
      </c>
      <c r="J617">
        <v>4657</v>
      </c>
      <c r="K617" t="s">
        <v>660</v>
      </c>
      <c r="L617">
        <v>12</v>
      </c>
      <c r="M617" t="s">
        <v>661</v>
      </c>
      <c r="N617">
        <v>12</v>
      </c>
      <c r="O617" t="s">
        <v>778</v>
      </c>
      <c r="Q617" t="s">
        <v>3929</v>
      </c>
    </row>
    <row r="618" spans="1:17" x14ac:dyDescent="0.25">
      <c r="A618" t="s">
        <v>3910</v>
      </c>
      <c r="B618" s="36">
        <v>46140</v>
      </c>
      <c r="C618" t="s">
        <v>28</v>
      </c>
      <c r="D618" t="s">
        <v>25</v>
      </c>
      <c r="E618">
        <v>14</v>
      </c>
      <c r="F618">
        <v>605</v>
      </c>
      <c r="G618" t="s">
        <v>34</v>
      </c>
      <c r="H618" t="s">
        <v>674</v>
      </c>
      <c r="I618" t="s">
        <v>675</v>
      </c>
      <c r="J618">
        <v>4658</v>
      </c>
      <c r="K618" t="s">
        <v>676</v>
      </c>
      <c r="L618">
        <v>4</v>
      </c>
      <c r="M618" t="s">
        <v>677</v>
      </c>
      <c r="N618">
        <v>12</v>
      </c>
      <c r="O618" t="s">
        <v>778</v>
      </c>
      <c r="Q618" t="s">
        <v>3930</v>
      </c>
    </row>
  </sheetData>
  <sheetProtection sort="0" autoFilter="0"/>
  <mergeCells count="2">
    <mergeCell ref="A2:Q2"/>
    <mergeCell ref="A1:Q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AA59"/>
  <sheetViews>
    <sheetView showGridLines="0" workbookViewId="0">
      <pane ySplit="11" topLeftCell="A12" activePane="bottomLeft" state="frozen"/>
      <selection pane="bottomLeft" activeCell="A12" sqref="A12:H12"/>
    </sheetView>
  </sheetViews>
  <sheetFormatPr defaultColWidth="9.140625" defaultRowHeight="15" x14ac:dyDescent="0.25"/>
  <cols>
    <col min="1" max="1" width="32.28515625" customWidth="1"/>
    <col min="2" max="2" width="12" customWidth="1"/>
    <col min="3" max="3" width="33.85546875" customWidth="1"/>
    <col min="4" max="4" width="14" customWidth="1"/>
    <col min="5" max="5" width="26.28515625" customWidth="1"/>
    <col min="6" max="6" width="14" customWidth="1"/>
    <col min="7" max="8" width="12" customWidth="1"/>
    <col min="9" max="9" width="16" customWidth="1"/>
    <col min="11" max="11" width="9.42578125" bestFit="1" customWidth="1"/>
    <col min="12" max="12" width="19.28515625" bestFit="1" customWidth="1"/>
    <col min="13" max="13" width="8.28515625" bestFit="1" customWidth="1"/>
    <col min="14" max="14" width="14" bestFit="1" customWidth="1"/>
    <col min="15" max="15" width="12.7109375" bestFit="1" customWidth="1"/>
    <col min="16" max="16" width="11.28515625" bestFit="1" customWidth="1"/>
    <col min="17" max="17" width="14.5703125" bestFit="1" customWidth="1"/>
    <col min="18" max="18" width="13.42578125" bestFit="1" customWidth="1"/>
    <col min="19" max="19" width="14.42578125" bestFit="1" customWidth="1"/>
    <col min="27" max="27" width="0" hidden="1" customWidth="1"/>
  </cols>
  <sheetData>
    <row r="1" spans="1:27" ht="18.75" x14ac:dyDescent="0.25">
      <c r="A1" s="64" t="s">
        <v>1560</v>
      </c>
      <c r="B1" s="66"/>
      <c r="C1" s="66"/>
      <c r="D1" s="66"/>
      <c r="E1" s="66"/>
      <c r="F1" s="66"/>
      <c r="G1" s="66"/>
      <c r="H1" s="66"/>
      <c r="I1" s="67"/>
      <c r="K1" s="70" t="s">
        <v>1561</v>
      </c>
      <c r="L1" s="70"/>
      <c r="M1" s="55" t="s">
        <v>24</v>
      </c>
      <c r="AA1" t="s">
        <v>1562</v>
      </c>
    </row>
    <row r="2" spans="1:27" x14ac:dyDescent="0.25">
      <c r="AA2" t="s">
        <v>1563</v>
      </c>
    </row>
    <row r="3" spans="1:27" x14ac:dyDescent="0.25">
      <c r="A3" s="5" t="s">
        <v>1564</v>
      </c>
      <c r="C3" s="5" t="s">
        <v>1565</v>
      </c>
      <c r="E3" s="5" t="s">
        <v>1566</v>
      </c>
      <c r="AA3" t="s">
        <v>26</v>
      </c>
    </row>
    <row r="4" spans="1:27" ht="18.75" x14ac:dyDescent="0.25">
      <c r="A4" s="14">
        <f>COUNTIF(tblBalsas[ID_BALSA],"&lt;&gt;"&amp;"")</f>
        <v>4</v>
      </c>
      <c r="C4" s="14">
        <f>COUNTIF(tblBalsas[STATUS_BALSA],"Em andamento")</f>
        <v>4</v>
      </c>
      <c r="E4" s="14">
        <f>COUNTIF(tblBalsas[STATUS_BALSA],"Concluida")</f>
        <v>0</v>
      </c>
      <c r="K4" s="70" t="s">
        <v>1567</v>
      </c>
      <c r="L4" s="70"/>
      <c r="M4" s="70"/>
      <c r="N4" s="70"/>
      <c r="O4" s="70"/>
      <c r="P4" s="70"/>
      <c r="Q4" s="70"/>
      <c r="R4" s="70"/>
      <c r="S4" s="70"/>
      <c r="T4" s="70"/>
      <c r="AA4" t="s">
        <v>29</v>
      </c>
    </row>
    <row r="5" spans="1:27" x14ac:dyDescent="0.25">
      <c r="AA5" t="s">
        <v>24</v>
      </c>
    </row>
    <row r="6" spans="1:27" x14ac:dyDescent="0.25">
      <c r="A6" s="5" t="s">
        <v>1568</v>
      </c>
      <c r="C6" s="5" t="s">
        <v>1569</v>
      </c>
      <c r="E6" s="5" t="s">
        <v>1570</v>
      </c>
      <c r="K6" s="70" t="s">
        <v>1571</v>
      </c>
      <c r="L6" s="70"/>
      <c r="M6" s="70"/>
      <c r="O6" s="70" t="s">
        <v>1572</v>
      </c>
      <c r="P6" s="70"/>
      <c r="Q6" s="70"/>
      <c r="S6" s="70" t="s">
        <v>1573</v>
      </c>
      <c r="T6" s="70"/>
      <c r="U6" s="70"/>
      <c r="W6" s="70" t="s">
        <v>1574</v>
      </c>
      <c r="X6" s="70"/>
      <c r="Y6" s="70"/>
      <c r="AA6" t="s">
        <v>28</v>
      </c>
    </row>
    <row r="7" spans="1:27" ht="18.75" x14ac:dyDescent="0.25">
      <c r="A7" s="14">
        <f>SUM(tblBalsas[TOTAL_NESTINGS])</f>
        <v>875.99999999999659</v>
      </c>
      <c r="C7" s="14">
        <f>SUMPRODUCT((tblControle[STATUS_PROCESSO]="Em processamento")*(tblControle[NESTING]&lt;&gt;"")/COUNTIFS(tblControle[ID_BALSA],tblControle[ID_BALSA],tblControle[NESTING],tblControle[NESTING]&amp;""))</f>
        <v>321.99999999999949</v>
      </c>
      <c r="E7" s="14" cm="1">
        <f t="array" ref="E7">SUMPRODUCT((tblControle[STATUS_PROCESSO]="Finalizado")*(tblControle[NESTING]&lt;&gt;"")/COUNTIFS(tblControle[ID_BALSA],tblControle[ID_BALSA],tblControle[NESTING],tblControle[NESTING]&amp;""))</f>
        <v>291.99999999999807</v>
      </c>
      <c r="K7" s="72">
        <v>29</v>
      </c>
      <c r="L7" s="72"/>
      <c r="M7" s="72"/>
      <c r="O7" s="72">
        <v>17</v>
      </c>
      <c r="P7" s="72"/>
      <c r="Q7" s="72"/>
      <c r="S7" s="72">
        <v>11</v>
      </c>
      <c r="T7" s="72"/>
      <c r="U7" s="72"/>
      <c r="W7" s="71">
        <v>0.82034976152623207</v>
      </c>
      <c r="X7" s="71"/>
      <c r="Y7" s="71"/>
    </row>
    <row r="8" spans="1:27" x14ac:dyDescent="0.25">
      <c r="K8" s="72"/>
      <c r="L8" s="72"/>
      <c r="M8" s="72"/>
      <c r="O8" s="72"/>
      <c r="P8" s="72"/>
      <c r="Q8" s="72"/>
      <c r="S8" s="72"/>
      <c r="T8" s="72"/>
      <c r="U8" s="72"/>
      <c r="W8" s="71"/>
      <c r="X8" s="71"/>
      <c r="Y8" s="71"/>
    </row>
    <row r="10" spans="1:27" x14ac:dyDescent="0.25">
      <c r="A10" s="61" t="s">
        <v>1575</v>
      </c>
      <c r="B10" s="63"/>
      <c r="C10" s="63"/>
      <c r="D10" s="63"/>
      <c r="E10" s="63"/>
      <c r="F10" s="63"/>
      <c r="K10" s="70" t="s">
        <v>1576</v>
      </c>
      <c r="L10" s="70"/>
      <c r="M10" s="70"/>
      <c r="N10" s="70"/>
      <c r="O10" s="70"/>
      <c r="P10" s="70"/>
      <c r="Q10" s="70"/>
      <c r="R10" s="70"/>
      <c r="S10" s="70"/>
    </row>
    <row r="11" spans="1:27" ht="25.5" x14ac:dyDescent="0.25">
      <c r="A11" s="6" t="s">
        <v>14</v>
      </c>
      <c r="B11" s="6" t="s">
        <v>15</v>
      </c>
      <c r="C11" s="6" t="s">
        <v>16</v>
      </c>
      <c r="D11" s="6" t="s">
        <v>18</v>
      </c>
      <c r="E11" s="6" t="s">
        <v>19</v>
      </c>
      <c r="F11" s="6" t="s">
        <v>20</v>
      </c>
      <c r="G11" s="6" t="s">
        <v>21</v>
      </c>
      <c r="H11" s="6" t="s">
        <v>22</v>
      </c>
      <c r="I11" s="6" t="s">
        <v>23</v>
      </c>
      <c r="K11" s="52" t="s">
        <v>14</v>
      </c>
      <c r="L11" s="52" t="s">
        <v>43</v>
      </c>
      <c r="M11" s="52" t="s">
        <v>1577</v>
      </c>
      <c r="N11" s="52" t="s">
        <v>1578</v>
      </c>
      <c r="O11" s="52" t="s">
        <v>1579</v>
      </c>
      <c r="P11" s="52" t="s">
        <v>21</v>
      </c>
      <c r="Q11" s="52" t="s">
        <v>1580</v>
      </c>
      <c r="R11" s="52" t="s">
        <v>1581</v>
      </c>
      <c r="S11" s="52" t="s">
        <v>1582</v>
      </c>
    </row>
    <row r="12" spans="1:27" x14ac:dyDescent="0.25">
      <c r="A12" s="3" t="str">
        <f>IFERROR(INDEX(tblBalsas[ID_BALSA],ROW()-11),"")</f>
        <v>RAKE-13</v>
      </c>
      <c r="B12" s="3" t="str">
        <f>IF(A12="","",INDEX(tblBalsas[TIPO_BALSA],ROW()-11))</f>
        <v>RAKE</v>
      </c>
      <c r="C12" s="3">
        <f>IF(A12="","",INDEX(tblBalsas[NOME_BALSA],ROW()-11))</f>
        <v>13</v>
      </c>
      <c r="D12" s="3">
        <f>IF(A12="","",INDEX(tblBalsas[TOTAL_NESTINGS],ROW()-11))</f>
        <v>213.99999999999875</v>
      </c>
      <c r="E12" s="3">
        <f>IF(A12="","",INDEX(tblBalsas[EMITIDOS],ROW()-11))</f>
        <v>182.99999999999901</v>
      </c>
      <c r="F12" s="3">
        <f>IF(A12="","",INDEX(tblBalsas[FINALIZADOS],ROW()-11))</f>
        <v>182.99999999999901</v>
      </c>
      <c r="G12" s="3">
        <f>IF(A12="","",INDEX(tblBalsas[PENDENTES],ROW()-11))</f>
        <v>30.999999999999744</v>
      </c>
      <c r="H12" s="15">
        <f>IF(A12="","",INDEX(tblBalsas[%CONCLUIDO],ROW()-11))</f>
        <v>0.85514018691588822</v>
      </c>
      <c r="I12" s="3" t="str">
        <f>IF(A12="","",INDEX(tblBalsas[STATUS_BALSA],ROW()-11))</f>
        <v>Em andamento</v>
      </c>
      <c r="K12" t="s">
        <v>24</v>
      </c>
      <c r="L12" t="s">
        <v>1583</v>
      </c>
      <c r="M12">
        <v>6</v>
      </c>
      <c r="N12">
        <v>6</v>
      </c>
      <c r="O12">
        <v>1</v>
      </c>
      <c r="P12">
        <v>5</v>
      </c>
      <c r="Q12" s="54">
        <v>1</v>
      </c>
      <c r="R12" s="54">
        <v>0.16666666666666666</v>
      </c>
      <c r="S12" t="s">
        <v>1584</v>
      </c>
    </row>
    <row r="13" spans="1:27" x14ac:dyDescent="0.25">
      <c r="A13" s="3" t="str">
        <f>IFERROR(INDEX(tblBalsas[ID_BALSA],ROW()-11),"")</f>
        <v>BOX-15</v>
      </c>
      <c r="B13" s="3" t="str">
        <f>IF(A13="","",INDEX(tblBalsas[TIPO_BALSA],ROW()-11))</f>
        <v>BOX</v>
      </c>
      <c r="C13" s="3">
        <f>IF(A13="","",INDEX(tblBalsas[NOME_BALSA],ROW()-11))</f>
        <v>15</v>
      </c>
      <c r="D13" s="3">
        <f>IF(A13="","",INDEX(tblBalsas[TOTAL_NESTINGS],ROW()-11))</f>
        <v>223.99999999999926</v>
      </c>
      <c r="E13" s="3">
        <f>IF(A13="","",INDEX(tblBalsas[EMITIDOS],ROW()-11))</f>
        <v>150.99999999999974</v>
      </c>
      <c r="F13" s="3">
        <f>IF(A13="","",INDEX(tblBalsas[FINALIZADOS],ROW()-11))</f>
        <v>97.999999999999972</v>
      </c>
      <c r="G13" s="3">
        <f>IF(A13="","",INDEX(tblBalsas[PENDENTES],ROW()-11))</f>
        <v>125.99999999999929</v>
      </c>
      <c r="H13" s="15">
        <f>IF(A13="","",INDEX(tblBalsas[%CONCLUIDO],ROW()-11))</f>
        <v>0.43750000000000133</v>
      </c>
      <c r="I13" s="3" t="str">
        <f>IF(A13="","",INDEX(tblBalsas[STATUS_BALSA],ROW()-11))</f>
        <v>Em andamento</v>
      </c>
      <c r="K13" t="s">
        <v>24</v>
      </c>
      <c r="L13" t="s">
        <v>1585</v>
      </c>
      <c r="M13">
        <v>7</v>
      </c>
      <c r="N13">
        <v>7</v>
      </c>
      <c r="O13">
        <v>7</v>
      </c>
      <c r="P13">
        <v>0</v>
      </c>
      <c r="Q13" s="54">
        <v>1</v>
      </c>
      <c r="R13" s="54">
        <v>1</v>
      </c>
      <c r="S13" t="s">
        <v>1586</v>
      </c>
    </row>
    <row r="14" spans="1:27" x14ac:dyDescent="0.25">
      <c r="A14" s="3" t="str">
        <f>IFERROR(INDEX(tblBalsas[ID_BALSA],ROW()-11),"")</f>
        <v>RAKE-14</v>
      </c>
      <c r="B14" s="3" t="str">
        <f>IF(A14="","",INDEX(tblBalsas[TIPO_BALSA],ROW()-11))</f>
        <v>RAKE</v>
      </c>
      <c r="C14" s="3">
        <f>IF(A14="","",INDEX(tblBalsas[NOME_BALSA],ROW()-11))</f>
        <v>14</v>
      </c>
      <c r="D14" s="3">
        <f>IF(A14="","",INDEX(tblBalsas[TOTAL_NESTINGS],ROW()-11))</f>
        <v>213.99999999999935</v>
      </c>
      <c r="E14" s="3">
        <f>IF(A14="","",INDEX(tblBalsas[EMITIDOS],ROW()-11))</f>
        <v>171.99999999999977</v>
      </c>
      <c r="F14" s="3">
        <f>IF(A14="","",INDEX(tblBalsas[FINALIZADOS],ROW()-11))</f>
        <v>0</v>
      </c>
      <c r="G14" s="3">
        <f>IF(A14="","",INDEX(tblBalsas[PENDENTES],ROW()-11))</f>
        <v>213.99999999999935</v>
      </c>
      <c r="H14" s="15">
        <f>IF(A14="","",INDEX(tblBalsas[%CONCLUIDO],ROW()-11))</f>
        <v>0</v>
      </c>
      <c r="I14" s="3" t="str">
        <f>IF(A14="","",INDEX(tblBalsas[STATUS_BALSA],ROW()-11))</f>
        <v>Em andamento</v>
      </c>
      <c r="K14" t="s">
        <v>24</v>
      </c>
      <c r="L14" t="s">
        <v>60</v>
      </c>
      <c r="M14">
        <v>5</v>
      </c>
      <c r="N14">
        <v>0</v>
      </c>
      <c r="O14">
        <v>0</v>
      </c>
      <c r="P14">
        <v>5</v>
      </c>
      <c r="Q14" s="54">
        <v>0</v>
      </c>
      <c r="R14" s="54">
        <v>0</v>
      </c>
      <c r="S14" t="s">
        <v>1587</v>
      </c>
    </row>
    <row r="15" spans="1:27" x14ac:dyDescent="0.25">
      <c r="A15" s="3" t="str">
        <f>IFERROR(INDEX(tblBalsas[ID_BALSA],ROW()-11),"")</f>
        <v>BOX-16</v>
      </c>
      <c r="B15" s="3" t="str">
        <f>IF(A15="","",INDEX(tblBalsas[TIPO_BALSA],ROW()-11))</f>
        <v>BOX</v>
      </c>
      <c r="C15" s="3">
        <f>IF(A15="","",INDEX(tblBalsas[NOME_BALSA],ROW()-11))</f>
        <v>16</v>
      </c>
      <c r="D15" s="3">
        <f>IF(A15="","",INDEX(tblBalsas[TOTAL_NESTINGS],ROW()-11))</f>
        <v>223.99999999999926</v>
      </c>
      <c r="E15" s="3">
        <f>IF(A15="","",INDEX(tblBalsas[EMITIDOS],ROW()-11))</f>
        <v>107.99999999999986</v>
      </c>
      <c r="F15" s="3">
        <f>IF(A15="","",INDEX(tblBalsas[FINALIZADOS],ROW()-11))</f>
        <v>10.999999999999993</v>
      </c>
      <c r="G15" s="3">
        <f>IF(A15="","",INDEX(tblBalsas[PENDENTES],ROW()-11))</f>
        <v>212.99999999999926</v>
      </c>
      <c r="H15" s="15">
        <f>IF(A15="","",INDEX(tblBalsas[%CONCLUIDO],ROW()-11))</f>
        <v>4.9107142857142988E-2</v>
      </c>
      <c r="I15" s="3" t="str">
        <f>IF(A15="","",INDEX(tblBalsas[STATUS_BALSA],ROW()-11))</f>
        <v>Em andamento</v>
      </c>
      <c r="K15" t="s">
        <v>24</v>
      </c>
      <c r="L15" t="s">
        <v>550</v>
      </c>
      <c r="M15">
        <v>3</v>
      </c>
      <c r="N15">
        <v>3</v>
      </c>
      <c r="O15">
        <v>1</v>
      </c>
      <c r="P15">
        <v>2</v>
      </c>
      <c r="Q15" s="54">
        <v>1</v>
      </c>
      <c r="R15" s="54">
        <v>0.33333333333333331</v>
      </c>
      <c r="S15" t="s">
        <v>1584</v>
      </c>
    </row>
    <row r="16" spans="1:27" x14ac:dyDescent="0.25">
      <c r="A16" s="3" t="str">
        <f>IFERROR(INDEX(tblBalsas[ID_BALSA],ROW()-11),"")</f>
        <v/>
      </c>
      <c r="B16" s="3" t="str">
        <f>IF(A16="","",INDEX(tblBalsas[TIPO_BALSA],ROW()-11))</f>
        <v/>
      </c>
      <c r="C16" s="3" t="str">
        <f>IF(A16="","",INDEX(tblBalsas[NOME_BALSA],ROW()-11))</f>
        <v/>
      </c>
      <c r="D16" s="3" t="str">
        <f>IF(A16="","",INDEX(tblBalsas[TOTAL_NESTINGS],ROW()-11))</f>
        <v/>
      </c>
      <c r="E16" s="3" t="str">
        <f>IF(A16="","",INDEX(tblBalsas[EMITIDOS],ROW()-11))</f>
        <v/>
      </c>
      <c r="F16" s="3" t="str">
        <f>IF(A16="","",INDEX(tblBalsas[FINALIZADOS],ROW()-11))</f>
        <v/>
      </c>
      <c r="G16" s="3" t="str">
        <f>IF(A16="","",INDEX(tblBalsas[PENDENTES],ROW()-11))</f>
        <v/>
      </c>
      <c r="H16" s="15" t="str">
        <f>IF(A16="","",INDEX(tblBalsas[%CONCLUIDO],ROW()-11))</f>
        <v/>
      </c>
      <c r="I16" s="3" t="str">
        <f>IF(A16="","",INDEX(tblBalsas[STATUS_BALSA],ROW()-11))</f>
        <v/>
      </c>
      <c r="K16" t="s">
        <v>24</v>
      </c>
      <c r="L16" t="s">
        <v>511</v>
      </c>
      <c r="M16">
        <v>14</v>
      </c>
      <c r="N16">
        <v>14</v>
      </c>
      <c r="O16">
        <v>3</v>
      </c>
      <c r="P16">
        <v>11</v>
      </c>
      <c r="Q16" s="54">
        <v>1</v>
      </c>
      <c r="R16" s="54">
        <v>0.21428571428571427</v>
      </c>
      <c r="S16" t="s">
        <v>1584</v>
      </c>
    </row>
    <row r="17" spans="1:19" x14ac:dyDescent="0.25">
      <c r="A17" s="3" t="str">
        <f>IFERROR(INDEX(tblBalsas[ID_BALSA],ROW()-11),"")</f>
        <v/>
      </c>
      <c r="B17" s="3" t="str">
        <f>IF(A17="","",INDEX(tblBalsas[TIPO_BALSA],ROW()-11))</f>
        <v/>
      </c>
      <c r="C17" s="3" t="str">
        <f>IF(A17="","",INDEX(tblBalsas[NOME_BALSA],ROW()-11))</f>
        <v/>
      </c>
      <c r="D17" s="3" t="str">
        <f>IF(A17="","",INDEX(tblBalsas[TOTAL_NESTINGS],ROW()-11))</f>
        <v/>
      </c>
      <c r="E17" s="3" t="str">
        <f>IF(A17="","",INDEX(tblBalsas[EMITIDOS],ROW()-11))</f>
        <v/>
      </c>
      <c r="F17" s="3" t="str">
        <f>IF(A17="","",INDEX(tblBalsas[FINALIZADOS],ROW()-11))</f>
        <v/>
      </c>
      <c r="G17" s="3" t="str">
        <f>IF(A17="","",INDEX(tblBalsas[PENDENTES],ROW()-11))</f>
        <v/>
      </c>
      <c r="H17" s="15" t="str">
        <f>IF(A17="","",INDEX(tblBalsas[%CONCLUIDO],ROW()-11))</f>
        <v/>
      </c>
      <c r="I17" s="3" t="str">
        <f>IF(A17="","",INDEX(tblBalsas[STATUS_BALSA],ROW()-11))</f>
        <v/>
      </c>
      <c r="K17" t="s">
        <v>24</v>
      </c>
      <c r="L17" t="s">
        <v>530</v>
      </c>
      <c r="M17">
        <v>3</v>
      </c>
      <c r="N17">
        <v>3</v>
      </c>
      <c r="O17">
        <v>3</v>
      </c>
      <c r="P17">
        <v>0</v>
      </c>
      <c r="Q17" s="54">
        <v>1</v>
      </c>
      <c r="R17" s="54">
        <v>1</v>
      </c>
      <c r="S17" t="s">
        <v>1586</v>
      </c>
    </row>
    <row r="18" spans="1:19" x14ac:dyDescent="0.25">
      <c r="A18" s="3" t="str">
        <f>IFERROR(INDEX(tblBalsas[ID_BALSA],ROW()-11),"")</f>
        <v/>
      </c>
      <c r="B18" s="3" t="str">
        <f>IF(A18="","",INDEX(tblBalsas[TIPO_BALSA],ROW()-11))</f>
        <v/>
      </c>
      <c r="C18" s="3" t="str">
        <f>IF(A18="","",INDEX(tblBalsas[NOME_BALSA],ROW()-11))</f>
        <v/>
      </c>
      <c r="D18" s="3" t="str">
        <f>IF(A18="","",INDEX(tblBalsas[TOTAL_NESTINGS],ROW()-11))</f>
        <v/>
      </c>
      <c r="E18" s="3" t="str">
        <f>IF(A18="","",INDEX(tblBalsas[EMITIDOS],ROW()-11))</f>
        <v/>
      </c>
      <c r="F18" s="3" t="str">
        <f>IF(A18="","",INDEX(tblBalsas[FINALIZADOS],ROW()-11))</f>
        <v/>
      </c>
      <c r="G18" s="3" t="str">
        <f>IF(A18="","",INDEX(tblBalsas[PENDENTES],ROW()-11))</f>
        <v/>
      </c>
      <c r="H18" s="15" t="str">
        <f>IF(A18="","",INDEX(tblBalsas[%CONCLUIDO],ROW()-11))</f>
        <v/>
      </c>
      <c r="I18" s="3" t="str">
        <f>IF(A18="","",INDEX(tblBalsas[STATUS_BALSA],ROW()-11))</f>
        <v/>
      </c>
      <c r="K18" t="s">
        <v>24</v>
      </c>
      <c r="L18" t="s">
        <v>1588</v>
      </c>
      <c r="M18">
        <v>2</v>
      </c>
      <c r="N18">
        <v>2</v>
      </c>
      <c r="O18">
        <v>2</v>
      </c>
      <c r="P18">
        <v>0</v>
      </c>
      <c r="Q18" s="54">
        <v>1</v>
      </c>
      <c r="R18" s="54">
        <v>1</v>
      </c>
      <c r="S18" t="s">
        <v>1586</v>
      </c>
    </row>
    <row r="19" spans="1:19" x14ac:dyDescent="0.25">
      <c r="A19" s="3" t="str">
        <f>IFERROR(INDEX(tblBalsas[ID_BALSA],ROW()-11),"")</f>
        <v/>
      </c>
      <c r="B19" s="3" t="str">
        <f>IF(A19="","",INDEX(tblBalsas[TIPO_BALSA],ROW()-11))</f>
        <v/>
      </c>
      <c r="C19" s="3" t="str">
        <f>IF(A19="","",INDEX(tblBalsas[NOME_BALSA],ROW()-11))</f>
        <v/>
      </c>
      <c r="D19" s="3" t="str">
        <f>IF(A19="","",INDEX(tblBalsas[TOTAL_NESTINGS],ROW()-11))</f>
        <v/>
      </c>
      <c r="E19" s="3" t="str">
        <f>IF(A19="","",INDEX(tblBalsas[EMITIDOS],ROW()-11))</f>
        <v/>
      </c>
      <c r="F19" s="3" t="str">
        <f>IF(A19="","",INDEX(tblBalsas[FINALIZADOS],ROW()-11))</f>
        <v/>
      </c>
      <c r="G19" s="3" t="str">
        <f>IF(A19="","",INDEX(tblBalsas[PENDENTES],ROW()-11))</f>
        <v/>
      </c>
      <c r="H19" s="15" t="str">
        <f>IF(A19="","",INDEX(tblBalsas[%CONCLUIDO],ROW()-11))</f>
        <v/>
      </c>
      <c r="I19" s="3" t="str">
        <f>IF(A19="","",INDEX(tblBalsas[STATUS_BALSA],ROW()-11))</f>
        <v/>
      </c>
      <c r="K19" t="s">
        <v>24</v>
      </c>
      <c r="L19" t="s">
        <v>367</v>
      </c>
      <c r="M19">
        <v>27</v>
      </c>
      <c r="N19">
        <v>27</v>
      </c>
      <c r="O19">
        <v>24</v>
      </c>
      <c r="P19">
        <v>3</v>
      </c>
      <c r="Q19" s="54">
        <v>1</v>
      </c>
      <c r="R19" s="54">
        <v>0.88888888888888884</v>
      </c>
      <c r="S19" t="s">
        <v>1584</v>
      </c>
    </row>
    <row r="20" spans="1:19" x14ac:dyDescent="0.25">
      <c r="A20" s="3" t="str">
        <f>IFERROR(INDEX(tblBalsas[ID_BALSA],ROW()-11),"")</f>
        <v/>
      </c>
      <c r="B20" s="3" t="str">
        <f>IF(A20="","",INDEX(tblBalsas[TIPO_BALSA],ROW()-11))</f>
        <v/>
      </c>
      <c r="C20" s="3" t="str">
        <f>IF(A20="","",INDEX(tblBalsas[NOME_BALSA],ROW()-11))</f>
        <v/>
      </c>
      <c r="D20" s="3" t="str">
        <f>IF(A20="","",INDEX(tblBalsas[TOTAL_NESTINGS],ROW()-11))</f>
        <v/>
      </c>
      <c r="E20" s="3" t="str">
        <f>IF(A20="","",INDEX(tblBalsas[EMITIDOS],ROW()-11))</f>
        <v/>
      </c>
      <c r="F20" s="3" t="str">
        <f>IF(A20="","",INDEX(tblBalsas[FINALIZADOS],ROW()-11))</f>
        <v/>
      </c>
      <c r="G20" s="3" t="str">
        <f>IF(A20="","",INDEX(tblBalsas[PENDENTES],ROW()-11))</f>
        <v/>
      </c>
      <c r="H20" s="15" t="str">
        <f>IF(A20="","",INDEX(tblBalsas[%CONCLUIDO],ROW()-11))</f>
        <v/>
      </c>
      <c r="I20" s="3" t="str">
        <f>IF(A20="","",INDEX(tblBalsas[STATUS_BALSA],ROW()-11))</f>
        <v/>
      </c>
      <c r="K20" t="s">
        <v>24</v>
      </c>
      <c r="L20" t="s">
        <v>65</v>
      </c>
      <c r="M20">
        <v>21</v>
      </c>
      <c r="N20">
        <v>21</v>
      </c>
      <c r="O20">
        <v>21</v>
      </c>
      <c r="P20">
        <v>0</v>
      </c>
      <c r="Q20" s="54">
        <v>1</v>
      </c>
      <c r="R20" s="54">
        <v>1</v>
      </c>
      <c r="S20" t="s">
        <v>1586</v>
      </c>
    </row>
    <row r="21" spans="1:19" x14ac:dyDescent="0.25">
      <c r="A21" s="3" t="str">
        <f>IFERROR(INDEX(tblBalsas[ID_BALSA],ROW()-11),"")</f>
        <v/>
      </c>
      <c r="B21" s="3" t="str">
        <f>IF(A21="","",INDEX(tblBalsas[TIPO_BALSA],ROW()-11))</f>
        <v/>
      </c>
      <c r="C21" s="3" t="str">
        <f>IF(A21="","",INDEX(tblBalsas[NOME_BALSA],ROW()-11))</f>
        <v/>
      </c>
      <c r="D21" s="3" t="str">
        <f>IF(A21="","",INDEX(tblBalsas[TOTAL_NESTINGS],ROW()-11))</f>
        <v/>
      </c>
      <c r="E21" s="3" t="str">
        <f>IF(A21="","",INDEX(tblBalsas[EMITIDOS],ROW()-11))</f>
        <v/>
      </c>
      <c r="F21" s="3" t="str">
        <f>IF(A21="","",INDEX(tblBalsas[FINALIZADOS],ROW()-11))</f>
        <v/>
      </c>
      <c r="G21" s="3" t="str">
        <f>IF(A21="","",INDEX(tblBalsas[PENDENTES],ROW()-11))</f>
        <v/>
      </c>
      <c r="H21" s="15" t="str">
        <f>IF(A21="","",INDEX(tblBalsas[%CONCLUIDO],ROW()-11))</f>
        <v/>
      </c>
      <c r="I21" s="3" t="str">
        <f>IF(A21="","",INDEX(tblBalsas[STATUS_BALSA],ROW()-11))</f>
        <v/>
      </c>
      <c r="K21" t="s">
        <v>24</v>
      </c>
      <c r="L21" t="s">
        <v>44</v>
      </c>
      <c r="M21">
        <v>69</v>
      </c>
      <c r="N21">
        <v>45</v>
      </c>
      <c r="O21">
        <v>45</v>
      </c>
      <c r="P21">
        <v>24</v>
      </c>
      <c r="Q21" s="54">
        <v>0.65217391304347827</v>
      </c>
      <c r="R21" s="54">
        <v>0.65217391304347827</v>
      </c>
      <c r="S21" t="s">
        <v>1584</v>
      </c>
    </row>
    <row r="22" spans="1:19" x14ac:dyDescent="0.25">
      <c r="A22" s="3" t="str">
        <f>IFERROR(INDEX(tblBalsas[ID_BALSA],ROW()-11),"")</f>
        <v/>
      </c>
      <c r="B22" s="3" t="str">
        <f>IF(A22="","",INDEX(tblBalsas[TIPO_BALSA],ROW()-11))</f>
        <v/>
      </c>
      <c r="C22" s="3" t="str">
        <f>IF(A22="","",INDEX(tblBalsas[NOME_BALSA],ROW()-11))</f>
        <v/>
      </c>
      <c r="D22" s="3" t="str">
        <f>IF(A22="","",INDEX(tblBalsas[TOTAL_NESTINGS],ROW()-11))</f>
        <v/>
      </c>
      <c r="E22" s="3" t="str">
        <f>IF(A22="","",INDEX(tblBalsas[EMITIDOS],ROW()-11))</f>
        <v/>
      </c>
      <c r="F22" s="3" t="str">
        <f>IF(A22="","",INDEX(tblBalsas[FINALIZADOS],ROW()-11))</f>
        <v/>
      </c>
      <c r="G22" s="3" t="str">
        <f>IF(A22="","",INDEX(tblBalsas[PENDENTES],ROW()-11))</f>
        <v/>
      </c>
      <c r="H22" s="15" t="str">
        <f>IF(A22="","",INDEX(tblBalsas[%CONCLUIDO],ROW()-11))</f>
        <v/>
      </c>
      <c r="I22" s="3" t="str">
        <f>IF(A22="","",INDEX(tblBalsas[STATUS_BALSA],ROW()-11))</f>
        <v/>
      </c>
      <c r="K22" t="s">
        <v>24</v>
      </c>
      <c r="L22" t="s">
        <v>152</v>
      </c>
      <c r="M22">
        <v>22</v>
      </c>
      <c r="N22">
        <v>22</v>
      </c>
      <c r="O22">
        <v>15</v>
      </c>
      <c r="P22">
        <v>7</v>
      </c>
      <c r="Q22" s="54">
        <v>1</v>
      </c>
      <c r="R22" s="54">
        <v>0.68181818181818177</v>
      </c>
      <c r="S22" t="s">
        <v>1584</v>
      </c>
    </row>
    <row r="23" spans="1:19" x14ac:dyDescent="0.25">
      <c r="A23" s="3" t="str">
        <f>IFERROR(INDEX(tblBalsas[ID_BALSA],ROW()-11),"")</f>
        <v/>
      </c>
      <c r="B23" s="3" t="str">
        <f>IF(A23="","",INDEX(tblBalsas[TIPO_BALSA],ROW()-11))</f>
        <v/>
      </c>
      <c r="C23" s="3" t="str">
        <f>IF(A23="","",INDEX(tblBalsas[NOME_BALSA],ROW()-11))</f>
        <v/>
      </c>
      <c r="D23" s="3" t="str">
        <f>IF(A23="","",INDEX(tblBalsas[TOTAL_NESTINGS],ROW()-11))</f>
        <v/>
      </c>
      <c r="E23" s="3" t="str">
        <f>IF(A23="","",INDEX(tblBalsas[EMITIDOS],ROW()-11))</f>
        <v/>
      </c>
      <c r="F23" s="3" t="str">
        <f>IF(A23="","",INDEX(tblBalsas[FINALIZADOS],ROW()-11))</f>
        <v/>
      </c>
      <c r="G23" s="3" t="str">
        <f>IF(A23="","",INDEX(tblBalsas[PENDENTES],ROW()-11))</f>
        <v/>
      </c>
      <c r="H23" s="15" t="str">
        <f>IF(A23="","",INDEX(tblBalsas[%CONCLUIDO],ROW()-11))</f>
        <v/>
      </c>
      <c r="I23" s="3" t="str">
        <f>IF(A23="","",INDEX(tblBalsas[STATUS_BALSA],ROW()-11))</f>
        <v/>
      </c>
      <c r="K23" t="s">
        <v>24</v>
      </c>
      <c r="L23" t="s">
        <v>512</v>
      </c>
      <c r="M23">
        <v>97</v>
      </c>
      <c r="N23">
        <v>97</v>
      </c>
      <c r="O23">
        <v>84</v>
      </c>
      <c r="P23">
        <v>13</v>
      </c>
      <c r="Q23" s="54">
        <v>1</v>
      </c>
      <c r="R23" s="54">
        <v>0.865979381443299</v>
      </c>
      <c r="S23" t="s">
        <v>1584</v>
      </c>
    </row>
    <row r="24" spans="1:19" x14ac:dyDescent="0.25">
      <c r="A24" s="3" t="str">
        <f>IFERROR(INDEX(tblBalsas[ID_BALSA],ROW()-11),"")</f>
        <v/>
      </c>
      <c r="B24" s="3" t="str">
        <f>IF(A24="","",INDEX(tblBalsas[TIPO_BALSA],ROW()-11))</f>
        <v/>
      </c>
      <c r="C24" s="3" t="str">
        <f>IF(A24="","",INDEX(tblBalsas[NOME_BALSA],ROW()-11))</f>
        <v/>
      </c>
      <c r="D24" s="3" t="str">
        <f>IF(A24="","",INDEX(tblBalsas[TOTAL_NESTINGS],ROW()-11))</f>
        <v/>
      </c>
      <c r="E24" s="3" t="str">
        <f>IF(A24="","",INDEX(tblBalsas[EMITIDOS],ROW()-11))</f>
        <v/>
      </c>
      <c r="F24" s="3" t="str">
        <f>IF(A24="","",INDEX(tblBalsas[FINALIZADOS],ROW()-11))</f>
        <v/>
      </c>
      <c r="G24" s="3" t="str">
        <f>IF(A24="","",INDEX(tblBalsas[PENDENTES],ROW()-11))</f>
        <v/>
      </c>
      <c r="H24" s="15" t="str">
        <f>IF(A24="","",INDEX(tblBalsas[%CONCLUIDO],ROW()-11))</f>
        <v/>
      </c>
      <c r="I24" s="3" t="str">
        <f>IF(A24="","",INDEX(tblBalsas[STATUS_BALSA],ROW()-11))</f>
        <v/>
      </c>
      <c r="K24" t="s">
        <v>24</v>
      </c>
      <c r="L24" t="s">
        <v>368</v>
      </c>
      <c r="M24">
        <v>59</v>
      </c>
      <c r="N24">
        <v>59</v>
      </c>
      <c r="O24">
        <v>57</v>
      </c>
      <c r="P24">
        <v>2</v>
      </c>
      <c r="Q24" s="54">
        <v>1</v>
      </c>
      <c r="R24" s="54">
        <v>0.96610169491525422</v>
      </c>
      <c r="S24" t="s">
        <v>1584</v>
      </c>
    </row>
    <row r="25" spans="1:19" x14ac:dyDescent="0.25">
      <c r="A25" s="3" t="str">
        <f>IFERROR(INDEX(tblBalsas[ID_BALSA],ROW()-11),"")</f>
        <v/>
      </c>
      <c r="B25" s="3" t="str">
        <f>IF(A25="","",INDEX(tblBalsas[TIPO_BALSA],ROW()-11))</f>
        <v/>
      </c>
      <c r="C25" s="3" t="str">
        <f>IF(A25="","",INDEX(tblBalsas[NOME_BALSA],ROW()-11))</f>
        <v/>
      </c>
      <c r="D25" s="3" t="str">
        <f>IF(A25="","",INDEX(tblBalsas[TOTAL_NESTINGS],ROW()-11))</f>
        <v/>
      </c>
      <c r="E25" s="3" t="str">
        <f>IF(A25="","",INDEX(tblBalsas[EMITIDOS],ROW()-11))</f>
        <v/>
      </c>
      <c r="F25" s="3" t="str">
        <f>IF(A25="","",INDEX(tblBalsas[FINALIZADOS],ROW()-11))</f>
        <v/>
      </c>
      <c r="G25" s="3" t="str">
        <f>IF(A25="","",INDEX(tblBalsas[PENDENTES],ROW()-11))</f>
        <v/>
      </c>
      <c r="H25" s="15" t="str">
        <f>IF(A25="","",INDEX(tblBalsas[%CONCLUIDO],ROW()-11))</f>
        <v/>
      </c>
      <c r="I25" s="3" t="str">
        <f>IF(A25="","",INDEX(tblBalsas[STATUS_BALSA],ROW()-11))</f>
        <v/>
      </c>
      <c r="K25" t="s">
        <v>24</v>
      </c>
      <c r="L25" t="s">
        <v>1589</v>
      </c>
      <c r="M25">
        <v>15</v>
      </c>
      <c r="N25">
        <v>15</v>
      </c>
      <c r="O25">
        <v>13</v>
      </c>
      <c r="P25">
        <v>2</v>
      </c>
      <c r="Q25" s="54">
        <v>1</v>
      </c>
      <c r="R25" s="54">
        <v>0.8666666666666667</v>
      </c>
      <c r="S25" t="s">
        <v>1584</v>
      </c>
    </row>
    <row r="26" spans="1:19" x14ac:dyDescent="0.25">
      <c r="A26" s="3" t="str">
        <f>IFERROR(INDEX(tblBalsas[ID_BALSA],ROW()-11),"")</f>
        <v/>
      </c>
      <c r="B26" s="3" t="str">
        <f>IF(A26="","",INDEX(tblBalsas[TIPO_BALSA],ROW()-11))</f>
        <v/>
      </c>
      <c r="C26" s="3" t="str">
        <f>IF(A26="","",INDEX(tblBalsas[NOME_BALSA],ROW()-11))</f>
        <v/>
      </c>
      <c r="D26" s="3" t="str">
        <f>IF(A26="","",INDEX(tblBalsas[TOTAL_NESTINGS],ROW()-11))</f>
        <v/>
      </c>
      <c r="E26" s="3" t="str">
        <f>IF(A26="","",INDEX(tblBalsas[EMITIDOS],ROW()-11))</f>
        <v/>
      </c>
      <c r="F26" s="3" t="str">
        <f>IF(A26="","",INDEX(tblBalsas[FINALIZADOS],ROW()-11))</f>
        <v/>
      </c>
      <c r="G26" s="3" t="str">
        <f>IF(A26="","",INDEX(tblBalsas[PENDENTES],ROW()-11))</f>
        <v/>
      </c>
      <c r="H26" s="15" t="str">
        <f>IF(A26="","",INDEX(tblBalsas[%CONCLUIDO],ROW()-11))</f>
        <v/>
      </c>
      <c r="I26" s="3" t="str">
        <f>IF(A26="","",INDEX(tblBalsas[STATUS_BALSA],ROW()-11))</f>
        <v/>
      </c>
      <c r="K26" t="s">
        <v>24</v>
      </c>
      <c r="L26" t="s">
        <v>1590</v>
      </c>
      <c r="M26">
        <v>27</v>
      </c>
      <c r="N26">
        <v>27</v>
      </c>
      <c r="O26">
        <v>24</v>
      </c>
      <c r="P26">
        <v>3</v>
      </c>
      <c r="Q26" s="54">
        <v>1</v>
      </c>
      <c r="R26" s="54">
        <v>0.88888888888888884</v>
      </c>
      <c r="S26" t="s">
        <v>1584</v>
      </c>
    </row>
    <row r="27" spans="1:19" x14ac:dyDescent="0.25">
      <c r="A27" s="3" t="str">
        <f>IFERROR(INDEX(tblBalsas[ID_BALSA],ROW()-11),"")</f>
        <v/>
      </c>
      <c r="B27" s="3" t="str">
        <f>IF(A27="","",INDEX(tblBalsas[TIPO_BALSA],ROW()-11))</f>
        <v/>
      </c>
      <c r="C27" s="3" t="str">
        <f>IF(A27="","",INDEX(tblBalsas[NOME_BALSA],ROW()-11))</f>
        <v/>
      </c>
      <c r="D27" s="3" t="str">
        <f>IF(A27="","",INDEX(tblBalsas[TOTAL_NESTINGS],ROW()-11))</f>
        <v/>
      </c>
      <c r="E27" s="3" t="str">
        <f>IF(A27="","",INDEX(tblBalsas[EMITIDOS],ROW()-11))</f>
        <v/>
      </c>
      <c r="F27" s="3" t="str">
        <f>IF(A27="","",INDEX(tblBalsas[FINALIZADOS],ROW()-11))</f>
        <v/>
      </c>
      <c r="G27" s="3" t="str">
        <f>IF(A27="","",INDEX(tblBalsas[PENDENTES],ROW()-11))</f>
        <v/>
      </c>
      <c r="H27" s="15" t="str">
        <f>IF(A27="","",INDEX(tblBalsas[%CONCLUIDO],ROW()-11))</f>
        <v/>
      </c>
      <c r="I27" s="3" t="str">
        <f>IF(A27="","",INDEX(tblBalsas[STATUS_BALSA],ROW()-11))</f>
        <v/>
      </c>
      <c r="K27" t="s">
        <v>24</v>
      </c>
      <c r="L27" t="s">
        <v>1591</v>
      </c>
      <c r="M27">
        <v>23</v>
      </c>
      <c r="N27">
        <v>23</v>
      </c>
      <c r="O27">
        <v>17</v>
      </c>
      <c r="P27">
        <v>6</v>
      </c>
      <c r="Q27" s="54">
        <v>1</v>
      </c>
      <c r="R27" s="54">
        <v>0.73913043478260865</v>
      </c>
      <c r="S27" t="s">
        <v>1584</v>
      </c>
    </row>
    <row r="28" spans="1:19" x14ac:dyDescent="0.25">
      <c r="A28" s="3" t="str">
        <f>IFERROR(INDEX(tblBalsas[ID_BALSA],ROW()-11),"")</f>
        <v/>
      </c>
      <c r="B28" s="3" t="str">
        <f>IF(A28="","",INDEX(tblBalsas[TIPO_BALSA],ROW()-11))</f>
        <v/>
      </c>
      <c r="C28" s="3" t="str">
        <f>IF(A28="","",INDEX(tblBalsas[NOME_BALSA],ROW()-11))</f>
        <v/>
      </c>
      <c r="D28" s="3" t="str">
        <f>IF(A28="","",INDEX(tblBalsas[TOTAL_NESTINGS],ROW()-11))</f>
        <v/>
      </c>
      <c r="E28" s="3" t="str">
        <f>IF(A28="","",INDEX(tblBalsas[EMITIDOS],ROW()-11))</f>
        <v/>
      </c>
      <c r="F28" s="3" t="str">
        <f>IF(A28="","",INDEX(tblBalsas[FINALIZADOS],ROW()-11))</f>
        <v/>
      </c>
      <c r="G28" s="3" t="str">
        <f>IF(A28="","",INDEX(tblBalsas[PENDENTES],ROW()-11))</f>
        <v/>
      </c>
      <c r="H28" s="15" t="str">
        <f>IF(A28="","",INDEX(tblBalsas[%CONCLUIDO],ROW()-11))</f>
        <v/>
      </c>
      <c r="I28" s="3" t="str">
        <f>IF(A28="","",INDEX(tblBalsas[STATUS_BALSA],ROW()-11))</f>
        <v/>
      </c>
      <c r="K28" t="s">
        <v>24</v>
      </c>
      <c r="L28" t="s">
        <v>1592</v>
      </c>
      <c r="M28">
        <v>8</v>
      </c>
      <c r="N28">
        <v>8</v>
      </c>
      <c r="O28">
        <v>8</v>
      </c>
      <c r="P28">
        <v>0</v>
      </c>
      <c r="Q28" s="54">
        <v>1</v>
      </c>
      <c r="R28" s="54">
        <v>1</v>
      </c>
      <c r="S28" t="s">
        <v>1586</v>
      </c>
    </row>
    <row r="29" spans="1:19" x14ac:dyDescent="0.25">
      <c r="A29" s="3" t="str">
        <f>IFERROR(INDEX(tblBalsas[ID_BALSA],ROW()-11),"")</f>
        <v/>
      </c>
      <c r="B29" s="3" t="str">
        <f>IF(A29="","",INDEX(tblBalsas[TIPO_BALSA],ROW()-11))</f>
        <v/>
      </c>
      <c r="C29" s="3" t="str">
        <f>IF(A29="","",INDEX(tblBalsas[NOME_BALSA],ROW()-11))</f>
        <v/>
      </c>
      <c r="D29" s="3" t="str">
        <f>IF(A29="","",INDEX(tblBalsas[TOTAL_NESTINGS],ROW()-11))</f>
        <v/>
      </c>
      <c r="E29" s="3" t="str">
        <f>IF(A29="","",INDEX(tblBalsas[EMITIDOS],ROW()-11))</f>
        <v/>
      </c>
      <c r="F29" s="3" t="str">
        <f>IF(A29="","",INDEX(tblBalsas[FINALIZADOS],ROW()-11))</f>
        <v/>
      </c>
      <c r="G29" s="3" t="str">
        <f>IF(A29="","",INDEX(tblBalsas[PENDENTES],ROW()-11))</f>
        <v/>
      </c>
      <c r="H29" s="15" t="str">
        <f>IF(A29="","",INDEX(tblBalsas[%CONCLUIDO],ROW()-11))</f>
        <v/>
      </c>
      <c r="I29" s="3" t="str">
        <f>IF(A29="","",INDEX(tblBalsas[STATUS_BALSA],ROW()-11))</f>
        <v/>
      </c>
      <c r="K29" t="s">
        <v>24</v>
      </c>
      <c r="L29" t="s">
        <v>427</v>
      </c>
      <c r="M29">
        <v>9</v>
      </c>
      <c r="N29">
        <v>9</v>
      </c>
      <c r="O29">
        <v>9</v>
      </c>
      <c r="P29">
        <v>0</v>
      </c>
      <c r="Q29" s="54">
        <v>1</v>
      </c>
      <c r="R29" s="54">
        <v>1</v>
      </c>
      <c r="S29" t="s">
        <v>1586</v>
      </c>
    </row>
    <row r="30" spans="1:19" x14ac:dyDescent="0.25">
      <c r="A30" s="3" t="str">
        <f>IFERROR(INDEX(tblBalsas[ID_BALSA],ROW()-11),"")</f>
        <v/>
      </c>
      <c r="B30" s="3" t="str">
        <f>IF(A30="","",INDEX(tblBalsas[TIPO_BALSA],ROW()-11))</f>
        <v/>
      </c>
      <c r="C30" s="3" t="str">
        <f>IF(A30="","",INDEX(tblBalsas[NOME_BALSA],ROW()-11))</f>
        <v/>
      </c>
      <c r="D30" s="3" t="str">
        <f>IF(A30="","",INDEX(tblBalsas[TOTAL_NESTINGS],ROW()-11))</f>
        <v/>
      </c>
      <c r="E30" s="3" t="str">
        <f>IF(A30="","",INDEX(tblBalsas[EMITIDOS],ROW()-11))</f>
        <v/>
      </c>
      <c r="F30" s="3" t="str">
        <f>IF(A30="","",INDEX(tblBalsas[FINALIZADOS],ROW()-11))</f>
        <v/>
      </c>
      <c r="G30" s="3" t="str">
        <f>IF(A30="","",INDEX(tblBalsas[PENDENTES],ROW()-11))</f>
        <v/>
      </c>
      <c r="H30" s="15" t="str">
        <f>IF(A30="","",INDEX(tblBalsas[%CONCLUIDO],ROW()-11))</f>
        <v/>
      </c>
      <c r="I30" s="3" t="str">
        <f>IF(A30="","",INDEX(tblBalsas[STATUS_BALSA],ROW()-11))</f>
        <v/>
      </c>
      <c r="K30" t="s">
        <v>24</v>
      </c>
      <c r="L30" t="s">
        <v>1593</v>
      </c>
      <c r="M30">
        <v>14</v>
      </c>
      <c r="N30">
        <v>14</v>
      </c>
      <c r="O30">
        <v>14</v>
      </c>
      <c r="P30">
        <v>0</v>
      </c>
      <c r="Q30" s="54">
        <v>1</v>
      </c>
      <c r="R30" s="54">
        <v>1</v>
      </c>
      <c r="S30" t="s">
        <v>1586</v>
      </c>
    </row>
    <row r="31" spans="1:19" x14ac:dyDescent="0.25">
      <c r="A31" s="3" t="str">
        <f>IFERROR(INDEX(tblBalsas[ID_BALSA],ROW()-11),"")</f>
        <v/>
      </c>
      <c r="B31" s="3" t="str">
        <f>IF(A31="","",INDEX(tblBalsas[TIPO_BALSA],ROW()-11))</f>
        <v/>
      </c>
      <c r="C31" s="3" t="str">
        <f>IF(A31="","",INDEX(tblBalsas[NOME_BALSA],ROW()-11))</f>
        <v/>
      </c>
      <c r="D31" s="3" t="str">
        <f>IF(A31="","",INDEX(tblBalsas[TOTAL_NESTINGS],ROW()-11))</f>
        <v/>
      </c>
      <c r="E31" s="3" t="str">
        <f>IF(A31="","",INDEX(tblBalsas[EMITIDOS],ROW()-11))</f>
        <v/>
      </c>
      <c r="F31" s="3" t="str">
        <f>IF(A31="","",INDEX(tblBalsas[FINALIZADOS],ROW()-11))</f>
        <v/>
      </c>
      <c r="G31" s="3" t="str">
        <f>IF(A31="","",INDEX(tblBalsas[PENDENTES],ROW()-11))</f>
        <v/>
      </c>
      <c r="H31" s="15" t="str">
        <f>IF(A31="","",INDEX(tblBalsas[%CONCLUIDO],ROW()-11))</f>
        <v/>
      </c>
      <c r="I31" s="3" t="str">
        <f>IF(A31="","",INDEX(tblBalsas[STATUS_BALSA],ROW()-11))</f>
        <v/>
      </c>
      <c r="K31" t="s">
        <v>24</v>
      </c>
      <c r="L31" t="s">
        <v>1594</v>
      </c>
      <c r="M31">
        <v>24</v>
      </c>
      <c r="N31">
        <v>24</v>
      </c>
      <c r="O31">
        <v>22</v>
      </c>
      <c r="P31">
        <v>2</v>
      </c>
      <c r="Q31" s="54">
        <v>1</v>
      </c>
      <c r="R31" s="54">
        <v>0.91666666666666663</v>
      </c>
      <c r="S31" t="s">
        <v>1584</v>
      </c>
    </row>
    <row r="32" spans="1:19" x14ac:dyDescent="0.25">
      <c r="A32" s="3" t="str">
        <f>IFERROR(INDEX(tblBalsas[ID_BALSA],ROW()-11),"")</f>
        <v/>
      </c>
      <c r="B32" s="3" t="str">
        <f>IF(A32="","",INDEX(tblBalsas[TIPO_BALSA],ROW()-11))</f>
        <v/>
      </c>
      <c r="C32" s="3" t="str">
        <f>IF(A32="","",INDEX(tblBalsas[NOME_BALSA],ROW()-11))</f>
        <v/>
      </c>
      <c r="D32" s="3" t="str">
        <f>IF(A32="","",INDEX(tblBalsas[TOTAL_NESTINGS],ROW()-11))</f>
        <v/>
      </c>
      <c r="E32" s="3" t="str">
        <f>IF(A32="","",INDEX(tblBalsas[EMITIDOS],ROW()-11))</f>
        <v/>
      </c>
      <c r="F32" s="3" t="str">
        <f>IF(A32="","",INDEX(tblBalsas[FINALIZADOS],ROW()-11))</f>
        <v/>
      </c>
      <c r="G32" s="3" t="str">
        <f>IF(A32="","",INDEX(tblBalsas[PENDENTES],ROW()-11))</f>
        <v/>
      </c>
      <c r="H32" s="15" t="str">
        <f>IF(A32="","",INDEX(tblBalsas[%CONCLUIDO],ROW()-11))</f>
        <v/>
      </c>
      <c r="I32" s="3" t="str">
        <f>IF(A32="","",INDEX(tblBalsas[STATUS_BALSA],ROW()-11))</f>
        <v/>
      </c>
      <c r="K32" t="s">
        <v>24</v>
      </c>
      <c r="L32" t="s">
        <v>66</v>
      </c>
      <c r="M32">
        <v>22</v>
      </c>
      <c r="N32">
        <v>20</v>
      </c>
      <c r="O32">
        <v>16</v>
      </c>
      <c r="P32">
        <v>6</v>
      </c>
      <c r="Q32" s="54">
        <v>0.90909090909090906</v>
      </c>
      <c r="R32" s="54">
        <v>0.72727272727272729</v>
      </c>
      <c r="S32" t="s">
        <v>1584</v>
      </c>
    </row>
    <row r="33" spans="1:19" x14ac:dyDescent="0.25">
      <c r="A33" s="3" t="str">
        <f>IFERROR(INDEX(tblBalsas[ID_BALSA],ROW()-11),"")</f>
        <v/>
      </c>
      <c r="B33" s="3" t="str">
        <f>IF(A33="","",INDEX(tblBalsas[TIPO_BALSA],ROW()-11))</f>
        <v/>
      </c>
      <c r="C33" s="3" t="str">
        <f>IF(A33="","",INDEX(tblBalsas[NOME_BALSA],ROW()-11))</f>
        <v/>
      </c>
      <c r="D33" s="3" t="str">
        <f>IF(A33="","",INDEX(tblBalsas[TOTAL_NESTINGS],ROW()-11))</f>
        <v/>
      </c>
      <c r="E33" s="3" t="str">
        <f>IF(A33="","",INDEX(tblBalsas[EMITIDOS],ROW()-11))</f>
        <v/>
      </c>
      <c r="F33" s="3" t="str">
        <f>IF(A33="","",INDEX(tblBalsas[FINALIZADOS],ROW()-11))</f>
        <v/>
      </c>
      <c r="G33" s="3" t="str">
        <f>IF(A33="","",INDEX(tblBalsas[PENDENTES],ROW()-11))</f>
        <v/>
      </c>
      <c r="H33" s="15" t="str">
        <f>IF(A33="","",INDEX(tblBalsas[%CONCLUIDO],ROW()-11))</f>
        <v/>
      </c>
      <c r="I33" s="3" t="str">
        <f>IF(A33="","",INDEX(tblBalsas[STATUS_BALSA],ROW()-11))</f>
        <v/>
      </c>
      <c r="K33" t="s">
        <v>24</v>
      </c>
      <c r="L33" t="s">
        <v>492</v>
      </c>
      <c r="M33">
        <v>5</v>
      </c>
      <c r="N33">
        <v>5</v>
      </c>
      <c r="O33">
        <v>5</v>
      </c>
      <c r="P33">
        <v>0</v>
      </c>
      <c r="Q33" s="54">
        <v>1</v>
      </c>
      <c r="R33" s="54">
        <v>1</v>
      </c>
      <c r="S33" t="s">
        <v>1586</v>
      </c>
    </row>
    <row r="34" spans="1:19" x14ac:dyDescent="0.25">
      <c r="A34" s="3" t="str">
        <f>IFERROR(INDEX(tblBalsas[ID_BALSA],ROW()-11),"")</f>
        <v/>
      </c>
      <c r="B34" s="3" t="str">
        <f>IF(A34="","",INDEX(tblBalsas[TIPO_BALSA],ROW()-11))</f>
        <v/>
      </c>
      <c r="C34" s="3" t="str">
        <f>IF(A34="","",INDEX(tblBalsas[NOME_BALSA],ROW()-11))</f>
        <v/>
      </c>
      <c r="D34" s="3" t="str">
        <f>IF(A34="","",INDEX(tblBalsas[TOTAL_NESTINGS],ROW()-11))</f>
        <v/>
      </c>
      <c r="E34" s="3" t="str">
        <f>IF(A34="","",INDEX(tblBalsas[EMITIDOS],ROW()-11))</f>
        <v/>
      </c>
      <c r="F34" s="3" t="str">
        <f>IF(A34="","",INDEX(tblBalsas[FINALIZADOS],ROW()-11))</f>
        <v/>
      </c>
      <c r="G34" s="3" t="str">
        <f>IF(A34="","",INDEX(tblBalsas[PENDENTES],ROW()-11))</f>
        <v/>
      </c>
      <c r="H34" s="15" t="str">
        <f>IF(A34="","",INDEX(tblBalsas[%CONCLUIDO],ROW()-11))</f>
        <v/>
      </c>
      <c r="I34" s="3" t="str">
        <f>IF(A34="","",INDEX(tblBalsas[STATUS_BALSA],ROW()-11))</f>
        <v/>
      </c>
      <c r="K34" t="s">
        <v>24</v>
      </c>
      <c r="L34" t="s">
        <v>1595</v>
      </c>
      <c r="M34">
        <v>1</v>
      </c>
      <c r="N34">
        <v>1</v>
      </c>
      <c r="O34">
        <v>1</v>
      </c>
      <c r="P34">
        <v>0</v>
      </c>
      <c r="Q34" s="54">
        <v>1</v>
      </c>
      <c r="R34" s="54">
        <v>1</v>
      </c>
      <c r="S34" t="s">
        <v>1586</v>
      </c>
    </row>
    <row r="35" spans="1:19" x14ac:dyDescent="0.25">
      <c r="A35" s="3" t="str">
        <f>IFERROR(INDEX(tblBalsas[ID_BALSA],ROW()-11),"")</f>
        <v/>
      </c>
      <c r="B35" s="3" t="str">
        <f>IF(A35="","",INDEX(tblBalsas[TIPO_BALSA],ROW()-11))</f>
        <v/>
      </c>
      <c r="C35" s="3" t="str">
        <f>IF(A35="","",INDEX(tblBalsas[NOME_BALSA],ROW()-11))</f>
        <v/>
      </c>
      <c r="D35" s="3" t="str">
        <f>IF(A35="","",INDEX(tblBalsas[TOTAL_NESTINGS],ROW()-11))</f>
        <v/>
      </c>
      <c r="E35" s="3" t="str">
        <f>IF(A35="","",INDEX(tblBalsas[EMITIDOS],ROW()-11))</f>
        <v/>
      </c>
      <c r="F35" s="3" t="str">
        <f>IF(A35="","",INDEX(tblBalsas[FINALIZADOS],ROW()-11))</f>
        <v/>
      </c>
      <c r="G35" s="3" t="str">
        <f>IF(A35="","",INDEX(tblBalsas[PENDENTES],ROW()-11))</f>
        <v/>
      </c>
      <c r="H35" s="15" t="str">
        <f>IF(A35="","",INDEX(tblBalsas[%CONCLUIDO],ROW()-11))</f>
        <v/>
      </c>
      <c r="I35" s="3" t="str">
        <f>IF(A35="","",INDEX(tblBalsas[STATUS_BALSA],ROW()-11))</f>
        <v/>
      </c>
      <c r="K35" t="s">
        <v>24</v>
      </c>
      <c r="L35" t="s">
        <v>115</v>
      </c>
      <c r="M35">
        <v>66</v>
      </c>
      <c r="N35">
        <v>66</v>
      </c>
      <c r="O35">
        <v>48</v>
      </c>
      <c r="P35">
        <v>18</v>
      </c>
      <c r="Q35" s="54">
        <v>1</v>
      </c>
      <c r="R35" s="54">
        <v>0.72727272727272729</v>
      </c>
      <c r="S35" t="s">
        <v>1584</v>
      </c>
    </row>
    <row r="36" spans="1:19" x14ac:dyDescent="0.25">
      <c r="A36" s="3" t="str">
        <f>IFERROR(INDEX(tblBalsas[ID_BALSA],ROW()-11),"")</f>
        <v/>
      </c>
      <c r="B36" s="3" t="str">
        <f>IF(A36="","",INDEX(tblBalsas[TIPO_BALSA],ROW()-11))</f>
        <v/>
      </c>
      <c r="C36" s="3" t="str">
        <f>IF(A36="","",INDEX(tblBalsas[NOME_BALSA],ROW()-11))</f>
        <v/>
      </c>
      <c r="D36" s="3" t="str">
        <f>IF(A36="","",INDEX(tblBalsas[TOTAL_NESTINGS],ROW()-11))</f>
        <v/>
      </c>
      <c r="E36" s="3" t="str">
        <f>IF(A36="","",INDEX(tblBalsas[EMITIDOS],ROW()-11))</f>
        <v/>
      </c>
      <c r="F36" s="3" t="str">
        <f>IF(A36="","",INDEX(tblBalsas[FINALIZADOS],ROW()-11))</f>
        <v/>
      </c>
      <c r="G36" s="3" t="str">
        <f>IF(A36="","",INDEX(tblBalsas[PENDENTES],ROW()-11))</f>
        <v/>
      </c>
      <c r="H36" s="15" t="str">
        <f>IF(A36="","",INDEX(tblBalsas[%CONCLUIDO],ROW()-11))</f>
        <v/>
      </c>
      <c r="I36" s="3" t="str">
        <f>IF(A36="","",INDEX(tblBalsas[STATUS_BALSA],ROW()-11))</f>
        <v/>
      </c>
      <c r="K36" t="s">
        <v>24</v>
      </c>
      <c r="L36" t="s">
        <v>1596</v>
      </c>
      <c r="M36">
        <v>6</v>
      </c>
      <c r="N36">
        <v>6</v>
      </c>
      <c r="O36">
        <v>4</v>
      </c>
      <c r="P36">
        <v>2</v>
      </c>
      <c r="Q36" s="54">
        <v>1</v>
      </c>
      <c r="R36" s="54">
        <v>0.66666666666666663</v>
      </c>
      <c r="S36" t="s">
        <v>1584</v>
      </c>
    </row>
    <row r="37" spans="1:19" x14ac:dyDescent="0.25">
      <c r="A37" s="3" t="str">
        <f>IFERROR(INDEX(tblBalsas[ID_BALSA],ROW()-11),"")</f>
        <v/>
      </c>
      <c r="B37" s="3" t="str">
        <f>IF(A37="","",INDEX(tblBalsas[TIPO_BALSA],ROW()-11))</f>
        <v/>
      </c>
      <c r="C37" s="3" t="str">
        <f>IF(A37="","",INDEX(tblBalsas[NOME_BALSA],ROW()-11))</f>
        <v/>
      </c>
      <c r="D37" s="3" t="str">
        <f>IF(A37="","",INDEX(tblBalsas[TOTAL_NESTINGS],ROW()-11))</f>
        <v/>
      </c>
      <c r="E37" s="3" t="str">
        <f>IF(A37="","",INDEX(tblBalsas[EMITIDOS],ROW()-11))</f>
        <v/>
      </c>
      <c r="F37" s="3" t="str">
        <f>IF(A37="","",INDEX(tblBalsas[FINALIZADOS],ROW()-11))</f>
        <v/>
      </c>
      <c r="G37" s="3" t="str">
        <f>IF(A37="","",INDEX(tblBalsas[PENDENTES],ROW()-11))</f>
        <v/>
      </c>
      <c r="H37" s="15" t="str">
        <f>IF(A37="","",INDEX(tblBalsas[%CONCLUIDO],ROW()-11))</f>
        <v/>
      </c>
      <c r="I37" s="3" t="str">
        <f>IF(A37="","",INDEX(tblBalsas[STATUS_BALSA],ROW()-11))</f>
        <v/>
      </c>
      <c r="K37" t="s">
        <v>24</v>
      </c>
      <c r="L37" t="s">
        <v>1597</v>
      </c>
      <c r="M37">
        <v>6</v>
      </c>
      <c r="N37">
        <v>6</v>
      </c>
      <c r="O37">
        <v>5</v>
      </c>
      <c r="P37">
        <v>1</v>
      </c>
      <c r="Q37" s="54">
        <v>1</v>
      </c>
      <c r="R37" s="54">
        <v>0.83333333333333337</v>
      </c>
      <c r="S37" t="s">
        <v>1584</v>
      </c>
    </row>
    <row r="38" spans="1:19" x14ac:dyDescent="0.25">
      <c r="A38" s="3" t="str">
        <f>IFERROR(INDEX(tblBalsas[ID_BALSA],ROW()-11),"")</f>
        <v/>
      </c>
      <c r="B38" s="3" t="str">
        <f>IF(A38="","",INDEX(tblBalsas[TIPO_BALSA],ROW()-11))</f>
        <v/>
      </c>
      <c r="C38" s="3" t="str">
        <f>IF(A38="","",INDEX(tblBalsas[NOME_BALSA],ROW()-11))</f>
        <v/>
      </c>
      <c r="D38" s="3" t="str">
        <f>IF(A38="","",INDEX(tblBalsas[TOTAL_NESTINGS],ROW()-11))</f>
        <v/>
      </c>
      <c r="E38" s="3" t="str">
        <f>IF(A38="","",INDEX(tblBalsas[EMITIDOS],ROW()-11))</f>
        <v/>
      </c>
      <c r="F38" s="3" t="str">
        <f>IF(A38="","",INDEX(tblBalsas[FINALIZADOS],ROW()-11))</f>
        <v/>
      </c>
      <c r="G38" s="3" t="str">
        <f>IF(A38="","",INDEX(tblBalsas[PENDENTES],ROW()-11))</f>
        <v/>
      </c>
      <c r="H38" s="15" t="str">
        <f>IF(A38="","",INDEX(tblBalsas[%CONCLUIDO],ROW()-11))</f>
        <v/>
      </c>
      <c r="I38" s="3" t="str">
        <f>IF(A38="","",INDEX(tblBalsas[STATUS_BALSA],ROW()-11))</f>
        <v/>
      </c>
      <c r="K38" t="s">
        <v>24</v>
      </c>
      <c r="L38" t="s">
        <v>498</v>
      </c>
      <c r="M38">
        <v>43</v>
      </c>
      <c r="N38">
        <v>43</v>
      </c>
      <c r="O38">
        <v>42</v>
      </c>
      <c r="P38">
        <v>1</v>
      </c>
      <c r="Q38" s="54">
        <v>1</v>
      </c>
      <c r="R38" s="54">
        <v>0.97674418604651159</v>
      </c>
      <c r="S38" t="s">
        <v>1584</v>
      </c>
    </row>
    <row r="39" spans="1:19" x14ac:dyDescent="0.25">
      <c r="A39" s="3" t="str">
        <f>IFERROR(INDEX(tblBalsas[ID_BALSA],ROW()-11),"")</f>
        <v/>
      </c>
      <c r="B39" s="3" t="str">
        <f>IF(A39="","",INDEX(tblBalsas[TIPO_BALSA],ROW()-11))</f>
        <v/>
      </c>
      <c r="C39" s="3" t="str">
        <f>IF(A39="","",INDEX(tblBalsas[NOME_BALSA],ROW()-11))</f>
        <v/>
      </c>
      <c r="D39" s="3" t="str">
        <f>IF(A39="","",INDEX(tblBalsas[TOTAL_NESTINGS],ROW()-11))</f>
        <v/>
      </c>
      <c r="E39" s="3" t="str">
        <f>IF(A39="","",INDEX(tblBalsas[EMITIDOS],ROW()-11))</f>
        <v/>
      </c>
      <c r="F39" s="3" t="str">
        <f>IF(A39="","",INDEX(tblBalsas[FINALIZADOS],ROW()-11))</f>
        <v/>
      </c>
      <c r="G39" s="3" t="str">
        <f>IF(A39="","",INDEX(tblBalsas[PENDENTES],ROW()-11))</f>
        <v/>
      </c>
      <c r="H39" s="15" t="str">
        <f>IF(A39="","",INDEX(tblBalsas[%CONCLUIDO],ROW()-11))</f>
        <v/>
      </c>
      <c r="I39" s="3" t="str">
        <f>IF(A39="","",INDEX(tblBalsas[STATUS_BALSA],ROW()-11))</f>
        <v/>
      </c>
      <c r="K39" t="s">
        <v>24</v>
      </c>
      <c r="L39" t="s">
        <v>1598</v>
      </c>
      <c r="M39">
        <v>13</v>
      </c>
      <c r="N39">
        <v>13</v>
      </c>
      <c r="O39">
        <v>13</v>
      </c>
      <c r="P39">
        <v>0</v>
      </c>
      <c r="Q39" s="54">
        <v>1</v>
      </c>
      <c r="R39" s="54">
        <v>1</v>
      </c>
      <c r="S39" t="s">
        <v>1586</v>
      </c>
    </row>
    <row r="40" spans="1:19" x14ac:dyDescent="0.25">
      <c r="A40" s="3" t="str">
        <f>IFERROR(INDEX(tblBalsas[ID_BALSA],ROW()-11),"")</f>
        <v/>
      </c>
      <c r="B40" s="3" t="str">
        <f>IF(A40="","",INDEX(tblBalsas[TIPO_BALSA],ROW()-11))</f>
        <v/>
      </c>
      <c r="C40" s="3" t="str">
        <f>IF(A40="","",INDEX(tblBalsas[NOME_BALSA],ROW()-11))</f>
        <v/>
      </c>
      <c r="D40" s="3" t="str">
        <f>IF(A40="","",INDEX(tblBalsas[TOTAL_NESTINGS],ROW()-11))</f>
        <v/>
      </c>
      <c r="E40" s="3" t="str">
        <f>IF(A40="","",INDEX(tblBalsas[EMITIDOS],ROW()-11))</f>
        <v/>
      </c>
      <c r="F40" s="3" t="str">
        <f>IF(A40="","",INDEX(tblBalsas[FINALIZADOS],ROW()-11))</f>
        <v/>
      </c>
      <c r="G40" s="3" t="str">
        <f>IF(A40="","",INDEX(tblBalsas[PENDENTES],ROW()-11))</f>
        <v/>
      </c>
      <c r="H40" s="15" t="str">
        <f>IF(A40="","",INDEX(tblBalsas[%CONCLUIDO],ROW()-11))</f>
        <v/>
      </c>
      <c r="I40" s="3" t="str">
        <f>IF(A40="","",INDEX(tblBalsas[STATUS_BALSA],ROW()-11))</f>
        <v/>
      </c>
      <c r="K40" t="s">
        <v>24</v>
      </c>
      <c r="L40" t="s">
        <v>1599</v>
      </c>
      <c r="M40">
        <v>12</v>
      </c>
      <c r="N40">
        <v>12</v>
      </c>
      <c r="O40">
        <v>12</v>
      </c>
      <c r="P40">
        <v>0</v>
      </c>
      <c r="Q40" s="54">
        <v>1</v>
      </c>
      <c r="R40" s="54">
        <v>1</v>
      </c>
      <c r="S40" t="s">
        <v>1586</v>
      </c>
    </row>
    <row r="41" spans="1:19" x14ac:dyDescent="0.25">
      <c r="A41" s="3" t="str">
        <f>IFERROR(INDEX(tblBalsas[ID_BALSA],ROW()-11),"")</f>
        <v/>
      </c>
      <c r="B41" s="3" t="str">
        <f>IF(A41="","",INDEX(tblBalsas[TIPO_BALSA],ROW()-11))</f>
        <v/>
      </c>
      <c r="C41" s="3" t="str">
        <f>IF(A41="","",INDEX(tblBalsas[NOME_BALSA],ROW()-11))</f>
        <v/>
      </c>
      <c r="D41" s="3" t="str">
        <f>IF(A41="","",INDEX(tblBalsas[TOTAL_NESTINGS],ROW()-11))</f>
        <v/>
      </c>
      <c r="E41" s="3" t="str">
        <f>IF(A41="","",INDEX(tblBalsas[EMITIDOS],ROW()-11))</f>
        <v/>
      </c>
      <c r="F41" s="3" t="str">
        <f>IF(A41="","",INDEX(tblBalsas[FINALIZADOS],ROW()-11))</f>
        <v/>
      </c>
      <c r="G41" s="3" t="str">
        <f>IF(A41="","",INDEX(tblBalsas[PENDENTES],ROW()-11))</f>
        <v/>
      </c>
      <c r="H41" s="15" t="str">
        <f>IF(A41="","",INDEX(tblBalsas[%CONCLUIDO],ROW()-11))</f>
        <v/>
      </c>
      <c r="I41" s="3" t="str">
        <f>IF(A41="","",INDEX(tblBalsas[STATUS_BALSA],ROW()-11))</f>
        <v/>
      </c>
    </row>
    <row r="42" spans="1:19" x14ac:dyDescent="0.25">
      <c r="A42" s="3" t="str">
        <f>IFERROR(INDEX(tblBalsas[ID_BALSA],ROW()-11),"")</f>
        <v/>
      </c>
      <c r="B42" s="3" t="str">
        <f>IF(A42="","",INDEX(tblBalsas[TIPO_BALSA],ROW()-11))</f>
        <v/>
      </c>
      <c r="C42" s="3" t="str">
        <f>IF(A42="","",INDEX(tblBalsas[NOME_BALSA],ROW()-11))</f>
        <v/>
      </c>
      <c r="D42" s="3" t="str">
        <f>IF(A42="","",INDEX(tblBalsas[TOTAL_NESTINGS],ROW()-11))</f>
        <v/>
      </c>
      <c r="E42" s="3" t="str">
        <f>IF(A42="","",INDEX(tblBalsas[EMITIDOS],ROW()-11))</f>
        <v/>
      </c>
      <c r="F42" s="3" t="str">
        <f>IF(A42="","",INDEX(tblBalsas[FINALIZADOS],ROW()-11))</f>
        <v/>
      </c>
      <c r="G42" s="3" t="str">
        <f>IF(A42="","",INDEX(tblBalsas[PENDENTES],ROW()-11))</f>
        <v/>
      </c>
      <c r="H42" s="15" t="str">
        <f>IF(A42="","",INDEX(tblBalsas[%CONCLUIDO],ROW()-11))</f>
        <v/>
      </c>
      <c r="I42" s="3" t="str">
        <f>IF(A42="","",INDEX(tblBalsas[STATUS_BALSA],ROW()-11))</f>
        <v/>
      </c>
    </row>
    <row r="43" spans="1:19" x14ac:dyDescent="0.25">
      <c r="A43" s="3" t="str">
        <f>IFERROR(INDEX(tblBalsas[ID_BALSA],ROW()-11),"")</f>
        <v/>
      </c>
      <c r="B43" s="3" t="str">
        <f>IF(A43="","",INDEX(tblBalsas[TIPO_BALSA],ROW()-11))</f>
        <v/>
      </c>
      <c r="C43" s="3" t="str">
        <f>IF(A43="","",INDEX(tblBalsas[NOME_BALSA],ROW()-11))</f>
        <v/>
      </c>
      <c r="D43" s="3" t="str">
        <f>IF(A43="","",INDEX(tblBalsas[TOTAL_NESTINGS],ROW()-11))</f>
        <v/>
      </c>
      <c r="E43" s="3" t="str">
        <f>IF(A43="","",INDEX(tblBalsas[EMITIDOS],ROW()-11))</f>
        <v/>
      </c>
      <c r="F43" s="3" t="str">
        <f>IF(A43="","",INDEX(tblBalsas[FINALIZADOS],ROW()-11))</f>
        <v/>
      </c>
      <c r="G43" s="3" t="str">
        <f>IF(A43="","",INDEX(tblBalsas[PENDENTES],ROW()-11))</f>
        <v/>
      </c>
      <c r="H43" s="15" t="str">
        <f>IF(A43="","",INDEX(tblBalsas[%CONCLUIDO],ROW()-11))</f>
        <v/>
      </c>
      <c r="I43" s="3" t="str">
        <f>IF(A43="","",INDEX(tblBalsas[STATUS_BALSA],ROW()-11))</f>
        <v/>
      </c>
    </row>
    <row r="44" spans="1:19" x14ac:dyDescent="0.25">
      <c r="A44" s="3" t="str">
        <f>IFERROR(INDEX(tblBalsas[ID_BALSA],ROW()-11),"")</f>
        <v/>
      </c>
      <c r="B44" s="3" t="str">
        <f>IF(A44="","",INDEX(tblBalsas[TIPO_BALSA],ROW()-11))</f>
        <v/>
      </c>
      <c r="C44" s="3" t="str">
        <f>IF(A44="","",INDEX(tblBalsas[NOME_BALSA],ROW()-11))</f>
        <v/>
      </c>
      <c r="D44" s="3" t="str">
        <f>IF(A44="","",INDEX(tblBalsas[TOTAL_NESTINGS],ROW()-11))</f>
        <v/>
      </c>
      <c r="E44" s="3" t="str">
        <f>IF(A44="","",INDEX(tblBalsas[EMITIDOS],ROW()-11))</f>
        <v/>
      </c>
      <c r="F44" s="3" t="str">
        <f>IF(A44="","",INDEX(tblBalsas[FINALIZADOS],ROW()-11))</f>
        <v/>
      </c>
      <c r="G44" s="3" t="str">
        <f>IF(A44="","",INDEX(tblBalsas[PENDENTES],ROW()-11))</f>
        <v/>
      </c>
      <c r="H44" s="15" t="str">
        <f>IF(A44="","",INDEX(tblBalsas[%CONCLUIDO],ROW()-11))</f>
        <v/>
      </c>
      <c r="I44" s="3" t="str">
        <f>IF(A44="","",INDEX(tblBalsas[STATUS_BALSA],ROW()-11))</f>
        <v/>
      </c>
    </row>
    <row r="45" spans="1:19" x14ac:dyDescent="0.25">
      <c r="A45" s="3" t="str">
        <f>IFERROR(INDEX(tblBalsas[ID_BALSA],ROW()-11),"")</f>
        <v/>
      </c>
      <c r="B45" s="3" t="str">
        <f>IF(A45="","",INDEX(tblBalsas[TIPO_BALSA],ROW()-11))</f>
        <v/>
      </c>
      <c r="C45" s="3" t="str">
        <f>IF(A45="","",INDEX(tblBalsas[NOME_BALSA],ROW()-11))</f>
        <v/>
      </c>
      <c r="D45" s="3" t="str">
        <f>IF(A45="","",INDEX(tblBalsas[TOTAL_NESTINGS],ROW()-11))</f>
        <v/>
      </c>
      <c r="E45" s="3" t="str">
        <f>IF(A45="","",INDEX(tblBalsas[EMITIDOS],ROW()-11))</f>
        <v/>
      </c>
      <c r="F45" s="3" t="str">
        <f>IF(A45="","",INDEX(tblBalsas[FINALIZADOS],ROW()-11))</f>
        <v/>
      </c>
      <c r="G45" s="3" t="str">
        <f>IF(A45="","",INDEX(tblBalsas[PENDENTES],ROW()-11))</f>
        <v/>
      </c>
      <c r="H45" s="15" t="str">
        <f>IF(A45="","",INDEX(tblBalsas[%CONCLUIDO],ROW()-11))</f>
        <v/>
      </c>
      <c r="I45" s="3" t="str">
        <f>IF(A45="","",INDEX(tblBalsas[STATUS_BALSA],ROW()-11))</f>
        <v/>
      </c>
    </row>
    <row r="46" spans="1:19" x14ac:dyDescent="0.25">
      <c r="A46" s="3" t="str">
        <f>IFERROR(INDEX(tblBalsas[ID_BALSA],ROW()-11),"")</f>
        <v/>
      </c>
      <c r="B46" s="3" t="str">
        <f>IF(A46="","",INDEX(tblBalsas[TIPO_BALSA],ROW()-11))</f>
        <v/>
      </c>
      <c r="C46" s="3" t="str">
        <f>IF(A46="","",INDEX(tblBalsas[NOME_BALSA],ROW()-11))</f>
        <v/>
      </c>
      <c r="D46" s="3" t="str">
        <f>IF(A46="","",INDEX(tblBalsas[TOTAL_NESTINGS],ROW()-11))</f>
        <v/>
      </c>
      <c r="E46" s="3" t="str">
        <f>IF(A46="","",INDEX(tblBalsas[EMITIDOS],ROW()-11))</f>
        <v/>
      </c>
      <c r="F46" s="3" t="str">
        <f>IF(A46="","",INDEX(tblBalsas[FINALIZADOS],ROW()-11))</f>
        <v/>
      </c>
      <c r="G46" s="3" t="str">
        <f>IF(A46="","",INDEX(tblBalsas[PENDENTES],ROW()-11))</f>
        <v/>
      </c>
      <c r="H46" s="15" t="str">
        <f>IF(A46="","",INDEX(tblBalsas[%CONCLUIDO],ROW()-11))</f>
        <v/>
      </c>
      <c r="I46" s="3" t="str">
        <f>IF(A46="","",INDEX(tblBalsas[STATUS_BALSA],ROW()-11))</f>
        <v/>
      </c>
    </row>
    <row r="47" spans="1:19" x14ac:dyDescent="0.25">
      <c r="A47" s="3" t="str">
        <f>IFERROR(INDEX(tblBalsas[ID_BALSA],ROW()-11),"")</f>
        <v/>
      </c>
      <c r="B47" s="3" t="str">
        <f>IF(A47="","",INDEX(tblBalsas[TIPO_BALSA],ROW()-11))</f>
        <v/>
      </c>
      <c r="C47" s="3" t="str">
        <f>IF(A47="","",INDEX(tblBalsas[NOME_BALSA],ROW()-11))</f>
        <v/>
      </c>
      <c r="D47" s="3" t="str">
        <f>IF(A47="","",INDEX(tblBalsas[TOTAL_NESTINGS],ROW()-11))</f>
        <v/>
      </c>
      <c r="E47" s="3" t="str">
        <f>IF(A47="","",INDEX(tblBalsas[EMITIDOS],ROW()-11))</f>
        <v/>
      </c>
      <c r="F47" s="3" t="str">
        <f>IF(A47="","",INDEX(tblBalsas[FINALIZADOS],ROW()-11))</f>
        <v/>
      </c>
      <c r="G47" s="3" t="str">
        <f>IF(A47="","",INDEX(tblBalsas[PENDENTES],ROW()-11))</f>
        <v/>
      </c>
      <c r="H47" s="15" t="str">
        <f>IF(A47="","",INDEX(tblBalsas[%CONCLUIDO],ROW()-11))</f>
        <v/>
      </c>
      <c r="I47" s="3" t="str">
        <f>IF(A47="","",INDEX(tblBalsas[STATUS_BALSA],ROW()-11))</f>
        <v/>
      </c>
    </row>
    <row r="48" spans="1:19" x14ac:dyDescent="0.25">
      <c r="A48" s="3" t="str">
        <f>IFERROR(INDEX(tblBalsas[ID_BALSA],ROW()-11),"")</f>
        <v/>
      </c>
      <c r="B48" s="3" t="str">
        <f>IF(A48="","",INDEX(tblBalsas[TIPO_BALSA],ROW()-11))</f>
        <v/>
      </c>
      <c r="C48" s="3" t="str">
        <f>IF(A48="","",INDEX(tblBalsas[NOME_BALSA],ROW()-11))</f>
        <v/>
      </c>
      <c r="D48" s="3" t="str">
        <f>IF(A48="","",INDEX(tblBalsas[TOTAL_NESTINGS],ROW()-11))</f>
        <v/>
      </c>
      <c r="E48" s="3" t="str">
        <f>IF(A48="","",INDEX(tblBalsas[EMITIDOS],ROW()-11))</f>
        <v/>
      </c>
      <c r="F48" s="3" t="str">
        <f>IF(A48="","",INDEX(tblBalsas[FINALIZADOS],ROW()-11))</f>
        <v/>
      </c>
      <c r="G48" s="3" t="str">
        <f>IF(A48="","",INDEX(tblBalsas[PENDENTES],ROW()-11))</f>
        <v/>
      </c>
      <c r="H48" s="15" t="str">
        <f>IF(A48="","",INDEX(tblBalsas[%CONCLUIDO],ROW()-11))</f>
        <v/>
      </c>
      <c r="I48" s="3" t="str">
        <f>IF(A48="","",INDEX(tblBalsas[STATUS_BALSA],ROW()-11))</f>
        <v/>
      </c>
    </row>
    <row r="49" spans="1:9" x14ac:dyDescent="0.25">
      <c r="A49" s="3" t="str">
        <f>IFERROR(INDEX(tblBalsas[ID_BALSA],ROW()-11),"")</f>
        <v/>
      </c>
      <c r="B49" s="3" t="str">
        <f>IF(A49="","",INDEX(tblBalsas[TIPO_BALSA],ROW()-11))</f>
        <v/>
      </c>
      <c r="C49" s="3" t="str">
        <f>IF(A49="","",INDEX(tblBalsas[NOME_BALSA],ROW()-11))</f>
        <v/>
      </c>
      <c r="D49" s="3" t="str">
        <f>IF(A49="","",INDEX(tblBalsas[TOTAL_NESTINGS],ROW()-11))</f>
        <v/>
      </c>
      <c r="E49" s="3" t="str">
        <f>IF(A49="","",INDEX(tblBalsas[EMITIDOS],ROW()-11))</f>
        <v/>
      </c>
      <c r="F49" s="3" t="str">
        <f>IF(A49="","",INDEX(tblBalsas[FINALIZADOS],ROW()-11))</f>
        <v/>
      </c>
      <c r="G49" s="3" t="str">
        <f>IF(A49="","",INDEX(tblBalsas[PENDENTES],ROW()-11))</f>
        <v/>
      </c>
      <c r="H49" s="15" t="str">
        <f>IF(A49="","",INDEX(tblBalsas[%CONCLUIDO],ROW()-11))</f>
        <v/>
      </c>
      <c r="I49" s="3" t="str">
        <f>IF(A49="","",INDEX(tblBalsas[STATUS_BALSA],ROW()-11))</f>
        <v/>
      </c>
    </row>
    <row r="50" spans="1:9" x14ac:dyDescent="0.25">
      <c r="A50" s="3" t="str">
        <f>IFERROR(INDEX(tblBalsas[ID_BALSA],ROW()-11),"")</f>
        <v/>
      </c>
      <c r="B50" s="3" t="str">
        <f>IF(A50="","",INDEX(tblBalsas[TIPO_BALSA],ROW()-11))</f>
        <v/>
      </c>
      <c r="C50" s="3" t="str">
        <f>IF(A50="","",INDEX(tblBalsas[NOME_BALSA],ROW()-11))</f>
        <v/>
      </c>
      <c r="D50" s="3" t="str">
        <f>IF(A50="","",INDEX(tblBalsas[TOTAL_NESTINGS],ROW()-11))</f>
        <v/>
      </c>
      <c r="E50" s="3" t="str">
        <f>IF(A50="","",INDEX(tblBalsas[EMITIDOS],ROW()-11))</f>
        <v/>
      </c>
      <c r="F50" s="3" t="str">
        <f>IF(A50="","",INDEX(tblBalsas[FINALIZADOS],ROW()-11))</f>
        <v/>
      </c>
      <c r="G50" s="3" t="str">
        <f>IF(A50="","",INDEX(tblBalsas[PENDENTES],ROW()-11))</f>
        <v/>
      </c>
      <c r="H50" s="15" t="str">
        <f>IF(A50="","",INDEX(tblBalsas[%CONCLUIDO],ROW()-11))</f>
        <v/>
      </c>
      <c r="I50" s="3" t="str">
        <f>IF(A50="","",INDEX(tblBalsas[STATUS_BALSA],ROW()-11))</f>
        <v/>
      </c>
    </row>
    <row r="51" spans="1:9" x14ac:dyDescent="0.25">
      <c r="A51" s="3" t="str">
        <f>IFERROR(INDEX(tblBalsas[ID_BALSA],ROW()-11),"")</f>
        <v/>
      </c>
      <c r="B51" s="3" t="str">
        <f>IF(A51="","",INDEX(tblBalsas[TIPO_BALSA],ROW()-11))</f>
        <v/>
      </c>
      <c r="C51" s="3" t="str">
        <f>IF(A51="","",INDEX(tblBalsas[NOME_BALSA],ROW()-11))</f>
        <v/>
      </c>
      <c r="D51" s="3" t="str">
        <f>IF(A51="","",INDEX(tblBalsas[TOTAL_NESTINGS],ROW()-11))</f>
        <v/>
      </c>
      <c r="E51" s="3" t="str">
        <f>IF(A51="","",INDEX(tblBalsas[EMITIDOS],ROW()-11))</f>
        <v/>
      </c>
      <c r="F51" s="3" t="str">
        <f>IF(A51="","",INDEX(tblBalsas[FINALIZADOS],ROW()-11))</f>
        <v/>
      </c>
      <c r="G51" s="3" t="str">
        <f>IF(A51="","",INDEX(tblBalsas[PENDENTES],ROW()-11))</f>
        <v/>
      </c>
      <c r="H51" s="15" t="str">
        <f>IF(A51="","",INDEX(tblBalsas[%CONCLUIDO],ROW()-11))</f>
        <v/>
      </c>
      <c r="I51" s="3" t="str">
        <f>IF(A51="","",INDEX(tblBalsas[STATUS_BALSA],ROW()-11))</f>
        <v/>
      </c>
    </row>
    <row r="52" spans="1:9" x14ac:dyDescent="0.25">
      <c r="A52" s="3" t="str">
        <f>IFERROR(INDEX(tblBalsas[ID_BALSA],ROW()-11),"")</f>
        <v/>
      </c>
      <c r="B52" s="3" t="str">
        <f>IF(A52="","",INDEX(tblBalsas[TIPO_BALSA],ROW()-11))</f>
        <v/>
      </c>
      <c r="C52" s="3" t="str">
        <f>IF(A52="","",INDEX(tblBalsas[NOME_BALSA],ROW()-11))</f>
        <v/>
      </c>
      <c r="D52" s="3" t="str">
        <f>IF(A52="","",INDEX(tblBalsas[TOTAL_NESTINGS],ROW()-11))</f>
        <v/>
      </c>
      <c r="E52" s="3" t="str">
        <f>IF(A52="","",INDEX(tblBalsas[EMITIDOS],ROW()-11))</f>
        <v/>
      </c>
      <c r="F52" s="3" t="str">
        <f>IF(A52="","",INDEX(tblBalsas[FINALIZADOS],ROW()-11))</f>
        <v/>
      </c>
      <c r="G52" s="3" t="str">
        <f>IF(A52="","",INDEX(tblBalsas[PENDENTES],ROW()-11))</f>
        <v/>
      </c>
      <c r="H52" s="15" t="str">
        <f>IF(A52="","",INDEX(tblBalsas[%CONCLUIDO],ROW()-11))</f>
        <v/>
      </c>
      <c r="I52" s="3" t="str">
        <f>IF(A52="","",INDEX(tblBalsas[STATUS_BALSA],ROW()-11))</f>
        <v/>
      </c>
    </row>
    <row r="53" spans="1:9" x14ac:dyDescent="0.25">
      <c r="A53" s="3" t="str">
        <f>IFERROR(INDEX(tblBalsas[ID_BALSA],ROW()-11),"")</f>
        <v/>
      </c>
      <c r="B53" s="3" t="str">
        <f>IF(A53="","",INDEX(tblBalsas[TIPO_BALSA],ROW()-11))</f>
        <v/>
      </c>
      <c r="C53" s="3" t="str">
        <f>IF(A53="","",INDEX(tblBalsas[NOME_BALSA],ROW()-11))</f>
        <v/>
      </c>
      <c r="D53" s="3" t="str">
        <f>IF(A53="","",INDEX(tblBalsas[TOTAL_NESTINGS],ROW()-11))</f>
        <v/>
      </c>
      <c r="E53" s="3" t="str">
        <f>IF(A53="","",INDEX(tblBalsas[EMITIDOS],ROW()-11))</f>
        <v/>
      </c>
      <c r="F53" s="3" t="str">
        <f>IF(A53="","",INDEX(tblBalsas[FINALIZADOS],ROW()-11))</f>
        <v/>
      </c>
      <c r="G53" s="3" t="str">
        <f>IF(A53="","",INDEX(tblBalsas[PENDENTES],ROW()-11))</f>
        <v/>
      </c>
      <c r="H53" s="15" t="str">
        <f>IF(A53="","",INDEX(tblBalsas[%CONCLUIDO],ROW()-11))</f>
        <v/>
      </c>
      <c r="I53" s="3" t="str">
        <f>IF(A53="","",INDEX(tblBalsas[STATUS_BALSA],ROW()-11))</f>
        <v/>
      </c>
    </row>
    <row r="54" spans="1:9" x14ac:dyDescent="0.25">
      <c r="A54" s="3" t="str">
        <f>IFERROR(INDEX(tblBalsas[ID_BALSA],ROW()-11),"")</f>
        <v/>
      </c>
      <c r="B54" s="3" t="str">
        <f>IF(A54="","",INDEX(tblBalsas[TIPO_BALSA],ROW()-11))</f>
        <v/>
      </c>
      <c r="C54" s="3" t="str">
        <f>IF(A54="","",INDEX(tblBalsas[NOME_BALSA],ROW()-11))</f>
        <v/>
      </c>
      <c r="D54" s="3" t="str">
        <f>IF(A54="","",INDEX(tblBalsas[TOTAL_NESTINGS],ROW()-11))</f>
        <v/>
      </c>
      <c r="E54" s="3" t="str">
        <f>IF(A54="","",INDEX(tblBalsas[EMITIDOS],ROW()-11))</f>
        <v/>
      </c>
      <c r="F54" s="3" t="str">
        <f>IF(A54="","",INDEX(tblBalsas[FINALIZADOS],ROW()-11))</f>
        <v/>
      </c>
      <c r="G54" s="3" t="str">
        <f>IF(A54="","",INDEX(tblBalsas[PENDENTES],ROW()-11))</f>
        <v/>
      </c>
      <c r="H54" s="15" t="str">
        <f>IF(A54="","",INDEX(tblBalsas[%CONCLUIDO],ROW()-11))</f>
        <v/>
      </c>
      <c r="I54" s="3" t="str">
        <f>IF(A54="","",INDEX(tblBalsas[STATUS_BALSA],ROW()-11))</f>
        <v/>
      </c>
    </row>
    <row r="55" spans="1:9" x14ac:dyDescent="0.25">
      <c r="A55" s="3" t="str">
        <f>IFERROR(INDEX(tblBalsas[ID_BALSA],ROW()-11),"")</f>
        <v/>
      </c>
      <c r="B55" s="3" t="str">
        <f>IF(A55="","",INDEX(tblBalsas[TIPO_BALSA],ROW()-11))</f>
        <v/>
      </c>
      <c r="C55" s="3" t="str">
        <f>IF(A55="","",INDEX(tblBalsas[NOME_BALSA],ROW()-11))</f>
        <v/>
      </c>
      <c r="D55" s="3" t="str">
        <f>IF(A55="","",INDEX(tblBalsas[TOTAL_NESTINGS],ROW()-11))</f>
        <v/>
      </c>
      <c r="E55" s="3" t="str">
        <f>IF(A55="","",INDEX(tblBalsas[EMITIDOS],ROW()-11))</f>
        <v/>
      </c>
      <c r="F55" s="3" t="str">
        <f>IF(A55="","",INDEX(tblBalsas[FINALIZADOS],ROW()-11))</f>
        <v/>
      </c>
      <c r="G55" s="3" t="str">
        <f>IF(A55="","",INDEX(tblBalsas[PENDENTES],ROW()-11))</f>
        <v/>
      </c>
      <c r="H55" s="15" t="str">
        <f>IF(A55="","",INDEX(tblBalsas[%CONCLUIDO],ROW()-11))</f>
        <v/>
      </c>
      <c r="I55" s="3" t="str">
        <f>IF(A55="","",INDEX(tblBalsas[STATUS_BALSA],ROW()-11))</f>
        <v/>
      </c>
    </row>
    <row r="56" spans="1:9" x14ac:dyDescent="0.25">
      <c r="A56" s="3" t="str">
        <f>IFERROR(INDEX(tblBalsas[ID_BALSA],ROW()-11),"")</f>
        <v/>
      </c>
      <c r="B56" s="3" t="str">
        <f>IF(A56="","",INDEX(tblBalsas[TIPO_BALSA],ROW()-11))</f>
        <v/>
      </c>
      <c r="C56" s="3" t="str">
        <f>IF(A56="","",INDEX(tblBalsas[NOME_BALSA],ROW()-11))</f>
        <v/>
      </c>
      <c r="D56" s="3" t="str">
        <f>IF(A56="","",INDEX(tblBalsas[TOTAL_NESTINGS],ROW()-11))</f>
        <v/>
      </c>
      <c r="E56" s="3" t="str">
        <f>IF(A56="","",INDEX(tblBalsas[EMITIDOS],ROW()-11))</f>
        <v/>
      </c>
      <c r="F56" s="3" t="str">
        <f>IF(A56="","",INDEX(tblBalsas[FINALIZADOS],ROW()-11))</f>
        <v/>
      </c>
      <c r="G56" s="3" t="str">
        <f>IF(A56="","",INDEX(tblBalsas[PENDENTES],ROW()-11))</f>
        <v/>
      </c>
      <c r="H56" s="15" t="str">
        <f>IF(A56="","",INDEX(tblBalsas[%CONCLUIDO],ROW()-11))</f>
        <v/>
      </c>
      <c r="I56" s="3" t="str">
        <f>IF(A56="","",INDEX(tblBalsas[STATUS_BALSA],ROW()-11))</f>
        <v/>
      </c>
    </row>
    <row r="57" spans="1:9" x14ac:dyDescent="0.25">
      <c r="A57" s="3" t="str">
        <f>IFERROR(INDEX(tblBalsas[ID_BALSA],ROW()-11),"")</f>
        <v/>
      </c>
      <c r="B57" s="3" t="str">
        <f>IF(A57="","",INDEX(tblBalsas[TIPO_BALSA],ROW()-11))</f>
        <v/>
      </c>
      <c r="C57" s="3" t="str">
        <f>IF(A57="","",INDEX(tblBalsas[NOME_BALSA],ROW()-11))</f>
        <v/>
      </c>
      <c r="D57" s="3" t="str">
        <f>IF(A57="","",INDEX(tblBalsas[TOTAL_NESTINGS],ROW()-11))</f>
        <v/>
      </c>
      <c r="E57" s="3" t="str">
        <f>IF(A57="","",INDEX(tblBalsas[EMITIDOS],ROW()-11))</f>
        <v/>
      </c>
      <c r="F57" s="3" t="str">
        <f>IF(A57="","",INDEX(tblBalsas[FINALIZADOS],ROW()-11))</f>
        <v/>
      </c>
      <c r="G57" s="3" t="str">
        <f>IF(A57="","",INDEX(tblBalsas[PENDENTES],ROW()-11))</f>
        <v/>
      </c>
      <c r="H57" s="15" t="str">
        <f>IF(A57="","",INDEX(tblBalsas[%CONCLUIDO],ROW()-11))</f>
        <v/>
      </c>
      <c r="I57" s="3" t="str">
        <f>IF(A57="","",INDEX(tblBalsas[STATUS_BALSA],ROW()-11))</f>
        <v/>
      </c>
    </row>
    <row r="58" spans="1:9" x14ac:dyDescent="0.25">
      <c r="A58" s="3" t="str">
        <f>IFERROR(INDEX(tblBalsas[ID_BALSA],ROW()-11),"")</f>
        <v/>
      </c>
      <c r="B58" s="3" t="str">
        <f>IF(A58="","",INDEX(tblBalsas[TIPO_BALSA],ROW()-11))</f>
        <v/>
      </c>
      <c r="C58" s="3" t="str">
        <f>IF(A58="","",INDEX(tblBalsas[NOME_BALSA],ROW()-11))</f>
        <v/>
      </c>
      <c r="D58" s="3" t="str">
        <f>IF(A58="","",INDEX(tblBalsas[TOTAL_NESTINGS],ROW()-11))</f>
        <v/>
      </c>
      <c r="E58" s="3" t="str">
        <f>IF(A58="","",INDEX(tblBalsas[EMITIDOS],ROW()-11))</f>
        <v/>
      </c>
      <c r="F58" s="3" t="str">
        <f>IF(A58="","",INDEX(tblBalsas[FINALIZADOS],ROW()-11))</f>
        <v/>
      </c>
      <c r="G58" s="3" t="str">
        <f>IF(A58="","",INDEX(tblBalsas[PENDENTES],ROW()-11))</f>
        <v/>
      </c>
      <c r="H58" s="15" t="str">
        <f>IF(A58="","",INDEX(tblBalsas[%CONCLUIDO],ROW()-11))</f>
        <v/>
      </c>
      <c r="I58" s="3" t="str">
        <f>IF(A58="","",INDEX(tblBalsas[STATUS_BALSA],ROW()-11))</f>
        <v/>
      </c>
    </row>
    <row r="59" spans="1:9" x14ac:dyDescent="0.25">
      <c r="A59" s="3" t="str">
        <f>IFERROR(INDEX(tblBalsas[ID_BALSA],ROW()-11),"")</f>
        <v/>
      </c>
      <c r="B59" s="3" t="str">
        <f>IF(A59="","",INDEX(tblBalsas[TIPO_BALSA],ROW()-11))</f>
        <v/>
      </c>
      <c r="C59" s="3" t="str">
        <f>IF(A59="","",INDEX(tblBalsas[NOME_BALSA],ROW()-11))</f>
        <v/>
      </c>
      <c r="D59" s="3" t="str">
        <f>IF(A59="","",INDEX(tblBalsas[TOTAL_NESTINGS],ROW()-11))</f>
        <v/>
      </c>
      <c r="E59" s="3" t="str">
        <f>IF(A59="","",INDEX(tblBalsas[EMITIDOS],ROW()-11))</f>
        <v/>
      </c>
      <c r="F59" s="3" t="str">
        <f>IF(A59="","",INDEX(tblBalsas[FINALIZADOS],ROW()-11))</f>
        <v/>
      </c>
      <c r="G59" s="3" t="str">
        <f>IF(A59="","",INDEX(tblBalsas[PENDENTES],ROW()-11))</f>
        <v/>
      </c>
      <c r="H59" s="15" t="str">
        <f>IF(A59="","",INDEX(tblBalsas[%CONCLUIDO],ROW()-11))</f>
        <v/>
      </c>
      <c r="I59" s="3" t="str">
        <f>IF(A59="","",INDEX(tblBalsas[STATUS_BALSA],ROW()-11))</f>
        <v/>
      </c>
    </row>
  </sheetData>
  <sheetProtection sort="0" autoFilter="0"/>
  <mergeCells count="13">
    <mergeCell ref="W6:Y6"/>
    <mergeCell ref="W7:Y8"/>
    <mergeCell ref="K10:S10"/>
    <mergeCell ref="A1:I1"/>
    <mergeCell ref="A10:F10"/>
    <mergeCell ref="K1:L1"/>
    <mergeCell ref="K4:T4"/>
    <mergeCell ref="K6:M6"/>
    <mergeCell ref="K7:M8"/>
    <mergeCell ref="O6:Q6"/>
    <mergeCell ref="O7:Q8"/>
    <mergeCell ref="S6:U6"/>
    <mergeCell ref="S7:U8"/>
  </mergeCells>
  <dataValidations count="1">
    <dataValidation type="list" allowBlank="1" showInputMessage="1" showErrorMessage="1" sqref="M1" xr:uid="{CD42D1EE-EF72-4094-A92F-D24E909D1F90}">
      <formula1>$AA$2:$AA$6</formula1>
    </dataValidation>
  </dataValidations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1701"/>
  <sheetViews>
    <sheetView showGridLines="0" workbookViewId="0">
      <pane ySplit="4" topLeftCell="A598" activePane="bottomLeft" state="frozen"/>
      <selection pane="bottomLeft" activeCell="Q631" sqref="Q631"/>
    </sheetView>
  </sheetViews>
  <sheetFormatPr defaultColWidth="9.140625" defaultRowHeight="15" x14ac:dyDescent="0.25"/>
  <cols>
    <col min="1" max="1" width="14" customWidth="1"/>
    <col min="2" max="2" width="18" customWidth="1"/>
    <col min="3" max="3" width="8" customWidth="1"/>
    <col min="4" max="4" width="28" customWidth="1"/>
    <col min="5" max="5" width="24" customWidth="1"/>
    <col min="6" max="6" width="14" customWidth="1"/>
    <col min="7" max="7" width="12" customWidth="1"/>
    <col min="8" max="8" width="18.5703125" bestFit="1" customWidth="1"/>
    <col min="9" max="9" width="24.7109375" bestFit="1" customWidth="1"/>
    <col min="10" max="10" width="19.28515625" bestFit="1" customWidth="1"/>
    <col min="11" max="11" width="14" customWidth="1"/>
    <col min="12" max="12" width="18" customWidth="1"/>
  </cols>
  <sheetData>
    <row r="1" spans="1:12" ht="18.75" x14ac:dyDescent="0.25">
      <c r="A1" s="64" t="s">
        <v>1600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7"/>
    </row>
    <row r="2" spans="1:12" x14ac:dyDescent="0.25">
      <c r="A2" s="61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</row>
    <row r="4" spans="1:12" ht="25.5" x14ac:dyDescent="0.25">
      <c r="A4" s="6" t="s">
        <v>15</v>
      </c>
      <c r="B4" s="6" t="s">
        <v>1601</v>
      </c>
      <c r="C4" s="6" t="s">
        <v>1602</v>
      </c>
      <c r="D4" s="6" t="s">
        <v>1603</v>
      </c>
      <c r="E4" s="6" t="s">
        <v>1604</v>
      </c>
      <c r="F4" s="6" t="s">
        <v>109</v>
      </c>
      <c r="G4" s="6" t="s">
        <v>1605</v>
      </c>
      <c r="H4" s="6" t="s">
        <v>1606</v>
      </c>
      <c r="I4" s="6" t="s">
        <v>42</v>
      </c>
      <c r="J4" s="6" t="s">
        <v>43</v>
      </c>
      <c r="K4" s="6" t="s">
        <v>38</v>
      </c>
      <c r="L4" s="6" t="s">
        <v>1607</v>
      </c>
    </row>
    <row r="5" spans="1:12" hidden="1" x14ac:dyDescent="0.25">
      <c r="A5" s="18" t="s">
        <v>25</v>
      </c>
      <c r="B5" s="57">
        <v>7.6388888888888886E-3</v>
      </c>
      <c r="C5" s="58">
        <v>8</v>
      </c>
      <c r="D5" s="18" t="s">
        <v>1608</v>
      </c>
      <c r="E5" s="18" t="s">
        <v>1609</v>
      </c>
      <c r="F5" s="18" t="s">
        <v>1610</v>
      </c>
      <c r="G5" s="59">
        <v>36.159999999999997</v>
      </c>
      <c r="H5" s="59">
        <v>289.27999999999997</v>
      </c>
      <c r="I5" s="18" t="s">
        <v>367</v>
      </c>
      <c r="J5" s="18" t="s">
        <v>367</v>
      </c>
      <c r="K5" s="18" t="s">
        <v>1611</v>
      </c>
      <c r="L5" s="30" t="s">
        <v>1612</v>
      </c>
    </row>
    <row r="6" spans="1:12" hidden="1" x14ac:dyDescent="0.25">
      <c r="A6" s="18" t="s">
        <v>25</v>
      </c>
      <c r="B6" s="57">
        <v>1.4340277777777776E-2</v>
      </c>
      <c r="C6" s="58">
        <v>12</v>
      </c>
      <c r="D6" s="18" t="s">
        <v>1613</v>
      </c>
      <c r="E6" s="18" t="s">
        <v>1614</v>
      </c>
      <c r="F6" s="18" t="s">
        <v>1610</v>
      </c>
      <c r="G6" s="59">
        <v>10.78</v>
      </c>
      <c r="H6" s="59">
        <v>129.36000000000001</v>
      </c>
      <c r="I6" s="18" t="s">
        <v>367</v>
      </c>
      <c r="J6" s="18" t="s">
        <v>367</v>
      </c>
      <c r="K6" s="18" t="s">
        <v>1611</v>
      </c>
      <c r="L6" s="30" t="s">
        <v>1612</v>
      </c>
    </row>
    <row r="7" spans="1:12" hidden="1" x14ac:dyDescent="0.25">
      <c r="A7" s="18" t="s">
        <v>25</v>
      </c>
      <c r="B7" s="57">
        <v>3.5069444444444445E-3</v>
      </c>
      <c r="C7" s="58">
        <v>5</v>
      </c>
      <c r="D7" s="18" t="s">
        <v>1615</v>
      </c>
      <c r="E7" s="18" t="s">
        <v>1616</v>
      </c>
      <c r="F7" s="18" t="s">
        <v>1610</v>
      </c>
      <c r="G7" s="59">
        <v>37.42</v>
      </c>
      <c r="H7" s="59">
        <v>187.1</v>
      </c>
      <c r="I7" s="18" t="s">
        <v>65</v>
      </c>
      <c r="J7" s="18" t="s">
        <v>1589</v>
      </c>
      <c r="K7" s="18" t="s">
        <v>1611</v>
      </c>
      <c r="L7" s="30" t="s">
        <v>1612</v>
      </c>
    </row>
    <row r="8" spans="1:12" hidden="1" x14ac:dyDescent="0.25">
      <c r="A8" s="18" t="s">
        <v>25</v>
      </c>
      <c r="B8" s="57">
        <v>2.9513888888888888E-3</v>
      </c>
      <c r="C8" s="58">
        <v>5</v>
      </c>
      <c r="D8" s="18" t="s">
        <v>1617</v>
      </c>
      <c r="E8" s="18" t="s">
        <v>1618</v>
      </c>
      <c r="F8" s="18" t="s">
        <v>1610</v>
      </c>
      <c r="G8" s="59">
        <v>22.01</v>
      </c>
      <c r="H8" s="59">
        <v>110.05</v>
      </c>
      <c r="I8" s="18" t="s">
        <v>65</v>
      </c>
      <c r="J8" s="18" t="s">
        <v>1589</v>
      </c>
      <c r="K8" s="18" t="s">
        <v>1611</v>
      </c>
      <c r="L8" s="30" t="s">
        <v>1612</v>
      </c>
    </row>
    <row r="9" spans="1:12" hidden="1" x14ac:dyDescent="0.25">
      <c r="A9" s="18" t="s">
        <v>25</v>
      </c>
      <c r="B9" s="57">
        <v>5.9143518518518512E-3</v>
      </c>
      <c r="C9" s="58">
        <v>1</v>
      </c>
      <c r="D9" s="18" t="s">
        <v>1619</v>
      </c>
      <c r="E9" s="18" t="s">
        <v>1620</v>
      </c>
      <c r="F9" s="18" t="s">
        <v>1621</v>
      </c>
      <c r="G9" s="59">
        <v>764.9</v>
      </c>
      <c r="H9" s="59">
        <v>764.9</v>
      </c>
      <c r="I9" s="18" t="s">
        <v>150</v>
      </c>
      <c r="J9" s="18" t="s">
        <v>512</v>
      </c>
      <c r="K9" s="18" t="s">
        <v>1622</v>
      </c>
      <c r="L9" s="30" t="s">
        <v>1612</v>
      </c>
    </row>
    <row r="10" spans="1:12" hidden="1" x14ac:dyDescent="0.25">
      <c r="A10" s="18" t="s">
        <v>25</v>
      </c>
      <c r="B10" s="57">
        <v>1.6319444444444443E-3</v>
      </c>
      <c r="C10" s="58">
        <v>1</v>
      </c>
      <c r="D10" s="18" t="s">
        <v>1623</v>
      </c>
      <c r="E10" s="18" t="s">
        <v>1624</v>
      </c>
      <c r="F10" s="18" t="s">
        <v>1621</v>
      </c>
      <c r="G10" s="59">
        <v>76.63</v>
      </c>
      <c r="H10" s="59">
        <v>76.63</v>
      </c>
      <c r="I10" s="18" t="s">
        <v>1588</v>
      </c>
      <c r="J10" s="18" t="s">
        <v>44</v>
      </c>
      <c r="K10" s="18" t="s">
        <v>1622</v>
      </c>
      <c r="L10" s="30" t="s">
        <v>1612</v>
      </c>
    </row>
    <row r="11" spans="1:12" hidden="1" x14ac:dyDescent="0.25">
      <c r="A11" s="18" t="s">
        <v>25</v>
      </c>
      <c r="B11" s="57">
        <v>3.3680555555555556E-3</v>
      </c>
      <c r="C11" s="58">
        <v>4</v>
      </c>
      <c r="D11" s="18" t="s">
        <v>1625</v>
      </c>
      <c r="E11" s="18" t="s">
        <v>1626</v>
      </c>
      <c r="F11" s="18" t="s">
        <v>1621</v>
      </c>
      <c r="G11" s="59">
        <v>8.39</v>
      </c>
      <c r="H11" s="59">
        <v>33.56</v>
      </c>
      <c r="I11" s="18" t="s">
        <v>65</v>
      </c>
      <c r="J11" s="18" t="s">
        <v>368</v>
      </c>
      <c r="K11" s="18" t="s">
        <v>1622</v>
      </c>
      <c r="L11" s="30" t="s">
        <v>1612</v>
      </c>
    </row>
    <row r="12" spans="1:12" hidden="1" x14ac:dyDescent="0.25">
      <c r="A12" s="18" t="s">
        <v>25</v>
      </c>
      <c r="B12" s="57">
        <v>1.5740740740740741E-3</v>
      </c>
      <c r="C12" s="58">
        <v>2</v>
      </c>
      <c r="D12" s="18" t="s">
        <v>1627</v>
      </c>
      <c r="E12" s="18" t="s">
        <v>1628</v>
      </c>
      <c r="F12" s="18" t="s">
        <v>1621</v>
      </c>
      <c r="G12" s="59">
        <v>7.44</v>
      </c>
      <c r="H12" s="59">
        <v>14.88</v>
      </c>
      <c r="I12" s="18" t="s">
        <v>65</v>
      </c>
      <c r="J12" s="18" t="s">
        <v>368</v>
      </c>
      <c r="K12" s="18" t="s">
        <v>1622</v>
      </c>
      <c r="L12" s="30" t="s">
        <v>1612</v>
      </c>
    </row>
    <row r="13" spans="1:12" hidden="1" x14ac:dyDescent="0.25">
      <c r="A13" s="18" t="s">
        <v>25</v>
      </c>
      <c r="B13" s="57">
        <v>9.1435185185185185E-4</v>
      </c>
      <c r="C13" s="58">
        <v>1</v>
      </c>
      <c r="D13" s="18" t="s">
        <v>1629</v>
      </c>
      <c r="E13" s="18" t="s">
        <v>1630</v>
      </c>
      <c r="F13" s="18" t="s">
        <v>1621</v>
      </c>
      <c r="G13" s="59">
        <v>7.75</v>
      </c>
      <c r="H13" s="59">
        <v>7.75</v>
      </c>
      <c r="I13" s="18" t="s">
        <v>65</v>
      </c>
      <c r="J13" s="18" t="s">
        <v>368</v>
      </c>
      <c r="K13" s="18" t="s">
        <v>1622</v>
      </c>
      <c r="L13" s="30" t="s">
        <v>1612</v>
      </c>
    </row>
    <row r="14" spans="1:12" hidden="1" x14ac:dyDescent="0.25">
      <c r="A14" s="18" t="s">
        <v>25</v>
      </c>
      <c r="B14" s="57">
        <v>3.5763888888888889E-3</v>
      </c>
      <c r="C14" s="58">
        <v>1</v>
      </c>
      <c r="D14" s="18" t="s">
        <v>1631</v>
      </c>
      <c r="E14" s="18" t="s">
        <v>1632</v>
      </c>
      <c r="F14" s="18" t="s">
        <v>1621</v>
      </c>
      <c r="G14" s="59">
        <v>303.64999999999998</v>
      </c>
      <c r="H14" s="59">
        <v>303.64999999999998</v>
      </c>
      <c r="I14" s="18" t="s">
        <v>65</v>
      </c>
      <c r="J14" s="18" t="s">
        <v>1590</v>
      </c>
      <c r="K14" s="18" t="s">
        <v>1622</v>
      </c>
      <c r="L14" s="30" t="s">
        <v>1612</v>
      </c>
    </row>
    <row r="15" spans="1:12" hidden="1" x14ac:dyDescent="0.25">
      <c r="A15" s="18" t="s">
        <v>25</v>
      </c>
      <c r="B15" s="57">
        <v>6.9444444444444436E-4</v>
      </c>
      <c r="C15" s="58">
        <v>1</v>
      </c>
      <c r="D15" s="18" t="s">
        <v>1633</v>
      </c>
      <c r="E15" s="18" t="s">
        <v>1634</v>
      </c>
      <c r="F15" s="18" t="s">
        <v>1621</v>
      </c>
      <c r="G15" s="59">
        <v>19.12</v>
      </c>
      <c r="H15" s="59">
        <v>19.12</v>
      </c>
      <c r="I15" s="18" t="s">
        <v>367</v>
      </c>
      <c r="J15" s="18" t="s">
        <v>1599</v>
      </c>
      <c r="K15" s="18" t="s">
        <v>1622</v>
      </c>
      <c r="L15" s="30" t="s">
        <v>1612</v>
      </c>
    </row>
    <row r="16" spans="1:12" hidden="1" x14ac:dyDescent="0.25">
      <c r="A16" s="18" t="s">
        <v>25</v>
      </c>
      <c r="B16" s="57">
        <v>3.9930555555555552E-3</v>
      </c>
      <c r="C16" s="58">
        <v>4</v>
      </c>
      <c r="D16" s="18" t="s">
        <v>1635</v>
      </c>
      <c r="E16" s="18" t="s">
        <v>1636</v>
      </c>
      <c r="F16" s="18" t="s">
        <v>1637</v>
      </c>
      <c r="G16" s="59">
        <v>34.479999999999997</v>
      </c>
      <c r="H16" s="59">
        <v>137.91999999999999</v>
      </c>
      <c r="I16" s="18" t="s">
        <v>1585</v>
      </c>
      <c r="J16" s="18" t="s">
        <v>1585</v>
      </c>
      <c r="K16" s="18" t="s">
        <v>1638</v>
      </c>
      <c r="L16" s="30" t="s">
        <v>1612</v>
      </c>
    </row>
    <row r="17" spans="1:12" hidden="1" x14ac:dyDescent="0.25">
      <c r="A17" s="18" t="s">
        <v>25</v>
      </c>
      <c r="B17" s="57">
        <v>6.6435185185185182E-3</v>
      </c>
      <c r="C17" s="58">
        <v>12</v>
      </c>
      <c r="D17" s="18" t="s">
        <v>1639</v>
      </c>
      <c r="E17" s="18" t="s">
        <v>1640</v>
      </c>
      <c r="F17" s="18" t="s">
        <v>1637</v>
      </c>
      <c r="G17" s="59">
        <v>12.02</v>
      </c>
      <c r="H17" s="59">
        <v>144.24</v>
      </c>
      <c r="I17" s="18" t="s">
        <v>530</v>
      </c>
      <c r="J17" s="18" t="s">
        <v>530</v>
      </c>
      <c r="K17" s="18" t="s">
        <v>1638</v>
      </c>
      <c r="L17" s="30" t="s">
        <v>1612</v>
      </c>
    </row>
    <row r="18" spans="1:12" hidden="1" x14ac:dyDescent="0.25">
      <c r="A18" s="18" t="s">
        <v>25</v>
      </c>
      <c r="B18" s="57">
        <v>1.1805555555555556E-3</v>
      </c>
      <c r="C18" s="58">
        <v>2</v>
      </c>
      <c r="D18" s="18" t="s">
        <v>1641</v>
      </c>
      <c r="E18" s="18" t="s">
        <v>1642</v>
      </c>
      <c r="F18" s="18" t="s">
        <v>1637</v>
      </c>
      <c r="G18" s="59">
        <v>24.4</v>
      </c>
      <c r="H18" s="59">
        <v>48.8</v>
      </c>
      <c r="I18" s="18" t="s">
        <v>367</v>
      </c>
      <c r="J18" s="18" t="s">
        <v>1594</v>
      </c>
      <c r="K18" s="18" t="s">
        <v>1638</v>
      </c>
      <c r="L18" s="30" t="s">
        <v>1612</v>
      </c>
    </row>
    <row r="19" spans="1:12" hidden="1" x14ac:dyDescent="0.25">
      <c r="A19" s="18" t="s">
        <v>25</v>
      </c>
      <c r="B19" s="57">
        <v>3.460648148148148E-3</v>
      </c>
      <c r="C19" s="58">
        <v>6</v>
      </c>
      <c r="D19" s="18" t="s">
        <v>1643</v>
      </c>
      <c r="E19" s="18" t="s">
        <v>1644</v>
      </c>
      <c r="F19" s="18" t="s">
        <v>1637</v>
      </c>
      <c r="G19" s="59">
        <v>21.6</v>
      </c>
      <c r="H19" s="59">
        <v>129.6</v>
      </c>
      <c r="I19" s="18" t="s">
        <v>65</v>
      </c>
      <c r="J19" s="18" t="s">
        <v>65</v>
      </c>
      <c r="K19" s="18" t="s">
        <v>1638</v>
      </c>
      <c r="L19" s="30" t="s">
        <v>1612</v>
      </c>
    </row>
    <row r="20" spans="1:12" hidden="1" x14ac:dyDescent="0.25">
      <c r="A20" s="18" t="s">
        <v>25</v>
      </c>
      <c r="B20" s="57">
        <v>9.2592592592592585E-4</v>
      </c>
      <c r="C20" s="58">
        <v>2</v>
      </c>
      <c r="D20" s="18" t="s">
        <v>1645</v>
      </c>
      <c r="E20" s="18" t="s">
        <v>1646</v>
      </c>
      <c r="F20" s="18" t="s">
        <v>1637</v>
      </c>
      <c r="G20" s="59">
        <v>6.37</v>
      </c>
      <c r="H20" s="59">
        <v>12.74</v>
      </c>
      <c r="I20" s="18" t="s">
        <v>65</v>
      </c>
      <c r="J20" s="18" t="s">
        <v>1589</v>
      </c>
      <c r="K20" s="18" t="s">
        <v>1638</v>
      </c>
      <c r="L20" s="30" t="s">
        <v>1612</v>
      </c>
    </row>
    <row r="21" spans="1:12" hidden="1" x14ac:dyDescent="0.25">
      <c r="A21" s="18" t="s">
        <v>25</v>
      </c>
      <c r="B21" s="57">
        <v>7.8703703703703705E-4</v>
      </c>
      <c r="C21" s="58">
        <v>1</v>
      </c>
      <c r="D21" s="18" t="s">
        <v>1647</v>
      </c>
      <c r="E21" s="18" t="s">
        <v>1648</v>
      </c>
      <c r="F21" s="18" t="s">
        <v>1637</v>
      </c>
      <c r="G21" s="59">
        <v>667.12</v>
      </c>
      <c r="H21" s="59">
        <v>667.12</v>
      </c>
      <c r="I21" s="18" t="s">
        <v>65</v>
      </c>
      <c r="J21" s="18" t="s">
        <v>1589</v>
      </c>
      <c r="K21" s="18" t="s">
        <v>1638</v>
      </c>
      <c r="L21" s="30" t="s">
        <v>1612</v>
      </c>
    </row>
    <row r="22" spans="1:12" hidden="1" x14ac:dyDescent="0.25">
      <c r="A22" s="18" t="s">
        <v>25</v>
      </c>
      <c r="B22" s="57">
        <v>7.2916666666666659E-4</v>
      </c>
      <c r="C22" s="58">
        <v>1</v>
      </c>
      <c r="D22" s="18" t="s">
        <v>1649</v>
      </c>
      <c r="E22" s="18" t="s">
        <v>1650</v>
      </c>
      <c r="F22" s="18" t="s">
        <v>1637</v>
      </c>
      <c r="G22" s="59">
        <v>93.39</v>
      </c>
      <c r="H22" s="59">
        <v>93.39</v>
      </c>
      <c r="I22" s="18" t="s">
        <v>65</v>
      </c>
      <c r="J22" s="18" t="s">
        <v>1590</v>
      </c>
      <c r="K22" s="18" t="s">
        <v>1638</v>
      </c>
      <c r="L22" s="30" t="s">
        <v>1612</v>
      </c>
    </row>
    <row r="23" spans="1:12" hidden="1" x14ac:dyDescent="0.25">
      <c r="A23" s="18" t="s">
        <v>25</v>
      </c>
      <c r="B23" s="57">
        <v>7.407407407407407E-4</v>
      </c>
      <c r="C23" s="58">
        <v>1</v>
      </c>
      <c r="D23" s="18" t="s">
        <v>1651</v>
      </c>
      <c r="E23" s="18" t="s">
        <v>1652</v>
      </c>
      <c r="F23" s="18" t="s">
        <v>1637</v>
      </c>
      <c r="G23" s="59">
        <v>120.42</v>
      </c>
      <c r="H23" s="59">
        <v>120.42</v>
      </c>
      <c r="I23" s="18" t="s">
        <v>65</v>
      </c>
      <c r="J23" s="18" t="s">
        <v>1589</v>
      </c>
      <c r="K23" s="18" t="s">
        <v>1638</v>
      </c>
      <c r="L23" s="30" t="s">
        <v>1612</v>
      </c>
    </row>
    <row r="24" spans="1:12" hidden="1" x14ac:dyDescent="0.25">
      <c r="A24" s="18" t="s">
        <v>25</v>
      </c>
      <c r="B24" s="57">
        <v>7.407407407407407E-4</v>
      </c>
      <c r="C24" s="58">
        <v>1</v>
      </c>
      <c r="D24" s="18" t="s">
        <v>1653</v>
      </c>
      <c r="E24" s="18" t="s">
        <v>1650</v>
      </c>
      <c r="F24" s="18" t="s">
        <v>1637</v>
      </c>
      <c r="G24" s="59">
        <v>93.39</v>
      </c>
      <c r="H24" s="59">
        <v>93.39</v>
      </c>
      <c r="I24" s="18" t="s">
        <v>65</v>
      </c>
      <c r="J24" s="18" t="s">
        <v>1590</v>
      </c>
      <c r="K24" s="18" t="s">
        <v>1638</v>
      </c>
      <c r="L24" s="30" t="s">
        <v>1612</v>
      </c>
    </row>
    <row r="25" spans="1:12" hidden="1" x14ac:dyDescent="0.25">
      <c r="A25" s="18" t="s">
        <v>25</v>
      </c>
      <c r="B25" s="57">
        <v>7.407407407407407E-4</v>
      </c>
      <c r="C25" s="58">
        <v>1</v>
      </c>
      <c r="D25" s="18" t="s">
        <v>1654</v>
      </c>
      <c r="E25" s="18" t="s">
        <v>1655</v>
      </c>
      <c r="F25" s="18" t="s">
        <v>1637</v>
      </c>
      <c r="G25" s="59">
        <v>114.36</v>
      </c>
      <c r="H25" s="59">
        <v>114.36</v>
      </c>
      <c r="I25" s="18" t="s">
        <v>65</v>
      </c>
      <c r="J25" s="18" t="s">
        <v>1589</v>
      </c>
      <c r="K25" s="18" t="s">
        <v>1638</v>
      </c>
      <c r="L25" s="30" t="s">
        <v>1612</v>
      </c>
    </row>
    <row r="26" spans="1:12" hidden="1" x14ac:dyDescent="0.25">
      <c r="A26" s="18" t="s">
        <v>25</v>
      </c>
      <c r="B26" s="57">
        <v>7.8703703703703705E-4</v>
      </c>
      <c r="C26" s="58">
        <v>1</v>
      </c>
      <c r="D26" s="18" t="s">
        <v>1656</v>
      </c>
      <c r="E26" s="18" t="s">
        <v>1648</v>
      </c>
      <c r="F26" s="18" t="s">
        <v>1637</v>
      </c>
      <c r="G26" s="59">
        <v>667.12</v>
      </c>
      <c r="H26" s="59">
        <v>667.12</v>
      </c>
      <c r="I26" s="18" t="s">
        <v>65</v>
      </c>
      <c r="J26" s="18" t="s">
        <v>1591</v>
      </c>
      <c r="K26" s="18" t="s">
        <v>1638</v>
      </c>
      <c r="L26" s="30" t="s">
        <v>1612</v>
      </c>
    </row>
    <row r="27" spans="1:12" hidden="1" x14ac:dyDescent="0.25">
      <c r="A27" s="18" t="s">
        <v>25</v>
      </c>
      <c r="B27" s="57">
        <v>6.5972222222222224E-4</v>
      </c>
      <c r="C27" s="58">
        <v>1</v>
      </c>
      <c r="D27" s="18" t="s">
        <v>1657</v>
      </c>
      <c r="E27" s="18" t="s">
        <v>1658</v>
      </c>
      <c r="F27" s="18" t="s">
        <v>1637</v>
      </c>
      <c r="G27" s="59">
        <v>120.42</v>
      </c>
      <c r="H27" s="59">
        <v>120.42</v>
      </c>
      <c r="I27" s="18" t="s">
        <v>65</v>
      </c>
      <c r="J27" s="18" t="s">
        <v>1591</v>
      </c>
      <c r="K27" s="18" t="s">
        <v>1638</v>
      </c>
      <c r="L27" s="30" t="s">
        <v>1612</v>
      </c>
    </row>
    <row r="28" spans="1:12" hidden="1" x14ac:dyDescent="0.25">
      <c r="A28" s="18" t="s">
        <v>25</v>
      </c>
      <c r="B28" s="57">
        <v>7.407407407407407E-4</v>
      </c>
      <c r="C28" s="58">
        <v>1</v>
      </c>
      <c r="D28" s="18" t="s">
        <v>1659</v>
      </c>
      <c r="E28" s="18" t="s">
        <v>1660</v>
      </c>
      <c r="F28" s="18" t="s">
        <v>1637</v>
      </c>
      <c r="G28" s="59">
        <v>114.35</v>
      </c>
      <c r="H28" s="59">
        <v>114.35</v>
      </c>
      <c r="I28" s="18" t="s">
        <v>65</v>
      </c>
      <c r="J28" s="18" t="s">
        <v>1591</v>
      </c>
      <c r="K28" s="18" t="s">
        <v>1638</v>
      </c>
      <c r="L28" s="30" t="s">
        <v>1612</v>
      </c>
    </row>
    <row r="29" spans="1:12" hidden="1" x14ac:dyDescent="0.25">
      <c r="A29" s="18" t="s">
        <v>25</v>
      </c>
      <c r="B29" s="57">
        <v>2.4884259259259256E-3</v>
      </c>
      <c r="C29" s="58">
        <v>2</v>
      </c>
      <c r="D29" s="18" t="s">
        <v>1661</v>
      </c>
      <c r="E29" s="18" t="s">
        <v>1662</v>
      </c>
      <c r="F29" s="18" t="s">
        <v>1637</v>
      </c>
      <c r="G29" s="59">
        <v>35.79</v>
      </c>
      <c r="H29" s="59">
        <v>71.58</v>
      </c>
      <c r="I29" s="18" t="s">
        <v>65</v>
      </c>
      <c r="J29" s="18" t="s">
        <v>1598</v>
      </c>
      <c r="K29" s="18" t="s">
        <v>1638</v>
      </c>
      <c r="L29" s="30" t="s">
        <v>1612</v>
      </c>
    </row>
    <row r="30" spans="1:12" hidden="1" x14ac:dyDescent="0.25">
      <c r="A30" s="18" t="s">
        <v>25</v>
      </c>
      <c r="B30" s="57">
        <v>1.5046296296296296E-3</v>
      </c>
      <c r="C30" s="58">
        <v>1</v>
      </c>
      <c r="D30" s="18" t="s">
        <v>1663</v>
      </c>
      <c r="E30" s="18" t="s">
        <v>1664</v>
      </c>
      <c r="F30" s="18" t="s">
        <v>1637</v>
      </c>
      <c r="G30" s="59">
        <v>266.63</v>
      </c>
      <c r="H30" s="59">
        <v>266.63</v>
      </c>
      <c r="I30" s="18" t="s">
        <v>1665</v>
      </c>
      <c r="J30" s="18" t="s">
        <v>115</v>
      </c>
      <c r="K30" s="18" t="s">
        <v>1666</v>
      </c>
      <c r="L30" s="30" t="s">
        <v>1612</v>
      </c>
    </row>
    <row r="31" spans="1:12" hidden="1" x14ac:dyDescent="0.25">
      <c r="A31" s="18" t="s">
        <v>25</v>
      </c>
      <c r="B31" s="57">
        <v>1.4583333333333332E-3</v>
      </c>
      <c r="C31" s="58">
        <v>2</v>
      </c>
      <c r="D31" s="18" t="s">
        <v>1667</v>
      </c>
      <c r="E31" s="18" t="s">
        <v>1668</v>
      </c>
      <c r="F31" s="18" t="s">
        <v>1637</v>
      </c>
      <c r="G31" s="59">
        <v>31.19</v>
      </c>
      <c r="H31" s="59">
        <v>62.38</v>
      </c>
      <c r="I31" s="18" t="s">
        <v>1588</v>
      </c>
      <c r="J31" s="18" t="s">
        <v>1588</v>
      </c>
      <c r="K31" s="18" t="s">
        <v>1666</v>
      </c>
      <c r="L31" s="30" t="s">
        <v>1612</v>
      </c>
    </row>
    <row r="32" spans="1:12" hidden="1" x14ac:dyDescent="0.25">
      <c r="A32" s="18" t="s">
        <v>25</v>
      </c>
      <c r="B32" s="57">
        <v>1.4699074074074074E-3</v>
      </c>
      <c r="C32" s="58">
        <v>2</v>
      </c>
      <c r="D32" s="18" t="s">
        <v>1669</v>
      </c>
      <c r="E32" s="18" t="s">
        <v>1670</v>
      </c>
      <c r="F32" s="18" t="s">
        <v>1637</v>
      </c>
      <c r="G32" s="59">
        <v>31.63</v>
      </c>
      <c r="H32" s="59">
        <v>63.26</v>
      </c>
      <c r="I32" s="18" t="s">
        <v>1588</v>
      </c>
      <c r="J32" s="18" t="s">
        <v>1588</v>
      </c>
      <c r="K32" s="18" t="s">
        <v>1666</v>
      </c>
      <c r="L32" s="30" t="s">
        <v>1612</v>
      </c>
    </row>
    <row r="33" spans="1:12" hidden="1" x14ac:dyDescent="0.25">
      <c r="A33" s="18" t="s">
        <v>25</v>
      </c>
      <c r="B33" s="57">
        <v>1.6435185185185185E-3</v>
      </c>
      <c r="C33" s="58">
        <v>1</v>
      </c>
      <c r="D33" s="18" t="s">
        <v>1671</v>
      </c>
      <c r="E33" s="18" t="s">
        <v>1664</v>
      </c>
      <c r="F33" s="18" t="s">
        <v>1637</v>
      </c>
      <c r="G33" s="59">
        <v>266.63</v>
      </c>
      <c r="H33" s="59">
        <v>266.63</v>
      </c>
      <c r="I33" s="18" t="s">
        <v>1672</v>
      </c>
      <c r="J33" s="18" t="s">
        <v>115</v>
      </c>
      <c r="K33" s="18" t="s">
        <v>1666</v>
      </c>
      <c r="L33" s="30" t="s">
        <v>1612</v>
      </c>
    </row>
    <row r="34" spans="1:12" hidden="1" x14ac:dyDescent="0.25">
      <c r="A34" s="18" t="s">
        <v>25</v>
      </c>
      <c r="B34" s="57">
        <v>1.5162037037037036E-3</v>
      </c>
      <c r="C34" s="58">
        <v>1</v>
      </c>
      <c r="D34" s="18" t="s">
        <v>1673</v>
      </c>
      <c r="E34" s="18" t="s">
        <v>1674</v>
      </c>
      <c r="F34" s="18" t="s">
        <v>1637</v>
      </c>
      <c r="G34" s="59">
        <v>59.15</v>
      </c>
      <c r="H34" s="59">
        <v>59.15</v>
      </c>
      <c r="I34" s="18" t="s">
        <v>367</v>
      </c>
      <c r="J34" s="18" t="s">
        <v>368</v>
      </c>
      <c r="K34" s="18" t="s">
        <v>1666</v>
      </c>
      <c r="L34" s="30" t="s">
        <v>1612</v>
      </c>
    </row>
    <row r="35" spans="1:12" hidden="1" x14ac:dyDescent="0.25">
      <c r="A35" s="18" t="s">
        <v>25</v>
      </c>
      <c r="B35" s="57">
        <v>6.4814814814814813E-4</v>
      </c>
      <c r="C35" s="58">
        <v>1</v>
      </c>
      <c r="D35" s="18" t="s">
        <v>1675</v>
      </c>
      <c r="E35" s="18" t="s">
        <v>1676</v>
      </c>
      <c r="F35" s="18" t="s">
        <v>1637</v>
      </c>
      <c r="G35" s="59">
        <v>21.57</v>
      </c>
      <c r="H35" s="59">
        <v>21.57</v>
      </c>
      <c r="I35" s="18" t="s">
        <v>367</v>
      </c>
      <c r="J35" s="18" t="s">
        <v>368</v>
      </c>
      <c r="K35" s="18" t="s">
        <v>1666</v>
      </c>
      <c r="L35" s="30" t="s">
        <v>1612</v>
      </c>
    </row>
    <row r="36" spans="1:12" hidden="1" x14ac:dyDescent="0.25">
      <c r="A36" s="18" t="s">
        <v>25</v>
      </c>
      <c r="B36" s="57">
        <v>1.5162037037037036E-3</v>
      </c>
      <c r="C36" s="58">
        <v>1</v>
      </c>
      <c r="D36" s="18" t="s">
        <v>1677</v>
      </c>
      <c r="E36" s="18" t="s">
        <v>1674</v>
      </c>
      <c r="F36" s="18" t="s">
        <v>1637</v>
      </c>
      <c r="G36" s="59">
        <v>59.15</v>
      </c>
      <c r="H36" s="59">
        <v>59.15</v>
      </c>
      <c r="I36" s="18" t="s">
        <v>367</v>
      </c>
      <c r="J36" s="18" t="s">
        <v>368</v>
      </c>
      <c r="K36" s="18" t="s">
        <v>1666</v>
      </c>
      <c r="L36" s="30" t="s">
        <v>1612</v>
      </c>
    </row>
    <row r="37" spans="1:12" hidden="1" x14ac:dyDescent="0.25">
      <c r="A37" s="18" t="s">
        <v>25</v>
      </c>
      <c r="B37" s="57">
        <v>6.7129629629629625E-4</v>
      </c>
      <c r="C37" s="58">
        <v>1</v>
      </c>
      <c r="D37" s="18" t="s">
        <v>1678</v>
      </c>
      <c r="E37" s="18" t="s">
        <v>1679</v>
      </c>
      <c r="F37" s="18" t="s">
        <v>1637</v>
      </c>
      <c r="G37" s="59">
        <v>32.659999999999997</v>
      </c>
      <c r="H37" s="59">
        <v>32.659999999999997</v>
      </c>
      <c r="I37" s="18" t="s">
        <v>367</v>
      </c>
      <c r="J37" s="18" t="s">
        <v>368</v>
      </c>
      <c r="K37" s="18" t="s">
        <v>1666</v>
      </c>
      <c r="L37" s="30" t="s">
        <v>1612</v>
      </c>
    </row>
    <row r="38" spans="1:12" hidden="1" x14ac:dyDescent="0.25">
      <c r="A38" s="18" t="s">
        <v>25</v>
      </c>
      <c r="B38" s="57">
        <v>6.7129629629629625E-4</v>
      </c>
      <c r="C38" s="58">
        <v>1</v>
      </c>
      <c r="D38" s="18" t="s">
        <v>1680</v>
      </c>
      <c r="E38" s="18" t="s">
        <v>1679</v>
      </c>
      <c r="F38" s="18" t="s">
        <v>1637</v>
      </c>
      <c r="G38" s="59">
        <v>32.659999999999997</v>
      </c>
      <c r="H38" s="59">
        <v>32.659999999999997</v>
      </c>
      <c r="I38" s="18" t="s">
        <v>367</v>
      </c>
      <c r="J38" s="18" t="s">
        <v>368</v>
      </c>
      <c r="K38" s="18" t="s">
        <v>1666</v>
      </c>
      <c r="L38" s="30" t="s">
        <v>1612</v>
      </c>
    </row>
    <row r="39" spans="1:12" hidden="1" x14ac:dyDescent="0.25">
      <c r="A39" s="18" t="s">
        <v>25</v>
      </c>
      <c r="B39" s="57">
        <v>7.1759259259259259E-4</v>
      </c>
      <c r="C39" s="58">
        <v>1</v>
      </c>
      <c r="D39" s="18" t="s">
        <v>1681</v>
      </c>
      <c r="E39" s="18" t="s">
        <v>1676</v>
      </c>
      <c r="F39" s="18" t="s">
        <v>1637</v>
      </c>
      <c r="G39" s="59">
        <v>21.57</v>
      </c>
      <c r="H39" s="59">
        <v>21.57</v>
      </c>
      <c r="I39" s="18" t="s">
        <v>367</v>
      </c>
      <c r="J39" s="18" t="s">
        <v>368</v>
      </c>
      <c r="K39" s="18" t="s">
        <v>1666</v>
      </c>
      <c r="L39" s="30" t="s">
        <v>1612</v>
      </c>
    </row>
    <row r="40" spans="1:12" hidden="1" x14ac:dyDescent="0.25">
      <c r="A40" s="18" t="s">
        <v>25</v>
      </c>
      <c r="B40" s="57">
        <v>1.4004629629629629E-3</v>
      </c>
      <c r="C40" s="58">
        <v>1</v>
      </c>
      <c r="D40" s="18" t="s">
        <v>1682</v>
      </c>
      <c r="E40" s="18" t="s">
        <v>1683</v>
      </c>
      <c r="F40" s="18" t="s">
        <v>1637</v>
      </c>
      <c r="G40" s="59">
        <v>339.24</v>
      </c>
      <c r="H40" s="59">
        <v>339.24</v>
      </c>
      <c r="I40" s="18" t="s">
        <v>367</v>
      </c>
      <c r="J40" s="18" t="s">
        <v>367</v>
      </c>
      <c r="K40" s="18" t="s">
        <v>1666</v>
      </c>
      <c r="L40" s="30" t="s">
        <v>1612</v>
      </c>
    </row>
    <row r="41" spans="1:12" hidden="1" x14ac:dyDescent="0.25">
      <c r="A41" s="18" t="s">
        <v>25</v>
      </c>
      <c r="B41" s="57">
        <v>1.0879629629629629E-3</v>
      </c>
      <c r="C41" s="58">
        <v>1</v>
      </c>
      <c r="D41" s="18" t="s">
        <v>1684</v>
      </c>
      <c r="E41" s="18" t="s">
        <v>1685</v>
      </c>
      <c r="F41" s="18" t="s">
        <v>1637</v>
      </c>
      <c r="G41" s="59">
        <v>50.36</v>
      </c>
      <c r="H41" s="59">
        <v>50.36</v>
      </c>
      <c r="I41" s="18" t="s">
        <v>367</v>
      </c>
      <c r="J41" s="18" t="s">
        <v>367</v>
      </c>
      <c r="K41" s="18" t="s">
        <v>1666</v>
      </c>
      <c r="L41" s="30" t="s">
        <v>1612</v>
      </c>
    </row>
    <row r="42" spans="1:12" hidden="1" x14ac:dyDescent="0.25">
      <c r="A42" s="18" t="s">
        <v>25</v>
      </c>
      <c r="B42" s="57">
        <v>8.7962962962962962E-4</v>
      </c>
      <c r="C42" s="58">
        <v>1</v>
      </c>
      <c r="D42" s="18" t="s">
        <v>1686</v>
      </c>
      <c r="E42" s="18" t="s">
        <v>1685</v>
      </c>
      <c r="F42" s="18" t="s">
        <v>1637</v>
      </c>
      <c r="G42" s="59">
        <v>50.36</v>
      </c>
      <c r="H42" s="59">
        <v>50.36</v>
      </c>
      <c r="I42" s="18" t="s">
        <v>367</v>
      </c>
      <c r="J42" s="18" t="s">
        <v>367</v>
      </c>
      <c r="K42" s="18" t="s">
        <v>1666</v>
      </c>
      <c r="L42" s="30" t="s">
        <v>1612</v>
      </c>
    </row>
    <row r="43" spans="1:12" hidden="1" x14ac:dyDescent="0.25">
      <c r="A43" s="18" t="s">
        <v>25</v>
      </c>
      <c r="B43" s="57">
        <v>1.4004629629629629E-3</v>
      </c>
      <c r="C43" s="58">
        <v>1</v>
      </c>
      <c r="D43" s="18" t="s">
        <v>1687</v>
      </c>
      <c r="E43" s="18" t="s">
        <v>1683</v>
      </c>
      <c r="F43" s="18" t="s">
        <v>1637</v>
      </c>
      <c r="G43" s="59">
        <v>339.24</v>
      </c>
      <c r="H43" s="59">
        <v>339.24</v>
      </c>
      <c r="I43" s="18" t="s">
        <v>367</v>
      </c>
      <c r="J43" s="18" t="s">
        <v>367</v>
      </c>
      <c r="K43" s="18" t="s">
        <v>1666</v>
      </c>
      <c r="L43" s="30" t="s">
        <v>1612</v>
      </c>
    </row>
    <row r="44" spans="1:12" hidden="1" x14ac:dyDescent="0.25">
      <c r="A44" s="18" t="s">
        <v>25</v>
      </c>
      <c r="B44" s="57">
        <v>8.5648148148148139E-4</v>
      </c>
      <c r="C44" s="58">
        <v>1</v>
      </c>
      <c r="D44" s="18" t="s">
        <v>1688</v>
      </c>
      <c r="E44" s="18" t="s">
        <v>1689</v>
      </c>
      <c r="F44" s="18" t="s">
        <v>1637</v>
      </c>
      <c r="G44" s="59">
        <v>106.36</v>
      </c>
      <c r="H44" s="59">
        <v>106.36</v>
      </c>
      <c r="I44" s="18" t="s">
        <v>367</v>
      </c>
      <c r="J44" s="18" t="s">
        <v>512</v>
      </c>
      <c r="K44" s="18" t="s">
        <v>1666</v>
      </c>
      <c r="L44" s="30" t="s">
        <v>1612</v>
      </c>
    </row>
    <row r="45" spans="1:12" hidden="1" x14ac:dyDescent="0.25">
      <c r="A45" s="18" t="s">
        <v>25</v>
      </c>
      <c r="B45" s="57">
        <v>1.3310185185185185E-3</v>
      </c>
      <c r="C45" s="58">
        <v>1</v>
      </c>
      <c r="D45" s="18" t="s">
        <v>1690</v>
      </c>
      <c r="E45" s="18" t="s">
        <v>1674</v>
      </c>
      <c r="F45" s="18" t="s">
        <v>1637</v>
      </c>
      <c r="G45" s="59">
        <v>59.15</v>
      </c>
      <c r="H45" s="59">
        <v>59.15</v>
      </c>
      <c r="I45" s="18" t="s">
        <v>65</v>
      </c>
      <c r="J45" s="18" t="s">
        <v>512</v>
      </c>
      <c r="K45" s="18" t="s">
        <v>1666</v>
      </c>
      <c r="L45" s="30" t="s">
        <v>1612</v>
      </c>
    </row>
    <row r="46" spans="1:12" hidden="1" x14ac:dyDescent="0.25">
      <c r="A46" s="18" t="s">
        <v>25</v>
      </c>
      <c r="B46" s="57">
        <v>1.1574074074074073E-3</v>
      </c>
      <c r="C46" s="58">
        <v>1</v>
      </c>
      <c r="D46" s="18" t="s">
        <v>1691</v>
      </c>
      <c r="E46" s="18" t="s">
        <v>1674</v>
      </c>
      <c r="F46" s="18" t="s">
        <v>1637</v>
      </c>
      <c r="G46" s="59">
        <v>59.15</v>
      </c>
      <c r="H46" s="59">
        <v>59.15</v>
      </c>
      <c r="I46" s="18" t="s">
        <v>65</v>
      </c>
      <c r="J46" s="18" t="s">
        <v>512</v>
      </c>
      <c r="K46" s="18" t="s">
        <v>1666</v>
      </c>
      <c r="L46" s="30" t="s">
        <v>1612</v>
      </c>
    </row>
    <row r="47" spans="1:12" hidden="1" x14ac:dyDescent="0.25">
      <c r="A47" s="18" t="s">
        <v>25</v>
      </c>
      <c r="B47" s="57">
        <v>6.2500000000000001E-4</v>
      </c>
      <c r="C47" s="58">
        <v>1</v>
      </c>
      <c r="D47" s="18" t="s">
        <v>1692</v>
      </c>
      <c r="E47" s="18" t="s">
        <v>1693</v>
      </c>
      <c r="F47" s="18" t="s">
        <v>1637</v>
      </c>
      <c r="G47" s="59">
        <v>20.28</v>
      </c>
      <c r="H47" s="59">
        <v>20.28</v>
      </c>
      <c r="I47" s="18" t="s">
        <v>65</v>
      </c>
      <c r="J47" s="18" t="s">
        <v>512</v>
      </c>
      <c r="K47" s="18" t="s">
        <v>1666</v>
      </c>
      <c r="L47" s="30" t="s">
        <v>1612</v>
      </c>
    </row>
    <row r="48" spans="1:12" hidden="1" x14ac:dyDescent="0.25">
      <c r="A48" s="18" t="s">
        <v>25</v>
      </c>
      <c r="B48" s="57">
        <v>6.2500000000000001E-4</v>
      </c>
      <c r="C48" s="58">
        <v>1</v>
      </c>
      <c r="D48" s="18" t="s">
        <v>1694</v>
      </c>
      <c r="E48" s="18" t="s">
        <v>1693</v>
      </c>
      <c r="F48" s="18" t="s">
        <v>1637</v>
      </c>
      <c r="G48" s="59">
        <v>20.28</v>
      </c>
      <c r="H48" s="59">
        <v>20.28</v>
      </c>
      <c r="I48" s="18" t="s">
        <v>65</v>
      </c>
      <c r="J48" s="18" t="s">
        <v>512</v>
      </c>
      <c r="K48" s="18" t="s">
        <v>1666</v>
      </c>
      <c r="L48" s="30" t="s">
        <v>1612</v>
      </c>
    </row>
    <row r="49" spans="1:12" hidden="1" x14ac:dyDescent="0.25">
      <c r="A49" s="18" t="s">
        <v>25</v>
      </c>
      <c r="B49" s="57">
        <v>9.2592592592592585E-4</v>
      </c>
      <c r="C49" s="58">
        <v>1</v>
      </c>
      <c r="D49" s="18" t="s">
        <v>1695</v>
      </c>
      <c r="E49" s="18" t="s">
        <v>1696</v>
      </c>
      <c r="F49" s="18" t="s">
        <v>1637</v>
      </c>
      <c r="G49" s="59">
        <v>20.350000000000001</v>
      </c>
      <c r="H49" s="59">
        <v>20.350000000000001</v>
      </c>
      <c r="I49" s="18" t="s">
        <v>65</v>
      </c>
      <c r="J49" s="18" t="s">
        <v>368</v>
      </c>
      <c r="K49" s="18" t="s">
        <v>1666</v>
      </c>
      <c r="L49" s="30" t="s">
        <v>1612</v>
      </c>
    </row>
    <row r="50" spans="1:12" hidden="1" x14ac:dyDescent="0.25">
      <c r="A50" s="18" t="s">
        <v>25</v>
      </c>
      <c r="B50" s="57">
        <v>5.5555555555555556E-4</v>
      </c>
      <c r="C50" s="58">
        <v>1</v>
      </c>
      <c r="D50" s="18" t="s">
        <v>1697</v>
      </c>
      <c r="E50" s="18" t="s">
        <v>1698</v>
      </c>
      <c r="F50" s="18" t="s">
        <v>1637</v>
      </c>
      <c r="G50" s="59">
        <v>7.66</v>
      </c>
      <c r="H50" s="59">
        <v>7.66</v>
      </c>
      <c r="I50" s="18" t="s">
        <v>65</v>
      </c>
      <c r="J50" s="18" t="s">
        <v>1589</v>
      </c>
      <c r="K50" s="18" t="s">
        <v>1666</v>
      </c>
      <c r="L50" s="30" t="s">
        <v>1612</v>
      </c>
    </row>
    <row r="51" spans="1:12" hidden="1" x14ac:dyDescent="0.25">
      <c r="A51" s="18" t="s">
        <v>25</v>
      </c>
      <c r="B51" s="57">
        <v>5.2083333333333333E-4</v>
      </c>
      <c r="C51" s="58">
        <v>1</v>
      </c>
      <c r="D51" s="18" t="s">
        <v>1699</v>
      </c>
      <c r="E51" s="18" t="s">
        <v>1700</v>
      </c>
      <c r="F51" s="18" t="s">
        <v>1637</v>
      </c>
      <c r="G51" s="59">
        <v>6.38</v>
      </c>
      <c r="H51" s="59">
        <v>6.38</v>
      </c>
      <c r="I51" s="18" t="s">
        <v>65</v>
      </c>
      <c r="J51" s="18" t="s">
        <v>1589</v>
      </c>
      <c r="K51" s="18" t="s">
        <v>1666</v>
      </c>
      <c r="L51" s="30" t="s">
        <v>1612</v>
      </c>
    </row>
    <row r="52" spans="1:12" hidden="1" x14ac:dyDescent="0.25">
      <c r="A52" s="18" t="s">
        <v>25</v>
      </c>
      <c r="B52" s="57">
        <v>1.0532407407407407E-3</v>
      </c>
      <c r="C52" s="58">
        <v>2</v>
      </c>
      <c r="D52" s="18" t="s">
        <v>1701</v>
      </c>
      <c r="E52" s="18" t="s">
        <v>1702</v>
      </c>
      <c r="F52" s="18" t="s">
        <v>1637</v>
      </c>
      <c r="G52" s="59">
        <v>6.54</v>
      </c>
      <c r="H52" s="59">
        <v>13.08</v>
      </c>
      <c r="I52" s="18" t="s">
        <v>65</v>
      </c>
      <c r="J52" s="18" t="s">
        <v>1589</v>
      </c>
      <c r="K52" s="18" t="s">
        <v>1666</v>
      </c>
      <c r="L52" s="30" t="s">
        <v>1612</v>
      </c>
    </row>
    <row r="53" spans="1:12" hidden="1" x14ac:dyDescent="0.25">
      <c r="A53" s="18" t="s">
        <v>25</v>
      </c>
      <c r="B53" s="57">
        <v>5.2083333333333333E-4</v>
      </c>
      <c r="C53" s="58">
        <v>1</v>
      </c>
      <c r="D53" s="18" t="s">
        <v>1703</v>
      </c>
      <c r="E53" s="18" t="s">
        <v>1700</v>
      </c>
      <c r="F53" s="18" t="s">
        <v>1637</v>
      </c>
      <c r="G53" s="59">
        <v>6.38</v>
      </c>
      <c r="H53" s="59">
        <v>6.38</v>
      </c>
      <c r="I53" s="18" t="s">
        <v>65</v>
      </c>
      <c r="J53" s="18" t="s">
        <v>1591</v>
      </c>
      <c r="K53" s="18" t="s">
        <v>1666</v>
      </c>
      <c r="L53" s="30" t="s">
        <v>1612</v>
      </c>
    </row>
    <row r="54" spans="1:12" hidden="1" x14ac:dyDescent="0.25">
      <c r="A54" s="18" t="s">
        <v>25</v>
      </c>
      <c r="B54" s="57">
        <v>1.0532407407407407E-3</v>
      </c>
      <c r="C54" s="58">
        <v>2</v>
      </c>
      <c r="D54" s="18" t="s">
        <v>1704</v>
      </c>
      <c r="E54" s="18" t="s">
        <v>1702</v>
      </c>
      <c r="F54" s="18" t="s">
        <v>1637</v>
      </c>
      <c r="G54" s="59">
        <v>6.54</v>
      </c>
      <c r="H54" s="59">
        <v>13.08</v>
      </c>
      <c r="I54" s="18" t="s">
        <v>65</v>
      </c>
      <c r="J54" s="18" t="s">
        <v>1591</v>
      </c>
      <c r="K54" s="18" t="s">
        <v>1666</v>
      </c>
      <c r="L54" s="30" t="s">
        <v>1612</v>
      </c>
    </row>
    <row r="55" spans="1:12" hidden="1" x14ac:dyDescent="0.25">
      <c r="A55" s="18" t="s">
        <v>25</v>
      </c>
      <c r="B55" s="57">
        <v>1.8518518518518517E-3</v>
      </c>
      <c r="C55" s="58">
        <v>2</v>
      </c>
      <c r="D55" s="18" t="s">
        <v>1705</v>
      </c>
      <c r="E55" s="18" t="s">
        <v>1706</v>
      </c>
      <c r="F55" s="18" t="s">
        <v>1637</v>
      </c>
      <c r="G55" s="59">
        <v>61.11</v>
      </c>
      <c r="H55" s="59">
        <v>122.22</v>
      </c>
      <c r="I55" s="18" t="s">
        <v>65</v>
      </c>
      <c r="J55" s="18" t="s">
        <v>1591</v>
      </c>
      <c r="K55" s="18" t="s">
        <v>1666</v>
      </c>
      <c r="L55" s="30" t="s">
        <v>1612</v>
      </c>
    </row>
    <row r="56" spans="1:12" hidden="1" x14ac:dyDescent="0.25">
      <c r="A56" s="18" t="s">
        <v>25</v>
      </c>
      <c r="B56" s="57">
        <v>1.8518518518518517E-3</v>
      </c>
      <c r="C56" s="58">
        <v>2</v>
      </c>
      <c r="D56" s="18" t="s">
        <v>1707</v>
      </c>
      <c r="E56" s="18" t="s">
        <v>1706</v>
      </c>
      <c r="F56" s="18" t="s">
        <v>1637</v>
      </c>
      <c r="G56" s="59">
        <v>61.14</v>
      </c>
      <c r="H56" s="59">
        <v>122.28</v>
      </c>
      <c r="I56" s="18" t="s">
        <v>65</v>
      </c>
      <c r="J56" s="18" t="s">
        <v>1591</v>
      </c>
      <c r="K56" s="18" t="s">
        <v>1666</v>
      </c>
      <c r="L56" s="30" t="s">
        <v>1612</v>
      </c>
    </row>
    <row r="57" spans="1:12" hidden="1" x14ac:dyDescent="0.25">
      <c r="A57" s="18" t="s">
        <v>25</v>
      </c>
      <c r="B57" s="57">
        <v>1.8518518518518517E-3</v>
      </c>
      <c r="C57" s="58">
        <v>2</v>
      </c>
      <c r="D57" s="18" t="s">
        <v>1708</v>
      </c>
      <c r="E57" s="18" t="s">
        <v>1706</v>
      </c>
      <c r="F57" s="18" t="s">
        <v>1637</v>
      </c>
      <c r="G57" s="59">
        <v>61.11</v>
      </c>
      <c r="H57" s="59">
        <v>122.22</v>
      </c>
      <c r="I57" s="18" t="s">
        <v>65</v>
      </c>
      <c r="J57" s="18" t="s">
        <v>512</v>
      </c>
      <c r="K57" s="18" t="s">
        <v>1666</v>
      </c>
      <c r="L57" s="30" t="s">
        <v>1612</v>
      </c>
    </row>
    <row r="58" spans="1:12" hidden="1" x14ac:dyDescent="0.25">
      <c r="A58" s="18" t="s">
        <v>25</v>
      </c>
      <c r="B58" s="57">
        <v>1.9907407407407408E-3</v>
      </c>
      <c r="C58" s="58">
        <v>2</v>
      </c>
      <c r="D58" s="18" t="s">
        <v>1709</v>
      </c>
      <c r="E58" s="18" t="s">
        <v>1710</v>
      </c>
      <c r="F58" s="18" t="s">
        <v>1637</v>
      </c>
      <c r="G58" s="59">
        <v>60.23</v>
      </c>
      <c r="H58" s="59">
        <v>120.46</v>
      </c>
      <c r="I58" s="18" t="s">
        <v>65</v>
      </c>
      <c r="J58" s="18" t="s">
        <v>512</v>
      </c>
      <c r="K58" s="18" t="s">
        <v>1666</v>
      </c>
      <c r="L58" s="30" t="s">
        <v>1612</v>
      </c>
    </row>
    <row r="59" spans="1:12" hidden="1" x14ac:dyDescent="0.25">
      <c r="A59" s="18" t="s">
        <v>25</v>
      </c>
      <c r="B59" s="57">
        <v>5.3240740740740744E-4</v>
      </c>
      <c r="C59" s="58">
        <v>1</v>
      </c>
      <c r="D59" s="18" t="s">
        <v>1639</v>
      </c>
      <c r="E59" s="18" t="s">
        <v>1640</v>
      </c>
      <c r="F59" s="18" t="s">
        <v>1637</v>
      </c>
      <c r="G59" s="59">
        <v>12.02</v>
      </c>
      <c r="H59" s="59">
        <v>12.02</v>
      </c>
      <c r="I59" s="18" t="s">
        <v>530</v>
      </c>
      <c r="J59" s="18" t="s">
        <v>530</v>
      </c>
      <c r="K59" s="18" t="s">
        <v>1711</v>
      </c>
      <c r="L59" s="30" t="s">
        <v>1612</v>
      </c>
    </row>
    <row r="60" spans="1:12" hidden="1" x14ac:dyDescent="0.25">
      <c r="A60" s="18" t="s">
        <v>25</v>
      </c>
      <c r="B60" s="57">
        <v>1.1689814814814813E-3</v>
      </c>
      <c r="C60" s="58">
        <v>2</v>
      </c>
      <c r="D60" s="18" t="s">
        <v>1712</v>
      </c>
      <c r="E60" s="18" t="s">
        <v>1670</v>
      </c>
      <c r="F60" s="18" t="s">
        <v>1637</v>
      </c>
      <c r="G60" s="59">
        <v>31.63</v>
      </c>
      <c r="H60" s="59">
        <v>63.26</v>
      </c>
      <c r="I60" s="18" t="s">
        <v>530</v>
      </c>
      <c r="J60" s="18" t="s">
        <v>530</v>
      </c>
      <c r="K60" s="18" t="s">
        <v>1711</v>
      </c>
      <c r="L60" s="30" t="s">
        <v>1612</v>
      </c>
    </row>
    <row r="61" spans="1:12" hidden="1" x14ac:dyDescent="0.25">
      <c r="A61" s="18" t="s">
        <v>25</v>
      </c>
      <c r="B61" s="57">
        <v>2.8819444444444444E-3</v>
      </c>
      <c r="C61" s="58">
        <v>5</v>
      </c>
      <c r="D61" s="18" t="s">
        <v>1713</v>
      </c>
      <c r="E61" s="18" t="s">
        <v>1714</v>
      </c>
      <c r="F61" s="18" t="s">
        <v>1637</v>
      </c>
      <c r="G61" s="59">
        <v>12.08</v>
      </c>
      <c r="H61" s="59">
        <v>60.4</v>
      </c>
      <c r="I61" s="18" t="s">
        <v>1588</v>
      </c>
      <c r="J61" s="18" t="s">
        <v>1588</v>
      </c>
      <c r="K61" s="18" t="s">
        <v>1711</v>
      </c>
      <c r="L61" s="30" t="s">
        <v>1612</v>
      </c>
    </row>
    <row r="62" spans="1:12" hidden="1" x14ac:dyDescent="0.25">
      <c r="A62" s="18" t="s">
        <v>25</v>
      </c>
      <c r="B62" s="57">
        <v>1.2962962962962963E-3</v>
      </c>
      <c r="C62" s="58">
        <v>2</v>
      </c>
      <c r="D62" s="18" t="s">
        <v>1715</v>
      </c>
      <c r="E62" s="18" t="s">
        <v>1716</v>
      </c>
      <c r="F62" s="18" t="s">
        <v>1637</v>
      </c>
      <c r="G62" s="59">
        <v>32.11</v>
      </c>
      <c r="H62" s="59">
        <v>64.22</v>
      </c>
      <c r="I62" s="18" t="s">
        <v>1588</v>
      </c>
      <c r="J62" s="18" t="s">
        <v>512</v>
      </c>
      <c r="K62" s="18" t="s">
        <v>1711</v>
      </c>
      <c r="L62" s="30" t="s">
        <v>1612</v>
      </c>
    </row>
    <row r="63" spans="1:12" hidden="1" x14ac:dyDescent="0.25">
      <c r="A63" s="18" t="s">
        <v>25</v>
      </c>
      <c r="B63" s="57">
        <v>2.4768518518518516E-3</v>
      </c>
      <c r="C63" s="58">
        <v>4</v>
      </c>
      <c r="D63" s="18" t="s">
        <v>1717</v>
      </c>
      <c r="E63" s="18" t="s">
        <v>1718</v>
      </c>
      <c r="F63" s="18" t="s">
        <v>1637</v>
      </c>
      <c r="G63" s="59">
        <v>25.53</v>
      </c>
      <c r="H63" s="59">
        <v>102.12</v>
      </c>
      <c r="I63" s="18" t="s">
        <v>1588</v>
      </c>
      <c r="J63" s="18" t="s">
        <v>1588</v>
      </c>
      <c r="K63" s="18" t="s">
        <v>1711</v>
      </c>
      <c r="L63" s="30" t="s">
        <v>1612</v>
      </c>
    </row>
    <row r="64" spans="1:12" hidden="1" x14ac:dyDescent="0.25">
      <c r="A64" s="18" t="s">
        <v>25</v>
      </c>
      <c r="B64" s="57">
        <v>5.9027777777777778E-4</v>
      </c>
      <c r="C64" s="58">
        <v>1</v>
      </c>
      <c r="D64" s="18" t="s">
        <v>1719</v>
      </c>
      <c r="E64" s="18" t="s">
        <v>1720</v>
      </c>
      <c r="F64" s="18" t="s">
        <v>1637</v>
      </c>
      <c r="G64" s="59">
        <v>32.630000000000003</v>
      </c>
      <c r="H64" s="59">
        <v>32.630000000000003</v>
      </c>
      <c r="I64" s="18" t="s">
        <v>367</v>
      </c>
      <c r="J64" s="18" t="s">
        <v>368</v>
      </c>
      <c r="K64" s="18" t="s">
        <v>1711</v>
      </c>
      <c r="L64" s="30" t="s">
        <v>1612</v>
      </c>
    </row>
    <row r="65" spans="1:12" hidden="1" x14ac:dyDescent="0.25">
      <c r="A65" s="18" t="s">
        <v>25</v>
      </c>
      <c r="B65" s="57">
        <v>1.1342592592592591E-3</v>
      </c>
      <c r="C65" s="58">
        <v>2</v>
      </c>
      <c r="D65" s="18" t="s">
        <v>1721</v>
      </c>
      <c r="E65" s="18" t="s">
        <v>1722</v>
      </c>
      <c r="F65" s="18" t="s">
        <v>1637</v>
      </c>
      <c r="G65" s="59">
        <v>25.81</v>
      </c>
      <c r="H65" s="59">
        <v>51.62</v>
      </c>
      <c r="I65" s="18" t="s">
        <v>367</v>
      </c>
      <c r="J65" s="18" t="s">
        <v>368</v>
      </c>
      <c r="K65" s="18" t="s">
        <v>1711</v>
      </c>
      <c r="L65" s="30" t="s">
        <v>1612</v>
      </c>
    </row>
    <row r="66" spans="1:12" hidden="1" x14ac:dyDescent="0.25">
      <c r="A66" s="18" t="s">
        <v>25</v>
      </c>
      <c r="B66" s="57">
        <v>1.5162037037037036E-3</v>
      </c>
      <c r="C66" s="58">
        <v>2</v>
      </c>
      <c r="D66" s="18" t="s">
        <v>1723</v>
      </c>
      <c r="E66" s="18" t="s">
        <v>1724</v>
      </c>
      <c r="F66" s="18" t="s">
        <v>1637</v>
      </c>
      <c r="G66" s="59">
        <v>71.62</v>
      </c>
      <c r="H66" s="59">
        <v>143.24</v>
      </c>
      <c r="I66" s="18" t="s">
        <v>367</v>
      </c>
      <c r="J66" s="18" t="s">
        <v>1594</v>
      </c>
      <c r="K66" s="18" t="s">
        <v>1711</v>
      </c>
      <c r="L66" s="30" t="s">
        <v>1612</v>
      </c>
    </row>
    <row r="67" spans="1:12" hidden="1" x14ac:dyDescent="0.25">
      <c r="A67" s="18" t="s">
        <v>25</v>
      </c>
      <c r="B67" s="57">
        <v>7.5231481481481482E-4</v>
      </c>
      <c r="C67" s="58">
        <v>1</v>
      </c>
      <c r="D67" s="18" t="s">
        <v>1725</v>
      </c>
      <c r="E67" s="18" t="s">
        <v>1726</v>
      </c>
      <c r="F67" s="18" t="s">
        <v>1637</v>
      </c>
      <c r="G67" s="59">
        <v>43.7</v>
      </c>
      <c r="H67" s="59">
        <v>43.7</v>
      </c>
      <c r="I67" s="18" t="s">
        <v>367</v>
      </c>
      <c r="J67" s="18" t="s">
        <v>512</v>
      </c>
      <c r="K67" s="18" t="s">
        <v>1711</v>
      </c>
      <c r="L67" s="30" t="s">
        <v>1612</v>
      </c>
    </row>
    <row r="68" spans="1:12" hidden="1" x14ac:dyDescent="0.25">
      <c r="A68" s="18" t="s">
        <v>25</v>
      </c>
      <c r="B68" s="57">
        <v>9.1435185185185185E-4</v>
      </c>
      <c r="C68" s="58">
        <v>1</v>
      </c>
      <c r="D68" s="18" t="s">
        <v>1727</v>
      </c>
      <c r="E68" s="18" t="s">
        <v>1726</v>
      </c>
      <c r="F68" s="18" t="s">
        <v>1637</v>
      </c>
      <c r="G68" s="59">
        <v>43.7</v>
      </c>
      <c r="H68" s="59">
        <v>43.7</v>
      </c>
      <c r="I68" s="18" t="s">
        <v>367</v>
      </c>
      <c r="J68" s="18" t="s">
        <v>512</v>
      </c>
      <c r="K68" s="18" t="s">
        <v>1711</v>
      </c>
      <c r="L68" s="30" t="s">
        <v>1612</v>
      </c>
    </row>
    <row r="69" spans="1:12" hidden="1" x14ac:dyDescent="0.25">
      <c r="A69" s="18" t="s">
        <v>25</v>
      </c>
      <c r="B69" s="57">
        <v>2.2222222222222222E-3</v>
      </c>
      <c r="C69" s="58">
        <v>4</v>
      </c>
      <c r="D69" s="18" t="s">
        <v>1643</v>
      </c>
      <c r="E69" s="18" t="s">
        <v>1644</v>
      </c>
      <c r="F69" s="18" t="s">
        <v>1637</v>
      </c>
      <c r="G69" s="59">
        <v>21.6</v>
      </c>
      <c r="H69" s="59">
        <v>86.4</v>
      </c>
      <c r="I69" s="18" t="s">
        <v>65</v>
      </c>
      <c r="J69" s="18" t="s">
        <v>65</v>
      </c>
      <c r="K69" s="18" t="s">
        <v>1711</v>
      </c>
      <c r="L69" s="30" t="s">
        <v>1612</v>
      </c>
    </row>
    <row r="70" spans="1:12" hidden="1" x14ac:dyDescent="0.25">
      <c r="A70" s="18" t="s">
        <v>25</v>
      </c>
      <c r="B70" s="57">
        <v>1.1574074074074073E-3</v>
      </c>
      <c r="C70" s="58">
        <v>1</v>
      </c>
      <c r="D70" s="18" t="s">
        <v>1728</v>
      </c>
      <c r="E70" s="18" t="s">
        <v>1729</v>
      </c>
      <c r="F70" s="18" t="s">
        <v>1637</v>
      </c>
      <c r="G70" s="59">
        <v>108.08</v>
      </c>
      <c r="H70" s="59">
        <v>108.08</v>
      </c>
      <c r="I70" s="18" t="s">
        <v>65</v>
      </c>
      <c r="J70" s="18" t="s">
        <v>368</v>
      </c>
      <c r="K70" s="18" t="s">
        <v>1711</v>
      </c>
      <c r="L70" s="30" t="s">
        <v>1612</v>
      </c>
    </row>
    <row r="71" spans="1:12" hidden="1" x14ac:dyDescent="0.25">
      <c r="A71" s="18" t="s">
        <v>25</v>
      </c>
      <c r="B71" s="57">
        <v>1.1342592592592591E-3</v>
      </c>
      <c r="C71" s="58">
        <v>1</v>
      </c>
      <c r="D71" s="18" t="s">
        <v>1730</v>
      </c>
      <c r="E71" s="18" t="s">
        <v>1731</v>
      </c>
      <c r="F71" s="18" t="s">
        <v>1637</v>
      </c>
      <c r="G71" s="59">
        <v>193.37</v>
      </c>
      <c r="H71" s="59">
        <v>193.37</v>
      </c>
      <c r="I71" s="18" t="s">
        <v>65</v>
      </c>
      <c r="J71" s="18" t="s">
        <v>368</v>
      </c>
      <c r="K71" s="18" t="s">
        <v>1711</v>
      </c>
      <c r="L71" s="30" t="s">
        <v>1612</v>
      </c>
    </row>
    <row r="72" spans="1:12" hidden="1" x14ac:dyDescent="0.25">
      <c r="A72" s="18" t="s">
        <v>25</v>
      </c>
      <c r="B72" s="57">
        <v>1.1689814814814813E-3</v>
      </c>
      <c r="C72" s="58">
        <v>1</v>
      </c>
      <c r="D72" s="18" t="s">
        <v>1732</v>
      </c>
      <c r="E72" s="18" t="s">
        <v>1733</v>
      </c>
      <c r="F72" s="18" t="s">
        <v>1637</v>
      </c>
      <c r="G72" s="59">
        <v>214.01</v>
      </c>
      <c r="H72" s="59">
        <v>214.01</v>
      </c>
      <c r="I72" s="18" t="s">
        <v>65</v>
      </c>
      <c r="J72" s="18" t="s">
        <v>368</v>
      </c>
      <c r="K72" s="18" t="s">
        <v>1711</v>
      </c>
      <c r="L72" s="30" t="s">
        <v>1612</v>
      </c>
    </row>
    <row r="73" spans="1:12" hidden="1" x14ac:dyDescent="0.25">
      <c r="A73" s="18" t="s">
        <v>25</v>
      </c>
      <c r="B73" s="57">
        <v>1.1689814814814813E-3</v>
      </c>
      <c r="C73" s="58">
        <v>1</v>
      </c>
      <c r="D73" s="18" t="s">
        <v>1734</v>
      </c>
      <c r="E73" s="18" t="s">
        <v>1735</v>
      </c>
      <c r="F73" s="18" t="s">
        <v>1637</v>
      </c>
      <c r="G73" s="59">
        <v>215.09</v>
      </c>
      <c r="H73" s="59">
        <v>215.09</v>
      </c>
      <c r="I73" s="18" t="s">
        <v>65</v>
      </c>
      <c r="J73" s="18" t="s">
        <v>368</v>
      </c>
      <c r="K73" s="18" t="s">
        <v>1711</v>
      </c>
      <c r="L73" s="30" t="s">
        <v>1612</v>
      </c>
    </row>
    <row r="74" spans="1:12" hidden="1" x14ac:dyDescent="0.25">
      <c r="A74" s="18" t="s">
        <v>25</v>
      </c>
      <c r="B74" s="57">
        <v>1.1458333333333333E-3</v>
      </c>
      <c r="C74" s="58">
        <v>1</v>
      </c>
      <c r="D74" s="18" t="s">
        <v>1736</v>
      </c>
      <c r="E74" s="18" t="s">
        <v>1731</v>
      </c>
      <c r="F74" s="18" t="s">
        <v>1637</v>
      </c>
      <c r="G74" s="59">
        <v>192.83</v>
      </c>
      <c r="H74" s="59">
        <v>192.83</v>
      </c>
      <c r="I74" s="18" t="s">
        <v>65</v>
      </c>
      <c r="J74" s="18" t="s">
        <v>368</v>
      </c>
      <c r="K74" s="18" t="s">
        <v>1711</v>
      </c>
      <c r="L74" s="30" t="s">
        <v>1612</v>
      </c>
    </row>
    <row r="75" spans="1:12" hidden="1" x14ac:dyDescent="0.25">
      <c r="A75" s="18" t="s">
        <v>25</v>
      </c>
      <c r="B75" s="57">
        <v>1.3194444444444445E-3</v>
      </c>
      <c r="C75" s="58">
        <v>1</v>
      </c>
      <c r="D75" s="18" t="s">
        <v>1737</v>
      </c>
      <c r="E75" s="18" t="s">
        <v>1729</v>
      </c>
      <c r="F75" s="18" t="s">
        <v>1637</v>
      </c>
      <c r="G75" s="59">
        <v>108.2</v>
      </c>
      <c r="H75" s="59">
        <v>108.2</v>
      </c>
      <c r="I75" s="18" t="s">
        <v>65</v>
      </c>
      <c r="J75" s="18" t="s">
        <v>368</v>
      </c>
      <c r="K75" s="18" t="s">
        <v>1711</v>
      </c>
      <c r="L75" s="30" t="s">
        <v>1612</v>
      </c>
    </row>
    <row r="76" spans="1:12" hidden="1" x14ac:dyDescent="0.25">
      <c r="A76" s="18" t="s">
        <v>25</v>
      </c>
      <c r="B76" s="57">
        <v>4.7337962962962958E-3</v>
      </c>
      <c r="C76" s="58">
        <v>8</v>
      </c>
      <c r="D76" s="18" t="s">
        <v>1738</v>
      </c>
      <c r="E76" s="18" t="s">
        <v>1739</v>
      </c>
      <c r="F76" s="18" t="s">
        <v>1637</v>
      </c>
      <c r="G76" s="59">
        <v>33.229999999999997</v>
      </c>
      <c r="H76" s="59">
        <v>265.83999999999997</v>
      </c>
      <c r="I76" s="18" t="s">
        <v>65</v>
      </c>
      <c r="J76" s="18" t="s">
        <v>368</v>
      </c>
      <c r="K76" s="18" t="s">
        <v>1711</v>
      </c>
      <c r="L76" s="30" t="s">
        <v>1612</v>
      </c>
    </row>
    <row r="77" spans="1:12" hidden="1" x14ac:dyDescent="0.25">
      <c r="A77" s="18" t="s">
        <v>25</v>
      </c>
      <c r="B77" s="57">
        <v>9.2592592592592585E-4</v>
      </c>
      <c r="C77" s="58">
        <v>2</v>
      </c>
      <c r="D77" s="18" t="s">
        <v>1701</v>
      </c>
      <c r="E77" s="18" t="s">
        <v>1702</v>
      </c>
      <c r="F77" s="18" t="s">
        <v>1637</v>
      </c>
      <c r="G77" s="59">
        <v>6.54</v>
      </c>
      <c r="H77" s="59">
        <v>13.08</v>
      </c>
      <c r="I77" s="18" t="s">
        <v>65</v>
      </c>
      <c r="J77" s="18" t="s">
        <v>1589</v>
      </c>
      <c r="K77" s="18" t="s">
        <v>1711</v>
      </c>
      <c r="L77" s="30" t="s">
        <v>1612</v>
      </c>
    </row>
    <row r="78" spans="1:12" hidden="1" x14ac:dyDescent="0.25">
      <c r="A78" s="18" t="s">
        <v>25</v>
      </c>
      <c r="B78" s="57">
        <v>1.1458333333333333E-3</v>
      </c>
      <c r="C78" s="58">
        <v>2</v>
      </c>
      <c r="D78" s="18" t="s">
        <v>1740</v>
      </c>
      <c r="E78" s="18" t="s">
        <v>1741</v>
      </c>
      <c r="F78" s="18" t="s">
        <v>1637</v>
      </c>
      <c r="G78" s="59">
        <v>27.13</v>
      </c>
      <c r="H78" s="59">
        <v>54.26</v>
      </c>
      <c r="I78" s="18" t="s">
        <v>65</v>
      </c>
      <c r="J78" s="18" t="s">
        <v>1591</v>
      </c>
      <c r="K78" s="18" t="s">
        <v>1711</v>
      </c>
      <c r="L78" s="30" t="s">
        <v>1612</v>
      </c>
    </row>
    <row r="79" spans="1:12" hidden="1" x14ac:dyDescent="0.25">
      <c r="A79" s="18" t="s">
        <v>25</v>
      </c>
      <c r="B79" s="57">
        <v>7.407407407407407E-4</v>
      </c>
      <c r="C79" s="58">
        <v>1</v>
      </c>
      <c r="D79" s="18" t="s">
        <v>1742</v>
      </c>
      <c r="E79" s="18" t="s">
        <v>1743</v>
      </c>
      <c r="F79" s="18" t="s">
        <v>1637</v>
      </c>
      <c r="G79" s="59">
        <v>189.4</v>
      </c>
      <c r="H79" s="59">
        <v>189.4</v>
      </c>
      <c r="I79" s="18" t="s">
        <v>65</v>
      </c>
      <c r="J79" s="18" t="s">
        <v>1596</v>
      </c>
      <c r="K79" s="18" t="s">
        <v>1711</v>
      </c>
      <c r="L79" s="30" t="s">
        <v>1612</v>
      </c>
    </row>
    <row r="80" spans="1:12" hidden="1" x14ac:dyDescent="0.25">
      <c r="A80" s="18" t="s">
        <v>25</v>
      </c>
      <c r="B80" s="57">
        <v>9.3749999999999997E-4</v>
      </c>
      <c r="C80" s="58">
        <v>1</v>
      </c>
      <c r="D80" s="18" t="s">
        <v>1744</v>
      </c>
      <c r="E80" s="18" t="s">
        <v>1745</v>
      </c>
      <c r="F80" s="18" t="s">
        <v>1637</v>
      </c>
      <c r="G80" s="59">
        <v>189.29</v>
      </c>
      <c r="H80" s="59">
        <v>189.29</v>
      </c>
      <c r="I80" s="18" t="s">
        <v>65</v>
      </c>
      <c r="J80" s="18" t="s">
        <v>1597</v>
      </c>
      <c r="K80" s="18" t="s">
        <v>1711</v>
      </c>
      <c r="L80" s="30" t="s">
        <v>1612</v>
      </c>
    </row>
    <row r="81" spans="1:12" hidden="1" x14ac:dyDescent="0.25">
      <c r="A81" s="18" t="s">
        <v>25</v>
      </c>
      <c r="B81" s="57">
        <v>1.2847222222222223E-3</v>
      </c>
      <c r="C81" s="58">
        <v>2</v>
      </c>
      <c r="D81" s="18" t="s">
        <v>1746</v>
      </c>
      <c r="E81" s="18" t="s">
        <v>1747</v>
      </c>
      <c r="F81" s="18" t="s">
        <v>1637</v>
      </c>
      <c r="G81" s="59">
        <v>24.73</v>
      </c>
      <c r="H81" s="59">
        <v>49.46</v>
      </c>
      <c r="I81" s="18" t="s">
        <v>65</v>
      </c>
      <c r="J81" s="18" t="s">
        <v>512</v>
      </c>
      <c r="K81" s="18" t="s">
        <v>1711</v>
      </c>
      <c r="L81" s="30" t="s">
        <v>1612</v>
      </c>
    </row>
    <row r="82" spans="1:12" hidden="1" x14ac:dyDescent="0.25">
      <c r="A82" s="18" t="s">
        <v>25</v>
      </c>
      <c r="B82" s="57">
        <v>2.1412037037037038E-3</v>
      </c>
      <c r="C82" s="58">
        <v>2</v>
      </c>
      <c r="D82" s="18" t="s">
        <v>1635</v>
      </c>
      <c r="E82" s="18" t="s">
        <v>1636</v>
      </c>
      <c r="F82" s="18" t="s">
        <v>1637</v>
      </c>
      <c r="G82" s="59">
        <v>34.479999999999997</v>
      </c>
      <c r="H82" s="59">
        <v>68.959999999999994</v>
      </c>
      <c r="I82" s="18" t="s">
        <v>1585</v>
      </c>
      <c r="J82" s="18" t="s">
        <v>1585</v>
      </c>
      <c r="K82" s="18" t="s">
        <v>1748</v>
      </c>
      <c r="L82" s="30" t="s">
        <v>1612</v>
      </c>
    </row>
    <row r="83" spans="1:12" hidden="1" x14ac:dyDescent="0.25">
      <c r="A83" s="18" t="s">
        <v>25</v>
      </c>
      <c r="B83" s="57">
        <v>1.261574074074074E-3</v>
      </c>
      <c r="C83" s="58">
        <v>2</v>
      </c>
      <c r="D83" s="18" t="s">
        <v>1749</v>
      </c>
      <c r="E83" s="18" t="s">
        <v>1747</v>
      </c>
      <c r="F83" s="18" t="s">
        <v>1637</v>
      </c>
      <c r="G83" s="59">
        <v>24.63</v>
      </c>
      <c r="H83" s="59">
        <v>49.26</v>
      </c>
      <c r="I83" s="18" t="s">
        <v>367</v>
      </c>
      <c r="J83" s="18" t="s">
        <v>512</v>
      </c>
      <c r="K83" s="18" t="s">
        <v>1748</v>
      </c>
      <c r="L83" s="30" t="s">
        <v>1612</v>
      </c>
    </row>
    <row r="84" spans="1:12" hidden="1" x14ac:dyDescent="0.25">
      <c r="A84" s="18" t="s">
        <v>25</v>
      </c>
      <c r="B84" s="57">
        <v>1.261574074074074E-3</v>
      </c>
      <c r="C84" s="58">
        <v>2</v>
      </c>
      <c r="D84" s="18" t="s">
        <v>1750</v>
      </c>
      <c r="E84" s="18" t="s">
        <v>1747</v>
      </c>
      <c r="F84" s="18" t="s">
        <v>1637</v>
      </c>
      <c r="G84" s="59">
        <v>24.63</v>
      </c>
      <c r="H84" s="59">
        <v>49.26</v>
      </c>
      <c r="I84" s="18" t="s">
        <v>367</v>
      </c>
      <c r="J84" s="18" t="s">
        <v>512</v>
      </c>
      <c r="K84" s="18" t="s">
        <v>1748</v>
      </c>
      <c r="L84" s="30" t="s">
        <v>1612</v>
      </c>
    </row>
    <row r="85" spans="1:12" hidden="1" x14ac:dyDescent="0.25">
      <c r="A85" s="18" t="s">
        <v>25</v>
      </c>
      <c r="B85" s="57">
        <v>3.0902777777777777E-3</v>
      </c>
      <c r="C85" s="58">
        <v>3</v>
      </c>
      <c r="D85" s="18" t="s">
        <v>1751</v>
      </c>
      <c r="E85" s="18" t="s">
        <v>1752</v>
      </c>
      <c r="F85" s="18" t="s">
        <v>1637</v>
      </c>
      <c r="G85" s="59">
        <v>43.8</v>
      </c>
      <c r="H85" s="59">
        <v>131.4</v>
      </c>
      <c r="I85" s="18" t="s">
        <v>367</v>
      </c>
      <c r="J85" s="18" t="s">
        <v>512</v>
      </c>
      <c r="K85" s="18" t="s">
        <v>1748</v>
      </c>
      <c r="L85" s="30" t="s">
        <v>1612</v>
      </c>
    </row>
    <row r="86" spans="1:12" hidden="1" x14ac:dyDescent="0.25">
      <c r="A86" s="18" t="s">
        <v>25</v>
      </c>
      <c r="B86" s="57">
        <v>2.3263888888888887E-3</v>
      </c>
      <c r="C86" s="58">
        <v>3</v>
      </c>
      <c r="D86" s="18" t="s">
        <v>1753</v>
      </c>
      <c r="E86" s="18" t="s">
        <v>1752</v>
      </c>
      <c r="F86" s="18" t="s">
        <v>1637</v>
      </c>
      <c r="G86" s="59">
        <v>43.53</v>
      </c>
      <c r="H86" s="59">
        <v>130.59</v>
      </c>
      <c r="I86" s="18" t="s">
        <v>367</v>
      </c>
      <c r="J86" s="18" t="s">
        <v>512</v>
      </c>
      <c r="K86" s="18" t="s">
        <v>1748</v>
      </c>
      <c r="L86" s="30" t="s">
        <v>1612</v>
      </c>
    </row>
    <row r="87" spans="1:12" hidden="1" x14ac:dyDescent="0.25">
      <c r="A87" s="18" t="s">
        <v>25</v>
      </c>
      <c r="B87" s="57">
        <v>9.0277777777777774E-4</v>
      </c>
      <c r="C87" s="58">
        <v>1</v>
      </c>
      <c r="D87" s="18" t="s">
        <v>1695</v>
      </c>
      <c r="E87" s="18" t="s">
        <v>1696</v>
      </c>
      <c r="F87" s="18" t="s">
        <v>1637</v>
      </c>
      <c r="G87" s="59">
        <v>20.350000000000001</v>
      </c>
      <c r="H87" s="59">
        <v>20.350000000000001</v>
      </c>
      <c r="I87" s="18" t="s">
        <v>65</v>
      </c>
      <c r="J87" s="18" t="s">
        <v>368</v>
      </c>
      <c r="K87" s="18" t="s">
        <v>1748</v>
      </c>
      <c r="L87" s="30" t="s">
        <v>1612</v>
      </c>
    </row>
    <row r="88" spans="1:12" hidden="1" x14ac:dyDescent="0.25">
      <c r="A88" s="18" t="s">
        <v>25</v>
      </c>
      <c r="B88" s="57">
        <v>4.3981481481481481E-4</v>
      </c>
      <c r="C88" s="58">
        <v>1</v>
      </c>
      <c r="D88" s="18" t="s">
        <v>1754</v>
      </c>
      <c r="E88" s="18" t="s">
        <v>1755</v>
      </c>
      <c r="F88" s="18" t="s">
        <v>1637</v>
      </c>
      <c r="G88" s="59">
        <v>3.83</v>
      </c>
      <c r="H88" s="59">
        <v>3.83</v>
      </c>
      <c r="I88" s="18" t="s">
        <v>65</v>
      </c>
      <c r="J88" s="18" t="s">
        <v>1589</v>
      </c>
      <c r="K88" s="18" t="s">
        <v>1748</v>
      </c>
      <c r="L88" s="30" t="s">
        <v>1612</v>
      </c>
    </row>
    <row r="89" spans="1:12" hidden="1" x14ac:dyDescent="0.25">
      <c r="A89" s="18" t="s">
        <v>25</v>
      </c>
      <c r="B89" s="57">
        <v>1.1226851851851851E-3</v>
      </c>
      <c r="C89" s="58">
        <v>1</v>
      </c>
      <c r="D89" s="18" t="s">
        <v>1756</v>
      </c>
      <c r="E89" s="18" t="s">
        <v>1757</v>
      </c>
      <c r="F89" s="18" t="s">
        <v>1637</v>
      </c>
      <c r="G89" s="59">
        <v>101.02</v>
      </c>
      <c r="H89" s="59">
        <v>101.02</v>
      </c>
      <c r="I89" s="18" t="s">
        <v>65</v>
      </c>
      <c r="J89" s="18" t="s">
        <v>1589</v>
      </c>
      <c r="K89" s="18" t="s">
        <v>1748</v>
      </c>
      <c r="L89" s="30" t="s">
        <v>1612</v>
      </c>
    </row>
    <row r="90" spans="1:12" hidden="1" x14ac:dyDescent="0.25">
      <c r="A90" s="18" t="s">
        <v>25</v>
      </c>
      <c r="B90" s="57">
        <v>5.0925925925925921E-4</v>
      </c>
      <c r="C90" s="58">
        <v>1</v>
      </c>
      <c r="D90" s="18" t="s">
        <v>1701</v>
      </c>
      <c r="E90" s="18" t="s">
        <v>1702</v>
      </c>
      <c r="F90" s="18" t="s">
        <v>1637</v>
      </c>
      <c r="G90" s="59">
        <v>6.54</v>
      </c>
      <c r="H90" s="59">
        <v>6.54</v>
      </c>
      <c r="I90" s="18" t="s">
        <v>65</v>
      </c>
      <c r="J90" s="18" t="s">
        <v>1589</v>
      </c>
      <c r="K90" s="18" t="s">
        <v>1748</v>
      </c>
      <c r="L90" s="30" t="s">
        <v>1612</v>
      </c>
    </row>
    <row r="91" spans="1:12" hidden="1" x14ac:dyDescent="0.25">
      <c r="A91" s="18" t="s">
        <v>25</v>
      </c>
      <c r="B91" s="57">
        <v>4.3981481481481481E-4</v>
      </c>
      <c r="C91" s="58">
        <v>1</v>
      </c>
      <c r="D91" s="18" t="s">
        <v>1758</v>
      </c>
      <c r="E91" s="18" t="s">
        <v>1755</v>
      </c>
      <c r="F91" s="18" t="s">
        <v>1637</v>
      </c>
      <c r="G91" s="59">
        <v>3.83</v>
      </c>
      <c r="H91" s="59">
        <v>3.83</v>
      </c>
      <c r="I91" s="18" t="s">
        <v>65</v>
      </c>
      <c r="J91" s="18" t="s">
        <v>1591</v>
      </c>
      <c r="K91" s="18" t="s">
        <v>1748</v>
      </c>
      <c r="L91" s="30" t="s">
        <v>1612</v>
      </c>
    </row>
    <row r="92" spans="1:12" hidden="1" x14ac:dyDescent="0.25">
      <c r="A92" s="18" t="s">
        <v>25</v>
      </c>
      <c r="B92" s="57">
        <v>7.0601851851851847E-4</v>
      </c>
      <c r="C92" s="58">
        <v>1</v>
      </c>
      <c r="D92" s="18" t="s">
        <v>1759</v>
      </c>
      <c r="E92" s="18" t="s">
        <v>1760</v>
      </c>
      <c r="F92" s="18" t="s">
        <v>1637</v>
      </c>
      <c r="G92" s="59">
        <v>853.09</v>
      </c>
      <c r="H92" s="59">
        <v>853.09</v>
      </c>
      <c r="I92" s="18" t="s">
        <v>65</v>
      </c>
      <c r="J92" s="18" t="s">
        <v>1589</v>
      </c>
      <c r="K92" s="18" t="s">
        <v>1748</v>
      </c>
      <c r="L92" s="30" t="s">
        <v>1612</v>
      </c>
    </row>
    <row r="93" spans="1:12" hidden="1" x14ac:dyDescent="0.25">
      <c r="A93" s="18" t="s">
        <v>25</v>
      </c>
      <c r="B93" s="57">
        <v>5.4398148148148144E-4</v>
      </c>
      <c r="C93" s="58">
        <v>1</v>
      </c>
      <c r="D93" s="18" t="s">
        <v>1761</v>
      </c>
      <c r="E93" s="18" t="s">
        <v>1698</v>
      </c>
      <c r="F93" s="18" t="s">
        <v>1637</v>
      </c>
      <c r="G93" s="59">
        <v>7.66</v>
      </c>
      <c r="H93" s="59">
        <v>7.66</v>
      </c>
      <c r="I93" s="18" t="s">
        <v>65</v>
      </c>
      <c r="J93" s="18" t="s">
        <v>1591</v>
      </c>
      <c r="K93" s="18" t="s">
        <v>1748</v>
      </c>
      <c r="L93" s="30" t="s">
        <v>1612</v>
      </c>
    </row>
    <row r="94" spans="1:12" hidden="1" x14ac:dyDescent="0.25">
      <c r="A94" s="18" t="s">
        <v>25</v>
      </c>
      <c r="B94" s="57">
        <v>1.5509259259259259E-3</v>
      </c>
      <c r="C94" s="58">
        <v>3</v>
      </c>
      <c r="D94" s="18" t="s">
        <v>1704</v>
      </c>
      <c r="E94" s="18" t="s">
        <v>1702</v>
      </c>
      <c r="F94" s="18" t="s">
        <v>1637</v>
      </c>
      <c r="G94" s="59">
        <v>6.54</v>
      </c>
      <c r="H94" s="59">
        <v>19.62</v>
      </c>
      <c r="I94" s="18" t="s">
        <v>65</v>
      </c>
      <c r="J94" s="18" t="s">
        <v>1591</v>
      </c>
      <c r="K94" s="18" t="s">
        <v>1748</v>
      </c>
      <c r="L94" s="30" t="s">
        <v>1612</v>
      </c>
    </row>
    <row r="95" spans="1:12" hidden="1" x14ac:dyDescent="0.25">
      <c r="A95" s="18" t="s">
        <v>25</v>
      </c>
      <c r="B95" s="57">
        <v>1.1226851851851851E-3</v>
      </c>
      <c r="C95" s="58">
        <v>1</v>
      </c>
      <c r="D95" s="18" t="s">
        <v>1762</v>
      </c>
      <c r="E95" s="18" t="s">
        <v>1757</v>
      </c>
      <c r="F95" s="18" t="s">
        <v>1637</v>
      </c>
      <c r="G95" s="59">
        <v>101.02</v>
      </c>
      <c r="H95" s="59">
        <v>101.02</v>
      </c>
      <c r="I95" s="18" t="s">
        <v>65</v>
      </c>
      <c r="J95" s="18" t="s">
        <v>1591</v>
      </c>
      <c r="K95" s="18" t="s">
        <v>1748</v>
      </c>
      <c r="L95" s="30" t="s">
        <v>1612</v>
      </c>
    </row>
    <row r="96" spans="1:12" hidden="1" x14ac:dyDescent="0.25">
      <c r="A96" s="18" t="s">
        <v>25</v>
      </c>
      <c r="B96" s="57">
        <v>1.5509259259259259E-3</v>
      </c>
      <c r="C96" s="58">
        <v>1</v>
      </c>
      <c r="D96" s="18" t="s">
        <v>1763</v>
      </c>
      <c r="E96" s="18" t="s">
        <v>1764</v>
      </c>
      <c r="F96" s="18" t="s">
        <v>1637</v>
      </c>
      <c r="G96" s="59">
        <v>853.44</v>
      </c>
      <c r="H96" s="59">
        <v>853.44</v>
      </c>
      <c r="I96" s="18" t="s">
        <v>65</v>
      </c>
      <c r="J96" s="18" t="s">
        <v>1591</v>
      </c>
      <c r="K96" s="18" t="s">
        <v>1748</v>
      </c>
      <c r="L96" s="30" t="s">
        <v>1612</v>
      </c>
    </row>
    <row r="97" spans="1:12" hidden="1" x14ac:dyDescent="0.25">
      <c r="A97" s="18" t="s">
        <v>25</v>
      </c>
      <c r="B97" s="57">
        <v>1.8171296296296295E-3</v>
      </c>
      <c r="C97" s="58">
        <v>2</v>
      </c>
      <c r="D97" s="18" t="s">
        <v>1765</v>
      </c>
      <c r="E97" s="18" t="s">
        <v>1706</v>
      </c>
      <c r="F97" s="18" t="s">
        <v>1637</v>
      </c>
      <c r="G97" s="59">
        <v>61.14</v>
      </c>
      <c r="H97" s="59">
        <v>122.28</v>
      </c>
      <c r="I97" s="18" t="s">
        <v>65</v>
      </c>
      <c r="J97" s="18" t="s">
        <v>512</v>
      </c>
      <c r="K97" s="18" t="s">
        <v>1748</v>
      </c>
      <c r="L97" s="30" t="s">
        <v>1612</v>
      </c>
    </row>
    <row r="98" spans="1:12" hidden="1" x14ac:dyDescent="0.25">
      <c r="A98" s="18" t="s">
        <v>25</v>
      </c>
      <c r="B98" s="57">
        <v>6.9907407407407401E-3</v>
      </c>
      <c r="C98" s="58">
        <v>6</v>
      </c>
      <c r="D98" s="18" t="s">
        <v>1635</v>
      </c>
      <c r="E98" s="18" t="s">
        <v>1636</v>
      </c>
      <c r="F98" s="18" t="s">
        <v>1637</v>
      </c>
      <c r="G98" s="59">
        <v>34.479999999999997</v>
      </c>
      <c r="H98" s="59">
        <v>206.88</v>
      </c>
      <c r="I98" s="18" t="s">
        <v>1585</v>
      </c>
      <c r="J98" s="18" t="s">
        <v>1585</v>
      </c>
      <c r="K98" s="18" t="s">
        <v>1766</v>
      </c>
      <c r="L98" s="30" t="s">
        <v>1612</v>
      </c>
    </row>
    <row r="99" spans="1:12" hidden="1" x14ac:dyDescent="0.25">
      <c r="A99" s="18" t="s">
        <v>25</v>
      </c>
      <c r="B99" s="57">
        <v>9.1435185185185185E-4</v>
      </c>
      <c r="C99" s="58">
        <v>1</v>
      </c>
      <c r="D99" s="18" t="s">
        <v>1767</v>
      </c>
      <c r="E99" s="18" t="s">
        <v>1768</v>
      </c>
      <c r="F99" s="18" t="s">
        <v>1637</v>
      </c>
      <c r="G99" s="59">
        <v>43.54</v>
      </c>
      <c r="H99" s="59">
        <v>43.54</v>
      </c>
      <c r="I99" s="18" t="s">
        <v>65</v>
      </c>
      <c r="J99" s="18" t="s">
        <v>512</v>
      </c>
      <c r="K99" s="18" t="s">
        <v>1766</v>
      </c>
      <c r="L99" s="30" t="s">
        <v>1612</v>
      </c>
    </row>
    <row r="100" spans="1:12" hidden="1" x14ac:dyDescent="0.25">
      <c r="A100" s="18" t="s">
        <v>25</v>
      </c>
      <c r="B100" s="57">
        <v>6.8287037037037036E-4</v>
      </c>
      <c r="C100" s="58">
        <v>1</v>
      </c>
      <c r="D100" s="18" t="s">
        <v>1769</v>
      </c>
      <c r="E100" s="18" t="s">
        <v>1741</v>
      </c>
      <c r="F100" s="18" t="s">
        <v>1637</v>
      </c>
      <c r="G100" s="59">
        <v>27.13</v>
      </c>
      <c r="H100" s="59">
        <v>27.13</v>
      </c>
      <c r="I100" s="18" t="s">
        <v>65</v>
      </c>
      <c r="J100" s="18" t="s">
        <v>512</v>
      </c>
      <c r="K100" s="18" t="s">
        <v>1766</v>
      </c>
      <c r="L100" s="30" t="s">
        <v>1612</v>
      </c>
    </row>
    <row r="101" spans="1:12" hidden="1" x14ac:dyDescent="0.25">
      <c r="A101" s="18" t="s">
        <v>25</v>
      </c>
      <c r="B101" s="57">
        <v>1.1226851851851851E-3</v>
      </c>
      <c r="C101" s="58">
        <v>1</v>
      </c>
      <c r="D101" s="18" t="s">
        <v>1770</v>
      </c>
      <c r="E101" s="18" t="s">
        <v>1771</v>
      </c>
      <c r="F101" s="18" t="s">
        <v>1637</v>
      </c>
      <c r="G101" s="59">
        <v>163.43</v>
      </c>
      <c r="H101" s="59">
        <v>163.43</v>
      </c>
      <c r="I101" s="18" t="s">
        <v>367</v>
      </c>
      <c r="J101" s="18" t="s">
        <v>367</v>
      </c>
      <c r="K101" s="18" t="s">
        <v>1766</v>
      </c>
      <c r="L101" s="30" t="s">
        <v>1612</v>
      </c>
    </row>
    <row r="102" spans="1:12" hidden="1" x14ac:dyDescent="0.25">
      <c r="A102" s="18" t="s">
        <v>25</v>
      </c>
      <c r="B102" s="57">
        <v>1.0648148148148149E-3</v>
      </c>
      <c r="C102" s="58">
        <v>1</v>
      </c>
      <c r="D102" s="18" t="s">
        <v>1772</v>
      </c>
      <c r="E102" s="18" t="s">
        <v>1771</v>
      </c>
      <c r="F102" s="18" t="s">
        <v>1637</v>
      </c>
      <c r="G102" s="59">
        <v>163.43</v>
      </c>
      <c r="H102" s="59">
        <v>163.43</v>
      </c>
      <c r="I102" s="18" t="s">
        <v>367</v>
      </c>
      <c r="J102" s="18" t="s">
        <v>367</v>
      </c>
      <c r="K102" s="18" t="s">
        <v>1766</v>
      </c>
      <c r="L102" s="30" t="s">
        <v>1612</v>
      </c>
    </row>
    <row r="103" spans="1:12" hidden="1" x14ac:dyDescent="0.25">
      <c r="A103" s="18" t="s">
        <v>25</v>
      </c>
      <c r="B103" s="57">
        <v>3.0787037037037037E-3</v>
      </c>
      <c r="C103" s="58">
        <v>2</v>
      </c>
      <c r="D103" s="18" t="s">
        <v>1773</v>
      </c>
      <c r="E103" s="18" t="s">
        <v>1774</v>
      </c>
      <c r="F103" s="18" t="s">
        <v>1637</v>
      </c>
      <c r="G103" s="59">
        <v>497.99</v>
      </c>
      <c r="H103" s="59">
        <v>995.98</v>
      </c>
      <c r="I103" s="18" t="s">
        <v>367</v>
      </c>
      <c r="J103" s="18" t="s">
        <v>512</v>
      </c>
      <c r="K103" s="18" t="s">
        <v>1766</v>
      </c>
      <c r="L103" s="30" t="s">
        <v>1612</v>
      </c>
    </row>
    <row r="104" spans="1:12" hidden="1" x14ac:dyDescent="0.25">
      <c r="A104" s="18" t="s">
        <v>25</v>
      </c>
      <c r="B104" s="57">
        <v>1.6203703703703703E-3</v>
      </c>
      <c r="C104" s="58">
        <v>1</v>
      </c>
      <c r="D104" s="18" t="s">
        <v>1775</v>
      </c>
      <c r="E104" s="18" t="s">
        <v>1776</v>
      </c>
      <c r="F104" s="18" t="s">
        <v>1637</v>
      </c>
      <c r="G104" s="59">
        <v>561.30999999999995</v>
      </c>
      <c r="H104" s="59">
        <v>561.30999999999995</v>
      </c>
      <c r="I104" s="18" t="s">
        <v>367</v>
      </c>
      <c r="J104" s="18" t="s">
        <v>512</v>
      </c>
      <c r="K104" s="18" t="s">
        <v>1766</v>
      </c>
      <c r="L104" s="30" t="s">
        <v>1612</v>
      </c>
    </row>
    <row r="105" spans="1:12" hidden="1" x14ac:dyDescent="0.25">
      <c r="A105" s="18" t="s">
        <v>25</v>
      </c>
      <c r="B105" s="57">
        <v>1.1805555555555556E-3</v>
      </c>
      <c r="C105" s="58">
        <v>1</v>
      </c>
      <c r="D105" s="18" t="s">
        <v>1777</v>
      </c>
      <c r="E105" s="18" t="s">
        <v>1778</v>
      </c>
      <c r="F105" s="18" t="s">
        <v>1637</v>
      </c>
      <c r="G105" s="59">
        <v>288.27999999999997</v>
      </c>
      <c r="H105" s="59">
        <v>288.27999999999997</v>
      </c>
      <c r="I105" s="18" t="s">
        <v>65</v>
      </c>
      <c r="J105" s="18" t="s">
        <v>512</v>
      </c>
      <c r="K105" s="18" t="s">
        <v>1766</v>
      </c>
      <c r="L105" s="30" t="s">
        <v>1612</v>
      </c>
    </row>
    <row r="106" spans="1:12" hidden="1" x14ac:dyDescent="0.25">
      <c r="A106" s="18" t="s">
        <v>25</v>
      </c>
      <c r="B106" s="57">
        <v>8.6805555555555551E-4</v>
      </c>
      <c r="C106" s="58">
        <v>1</v>
      </c>
      <c r="D106" s="18" t="s">
        <v>1779</v>
      </c>
      <c r="E106" s="18" t="s">
        <v>1780</v>
      </c>
      <c r="F106" s="18" t="s">
        <v>1637</v>
      </c>
      <c r="G106" s="59">
        <v>39.36</v>
      </c>
      <c r="H106" s="59">
        <v>39.36</v>
      </c>
      <c r="I106" s="18" t="s">
        <v>367</v>
      </c>
      <c r="J106" s="18" t="s">
        <v>512</v>
      </c>
      <c r="K106" s="18" t="s">
        <v>1766</v>
      </c>
      <c r="L106" s="30" t="s">
        <v>1612</v>
      </c>
    </row>
    <row r="107" spans="1:12" hidden="1" x14ac:dyDescent="0.25">
      <c r="A107" s="18" t="s">
        <v>25</v>
      </c>
      <c r="B107" s="57">
        <v>1.0532407407407407E-3</v>
      </c>
      <c r="C107" s="58">
        <v>1</v>
      </c>
      <c r="D107" s="18" t="s">
        <v>1635</v>
      </c>
      <c r="E107" s="18" t="s">
        <v>1636</v>
      </c>
      <c r="F107" s="18" t="s">
        <v>1637</v>
      </c>
      <c r="G107" s="59">
        <v>34.479999999999997</v>
      </c>
      <c r="H107" s="59">
        <v>34.479999999999997</v>
      </c>
      <c r="I107" s="18" t="s">
        <v>1585</v>
      </c>
      <c r="J107" s="18" t="s">
        <v>1585</v>
      </c>
      <c r="K107" s="18" t="s">
        <v>1781</v>
      </c>
      <c r="L107" s="30" t="s">
        <v>1612</v>
      </c>
    </row>
    <row r="108" spans="1:12" hidden="1" x14ac:dyDescent="0.25">
      <c r="A108" s="18" t="s">
        <v>25</v>
      </c>
      <c r="B108" s="57">
        <v>1.261574074074074E-3</v>
      </c>
      <c r="C108" s="58">
        <v>2</v>
      </c>
      <c r="D108" s="18" t="s">
        <v>1782</v>
      </c>
      <c r="E108" s="18" t="s">
        <v>1668</v>
      </c>
      <c r="F108" s="18" t="s">
        <v>1637</v>
      </c>
      <c r="G108" s="59">
        <v>31.19</v>
      </c>
      <c r="H108" s="59">
        <v>62.38</v>
      </c>
      <c r="I108" s="18" t="s">
        <v>530</v>
      </c>
      <c r="J108" s="18" t="s">
        <v>530</v>
      </c>
      <c r="K108" s="18" t="s">
        <v>1781</v>
      </c>
      <c r="L108" s="30" t="s">
        <v>1612</v>
      </c>
    </row>
    <row r="109" spans="1:12" hidden="1" x14ac:dyDescent="0.25">
      <c r="A109" s="18" t="s">
        <v>25</v>
      </c>
      <c r="B109" s="57">
        <v>6.3657407407407402E-4</v>
      </c>
      <c r="C109" s="58">
        <v>1</v>
      </c>
      <c r="D109" s="18" t="s">
        <v>1783</v>
      </c>
      <c r="E109" s="18" t="s">
        <v>1679</v>
      </c>
      <c r="F109" s="18" t="s">
        <v>1637</v>
      </c>
      <c r="G109" s="59">
        <v>32.659999999999997</v>
      </c>
      <c r="H109" s="59">
        <v>32.659999999999997</v>
      </c>
      <c r="I109" s="18" t="s">
        <v>367</v>
      </c>
      <c r="J109" s="18" t="s">
        <v>368</v>
      </c>
      <c r="K109" s="18" t="s">
        <v>1781</v>
      </c>
      <c r="L109" s="30" t="s">
        <v>1612</v>
      </c>
    </row>
    <row r="110" spans="1:12" hidden="1" x14ac:dyDescent="0.25">
      <c r="A110" s="18" t="s">
        <v>25</v>
      </c>
      <c r="B110" s="57">
        <v>7.407407407407407E-4</v>
      </c>
      <c r="C110" s="58">
        <v>1</v>
      </c>
      <c r="D110" s="18" t="s">
        <v>1784</v>
      </c>
      <c r="E110" s="18" t="s">
        <v>1785</v>
      </c>
      <c r="F110" s="18" t="s">
        <v>1637</v>
      </c>
      <c r="G110" s="59">
        <v>53.47</v>
      </c>
      <c r="H110" s="59">
        <v>53.47</v>
      </c>
      <c r="I110" s="18" t="s">
        <v>367</v>
      </c>
      <c r="J110" s="18" t="s">
        <v>368</v>
      </c>
      <c r="K110" s="18" t="s">
        <v>1781</v>
      </c>
      <c r="L110" s="30" t="s">
        <v>1612</v>
      </c>
    </row>
    <row r="111" spans="1:12" hidden="1" x14ac:dyDescent="0.25">
      <c r="A111" s="18" t="s">
        <v>25</v>
      </c>
      <c r="B111" s="57">
        <v>6.3657407407407402E-4</v>
      </c>
      <c r="C111" s="58">
        <v>1</v>
      </c>
      <c r="D111" s="18" t="s">
        <v>1786</v>
      </c>
      <c r="E111" s="18" t="s">
        <v>1679</v>
      </c>
      <c r="F111" s="18" t="s">
        <v>1637</v>
      </c>
      <c r="G111" s="59">
        <v>32.659999999999997</v>
      </c>
      <c r="H111" s="59">
        <v>32.659999999999997</v>
      </c>
      <c r="I111" s="18" t="s">
        <v>367</v>
      </c>
      <c r="J111" s="18" t="s">
        <v>368</v>
      </c>
      <c r="K111" s="18" t="s">
        <v>1781</v>
      </c>
      <c r="L111" s="30" t="s">
        <v>1612</v>
      </c>
    </row>
    <row r="112" spans="1:12" hidden="1" x14ac:dyDescent="0.25">
      <c r="A112" s="18" t="s">
        <v>25</v>
      </c>
      <c r="B112" s="57">
        <v>7.407407407407407E-4</v>
      </c>
      <c r="C112" s="58">
        <v>1</v>
      </c>
      <c r="D112" s="18" t="s">
        <v>1787</v>
      </c>
      <c r="E112" s="18" t="s">
        <v>1785</v>
      </c>
      <c r="F112" s="18" t="s">
        <v>1637</v>
      </c>
      <c r="G112" s="59">
        <v>53.47</v>
      </c>
      <c r="H112" s="59">
        <v>53.47</v>
      </c>
      <c r="I112" s="18" t="s">
        <v>367</v>
      </c>
      <c r="J112" s="18" t="s">
        <v>368</v>
      </c>
      <c r="K112" s="18" t="s">
        <v>1781</v>
      </c>
      <c r="L112" s="30" t="s">
        <v>1612</v>
      </c>
    </row>
    <row r="113" spans="1:12" hidden="1" x14ac:dyDescent="0.25">
      <c r="A113" s="18" t="s">
        <v>25</v>
      </c>
      <c r="B113" s="57">
        <v>1.3425925925925925E-3</v>
      </c>
      <c r="C113" s="58">
        <v>1</v>
      </c>
      <c r="D113" s="18" t="s">
        <v>1788</v>
      </c>
      <c r="E113" s="18" t="s">
        <v>1789</v>
      </c>
      <c r="F113" s="18" t="s">
        <v>1637</v>
      </c>
      <c r="G113" s="59">
        <v>259.33</v>
      </c>
      <c r="H113" s="59">
        <v>259.33</v>
      </c>
      <c r="I113" s="18" t="s">
        <v>367</v>
      </c>
      <c r="J113" s="18" t="s">
        <v>427</v>
      </c>
      <c r="K113" s="18" t="s">
        <v>1781</v>
      </c>
      <c r="L113" s="30" t="s">
        <v>1612</v>
      </c>
    </row>
    <row r="114" spans="1:12" hidden="1" x14ac:dyDescent="0.25">
      <c r="A114" s="18" t="s">
        <v>25</v>
      </c>
      <c r="B114" s="57">
        <v>1.3541666666666667E-3</v>
      </c>
      <c r="C114" s="58">
        <v>1</v>
      </c>
      <c r="D114" s="18" t="s">
        <v>1790</v>
      </c>
      <c r="E114" s="18" t="s">
        <v>1791</v>
      </c>
      <c r="F114" s="18" t="s">
        <v>1637</v>
      </c>
      <c r="G114" s="59">
        <v>262.57</v>
      </c>
      <c r="H114" s="59">
        <v>262.57</v>
      </c>
      <c r="I114" s="18" t="s">
        <v>367</v>
      </c>
      <c r="J114" s="18" t="s">
        <v>427</v>
      </c>
      <c r="K114" s="18" t="s">
        <v>1781</v>
      </c>
      <c r="L114" s="30" t="s">
        <v>1612</v>
      </c>
    </row>
    <row r="115" spans="1:12" hidden="1" x14ac:dyDescent="0.25">
      <c r="A115" s="18" t="s">
        <v>25</v>
      </c>
      <c r="B115" s="57">
        <v>1.4930555555555554E-3</v>
      </c>
      <c r="C115" s="58">
        <v>2</v>
      </c>
      <c r="D115" s="18" t="s">
        <v>1792</v>
      </c>
      <c r="E115" s="18" t="s">
        <v>1752</v>
      </c>
      <c r="F115" s="18" t="s">
        <v>1637</v>
      </c>
      <c r="G115" s="59">
        <v>43.53</v>
      </c>
      <c r="H115" s="59">
        <v>87.06</v>
      </c>
      <c r="I115" s="18" t="s">
        <v>367</v>
      </c>
      <c r="J115" s="18" t="s">
        <v>512</v>
      </c>
      <c r="K115" s="18" t="s">
        <v>1781</v>
      </c>
      <c r="L115" s="30" t="s">
        <v>1612</v>
      </c>
    </row>
    <row r="116" spans="1:12" hidden="1" x14ac:dyDescent="0.25">
      <c r="A116" s="18" t="s">
        <v>25</v>
      </c>
      <c r="B116" s="57">
        <v>1.2152777777777778E-3</v>
      </c>
      <c r="C116" s="58">
        <v>2</v>
      </c>
      <c r="D116" s="18" t="s">
        <v>1793</v>
      </c>
      <c r="E116" s="18" t="s">
        <v>1642</v>
      </c>
      <c r="F116" s="18" t="s">
        <v>1637</v>
      </c>
      <c r="G116" s="59">
        <v>24.4</v>
      </c>
      <c r="H116" s="59">
        <v>48.8</v>
      </c>
      <c r="I116" s="18" t="s">
        <v>367</v>
      </c>
      <c r="J116" s="18" t="s">
        <v>1594</v>
      </c>
      <c r="K116" s="18" t="s">
        <v>1781</v>
      </c>
      <c r="L116" s="30" t="s">
        <v>1612</v>
      </c>
    </row>
    <row r="117" spans="1:12" hidden="1" x14ac:dyDescent="0.25">
      <c r="A117" s="18" t="s">
        <v>25</v>
      </c>
      <c r="B117" s="57">
        <v>6.134259259259259E-4</v>
      </c>
      <c r="C117" s="58">
        <v>1</v>
      </c>
      <c r="D117" s="18" t="s">
        <v>1794</v>
      </c>
      <c r="E117" s="18" t="s">
        <v>1795</v>
      </c>
      <c r="F117" s="18" t="s">
        <v>1637</v>
      </c>
      <c r="G117" s="59">
        <v>29.27</v>
      </c>
      <c r="H117" s="59">
        <v>29.27</v>
      </c>
      <c r="I117" s="18" t="s">
        <v>65</v>
      </c>
      <c r="J117" s="18" t="s">
        <v>512</v>
      </c>
      <c r="K117" s="18" t="s">
        <v>1781</v>
      </c>
      <c r="L117" s="30" t="s">
        <v>1612</v>
      </c>
    </row>
    <row r="118" spans="1:12" hidden="1" x14ac:dyDescent="0.25">
      <c r="A118" s="18" t="s">
        <v>25</v>
      </c>
      <c r="B118" s="57">
        <v>6.134259259259259E-4</v>
      </c>
      <c r="C118" s="58">
        <v>1</v>
      </c>
      <c r="D118" s="18" t="s">
        <v>1796</v>
      </c>
      <c r="E118" s="18" t="s">
        <v>1795</v>
      </c>
      <c r="F118" s="18" t="s">
        <v>1637</v>
      </c>
      <c r="G118" s="59">
        <v>29.27</v>
      </c>
      <c r="H118" s="59">
        <v>29.27</v>
      </c>
      <c r="I118" s="18" t="s">
        <v>65</v>
      </c>
      <c r="J118" s="18" t="s">
        <v>512</v>
      </c>
      <c r="K118" s="18" t="s">
        <v>1781</v>
      </c>
      <c r="L118" s="30" t="s">
        <v>1612</v>
      </c>
    </row>
    <row r="119" spans="1:12" hidden="1" x14ac:dyDescent="0.25">
      <c r="A119" s="18" t="s">
        <v>25</v>
      </c>
      <c r="B119" s="57">
        <v>6.134259259259259E-4</v>
      </c>
      <c r="C119" s="58">
        <v>1</v>
      </c>
      <c r="D119" s="18" t="s">
        <v>1797</v>
      </c>
      <c r="E119" s="18" t="s">
        <v>1795</v>
      </c>
      <c r="F119" s="18" t="s">
        <v>1637</v>
      </c>
      <c r="G119" s="59">
        <v>29.27</v>
      </c>
      <c r="H119" s="59">
        <v>29.27</v>
      </c>
      <c r="I119" s="18" t="s">
        <v>65</v>
      </c>
      <c r="J119" s="18" t="s">
        <v>512</v>
      </c>
      <c r="K119" s="18" t="s">
        <v>1781</v>
      </c>
      <c r="L119" s="30" t="s">
        <v>1612</v>
      </c>
    </row>
    <row r="120" spans="1:12" hidden="1" x14ac:dyDescent="0.25">
      <c r="A120" s="18" t="s">
        <v>25</v>
      </c>
      <c r="B120" s="57">
        <v>6.134259259259259E-4</v>
      </c>
      <c r="C120" s="58">
        <v>1</v>
      </c>
      <c r="D120" s="18" t="s">
        <v>1798</v>
      </c>
      <c r="E120" s="18" t="s">
        <v>1795</v>
      </c>
      <c r="F120" s="18" t="s">
        <v>1637</v>
      </c>
      <c r="G120" s="59">
        <v>29.27</v>
      </c>
      <c r="H120" s="59">
        <v>29.27</v>
      </c>
      <c r="I120" s="18" t="s">
        <v>65</v>
      </c>
      <c r="J120" s="18" t="s">
        <v>512</v>
      </c>
      <c r="K120" s="18" t="s">
        <v>1781</v>
      </c>
      <c r="L120" s="30" t="s">
        <v>1612</v>
      </c>
    </row>
    <row r="121" spans="1:12" hidden="1" x14ac:dyDescent="0.25">
      <c r="A121" s="18" t="s">
        <v>25</v>
      </c>
      <c r="B121" s="57">
        <v>3.9930555555555552E-3</v>
      </c>
      <c r="C121" s="58">
        <v>4</v>
      </c>
      <c r="D121" s="18" t="s">
        <v>1799</v>
      </c>
      <c r="E121" s="18" t="s">
        <v>1768</v>
      </c>
      <c r="F121" s="18" t="s">
        <v>1637</v>
      </c>
      <c r="G121" s="59">
        <v>43.54</v>
      </c>
      <c r="H121" s="59">
        <v>174.16</v>
      </c>
      <c r="I121" s="18" t="s">
        <v>65</v>
      </c>
      <c r="J121" s="18" t="s">
        <v>1591</v>
      </c>
      <c r="K121" s="18" t="s">
        <v>1781</v>
      </c>
      <c r="L121" s="30" t="s">
        <v>1612</v>
      </c>
    </row>
    <row r="122" spans="1:12" hidden="1" x14ac:dyDescent="0.25">
      <c r="A122" s="18" t="s">
        <v>25</v>
      </c>
      <c r="B122" s="57">
        <v>1.2268518518518518E-3</v>
      </c>
      <c r="C122" s="58">
        <v>2</v>
      </c>
      <c r="D122" s="18" t="s">
        <v>1800</v>
      </c>
      <c r="E122" s="18" t="s">
        <v>1747</v>
      </c>
      <c r="F122" s="18" t="s">
        <v>1637</v>
      </c>
      <c r="G122" s="59">
        <v>24.75</v>
      </c>
      <c r="H122" s="59">
        <v>49.5</v>
      </c>
      <c r="I122" s="18" t="s">
        <v>65</v>
      </c>
      <c r="J122" s="18" t="s">
        <v>1591</v>
      </c>
      <c r="K122" s="18" t="s">
        <v>1781</v>
      </c>
      <c r="L122" s="30" t="s">
        <v>1612</v>
      </c>
    </row>
    <row r="123" spans="1:12" hidden="1" x14ac:dyDescent="0.25">
      <c r="A123" s="18" t="s">
        <v>25</v>
      </c>
      <c r="B123" s="57">
        <v>2.2685185185185182E-3</v>
      </c>
      <c r="C123" s="58">
        <v>2</v>
      </c>
      <c r="D123" s="18" t="s">
        <v>1801</v>
      </c>
      <c r="E123" s="18" t="s">
        <v>1710</v>
      </c>
      <c r="F123" s="18" t="s">
        <v>1637</v>
      </c>
      <c r="G123" s="59">
        <v>60.23</v>
      </c>
      <c r="H123" s="59">
        <v>120.46</v>
      </c>
      <c r="I123" s="18" t="s">
        <v>65</v>
      </c>
      <c r="J123" s="18" t="s">
        <v>1591</v>
      </c>
      <c r="K123" s="18" t="s">
        <v>1781</v>
      </c>
      <c r="L123" s="30" t="s">
        <v>1612</v>
      </c>
    </row>
    <row r="124" spans="1:12" hidden="1" x14ac:dyDescent="0.25">
      <c r="A124" s="18" t="s">
        <v>25</v>
      </c>
      <c r="B124" s="57">
        <v>1.4120370370370369E-3</v>
      </c>
      <c r="C124" s="58">
        <v>1</v>
      </c>
      <c r="D124" s="18" t="s">
        <v>1802</v>
      </c>
      <c r="E124" s="18" t="s">
        <v>1803</v>
      </c>
      <c r="F124" s="18" t="s">
        <v>1637</v>
      </c>
      <c r="G124" s="59">
        <v>257.85000000000002</v>
      </c>
      <c r="H124" s="59">
        <v>257.85000000000002</v>
      </c>
      <c r="I124" s="18" t="s">
        <v>65</v>
      </c>
      <c r="J124" s="18" t="s">
        <v>1598</v>
      </c>
      <c r="K124" s="18" t="s">
        <v>1781</v>
      </c>
      <c r="L124" s="30" t="s">
        <v>1612</v>
      </c>
    </row>
    <row r="125" spans="1:12" hidden="1" x14ac:dyDescent="0.25">
      <c r="A125" s="18" t="s">
        <v>25</v>
      </c>
      <c r="B125" s="57">
        <v>1.4120370370370369E-3</v>
      </c>
      <c r="C125" s="58">
        <v>1</v>
      </c>
      <c r="D125" s="18" t="s">
        <v>1804</v>
      </c>
      <c r="E125" s="18" t="s">
        <v>1803</v>
      </c>
      <c r="F125" s="18" t="s">
        <v>1637</v>
      </c>
      <c r="G125" s="59">
        <v>257.83999999999997</v>
      </c>
      <c r="H125" s="59">
        <v>257.83999999999997</v>
      </c>
      <c r="I125" s="18" t="s">
        <v>65</v>
      </c>
      <c r="J125" s="18" t="s">
        <v>1599</v>
      </c>
      <c r="K125" s="18" t="s">
        <v>1781</v>
      </c>
      <c r="L125" s="30" t="s">
        <v>1612</v>
      </c>
    </row>
    <row r="126" spans="1:12" hidden="1" x14ac:dyDescent="0.25">
      <c r="A126" s="18" t="s">
        <v>25</v>
      </c>
      <c r="B126" s="57">
        <v>1.2847222222222223E-3</v>
      </c>
      <c r="C126" s="58">
        <v>1</v>
      </c>
      <c r="D126" s="18" t="s">
        <v>1805</v>
      </c>
      <c r="E126" s="18" t="s">
        <v>1662</v>
      </c>
      <c r="F126" s="18" t="s">
        <v>1637</v>
      </c>
      <c r="G126" s="59">
        <v>35.79</v>
      </c>
      <c r="H126" s="59">
        <v>35.79</v>
      </c>
      <c r="I126" s="18" t="s">
        <v>65</v>
      </c>
      <c r="J126" s="18" t="s">
        <v>1599</v>
      </c>
      <c r="K126" s="18" t="s">
        <v>1781</v>
      </c>
      <c r="L126" s="30" t="s">
        <v>1612</v>
      </c>
    </row>
    <row r="127" spans="1:12" hidden="1" x14ac:dyDescent="0.25">
      <c r="A127" s="18" t="s">
        <v>25</v>
      </c>
      <c r="B127" s="57">
        <v>1.5972222222222221E-3</v>
      </c>
      <c r="C127" s="58">
        <v>1</v>
      </c>
      <c r="D127" s="18" t="s">
        <v>1806</v>
      </c>
      <c r="E127" s="18" t="s">
        <v>1807</v>
      </c>
      <c r="F127" s="18" t="s">
        <v>1637</v>
      </c>
      <c r="G127" s="59">
        <v>366.53</v>
      </c>
      <c r="H127" s="59">
        <v>366.53</v>
      </c>
      <c r="I127" s="18" t="s">
        <v>65</v>
      </c>
      <c r="J127" s="18" t="s">
        <v>1599</v>
      </c>
      <c r="K127" s="18" t="s">
        <v>1781</v>
      </c>
      <c r="L127" s="30" t="s">
        <v>1612</v>
      </c>
    </row>
    <row r="128" spans="1:12" hidden="1" x14ac:dyDescent="0.25">
      <c r="A128" s="18" t="s">
        <v>25</v>
      </c>
      <c r="B128" s="57">
        <v>8.2175925925925927E-4</v>
      </c>
      <c r="C128" s="58">
        <v>1</v>
      </c>
      <c r="D128" s="18" t="s">
        <v>1767</v>
      </c>
      <c r="E128" s="18" t="s">
        <v>1768</v>
      </c>
      <c r="F128" s="18" t="s">
        <v>1637</v>
      </c>
      <c r="G128" s="59">
        <v>43.54</v>
      </c>
      <c r="H128" s="59">
        <v>43.54</v>
      </c>
      <c r="I128" s="18" t="s">
        <v>65</v>
      </c>
      <c r="J128" s="18" t="s">
        <v>512</v>
      </c>
      <c r="K128" s="18" t="s">
        <v>1781</v>
      </c>
      <c r="L128" s="30" t="s">
        <v>1612</v>
      </c>
    </row>
    <row r="129" spans="1:12" hidden="1" x14ac:dyDescent="0.25">
      <c r="A129" s="18" t="s">
        <v>25</v>
      </c>
      <c r="B129" s="57">
        <v>7.8703703703703705E-4</v>
      </c>
      <c r="C129" s="58">
        <v>1</v>
      </c>
      <c r="D129" s="18" t="s">
        <v>1779</v>
      </c>
      <c r="E129" s="18" t="s">
        <v>1780</v>
      </c>
      <c r="F129" s="18" t="s">
        <v>1637</v>
      </c>
      <c r="G129" s="59">
        <v>39.36</v>
      </c>
      <c r="H129" s="59">
        <v>39.36</v>
      </c>
      <c r="I129" s="18" t="s">
        <v>367</v>
      </c>
      <c r="J129" s="18" t="s">
        <v>512</v>
      </c>
      <c r="K129" s="18" t="s">
        <v>1781</v>
      </c>
      <c r="L129" s="30" t="s">
        <v>1612</v>
      </c>
    </row>
    <row r="130" spans="1:12" hidden="1" x14ac:dyDescent="0.25">
      <c r="A130" s="18" t="s">
        <v>25</v>
      </c>
      <c r="B130" s="57">
        <v>6.8055555555555551E-3</v>
      </c>
      <c r="C130" s="58">
        <v>6</v>
      </c>
      <c r="D130" s="18" t="s">
        <v>1808</v>
      </c>
      <c r="E130" s="18" t="s">
        <v>1809</v>
      </c>
      <c r="F130" s="18" t="s">
        <v>1810</v>
      </c>
      <c r="G130" s="59">
        <v>55.45</v>
      </c>
      <c r="H130" s="59">
        <v>332.7</v>
      </c>
      <c r="I130" s="18" t="s">
        <v>150</v>
      </c>
      <c r="J130" s="18" t="s">
        <v>115</v>
      </c>
      <c r="K130" s="18" t="s">
        <v>1811</v>
      </c>
      <c r="L130" s="30" t="s">
        <v>1612</v>
      </c>
    </row>
    <row r="131" spans="1:12" hidden="1" x14ac:dyDescent="0.25">
      <c r="A131" s="18" t="s">
        <v>25</v>
      </c>
      <c r="B131" s="57">
        <v>1.3356481481481481E-2</v>
      </c>
      <c r="C131" s="58">
        <v>1</v>
      </c>
      <c r="D131" s="18" t="s">
        <v>1812</v>
      </c>
      <c r="E131" s="18" t="s">
        <v>1813</v>
      </c>
      <c r="F131" s="18" t="s">
        <v>1810</v>
      </c>
      <c r="G131" s="59">
        <v>1519.18</v>
      </c>
      <c r="H131" s="59">
        <v>1519.18</v>
      </c>
      <c r="I131" s="18" t="s">
        <v>152</v>
      </c>
      <c r="J131" s="18" t="s">
        <v>152</v>
      </c>
      <c r="K131" s="18" t="s">
        <v>1811</v>
      </c>
      <c r="L131" s="30" t="s">
        <v>1612</v>
      </c>
    </row>
    <row r="132" spans="1:12" hidden="1" x14ac:dyDescent="0.25">
      <c r="A132" s="18" t="s">
        <v>25</v>
      </c>
      <c r="B132" s="57">
        <v>8.7962962962962962E-4</v>
      </c>
      <c r="C132" s="58">
        <v>1</v>
      </c>
      <c r="D132" s="18" t="s">
        <v>1814</v>
      </c>
      <c r="E132" s="18" t="s">
        <v>1815</v>
      </c>
      <c r="F132" s="18" t="s">
        <v>1810</v>
      </c>
      <c r="G132" s="59">
        <v>24.5</v>
      </c>
      <c r="H132" s="59">
        <v>24.5</v>
      </c>
      <c r="I132" s="18" t="s">
        <v>367</v>
      </c>
      <c r="J132" s="18" t="s">
        <v>367</v>
      </c>
      <c r="K132" s="18" t="s">
        <v>1811</v>
      </c>
      <c r="L132" s="30" t="s">
        <v>1612</v>
      </c>
    </row>
    <row r="133" spans="1:12" hidden="1" x14ac:dyDescent="0.25">
      <c r="A133" s="18" t="s">
        <v>25</v>
      </c>
      <c r="B133" s="57">
        <v>1.0763888888888889E-3</v>
      </c>
      <c r="C133" s="58">
        <v>1</v>
      </c>
      <c r="D133" s="18" t="s">
        <v>1816</v>
      </c>
      <c r="E133" s="18" t="s">
        <v>1815</v>
      </c>
      <c r="F133" s="18" t="s">
        <v>1810</v>
      </c>
      <c r="G133" s="59">
        <v>24.5</v>
      </c>
      <c r="H133" s="59">
        <v>24.5</v>
      </c>
      <c r="I133" s="18" t="s">
        <v>65</v>
      </c>
      <c r="J133" s="18" t="s">
        <v>1591</v>
      </c>
      <c r="K133" s="18" t="s">
        <v>1811</v>
      </c>
      <c r="L133" s="30" t="s">
        <v>1612</v>
      </c>
    </row>
    <row r="134" spans="1:12" hidden="1" x14ac:dyDescent="0.25">
      <c r="A134" s="18" t="s">
        <v>25</v>
      </c>
      <c r="B134" s="57">
        <v>1.4409722222222221E-2</v>
      </c>
      <c r="C134" s="58">
        <v>1</v>
      </c>
      <c r="D134" s="18" t="s">
        <v>1812</v>
      </c>
      <c r="E134" s="18" t="s">
        <v>1813</v>
      </c>
      <c r="F134" s="18" t="s">
        <v>1810</v>
      </c>
      <c r="G134" s="59">
        <v>1519.18</v>
      </c>
      <c r="H134" s="59">
        <v>1519.18</v>
      </c>
      <c r="I134" s="18" t="s">
        <v>152</v>
      </c>
      <c r="J134" s="18" t="s">
        <v>152</v>
      </c>
      <c r="K134" s="18" t="s">
        <v>1817</v>
      </c>
      <c r="L134" s="30" t="s">
        <v>1612</v>
      </c>
    </row>
    <row r="135" spans="1:12" hidden="1" x14ac:dyDescent="0.25">
      <c r="A135" s="18" t="s">
        <v>25</v>
      </c>
      <c r="B135" s="57">
        <v>8.9120370370370362E-4</v>
      </c>
      <c r="C135" s="58">
        <v>1</v>
      </c>
      <c r="D135" s="18" t="s">
        <v>1818</v>
      </c>
      <c r="E135" s="18" t="s">
        <v>1819</v>
      </c>
      <c r="F135" s="18" t="s">
        <v>1810</v>
      </c>
      <c r="G135" s="59">
        <v>83.48</v>
      </c>
      <c r="H135" s="59">
        <v>83.48</v>
      </c>
      <c r="I135" s="18" t="s">
        <v>65</v>
      </c>
      <c r="J135" s="18" t="s">
        <v>368</v>
      </c>
      <c r="K135" s="18" t="s">
        <v>1817</v>
      </c>
      <c r="L135" s="30" t="s">
        <v>1612</v>
      </c>
    </row>
    <row r="136" spans="1:12" hidden="1" x14ac:dyDescent="0.25">
      <c r="A136" s="18" t="s">
        <v>25</v>
      </c>
      <c r="B136" s="57">
        <v>9.7222222222222219E-4</v>
      </c>
      <c r="C136" s="58">
        <v>1</v>
      </c>
      <c r="D136" s="18" t="s">
        <v>1820</v>
      </c>
      <c r="E136" s="18" t="s">
        <v>1821</v>
      </c>
      <c r="F136" s="18" t="s">
        <v>1810</v>
      </c>
      <c r="G136" s="59">
        <v>57.5</v>
      </c>
      <c r="H136" s="59">
        <v>57.5</v>
      </c>
      <c r="I136" s="18" t="s">
        <v>65</v>
      </c>
      <c r="J136" s="18" t="s">
        <v>368</v>
      </c>
      <c r="K136" s="18" t="s">
        <v>1817</v>
      </c>
      <c r="L136" s="30" t="s">
        <v>1612</v>
      </c>
    </row>
    <row r="137" spans="1:12" hidden="1" x14ac:dyDescent="0.25">
      <c r="A137" s="18" t="s">
        <v>25</v>
      </c>
      <c r="B137" s="57">
        <v>7.9861111111111105E-4</v>
      </c>
      <c r="C137" s="58">
        <v>1</v>
      </c>
      <c r="D137" s="18" t="s">
        <v>1822</v>
      </c>
      <c r="E137" s="18" t="s">
        <v>1821</v>
      </c>
      <c r="F137" s="18" t="s">
        <v>1810</v>
      </c>
      <c r="G137" s="59">
        <v>57.51</v>
      </c>
      <c r="H137" s="59">
        <v>57.51</v>
      </c>
      <c r="I137" s="18" t="s">
        <v>65</v>
      </c>
      <c r="J137" s="18" t="s">
        <v>368</v>
      </c>
      <c r="K137" s="18" t="s">
        <v>1817</v>
      </c>
      <c r="L137" s="30" t="s">
        <v>1612</v>
      </c>
    </row>
    <row r="138" spans="1:12" hidden="1" x14ac:dyDescent="0.25">
      <c r="A138" s="18" t="s">
        <v>25</v>
      </c>
      <c r="B138" s="57">
        <v>7.9861111111111105E-4</v>
      </c>
      <c r="C138" s="58">
        <v>1</v>
      </c>
      <c r="D138" s="18" t="s">
        <v>1823</v>
      </c>
      <c r="E138" s="18" t="s">
        <v>1824</v>
      </c>
      <c r="F138" s="18" t="s">
        <v>1810</v>
      </c>
      <c r="G138" s="59">
        <v>58.63</v>
      </c>
      <c r="H138" s="59">
        <v>58.63</v>
      </c>
      <c r="I138" s="18" t="s">
        <v>65</v>
      </c>
      <c r="J138" s="18" t="s">
        <v>368</v>
      </c>
      <c r="K138" s="18" t="s">
        <v>1817</v>
      </c>
      <c r="L138" s="30" t="s">
        <v>1612</v>
      </c>
    </row>
    <row r="139" spans="1:12" hidden="1" x14ac:dyDescent="0.25">
      <c r="A139" s="18" t="s">
        <v>25</v>
      </c>
      <c r="B139" s="57">
        <v>9.9537037037037042E-4</v>
      </c>
      <c r="C139" s="58">
        <v>1</v>
      </c>
      <c r="D139" s="18" t="s">
        <v>1825</v>
      </c>
      <c r="E139" s="18" t="s">
        <v>1824</v>
      </c>
      <c r="F139" s="18" t="s">
        <v>1810</v>
      </c>
      <c r="G139" s="59">
        <v>58.63</v>
      </c>
      <c r="H139" s="59">
        <v>58.63</v>
      </c>
      <c r="I139" s="18" t="s">
        <v>65</v>
      </c>
      <c r="J139" s="18" t="s">
        <v>368</v>
      </c>
      <c r="K139" s="18" t="s">
        <v>1817</v>
      </c>
      <c r="L139" s="30" t="s">
        <v>1612</v>
      </c>
    </row>
    <row r="140" spans="1:12" hidden="1" x14ac:dyDescent="0.25">
      <c r="A140" s="18" t="s">
        <v>25</v>
      </c>
      <c r="B140" s="57">
        <v>9.4907407407407408E-4</v>
      </c>
      <c r="C140" s="58">
        <v>1</v>
      </c>
      <c r="D140" s="18" t="s">
        <v>1826</v>
      </c>
      <c r="E140" s="18" t="s">
        <v>1827</v>
      </c>
      <c r="F140" s="18" t="s">
        <v>1810</v>
      </c>
      <c r="G140" s="59">
        <v>49.39</v>
      </c>
      <c r="H140" s="59">
        <v>49.39</v>
      </c>
      <c r="I140" s="18" t="s">
        <v>65</v>
      </c>
      <c r="J140" s="18" t="s">
        <v>368</v>
      </c>
      <c r="K140" s="18" t="s">
        <v>1817</v>
      </c>
      <c r="L140" s="30" t="s">
        <v>1612</v>
      </c>
    </row>
    <row r="141" spans="1:12" hidden="1" x14ac:dyDescent="0.25">
      <c r="A141" s="18" t="s">
        <v>25</v>
      </c>
      <c r="B141" s="57">
        <v>7.6388888888888882E-4</v>
      </c>
      <c r="C141" s="58">
        <v>1</v>
      </c>
      <c r="D141" s="18" t="s">
        <v>1828</v>
      </c>
      <c r="E141" s="18" t="s">
        <v>1827</v>
      </c>
      <c r="F141" s="18" t="s">
        <v>1810</v>
      </c>
      <c r="G141" s="59">
        <v>49.41</v>
      </c>
      <c r="H141" s="59">
        <v>49.41</v>
      </c>
      <c r="I141" s="18" t="s">
        <v>65</v>
      </c>
      <c r="J141" s="18" t="s">
        <v>368</v>
      </c>
      <c r="K141" s="18" t="s">
        <v>1817</v>
      </c>
      <c r="L141" s="30" t="s">
        <v>1612</v>
      </c>
    </row>
    <row r="142" spans="1:12" hidden="1" x14ac:dyDescent="0.25">
      <c r="A142" s="18" t="s">
        <v>25</v>
      </c>
      <c r="B142" s="57">
        <v>1.1342592592592591E-3</v>
      </c>
      <c r="C142" s="58">
        <v>1</v>
      </c>
      <c r="D142" s="18" t="s">
        <v>1829</v>
      </c>
      <c r="E142" s="18" t="s">
        <v>1830</v>
      </c>
      <c r="F142" s="18" t="s">
        <v>1810</v>
      </c>
      <c r="G142" s="59">
        <v>29.52</v>
      </c>
      <c r="H142" s="59">
        <v>29.52</v>
      </c>
      <c r="I142" s="18" t="s">
        <v>65</v>
      </c>
      <c r="J142" s="18" t="s">
        <v>1591</v>
      </c>
      <c r="K142" s="18" t="s">
        <v>1817</v>
      </c>
      <c r="L142" s="30" t="s">
        <v>1612</v>
      </c>
    </row>
    <row r="143" spans="1:12" hidden="1" x14ac:dyDescent="0.25">
      <c r="A143" s="18" t="s">
        <v>25</v>
      </c>
      <c r="B143" s="57">
        <v>1.2037037037037036E-3</v>
      </c>
      <c r="C143" s="58">
        <v>1</v>
      </c>
      <c r="D143" s="18" t="s">
        <v>1831</v>
      </c>
      <c r="E143" s="18" t="s">
        <v>1830</v>
      </c>
      <c r="F143" s="18" t="s">
        <v>1810</v>
      </c>
      <c r="G143" s="59">
        <v>29.51</v>
      </c>
      <c r="H143" s="59">
        <v>29.51</v>
      </c>
      <c r="I143" s="18" t="s">
        <v>1665</v>
      </c>
      <c r="J143" s="18" t="s">
        <v>512</v>
      </c>
      <c r="K143" s="18" t="s">
        <v>1832</v>
      </c>
      <c r="L143" s="30" t="s">
        <v>1612</v>
      </c>
    </row>
    <row r="144" spans="1:12" hidden="1" x14ac:dyDescent="0.25">
      <c r="A144" s="18" t="s">
        <v>25</v>
      </c>
      <c r="B144" s="57">
        <v>1.4710648148148148E-2</v>
      </c>
      <c r="C144" s="58">
        <v>1</v>
      </c>
      <c r="D144" s="18" t="s">
        <v>1812</v>
      </c>
      <c r="E144" s="18" t="s">
        <v>1813</v>
      </c>
      <c r="F144" s="18" t="s">
        <v>1810</v>
      </c>
      <c r="G144" s="59">
        <v>1519.18</v>
      </c>
      <c r="H144" s="59">
        <v>1519.18</v>
      </c>
      <c r="I144" s="18" t="s">
        <v>152</v>
      </c>
      <c r="J144" s="18" t="s">
        <v>152</v>
      </c>
      <c r="K144" s="18" t="s">
        <v>1832</v>
      </c>
      <c r="L144" s="30" t="s">
        <v>1612</v>
      </c>
    </row>
    <row r="145" spans="1:12" hidden="1" x14ac:dyDescent="0.25">
      <c r="A145" s="18" t="s">
        <v>25</v>
      </c>
      <c r="B145" s="57">
        <v>1.1342592592592591E-3</v>
      </c>
      <c r="C145" s="58">
        <v>1</v>
      </c>
      <c r="D145" s="18" t="s">
        <v>1833</v>
      </c>
      <c r="E145" s="18" t="s">
        <v>1834</v>
      </c>
      <c r="F145" s="18" t="s">
        <v>1810</v>
      </c>
      <c r="G145" s="59">
        <v>132.49</v>
      </c>
      <c r="H145" s="59">
        <v>132.49</v>
      </c>
      <c r="I145" s="18" t="s">
        <v>65</v>
      </c>
      <c r="J145" s="18" t="s">
        <v>368</v>
      </c>
      <c r="K145" s="18" t="s">
        <v>1832</v>
      </c>
      <c r="L145" s="30" t="s">
        <v>1612</v>
      </c>
    </row>
    <row r="146" spans="1:12" hidden="1" x14ac:dyDescent="0.25">
      <c r="A146" s="18" t="s">
        <v>25</v>
      </c>
      <c r="B146" s="57">
        <v>1.1805555555555556E-3</v>
      </c>
      <c r="C146" s="58">
        <v>1</v>
      </c>
      <c r="D146" s="18" t="s">
        <v>1835</v>
      </c>
      <c r="E146" s="18" t="s">
        <v>1836</v>
      </c>
      <c r="F146" s="18" t="s">
        <v>1810</v>
      </c>
      <c r="G146" s="59">
        <v>102.39</v>
      </c>
      <c r="H146" s="59">
        <v>102.39</v>
      </c>
      <c r="I146" s="18" t="s">
        <v>65</v>
      </c>
      <c r="J146" s="18" t="s">
        <v>368</v>
      </c>
      <c r="K146" s="18" t="s">
        <v>1832</v>
      </c>
      <c r="L146" s="30" t="s">
        <v>1612</v>
      </c>
    </row>
    <row r="147" spans="1:12" hidden="1" x14ac:dyDescent="0.25">
      <c r="A147" s="18" t="s">
        <v>25</v>
      </c>
      <c r="B147" s="57">
        <v>1.2384259259259258E-3</v>
      </c>
      <c r="C147" s="58">
        <v>1</v>
      </c>
      <c r="D147" s="18" t="s">
        <v>1837</v>
      </c>
      <c r="E147" s="18" t="s">
        <v>1838</v>
      </c>
      <c r="F147" s="18" t="s">
        <v>1810</v>
      </c>
      <c r="G147" s="59">
        <v>102.79</v>
      </c>
      <c r="H147" s="59">
        <v>102.79</v>
      </c>
      <c r="I147" s="18" t="s">
        <v>65</v>
      </c>
      <c r="J147" s="18" t="s">
        <v>368</v>
      </c>
      <c r="K147" s="18" t="s">
        <v>1832</v>
      </c>
      <c r="L147" s="30" t="s">
        <v>1612</v>
      </c>
    </row>
    <row r="148" spans="1:12" hidden="1" x14ac:dyDescent="0.25">
      <c r="A148" s="18" t="s">
        <v>25</v>
      </c>
      <c r="B148" s="57">
        <v>1.0995370370370369E-3</v>
      </c>
      <c r="C148" s="58">
        <v>1</v>
      </c>
      <c r="D148" s="18" t="s">
        <v>1839</v>
      </c>
      <c r="E148" s="18" t="s">
        <v>1819</v>
      </c>
      <c r="F148" s="18" t="s">
        <v>1810</v>
      </c>
      <c r="G148" s="59">
        <v>83.48</v>
      </c>
      <c r="H148" s="59">
        <v>83.48</v>
      </c>
      <c r="I148" s="18" t="s">
        <v>65</v>
      </c>
      <c r="J148" s="18" t="s">
        <v>368</v>
      </c>
      <c r="K148" s="18" t="s">
        <v>1832</v>
      </c>
      <c r="L148" s="30" t="s">
        <v>1612</v>
      </c>
    </row>
    <row r="149" spans="1:12" hidden="1" x14ac:dyDescent="0.25">
      <c r="A149" s="18" t="s">
        <v>25</v>
      </c>
      <c r="B149" s="57">
        <v>6.3194444444444444E-3</v>
      </c>
      <c r="C149" s="58">
        <v>7</v>
      </c>
      <c r="D149" s="18" t="s">
        <v>1840</v>
      </c>
      <c r="E149" s="18" t="s">
        <v>1809</v>
      </c>
      <c r="F149" s="18" t="s">
        <v>1810</v>
      </c>
      <c r="G149" s="59">
        <v>55.45</v>
      </c>
      <c r="H149" s="59">
        <v>388.15</v>
      </c>
      <c r="I149" s="18" t="s">
        <v>147</v>
      </c>
      <c r="J149" s="18" t="s">
        <v>115</v>
      </c>
      <c r="K149" s="18" t="s">
        <v>1841</v>
      </c>
      <c r="L149" s="30" t="s">
        <v>1612</v>
      </c>
    </row>
    <row r="150" spans="1:12" hidden="1" x14ac:dyDescent="0.25">
      <c r="A150" s="18" t="s">
        <v>25</v>
      </c>
      <c r="B150" s="57">
        <v>1.4467592592592593E-2</v>
      </c>
      <c r="C150" s="58">
        <v>1</v>
      </c>
      <c r="D150" s="18" t="s">
        <v>1812</v>
      </c>
      <c r="E150" s="18" t="s">
        <v>1813</v>
      </c>
      <c r="F150" s="18" t="s">
        <v>1810</v>
      </c>
      <c r="G150" s="59">
        <v>1519.18</v>
      </c>
      <c r="H150" s="59">
        <v>1519.18</v>
      </c>
      <c r="I150" s="18" t="s">
        <v>152</v>
      </c>
      <c r="J150" s="18" t="s">
        <v>152</v>
      </c>
      <c r="K150" s="18" t="s">
        <v>1841</v>
      </c>
      <c r="L150" s="30" t="s">
        <v>1612</v>
      </c>
    </row>
    <row r="151" spans="1:12" hidden="1" x14ac:dyDescent="0.25">
      <c r="A151" s="18" t="s">
        <v>25</v>
      </c>
      <c r="B151" s="57">
        <v>4.9768518518518521E-4</v>
      </c>
      <c r="C151" s="58">
        <v>1</v>
      </c>
      <c r="D151" s="18" t="s">
        <v>1842</v>
      </c>
      <c r="E151" s="18" t="s">
        <v>1843</v>
      </c>
      <c r="F151" s="18" t="s">
        <v>1810</v>
      </c>
      <c r="G151" s="59">
        <v>12.16</v>
      </c>
      <c r="H151" s="59">
        <v>12.16</v>
      </c>
      <c r="I151" s="18" t="s">
        <v>367</v>
      </c>
      <c r="J151" s="18" t="s">
        <v>512</v>
      </c>
      <c r="K151" s="18" t="s">
        <v>1841</v>
      </c>
      <c r="L151" s="30" t="s">
        <v>1612</v>
      </c>
    </row>
    <row r="152" spans="1:12" hidden="1" x14ac:dyDescent="0.25">
      <c r="A152" s="18" t="s">
        <v>25</v>
      </c>
      <c r="B152" s="57">
        <v>4.282407407407407E-4</v>
      </c>
      <c r="C152" s="58">
        <v>1</v>
      </c>
      <c r="D152" s="18" t="s">
        <v>1844</v>
      </c>
      <c r="E152" s="18" t="s">
        <v>1845</v>
      </c>
      <c r="F152" s="18" t="s">
        <v>1810</v>
      </c>
      <c r="G152" s="59">
        <v>8.31</v>
      </c>
      <c r="H152" s="59">
        <v>8.31</v>
      </c>
      <c r="I152" s="18" t="s">
        <v>367</v>
      </c>
      <c r="J152" s="18" t="s">
        <v>512</v>
      </c>
      <c r="K152" s="18" t="s">
        <v>1841</v>
      </c>
      <c r="L152" s="30" t="s">
        <v>1612</v>
      </c>
    </row>
    <row r="153" spans="1:12" hidden="1" x14ac:dyDescent="0.25">
      <c r="A153" s="18" t="s">
        <v>25</v>
      </c>
      <c r="B153" s="57">
        <v>1.579861111111111E-2</v>
      </c>
      <c r="C153" s="58">
        <v>1</v>
      </c>
      <c r="D153" s="18" t="s">
        <v>1846</v>
      </c>
      <c r="E153" s="18" t="s">
        <v>1813</v>
      </c>
      <c r="F153" s="18" t="s">
        <v>1810</v>
      </c>
      <c r="G153" s="59">
        <v>1502.31</v>
      </c>
      <c r="H153" s="59">
        <v>1502.31</v>
      </c>
      <c r="I153" s="18" t="s">
        <v>152</v>
      </c>
      <c r="J153" s="18" t="s">
        <v>152</v>
      </c>
      <c r="K153" s="18" t="s">
        <v>1847</v>
      </c>
      <c r="L153" s="30" t="s">
        <v>1612</v>
      </c>
    </row>
    <row r="154" spans="1:12" hidden="1" x14ac:dyDescent="0.25">
      <c r="A154" s="18" t="s">
        <v>25</v>
      </c>
      <c r="B154" s="57">
        <v>2.5694444444444445E-3</v>
      </c>
      <c r="C154" s="58">
        <v>2</v>
      </c>
      <c r="D154" s="18" t="s">
        <v>1848</v>
      </c>
      <c r="E154" s="18" t="s">
        <v>1849</v>
      </c>
      <c r="F154" s="18" t="s">
        <v>1810</v>
      </c>
      <c r="G154" s="59">
        <v>239.17</v>
      </c>
      <c r="H154" s="59">
        <v>478.34</v>
      </c>
      <c r="I154" s="18" t="s">
        <v>367</v>
      </c>
      <c r="J154" s="18" t="s">
        <v>512</v>
      </c>
      <c r="K154" s="18" t="s">
        <v>1847</v>
      </c>
      <c r="L154" s="30" t="s">
        <v>1612</v>
      </c>
    </row>
    <row r="155" spans="1:12" hidden="1" x14ac:dyDescent="0.25">
      <c r="A155" s="18" t="s">
        <v>25</v>
      </c>
      <c r="B155" s="57">
        <v>1.417824074074074E-2</v>
      </c>
      <c r="C155" s="58">
        <v>1</v>
      </c>
      <c r="D155" s="18" t="s">
        <v>1812</v>
      </c>
      <c r="E155" s="18" t="s">
        <v>1813</v>
      </c>
      <c r="F155" s="18" t="s">
        <v>1810</v>
      </c>
      <c r="G155" s="59">
        <v>1519.18</v>
      </c>
      <c r="H155" s="59">
        <v>1519.18</v>
      </c>
      <c r="I155" s="18" t="s">
        <v>152</v>
      </c>
      <c r="J155" s="18" t="s">
        <v>152</v>
      </c>
      <c r="K155" s="18" t="s">
        <v>1850</v>
      </c>
      <c r="L155" s="30" t="s">
        <v>1612</v>
      </c>
    </row>
    <row r="156" spans="1:12" hidden="1" x14ac:dyDescent="0.25">
      <c r="A156" s="18" t="s">
        <v>25</v>
      </c>
      <c r="B156" s="57">
        <v>9.837962962962962E-4</v>
      </c>
      <c r="C156" s="58">
        <v>1</v>
      </c>
      <c r="D156" s="18" t="s">
        <v>1851</v>
      </c>
      <c r="E156" s="18" t="s">
        <v>1852</v>
      </c>
      <c r="F156" s="18" t="s">
        <v>1810</v>
      </c>
      <c r="G156" s="59">
        <v>48.05</v>
      </c>
      <c r="H156" s="59">
        <v>48.05</v>
      </c>
      <c r="I156" s="18" t="s">
        <v>367</v>
      </c>
      <c r="J156" s="18" t="s">
        <v>1593</v>
      </c>
      <c r="K156" s="18" t="s">
        <v>1850</v>
      </c>
      <c r="L156" s="30" t="s">
        <v>1612</v>
      </c>
    </row>
    <row r="157" spans="1:12" hidden="1" x14ac:dyDescent="0.25">
      <c r="A157" s="18" t="s">
        <v>25</v>
      </c>
      <c r="B157" s="57">
        <v>4.3981481481481481E-4</v>
      </c>
      <c r="C157" s="58">
        <v>1</v>
      </c>
      <c r="D157" s="18" t="s">
        <v>1853</v>
      </c>
      <c r="E157" s="18" t="s">
        <v>1854</v>
      </c>
      <c r="F157" s="18" t="s">
        <v>1810</v>
      </c>
      <c r="G157" s="59">
        <v>7.91</v>
      </c>
      <c r="H157" s="59">
        <v>7.91</v>
      </c>
      <c r="I157" s="18" t="s">
        <v>367</v>
      </c>
      <c r="J157" s="18" t="s">
        <v>1594</v>
      </c>
      <c r="K157" s="18" t="s">
        <v>1850</v>
      </c>
      <c r="L157" s="30" t="s">
        <v>1612</v>
      </c>
    </row>
    <row r="158" spans="1:12" hidden="1" x14ac:dyDescent="0.25">
      <c r="A158" s="18" t="s">
        <v>25</v>
      </c>
      <c r="B158" s="57">
        <v>9.1435185185185185E-4</v>
      </c>
      <c r="C158" s="58">
        <v>1</v>
      </c>
      <c r="D158" s="18" t="s">
        <v>1855</v>
      </c>
      <c r="E158" s="18" t="s">
        <v>1856</v>
      </c>
      <c r="F158" s="18" t="s">
        <v>1810</v>
      </c>
      <c r="G158" s="59">
        <v>48.68</v>
      </c>
      <c r="H158" s="59">
        <v>48.68</v>
      </c>
      <c r="I158" s="18" t="s">
        <v>65</v>
      </c>
      <c r="J158" s="18" t="s">
        <v>368</v>
      </c>
      <c r="K158" s="18" t="s">
        <v>1850</v>
      </c>
      <c r="L158" s="30" t="s">
        <v>1612</v>
      </c>
    </row>
    <row r="159" spans="1:12" hidden="1" x14ac:dyDescent="0.25">
      <c r="A159" s="18" t="s">
        <v>25</v>
      </c>
      <c r="B159" s="57">
        <v>9.1435185185185185E-4</v>
      </c>
      <c r="C159" s="58">
        <v>1</v>
      </c>
      <c r="D159" s="18" t="s">
        <v>1857</v>
      </c>
      <c r="E159" s="18" t="s">
        <v>1856</v>
      </c>
      <c r="F159" s="18" t="s">
        <v>1810</v>
      </c>
      <c r="G159" s="59">
        <v>48.98</v>
      </c>
      <c r="H159" s="59">
        <v>48.98</v>
      </c>
      <c r="I159" s="18" t="s">
        <v>65</v>
      </c>
      <c r="J159" s="18" t="s">
        <v>368</v>
      </c>
      <c r="K159" s="18" t="s">
        <v>1850</v>
      </c>
      <c r="L159" s="30" t="s">
        <v>1612</v>
      </c>
    </row>
    <row r="160" spans="1:12" hidden="1" x14ac:dyDescent="0.25">
      <c r="A160" s="18" t="s">
        <v>25</v>
      </c>
      <c r="B160" s="57">
        <v>7.5231481481481482E-4</v>
      </c>
      <c r="C160" s="58">
        <v>1</v>
      </c>
      <c r="D160" s="18" t="s">
        <v>1858</v>
      </c>
      <c r="E160" s="18" t="s">
        <v>1856</v>
      </c>
      <c r="F160" s="18" t="s">
        <v>1810</v>
      </c>
      <c r="G160" s="59">
        <v>48.76</v>
      </c>
      <c r="H160" s="59">
        <v>48.76</v>
      </c>
      <c r="I160" s="18" t="s">
        <v>65</v>
      </c>
      <c r="J160" s="18" t="s">
        <v>368</v>
      </c>
      <c r="K160" s="18" t="s">
        <v>1850</v>
      </c>
      <c r="L160" s="30" t="s">
        <v>1612</v>
      </c>
    </row>
    <row r="161" spans="1:12" hidden="1" x14ac:dyDescent="0.25">
      <c r="A161" s="18" t="s">
        <v>25</v>
      </c>
      <c r="B161" s="57">
        <v>9.1435185185185185E-4</v>
      </c>
      <c r="C161" s="58">
        <v>1</v>
      </c>
      <c r="D161" s="18" t="s">
        <v>1859</v>
      </c>
      <c r="E161" s="18" t="s">
        <v>1860</v>
      </c>
      <c r="F161" s="18" t="s">
        <v>1810</v>
      </c>
      <c r="G161" s="59">
        <v>48.81</v>
      </c>
      <c r="H161" s="59">
        <v>48.81</v>
      </c>
      <c r="I161" s="18" t="s">
        <v>65</v>
      </c>
      <c r="J161" s="18" t="s">
        <v>368</v>
      </c>
      <c r="K161" s="18" t="s">
        <v>1850</v>
      </c>
      <c r="L161" s="30" t="s">
        <v>1612</v>
      </c>
    </row>
    <row r="162" spans="1:12" hidden="1" x14ac:dyDescent="0.25">
      <c r="A162" s="18" t="s">
        <v>25</v>
      </c>
      <c r="B162" s="57">
        <v>7.5231481481481482E-4</v>
      </c>
      <c r="C162" s="58">
        <v>1</v>
      </c>
      <c r="D162" s="18" t="s">
        <v>1861</v>
      </c>
      <c r="E162" s="18" t="s">
        <v>1856</v>
      </c>
      <c r="F162" s="18" t="s">
        <v>1810</v>
      </c>
      <c r="G162" s="59">
        <v>48.7</v>
      </c>
      <c r="H162" s="59">
        <v>48.7</v>
      </c>
      <c r="I162" s="18" t="s">
        <v>65</v>
      </c>
      <c r="J162" s="18" t="s">
        <v>368</v>
      </c>
      <c r="K162" s="18" t="s">
        <v>1850</v>
      </c>
      <c r="L162" s="30" t="s">
        <v>1612</v>
      </c>
    </row>
    <row r="163" spans="1:12" hidden="1" x14ac:dyDescent="0.25">
      <c r="A163" s="18" t="s">
        <v>25</v>
      </c>
      <c r="B163" s="57">
        <v>7.5231481481481482E-4</v>
      </c>
      <c r="C163" s="58">
        <v>1</v>
      </c>
      <c r="D163" s="18" t="s">
        <v>1862</v>
      </c>
      <c r="E163" s="18" t="s">
        <v>1856</v>
      </c>
      <c r="F163" s="18" t="s">
        <v>1810</v>
      </c>
      <c r="G163" s="59">
        <v>48.98</v>
      </c>
      <c r="H163" s="59">
        <v>48.98</v>
      </c>
      <c r="I163" s="18" t="s">
        <v>65</v>
      </c>
      <c r="J163" s="18" t="s">
        <v>368</v>
      </c>
      <c r="K163" s="18" t="s">
        <v>1850</v>
      </c>
      <c r="L163" s="30" t="s">
        <v>1612</v>
      </c>
    </row>
    <row r="164" spans="1:12" hidden="1" x14ac:dyDescent="0.25">
      <c r="A164" s="18" t="s">
        <v>25</v>
      </c>
      <c r="B164" s="57">
        <v>9.1435185185185185E-4</v>
      </c>
      <c r="C164" s="58">
        <v>1</v>
      </c>
      <c r="D164" s="18" t="s">
        <v>1863</v>
      </c>
      <c r="E164" s="18" t="s">
        <v>1856</v>
      </c>
      <c r="F164" s="18" t="s">
        <v>1810</v>
      </c>
      <c r="G164" s="59">
        <v>48.76</v>
      </c>
      <c r="H164" s="59">
        <v>48.76</v>
      </c>
      <c r="I164" s="18" t="s">
        <v>65</v>
      </c>
      <c r="J164" s="18" t="s">
        <v>368</v>
      </c>
      <c r="K164" s="18" t="s">
        <v>1850</v>
      </c>
      <c r="L164" s="30" t="s">
        <v>1612</v>
      </c>
    </row>
    <row r="165" spans="1:12" hidden="1" x14ac:dyDescent="0.25">
      <c r="A165" s="18" t="s">
        <v>25</v>
      </c>
      <c r="B165" s="57">
        <v>7.5231481481481482E-4</v>
      </c>
      <c r="C165" s="58">
        <v>1</v>
      </c>
      <c r="D165" s="18" t="s">
        <v>1864</v>
      </c>
      <c r="E165" s="18" t="s">
        <v>1865</v>
      </c>
      <c r="F165" s="18" t="s">
        <v>1810</v>
      </c>
      <c r="G165" s="59">
        <v>48.87</v>
      </c>
      <c r="H165" s="59">
        <v>48.87</v>
      </c>
      <c r="I165" s="18" t="s">
        <v>65</v>
      </c>
      <c r="J165" s="18" t="s">
        <v>368</v>
      </c>
      <c r="K165" s="18" t="s">
        <v>1850</v>
      </c>
      <c r="L165" s="30" t="s">
        <v>1612</v>
      </c>
    </row>
    <row r="166" spans="1:12" hidden="1" x14ac:dyDescent="0.25">
      <c r="A166" s="18" t="s">
        <v>25</v>
      </c>
      <c r="B166" s="57">
        <v>4.282407407407407E-4</v>
      </c>
      <c r="C166" s="58">
        <v>1</v>
      </c>
      <c r="D166" s="18" t="s">
        <v>1866</v>
      </c>
      <c r="E166" s="18" t="s">
        <v>1867</v>
      </c>
      <c r="F166" s="18" t="s">
        <v>1810</v>
      </c>
      <c r="G166" s="59">
        <v>3.07</v>
      </c>
      <c r="H166" s="59">
        <v>3.07</v>
      </c>
      <c r="I166" s="18" t="s">
        <v>65</v>
      </c>
      <c r="J166" s="18" t="s">
        <v>1590</v>
      </c>
      <c r="K166" s="18" t="s">
        <v>1850</v>
      </c>
      <c r="L166" s="30" t="s">
        <v>1612</v>
      </c>
    </row>
    <row r="167" spans="1:12" hidden="1" x14ac:dyDescent="0.25">
      <c r="A167" s="18" t="s">
        <v>25</v>
      </c>
      <c r="B167" s="57">
        <v>1.4398148148148148E-2</v>
      </c>
      <c r="C167" s="58">
        <v>1</v>
      </c>
      <c r="D167" s="18" t="s">
        <v>1868</v>
      </c>
      <c r="E167" s="18" t="s">
        <v>1869</v>
      </c>
      <c r="F167" s="18" t="s">
        <v>1810</v>
      </c>
      <c r="G167" s="59">
        <v>1440.61</v>
      </c>
      <c r="H167" s="59">
        <v>1440.61</v>
      </c>
      <c r="I167" s="18" t="s">
        <v>550</v>
      </c>
      <c r="J167" s="18" t="s">
        <v>550</v>
      </c>
      <c r="K167" s="18" t="s">
        <v>1870</v>
      </c>
      <c r="L167" s="30" t="s">
        <v>1612</v>
      </c>
    </row>
    <row r="168" spans="1:12" hidden="1" x14ac:dyDescent="0.25">
      <c r="A168" s="18" t="s">
        <v>25</v>
      </c>
      <c r="B168" s="57">
        <v>6.3078703703703699E-3</v>
      </c>
      <c r="C168" s="58">
        <v>7</v>
      </c>
      <c r="D168" s="18" t="s">
        <v>1840</v>
      </c>
      <c r="E168" s="18" t="s">
        <v>1809</v>
      </c>
      <c r="F168" s="18" t="s">
        <v>1810</v>
      </c>
      <c r="G168" s="59">
        <v>55.45</v>
      </c>
      <c r="H168" s="59">
        <v>388.15</v>
      </c>
      <c r="I168" s="18" t="s">
        <v>147</v>
      </c>
      <c r="J168" s="18" t="s">
        <v>115</v>
      </c>
      <c r="K168" s="18" t="s">
        <v>1870</v>
      </c>
      <c r="L168" s="30" t="s">
        <v>1612</v>
      </c>
    </row>
    <row r="169" spans="1:12" hidden="1" x14ac:dyDescent="0.25">
      <c r="A169" s="18" t="s">
        <v>25</v>
      </c>
      <c r="B169" s="57">
        <v>4.282407407407407E-4</v>
      </c>
      <c r="C169" s="58">
        <v>1</v>
      </c>
      <c r="D169" s="18" t="s">
        <v>1871</v>
      </c>
      <c r="E169" s="18" t="s">
        <v>1845</v>
      </c>
      <c r="F169" s="18" t="s">
        <v>1810</v>
      </c>
      <c r="G169" s="59">
        <v>8.31</v>
      </c>
      <c r="H169" s="59">
        <v>8.31</v>
      </c>
      <c r="I169" s="18" t="s">
        <v>367</v>
      </c>
      <c r="J169" s="18" t="s">
        <v>512</v>
      </c>
      <c r="K169" s="18" t="s">
        <v>1870</v>
      </c>
      <c r="L169" s="30" t="s">
        <v>1612</v>
      </c>
    </row>
    <row r="170" spans="1:12" hidden="1" x14ac:dyDescent="0.25">
      <c r="A170" s="18" t="s">
        <v>25</v>
      </c>
      <c r="B170" s="57">
        <v>5.6712962962962956E-4</v>
      </c>
      <c r="C170" s="58">
        <v>1</v>
      </c>
      <c r="D170" s="18" t="s">
        <v>1872</v>
      </c>
      <c r="E170" s="18" t="s">
        <v>1873</v>
      </c>
      <c r="F170" s="18" t="s">
        <v>1810</v>
      </c>
      <c r="G170" s="59">
        <v>9.19</v>
      </c>
      <c r="H170" s="59">
        <v>9.19</v>
      </c>
      <c r="I170" s="18" t="s">
        <v>65</v>
      </c>
      <c r="J170" s="18" t="s">
        <v>512</v>
      </c>
      <c r="K170" s="18" t="s">
        <v>1870</v>
      </c>
      <c r="L170" s="30" t="s">
        <v>1612</v>
      </c>
    </row>
    <row r="171" spans="1:12" hidden="1" x14ac:dyDescent="0.25">
      <c r="A171" s="18" t="s">
        <v>25</v>
      </c>
      <c r="B171" s="57">
        <v>1.0532407407407407E-3</v>
      </c>
      <c r="C171" s="58">
        <v>1</v>
      </c>
      <c r="D171" s="18" t="s">
        <v>1831</v>
      </c>
      <c r="E171" s="18" t="s">
        <v>1830</v>
      </c>
      <c r="F171" s="18" t="s">
        <v>1810</v>
      </c>
      <c r="G171" s="59">
        <v>29.51</v>
      </c>
      <c r="H171" s="59">
        <v>29.51</v>
      </c>
      <c r="I171" s="18" t="s">
        <v>1665</v>
      </c>
      <c r="J171" s="18" t="s">
        <v>512</v>
      </c>
      <c r="K171" s="18" t="s">
        <v>1874</v>
      </c>
      <c r="L171" s="30" t="s">
        <v>1612</v>
      </c>
    </row>
    <row r="172" spans="1:12" hidden="1" x14ac:dyDescent="0.25">
      <c r="A172" s="18" t="s">
        <v>25</v>
      </c>
      <c r="B172" s="57">
        <v>1.3425925925925926E-2</v>
      </c>
      <c r="C172" s="58">
        <v>1</v>
      </c>
      <c r="D172" s="18" t="s">
        <v>1875</v>
      </c>
      <c r="E172" s="18" t="s">
        <v>1813</v>
      </c>
      <c r="F172" s="18" t="s">
        <v>1810</v>
      </c>
      <c r="G172" s="59">
        <v>1519.18</v>
      </c>
      <c r="H172" s="59">
        <v>1519.18</v>
      </c>
      <c r="I172" s="18" t="s">
        <v>511</v>
      </c>
      <c r="J172" s="18" t="s">
        <v>511</v>
      </c>
      <c r="K172" s="18" t="s">
        <v>1874</v>
      </c>
      <c r="L172" s="30" t="s">
        <v>1612</v>
      </c>
    </row>
    <row r="173" spans="1:12" hidden="1" x14ac:dyDescent="0.25">
      <c r="A173" s="18" t="s">
        <v>25</v>
      </c>
      <c r="B173" s="57">
        <v>5.4398148148148149E-3</v>
      </c>
      <c r="C173" s="58">
        <v>5</v>
      </c>
      <c r="D173" s="18" t="s">
        <v>1808</v>
      </c>
      <c r="E173" s="18" t="s">
        <v>1809</v>
      </c>
      <c r="F173" s="18" t="s">
        <v>1810</v>
      </c>
      <c r="G173" s="59">
        <v>55.45</v>
      </c>
      <c r="H173" s="59">
        <v>277.25</v>
      </c>
      <c r="I173" s="18" t="s">
        <v>150</v>
      </c>
      <c r="J173" s="18" t="s">
        <v>115</v>
      </c>
      <c r="K173" s="18" t="s">
        <v>1874</v>
      </c>
      <c r="L173" s="30" t="s">
        <v>1612</v>
      </c>
    </row>
    <row r="174" spans="1:12" hidden="1" x14ac:dyDescent="0.25">
      <c r="A174" s="18" t="s">
        <v>25</v>
      </c>
      <c r="B174" s="57">
        <v>1.0416666666666667E-3</v>
      </c>
      <c r="C174" s="58">
        <v>2</v>
      </c>
      <c r="D174" s="18" t="s">
        <v>1876</v>
      </c>
      <c r="E174" s="18" t="s">
        <v>1877</v>
      </c>
      <c r="F174" s="18" t="s">
        <v>1810</v>
      </c>
      <c r="G174" s="59">
        <v>3.7</v>
      </c>
      <c r="H174" s="59">
        <v>7.4</v>
      </c>
      <c r="I174" s="18" t="s">
        <v>367</v>
      </c>
      <c r="J174" s="18" t="s">
        <v>1594</v>
      </c>
      <c r="K174" s="18" t="s">
        <v>1874</v>
      </c>
      <c r="L174" s="30" t="s">
        <v>1612</v>
      </c>
    </row>
    <row r="175" spans="1:12" hidden="1" x14ac:dyDescent="0.25">
      <c r="A175" s="18" t="s">
        <v>25</v>
      </c>
      <c r="B175" s="57">
        <v>3.9351851851851852E-4</v>
      </c>
      <c r="C175" s="58">
        <v>1</v>
      </c>
      <c r="D175" s="18" t="s">
        <v>1853</v>
      </c>
      <c r="E175" s="18" t="s">
        <v>1854</v>
      </c>
      <c r="F175" s="18" t="s">
        <v>1810</v>
      </c>
      <c r="G175" s="59">
        <v>7.91</v>
      </c>
      <c r="H175" s="59">
        <v>7.91</v>
      </c>
      <c r="I175" s="18" t="s">
        <v>367</v>
      </c>
      <c r="J175" s="18" t="s">
        <v>1594</v>
      </c>
      <c r="K175" s="18" t="s">
        <v>1874</v>
      </c>
      <c r="L175" s="30" t="s">
        <v>1612</v>
      </c>
    </row>
    <row r="176" spans="1:12" hidden="1" x14ac:dyDescent="0.25">
      <c r="A176" s="18" t="s">
        <v>25</v>
      </c>
      <c r="B176" s="57">
        <v>4.282407407407407E-4</v>
      </c>
      <c r="C176" s="58">
        <v>1</v>
      </c>
      <c r="D176" s="18" t="s">
        <v>1878</v>
      </c>
      <c r="E176" s="18" t="s">
        <v>1879</v>
      </c>
      <c r="F176" s="18" t="s">
        <v>1810</v>
      </c>
      <c r="G176" s="59">
        <v>3.09</v>
      </c>
      <c r="H176" s="59">
        <v>3.09</v>
      </c>
      <c r="I176" s="18" t="s">
        <v>65</v>
      </c>
      <c r="J176" s="18" t="s">
        <v>1590</v>
      </c>
      <c r="K176" s="18" t="s">
        <v>1874</v>
      </c>
      <c r="L176" s="30" t="s">
        <v>1612</v>
      </c>
    </row>
    <row r="177" spans="1:12" hidden="1" x14ac:dyDescent="0.25">
      <c r="A177" s="18" t="s">
        <v>25</v>
      </c>
      <c r="B177" s="57">
        <v>4.1666666666666664E-4</v>
      </c>
      <c r="C177" s="58">
        <v>1</v>
      </c>
      <c r="D177" s="18" t="s">
        <v>1880</v>
      </c>
      <c r="E177" s="18" t="s">
        <v>1881</v>
      </c>
      <c r="F177" s="18" t="s">
        <v>1810</v>
      </c>
      <c r="G177" s="59">
        <v>5.12</v>
      </c>
      <c r="H177" s="59">
        <v>5.12</v>
      </c>
      <c r="I177" s="18" t="s">
        <v>65</v>
      </c>
      <c r="J177" s="18" t="s">
        <v>1590</v>
      </c>
      <c r="K177" s="18" t="s">
        <v>1874</v>
      </c>
      <c r="L177" s="30" t="s">
        <v>1612</v>
      </c>
    </row>
    <row r="178" spans="1:12" hidden="1" x14ac:dyDescent="0.25">
      <c r="A178" s="18" t="s">
        <v>25</v>
      </c>
      <c r="B178" s="57">
        <v>9.0277777777777774E-4</v>
      </c>
      <c r="C178" s="58">
        <v>1</v>
      </c>
      <c r="D178" s="18" t="s">
        <v>1882</v>
      </c>
      <c r="E178" s="18" t="s">
        <v>1883</v>
      </c>
      <c r="F178" s="18" t="s">
        <v>1810</v>
      </c>
      <c r="G178" s="59">
        <v>35.64</v>
      </c>
      <c r="H178" s="59">
        <v>35.64</v>
      </c>
      <c r="I178" s="18" t="s">
        <v>65</v>
      </c>
      <c r="J178" s="18" t="s">
        <v>368</v>
      </c>
      <c r="K178" s="18" t="s">
        <v>1874</v>
      </c>
      <c r="L178" s="30" t="s">
        <v>1612</v>
      </c>
    </row>
    <row r="179" spans="1:12" hidden="1" x14ac:dyDescent="0.25">
      <c r="A179" s="18" t="s">
        <v>25</v>
      </c>
      <c r="B179" s="57">
        <v>7.5231481481481482E-4</v>
      </c>
      <c r="C179" s="58">
        <v>1</v>
      </c>
      <c r="D179" s="18" t="s">
        <v>1884</v>
      </c>
      <c r="E179" s="18" t="s">
        <v>1883</v>
      </c>
      <c r="F179" s="18" t="s">
        <v>1810</v>
      </c>
      <c r="G179" s="59">
        <v>35.65</v>
      </c>
      <c r="H179" s="59">
        <v>35.65</v>
      </c>
      <c r="I179" s="18" t="s">
        <v>65</v>
      </c>
      <c r="J179" s="18" t="s">
        <v>368</v>
      </c>
      <c r="K179" s="18" t="s">
        <v>1874</v>
      </c>
      <c r="L179" s="30" t="s">
        <v>1612</v>
      </c>
    </row>
    <row r="180" spans="1:12" hidden="1" x14ac:dyDescent="0.25">
      <c r="A180" s="18" t="s">
        <v>25</v>
      </c>
      <c r="B180" s="57">
        <v>9.3749999999999997E-4</v>
      </c>
      <c r="C180" s="58">
        <v>1</v>
      </c>
      <c r="D180" s="18" t="s">
        <v>1885</v>
      </c>
      <c r="E180" s="18" t="s">
        <v>1886</v>
      </c>
      <c r="F180" s="18" t="s">
        <v>1810</v>
      </c>
      <c r="G180" s="59">
        <v>37.49</v>
      </c>
      <c r="H180" s="59">
        <v>37.49</v>
      </c>
      <c r="I180" s="18" t="s">
        <v>1672</v>
      </c>
      <c r="J180" s="18" t="s">
        <v>115</v>
      </c>
      <c r="K180" s="18" t="s">
        <v>1887</v>
      </c>
      <c r="L180" s="30" t="s">
        <v>1612</v>
      </c>
    </row>
    <row r="181" spans="1:12" hidden="1" x14ac:dyDescent="0.25">
      <c r="A181" s="18" t="s">
        <v>25</v>
      </c>
      <c r="B181" s="57">
        <v>4.4212962962962964E-3</v>
      </c>
      <c r="C181" s="58">
        <v>6</v>
      </c>
      <c r="D181" s="18" t="s">
        <v>1888</v>
      </c>
      <c r="E181" s="18" t="s">
        <v>1889</v>
      </c>
      <c r="F181" s="18" t="s">
        <v>1810</v>
      </c>
      <c r="G181" s="59">
        <v>66.22</v>
      </c>
      <c r="H181" s="59">
        <v>397.32</v>
      </c>
      <c r="I181" s="18" t="s">
        <v>1583</v>
      </c>
      <c r="J181" s="18" t="s">
        <v>1583</v>
      </c>
      <c r="K181" s="18" t="s">
        <v>1887</v>
      </c>
      <c r="L181" s="30" t="s">
        <v>1612</v>
      </c>
    </row>
    <row r="182" spans="1:12" hidden="1" x14ac:dyDescent="0.25">
      <c r="A182" s="18" t="s">
        <v>25</v>
      </c>
      <c r="B182" s="57">
        <v>1.6203703703703703E-2</v>
      </c>
      <c r="C182" s="58">
        <v>1</v>
      </c>
      <c r="D182" s="18" t="s">
        <v>1890</v>
      </c>
      <c r="E182" s="18" t="s">
        <v>1891</v>
      </c>
      <c r="F182" s="18" t="s">
        <v>1810</v>
      </c>
      <c r="G182" s="59">
        <v>1576.6</v>
      </c>
      <c r="H182" s="59">
        <v>1576.6</v>
      </c>
      <c r="I182" s="18" t="s">
        <v>65</v>
      </c>
      <c r="J182" s="18" t="s">
        <v>368</v>
      </c>
      <c r="K182" s="18" t="s">
        <v>1887</v>
      </c>
      <c r="L182" s="30" t="s">
        <v>1612</v>
      </c>
    </row>
    <row r="183" spans="1:12" hidden="1" x14ac:dyDescent="0.25">
      <c r="A183" s="18" t="s">
        <v>25</v>
      </c>
      <c r="B183" s="57">
        <v>5.6712962962962956E-4</v>
      </c>
      <c r="C183" s="58">
        <v>1</v>
      </c>
      <c r="D183" s="18" t="s">
        <v>1892</v>
      </c>
      <c r="E183" s="18" t="s">
        <v>1893</v>
      </c>
      <c r="F183" s="18" t="s">
        <v>1810</v>
      </c>
      <c r="G183" s="59">
        <v>9.99</v>
      </c>
      <c r="H183" s="59">
        <v>9.99</v>
      </c>
      <c r="I183" s="18" t="s">
        <v>65</v>
      </c>
      <c r="J183" s="18" t="s">
        <v>512</v>
      </c>
      <c r="K183" s="18" t="s">
        <v>1887</v>
      </c>
      <c r="L183" s="30" t="s">
        <v>1612</v>
      </c>
    </row>
    <row r="184" spans="1:12" hidden="1" x14ac:dyDescent="0.25">
      <c r="A184" s="18" t="s">
        <v>25</v>
      </c>
      <c r="B184" s="57">
        <v>5.6712962962962956E-4</v>
      </c>
      <c r="C184" s="58">
        <v>1</v>
      </c>
      <c r="D184" s="18" t="s">
        <v>1894</v>
      </c>
      <c r="E184" s="18" t="s">
        <v>1893</v>
      </c>
      <c r="F184" s="18" t="s">
        <v>1810</v>
      </c>
      <c r="G184" s="59">
        <v>9.99</v>
      </c>
      <c r="H184" s="59">
        <v>9.99</v>
      </c>
      <c r="I184" s="18" t="s">
        <v>65</v>
      </c>
      <c r="J184" s="18" t="s">
        <v>512</v>
      </c>
      <c r="K184" s="18" t="s">
        <v>1887</v>
      </c>
      <c r="L184" s="30" t="s">
        <v>1612</v>
      </c>
    </row>
    <row r="185" spans="1:12" hidden="1" x14ac:dyDescent="0.25">
      <c r="A185" s="18" t="s">
        <v>25</v>
      </c>
      <c r="B185" s="57">
        <v>1.4039351851851851E-2</v>
      </c>
      <c r="C185" s="58">
        <v>1</v>
      </c>
      <c r="D185" s="18" t="s">
        <v>1875</v>
      </c>
      <c r="E185" s="18" t="s">
        <v>1813</v>
      </c>
      <c r="F185" s="18" t="s">
        <v>1810</v>
      </c>
      <c r="G185" s="59">
        <v>1519.18</v>
      </c>
      <c r="H185" s="59">
        <v>1519.18</v>
      </c>
      <c r="I185" s="18" t="s">
        <v>511</v>
      </c>
      <c r="J185" s="18" t="s">
        <v>511</v>
      </c>
      <c r="K185" s="18" t="s">
        <v>1895</v>
      </c>
      <c r="L185" s="30" t="s">
        <v>1612</v>
      </c>
    </row>
    <row r="186" spans="1:12" hidden="1" x14ac:dyDescent="0.25">
      <c r="A186" s="18" t="s">
        <v>25</v>
      </c>
      <c r="B186" s="57">
        <v>1.2384259259259258E-3</v>
      </c>
      <c r="C186" s="58">
        <v>2</v>
      </c>
      <c r="D186" s="18" t="s">
        <v>1896</v>
      </c>
      <c r="E186" s="18" t="s">
        <v>1897</v>
      </c>
      <c r="F186" s="18" t="s">
        <v>1810</v>
      </c>
      <c r="G186" s="59">
        <v>10.71</v>
      </c>
      <c r="H186" s="59">
        <v>21.42</v>
      </c>
      <c r="I186" s="18" t="s">
        <v>1665</v>
      </c>
      <c r="J186" s="18" t="s">
        <v>512</v>
      </c>
      <c r="K186" s="18" t="s">
        <v>1895</v>
      </c>
      <c r="L186" s="30" t="s">
        <v>1612</v>
      </c>
    </row>
    <row r="187" spans="1:12" hidden="1" x14ac:dyDescent="0.25">
      <c r="A187" s="18" t="s">
        <v>25</v>
      </c>
      <c r="B187" s="57">
        <v>1.1226851851851851E-3</v>
      </c>
      <c r="C187" s="58">
        <v>1</v>
      </c>
      <c r="D187" s="18" t="s">
        <v>1898</v>
      </c>
      <c r="E187" s="18" t="s">
        <v>1899</v>
      </c>
      <c r="F187" s="18" t="s">
        <v>1810</v>
      </c>
      <c r="G187" s="59">
        <v>53.6</v>
      </c>
      <c r="H187" s="59">
        <v>53.6</v>
      </c>
      <c r="I187" s="18" t="s">
        <v>1665</v>
      </c>
      <c r="J187" s="18" t="s">
        <v>115</v>
      </c>
      <c r="K187" s="18" t="s">
        <v>1895</v>
      </c>
      <c r="L187" s="30" t="s">
        <v>1612</v>
      </c>
    </row>
    <row r="188" spans="1:12" hidden="1" x14ac:dyDescent="0.25">
      <c r="A188" s="18" t="s">
        <v>25</v>
      </c>
      <c r="B188" s="57">
        <v>8.9120370370370362E-4</v>
      </c>
      <c r="C188" s="58">
        <v>1</v>
      </c>
      <c r="D188" s="18" t="s">
        <v>1900</v>
      </c>
      <c r="E188" s="18" t="s">
        <v>1899</v>
      </c>
      <c r="F188" s="18" t="s">
        <v>1810</v>
      </c>
      <c r="G188" s="59">
        <v>53.6</v>
      </c>
      <c r="H188" s="59">
        <v>53.6</v>
      </c>
      <c r="I188" s="18" t="s">
        <v>1672</v>
      </c>
      <c r="J188" s="18" t="s">
        <v>115</v>
      </c>
      <c r="K188" s="18" t="s">
        <v>1895</v>
      </c>
      <c r="L188" s="30" t="s">
        <v>1612</v>
      </c>
    </row>
    <row r="189" spans="1:12" hidden="1" x14ac:dyDescent="0.25">
      <c r="A189" s="18" t="s">
        <v>25</v>
      </c>
      <c r="B189" s="57">
        <v>2.4074074074074072E-3</v>
      </c>
      <c r="C189" s="58">
        <v>3</v>
      </c>
      <c r="D189" s="18" t="s">
        <v>1901</v>
      </c>
      <c r="E189" s="18" t="s">
        <v>1902</v>
      </c>
      <c r="F189" s="18" t="s">
        <v>1810</v>
      </c>
      <c r="G189" s="59">
        <v>53.6</v>
      </c>
      <c r="H189" s="59">
        <v>160.80000000000001</v>
      </c>
      <c r="I189" s="18" t="s">
        <v>65</v>
      </c>
      <c r="J189" s="18" t="s">
        <v>66</v>
      </c>
      <c r="K189" s="18" t="s">
        <v>1895</v>
      </c>
      <c r="L189" s="30" t="s">
        <v>1612</v>
      </c>
    </row>
    <row r="190" spans="1:12" hidden="1" x14ac:dyDescent="0.25">
      <c r="A190" s="18" t="s">
        <v>25</v>
      </c>
      <c r="B190" s="57">
        <v>9.4907407407407408E-4</v>
      </c>
      <c r="C190" s="58">
        <v>1</v>
      </c>
      <c r="D190" s="18" t="s">
        <v>1903</v>
      </c>
      <c r="E190" s="18" t="s">
        <v>1904</v>
      </c>
      <c r="F190" s="18" t="s">
        <v>1810</v>
      </c>
      <c r="G190" s="59">
        <v>52.3</v>
      </c>
      <c r="H190" s="59">
        <v>52.3</v>
      </c>
      <c r="I190" s="18" t="s">
        <v>65</v>
      </c>
      <c r="J190" s="18" t="s">
        <v>1596</v>
      </c>
      <c r="K190" s="18" t="s">
        <v>1895</v>
      </c>
      <c r="L190" s="30" t="s">
        <v>1612</v>
      </c>
    </row>
    <row r="191" spans="1:12" hidden="1" x14ac:dyDescent="0.25">
      <c r="A191" s="18" t="s">
        <v>25</v>
      </c>
      <c r="B191" s="57">
        <v>1.0763888888888889E-3</v>
      </c>
      <c r="C191" s="58">
        <v>1</v>
      </c>
      <c r="D191" s="18" t="s">
        <v>1905</v>
      </c>
      <c r="E191" s="18" t="s">
        <v>1906</v>
      </c>
      <c r="F191" s="18" t="s">
        <v>1810</v>
      </c>
      <c r="G191" s="59">
        <v>52.3</v>
      </c>
      <c r="H191" s="59">
        <v>52.3</v>
      </c>
      <c r="I191" s="18" t="s">
        <v>65</v>
      </c>
      <c r="J191" s="18" t="s">
        <v>1596</v>
      </c>
      <c r="K191" s="18" t="s">
        <v>1895</v>
      </c>
      <c r="L191" s="30" t="s">
        <v>1612</v>
      </c>
    </row>
    <row r="192" spans="1:12" hidden="1" x14ac:dyDescent="0.25">
      <c r="A192" s="18" t="s">
        <v>25</v>
      </c>
      <c r="B192" s="57">
        <v>1.4907407407407407E-2</v>
      </c>
      <c r="C192" s="58">
        <v>1</v>
      </c>
      <c r="D192" s="18" t="s">
        <v>1875</v>
      </c>
      <c r="E192" s="18" t="s">
        <v>1813</v>
      </c>
      <c r="F192" s="18" t="s">
        <v>1810</v>
      </c>
      <c r="G192" s="59">
        <v>1519.18</v>
      </c>
      <c r="H192" s="59">
        <v>1519.18</v>
      </c>
      <c r="I192" s="18" t="s">
        <v>511</v>
      </c>
      <c r="J192" s="18" t="s">
        <v>511</v>
      </c>
      <c r="K192" s="18" t="s">
        <v>1907</v>
      </c>
      <c r="L192" s="30" t="s">
        <v>1612</v>
      </c>
    </row>
    <row r="193" spans="1:12" hidden="1" x14ac:dyDescent="0.25">
      <c r="A193" s="18" t="s">
        <v>25</v>
      </c>
      <c r="B193" s="57">
        <v>1.3310185185185185E-3</v>
      </c>
      <c r="C193" s="58">
        <v>2</v>
      </c>
      <c r="D193" s="18" t="s">
        <v>1908</v>
      </c>
      <c r="E193" s="18" t="s">
        <v>1909</v>
      </c>
      <c r="F193" s="18" t="s">
        <v>1810</v>
      </c>
      <c r="G193" s="59">
        <v>9.7100000000000009</v>
      </c>
      <c r="H193" s="59">
        <v>19.420000000000002</v>
      </c>
      <c r="I193" s="18" t="s">
        <v>1665</v>
      </c>
      <c r="J193" s="18" t="s">
        <v>512</v>
      </c>
      <c r="K193" s="18" t="s">
        <v>1907</v>
      </c>
      <c r="L193" s="30" t="s">
        <v>1612</v>
      </c>
    </row>
    <row r="194" spans="1:12" hidden="1" x14ac:dyDescent="0.25">
      <c r="A194" s="18" t="s">
        <v>25</v>
      </c>
      <c r="B194" s="57">
        <v>6.5972222222222224E-4</v>
      </c>
      <c r="C194" s="58">
        <v>1</v>
      </c>
      <c r="D194" s="18" t="s">
        <v>1910</v>
      </c>
      <c r="E194" s="18" t="s">
        <v>1909</v>
      </c>
      <c r="F194" s="18" t="s">
        <v>1810</v>
      </c>
      <c r="G194" s="59">
        <v>9.7100000000000009</v>
      </c>
      <c r="H194" s="59">
        <v>9.7100000000000009</v>
      </c>
      <c r="I194" s="18" t="s">
        <v>1665</v>
      </c>
      <c r="J194" s="18" t="s">
        <v>512</v>
      </c>
      <c r="K194" s="18" t="s">
        <v>1907</v>
      </c>
      <c r="L194" s="30" t="s">
        <v>1612</v>
      </c>
    </row>
    <row r="195" spans="1:12" hidden="1" x14ac:dyDescent="0.25">
      <c r="A195" s="18" t="s">
        <v>25</v>
      </c>
      <c r="B195" s="57">
        <v>8.9120370370370362E-4</v>
      </c>
      <c r="C195" s="58">
        <v>2</v>
      </c>
      <c r="D195" s="18" t="s">
        <v>1853</v>
      </c>
      <c r="E195" s="18" t="s">
        <v>1854</v>
      </c>
      <c r="F195" s="18" t="s">
        <v>1810</v>
      </c>
      <c r="G195" s="59">
        <v>7.91</v>
      </c>
      <c r="H195" s="59">
        <v>15.82</v>
      </c>
      <c r="I195" s="18" t="s">
        <v>367</v>
      </c>
      <c r="J195" s="18" t="s">
        <v>1594</v>
      </c>
      <c r="K195" s="18" t="s">
        <v>1907</v>
      </c>
      <c r="L195" s="30" t="s">
        <v>1612</v>
      </c>
    </row>
    <row r="196" spans="1:12" hidden="1" x14ac:dyDescent="0.25">
      <c r="A196" s="18" t="s">
        <v>25</v>
      </c>
      <c r="B196" s="57">
        <v>1.7708333333333332E-3</v>
      </c>
      <c r="C196" s="58">
        <v>2</v>
      </c>
      <c r="D196" s="18" t="s">
        <v>1911</v>
      </c>
      <c r="E196" s="18" t="s">
        <v>1809</v>
      </c>
      <c r="F196" s="18" t="s">
        <v>1810</v>
      </c>
      <c r="G196" s="59">
        <v>55.45</v>
      </c>
      <c r="H196" s="59">
        <v>110.9</v>
      </c>
      <c r="I196" s="18" t="s">
        <v>367</v>
      </c>
      <c r="J196" s="18" t="s">
        <v>1594</v>
      </c>
      <c r="K196" s="18" t="s">
        <v>1907</v>
      </c>
      <c r="L196" s="30" t="s">
        <v>1612</v>
      </c>
    </row>
    <row r="197" spans="1:12" hidden="1" x14ac:dyDescent="0.25">
      <c r="A197" s="18" t="s">
        <v>25</v>
      </c>
      <c r="B197" s="57">
        <v>1.3773148148148147E-3</v>
      </c>
      <c r="C197" s="58">
        <v>2</v>
      </c>
      <c r="D197" s="18" t="s">
        <v>1912</v>
      </c>
      <c r="E197" s="18" t="s">
        <v>1913</v>
      </c>
      <c r="F197" s="18" t="s">
        <v>1810</v>
      </c>
      <c r="G197" s="59">
        <v>36.96</v>
      </c>
      <c r="H197" s="59">
        <v>73.92</v>
      </c>
      <c r="I197" s="18" t="s">
        <v>367</v>
      </c>
      <c r="J197" s="18" t="s">
        <v>1594</v>
      </c>
      <c r="K197" s="18" t="s">
        <v>1907</v>
      </c>
      <c r="L197" s="30" t="s">
        <v>1612</v>
      </c>
    </row>
    <row r="198" spans="1:12" hidden="1" x14ac:dyDescent="0.25">
      <c r="A198" s="18" t="s">
        <v>25</v>
      </c>
      <c r="B198" s="57">
        <v>1.1921296296296296E-3</v>
      </c>
      <c r="C198" s="58">
        <v>1</v>
      </c>
      <c r="D198" s="18" t="s">
        <v>1914</v>
      </c>
      <c r="E198" s="18" t="s">
        <v>1809</v>
      </c>
      <c r="F198" s="18" t="s">
        <v>1810</v>
      </c>
      <c r="G198" s="59">
        <v>49.45</v>
      </c>
      <c r="H198" s="59">
        <v>49.45</v>
      </c>
      <c r="I198" s="18" t="s">
        <v>367</v>
      </c>
      <c r="J198" s="18" t="s">
        <v>1594</v>
      </c>
      <c r="K198" s="18" t="s">
        <v>1907</v>
      </c>
      <c r="L198" s="30" t="s">
        <v>1612</v>
      </c>
    </row>
    <row r="199" spans="1:12" hidden="1" x14ac:dyDescent="0.25">
      <c r="A199" s="18" t="s">
        <v>25</v>
      </c>
      <c r="B199" s="57">
        <v>9.4907407407407408E-4</v>
      </c>
      <c r="C199" s="58">
        <v>1</v>
      </c>
      <c r="D199" s="18" t="s">
        <v>1915</v>
      </c>
      <c r="E199" s="18" t="s">
        <v>1916</v>
      </c>
      <c r="F199" s="18" t="s">
        <v>1810</v>
      </c>
      <c r="G199" s="59">
        <v>41.54</v>
      </c>
      <c r="H199" s="59">
        <v>41.54</v>
      </c>
      <c r="I199" s="18" t="s">
        <v>367</v>
      </c>
      <c r="J199" s="18" t="s">
        <v>1594</v>
      </c>
      <c r="K199" s="18" t="s">
        <v>1907</v>
      </c>
      <c r="L199" s="30" t="s">
        <v>1612</v>
      </c>
    </row>
    <row r="200" spans="1:12" hidden="1" x14ac:dyDescent="0.25">
      <c r="A200" s="18" t="s">
        <v>25</v>
      </c>
      <c r="B200" s="57">
        <v>1.1342592592592591E-3</v>
      </c>
      <c r="C200" s="58">
        <v>1</v>
      </c>
      <c r="D200" s="18" t="s">
        <v>1917</v>
      </c>
      <c r="E200" s="18" t="s">
        <v>1830</v>
      </c>
      <c r="F200" s="18" t="s">
        <v>1810</v>
      </c>
      <c r="G200" s="59">
        <v>29.52</v>
      </c>
      <c r="H200" s="59">
        <v>29.52</v>
      </c>
      <c r="I200" s="18" t="s">
        <v>65</v>
      </c>
      <c r="J200" s="18" t="s">
        <v>1589</v>
      </c>
      <c r="K200" s="18" t="s">
        <v>1907</v>
      </c>
      <c r="L200" s="30" t="s">
        <v>1612</v>
      </c>
    </row>
    <row r="201" spans="1:12" hidden="1" x14ac:dyDescent="0.25">
      <c r="A201" s="18" t="s">
        <v>25</v>
      </c>
      <c r="B201" s="57">
        <v>1.1226851851851851E-3</v>
      </c>
      <c r="C201" s="58">
        <v>1</v>
      </c>
      <c r="D201" s="18" t="s">
        <v>1918</v>
      </c>
      <c r="E201" s="18" t="s">
        <v>1830</v>
      </c>
      <c r="F201" s="18" t="s">
        <v>1810</v>
      </c>
      <c r="G201" s="59">
        <v>29.52</v>
      </c>
      <c r="H201" s="59">
        <v>29.52</v>
      </c>
      <c r="I201" s="18" t="s">
        <v>65</v>
      </c>
      <c r="J201" s="18" t="s">
        <v>1590</v>
      </c>
      <c r="K201" s="18" t="s">
        <v>1907</v>
      </c>
      <c r="L201" s="30" t="s">
        <v>1612</v>
      </c>
    </row>
    <row r="202" spans="1:12" hidden="1" x14ac:dyDescent="0.25">
      <c r="A202" s="18" t="s">
        <v>25</v>
      </c>
      <c r="B202" s="57">
        <v>5.5555555555555556E-4</v>
      </c>
      <c r="C202" s="58">
        <v>1</v>
      </c>
      <c r="D202" s="18" t="s">
        <v>1919</v>
      </c>
      <c r="E202" s="18" t="s">
        <v>1873</v>
      </c>
      <c r="F202" s="18" t="s">
        <v>1810</v>
      </c>
      <c r="G202" s="59">
        <v>9.19</v>
      </c>
      <c r="H202" s="59">
        <v>9.19</v>
      </c>
      <c r="I202" s="18" t="s">
        <v>65</v>
      </c>
      <c r="J202" s="18" t="s">
        <v>512</v>
      </c>
      <c r="K202" s="18" t="s">
        <v>1907</v>
      </c>
      <c r="L202" s="30" t="s">
        <v>1612</v>
      </c>
    </row>
    <row r="203" spans="1:12" hidden="1" x14ac:dyDescent="0.25">
      <c r="A203" s="18" t="s">
        <v>25</v>
      </c>
      <c r="B203" s="57">
        <v>1.2453703703703703E-2</v>
      </c>
      <c r="C203" s="58">
        <v>1</v>
      </c>
      <c r="D203" s="18" t="s">
        <v>1875</v>
      </c>
      <c r="E203" s="18" t="s">
        <v>1813</v>
      </c>
      <c r="F203" s="18" t="s">
        <v>1810</v>
      </c>
      <c r="G203" s="59">
        <v>1519.18</v>
      </c>
      <c r="H203" s="59">
        <v>1519.18</v>
      </c>
      <c r="I203" s="18" t="s">
        <v>511</v>
      </c>
      <c r="J203" s="18" t="s">
        <v>511</v>
      </c>
      <c r="K203" s="18" t="s">
        <v>1920</v>
      </c>
      <c r="L203" s="30" t="s">
        <v>1612</v>
      </c>
    </row>
    <row r="204" spans="1:12" hidden="1" x14ac:dyDescent="0.25">
      <c r="A204" s="18" t="s">
        <v>25</v>
      </c>
      <c r="B204" s="57">
        <v>1.1111111111111111E-3</v>
      </c>
      <c r="C204" s="58">
        <v>2</v>
      </c>
      <c r="D204" s="18" t="s">
        <v>1908</v>
      </c>
      <c r="E204" s="18" t="s">
        <v>1909</v>
      </c>
      <c r="F204" s="18" t="s">
        <v>1810</v>
      </c>
      <c r="G204" s="59">
        <v>9.7100000000000009</v>
      </c>
      <c r="H204" s="59">
        <v>19.420000000000002</v>
      </c>
      <c r="I204" s="18" t="s">
        <v>1665</v>
      </c>
      <c r="J204" s="18" t="s">
        <v>512</v>
      </c>
      <c r="K204" s="18" t="s">
        <v>1920</v>
      </c>
      <c r="L204" s="30" t="s">
        <v>1612</v>
      </c>
    </row>
    <row r="205" spans="1:12" hidden="1" x14ac:dyDescent="0.25">
      <c r="A205" s="18" t="s">
        <v>25</v>
      </c>
      <c r="B205" s="57">
        <v>1.6666666666666666E-3</v>
      </c>
      <c r="C205" s="58">
        <v>3</v>
      </c>
      <c r="D205" s="18" t="s">
        <v>1910</v>
      </c>
      <c r="E205" s="18" t="s">
        <v>1909</v>
      </c>
      <c r="F205" s="18" t="s">
        <v>1810</v>
      </c>
      <c r="G205" s="59">
        <v>9.7100000000000009</v>
      </c>
      <c r="H205" s="59">
        <v>29.13</v>
      </c>
      <c r="I205" s="18" t="s">
        <v>1665</v>
      </c>
      <c r="J205" s="18" t="s">
        <v>512</v>
      </c>
      <c r="K205" s="18" t="s">
        <v>1920</v>
      </c>
      <c r="L205" s="30" t="s">
        <v>1612</v>
      </c>
    </row>
    <row r="206" spans="1:12" hidden="1" x14ac:dyDescent="0.25">
      <c r="A206" s="18" t="s">
        <v>25</v>
      </c>
      <c r="B206" s="57">
        <v>6.9212962962962961E-3</v>
      </c>
      <c r="C206" s="58">
        <v>9</v>
      </c>
      <c r="D206" s="18" t="s">
        <v>1885</v>
      </c>
      <c r="E206" s="18" t="s">
        <v>1886</v>
      </c>
      <c r="F206" s="18" t="s">
        <v>1810</v>
      </c>
      <c r="G206" s="59">
        <v>37.49</v>
      </c>
      <c r="H206" s="59">
        <v>337.41</v>
      </c>
      <c r="I206" s="18" t="s">
        <v>1672</v>
      </c>
      <c r="J206" s="18" t="s">
        <v>115</v>
      </c>
      <c r="K206" s="18" t="s">
        <v>1920</v>
      </c>
      <c r="L206" s="30" t="s">
        <v>1612</v>
      </c>
    </row>
    <row r="207" spans="1:12" hidden="1" x14ac:dyDescent="0.25">
      <c r="A207" s="18" t="s">
        <v>25</v>
      </c>
      <c r="B207" s="57">
        <v>5.0925925925925921E-4</v>
      </c>
      <c r="C207" s="58">
        <v>1</v>
      </c>
      <c r="D207" s="18" t="s">
        <v>1921</v>
      </c>
      <c r="E207" s="18" t="s">
        <v>1922</v>
      </c>
      <c r="F207" s="18" t="s">
        <v>1810</v>
      </c>
      <c r="G207" s="59">
        <v>12.38</v>
      </c>
      <c r="H207" s="59">
        <v>12.38</v>
      </c>
      <c r="I207" s="18" t="s">
        <v>65</v>
      </c>
      <c r="J207" s="18" t="s">
        <v>1590</v>
      </c>
      <c r="K207" s="18" t="s">
        <v>1920</v>
      </c>
      <c r="L207" s="30" t="s">
        <v>1612</v>
      </c>
    </row>
    <row r="208" spans="1:12" hidden="1" x14ac:dyDescent="0.25">
      <c r="A208" s="18" t="s">
        <v>25</v>
      </c>
      <c r="B208" s="57">
        <v>4.7453703703703704E-4</v>
      </c>
      <c r="C208" s="58">
        <v>1</v>
      </c>
      <c r="D208" s="18" t="s">
        <v>1923</v>
      </c>
      <c r="E208" s="18" t="s">
        <v>1873</v>
      </c>
      <c r="F208" s="18" t="s">
        <v>1810</v>
      </c>
      <c r="G208" s="59">
        <v>9.19</v>
      </c>
      <c r="H208" s="59">
        <v>9.19</v>
      </c>
      <c r="I208" s="18" t="s">
        <v>65</v>
      </c>
      <c r="J208" s="18" t="s">
        <v>1591</v>
      </c>
      <c r="K208" s="18" t="s">
        <v>1920</v>
      </c>
      <c r="L208" s="30" t="s">
        <v>1612</v>
      </c>
    </row>
    <row r="209" spans="1:12" hidden="1" x14ac:dyDescent="0.25">
      <c r="A209" s="18" t="s">
        <v>25</v>
      </c>
      <c r="B209" s="57">
        <v>1.4537037037037036E-2</v>
      </c>
      <c r="C209" s="58">
        <v>1</v>
      </c>
      <c r="D209" s="18" t="s">
        <v>1875</v>
      </c>
      <c r="E209" s="18" t="s">
        <v>1813</v>
      </c>
      <c r="F209" s="18" t="s">
        <v>1810</v>
      </c>
      <c r="G209" s="59">
        <v>1519.18</v>
      </c>
      <c r="H209" s="59">
        <v>1519.18</v>
      </c>
      <c r="I209" s="18" t="s">
        <v>511</v>
      </c>
      <c r="J209" s="18" t="s">
        <v>511</v>
      </c>
      <c r="K209" s="18" t="s">
        <v>1924</v>
      </c>
      <c r="L209" s="30" t="s">
        <v>1612</v>
      </c>
    </row>
    <row r="210" spans="1:12" hidden="1" x14ac:dyDescent="0.25">
      <c r="A210" s="18" t="s">
        <v>25</v>
      </c>
      <c r="B210" s="57">
        <v>6.0185185185185179E-4</v>
      </c>
      <c r="C210" s="58">
        <v>1</v>
      </c>
      <c r="D210" s="18" t="s">
        <v>1925</v>
      </c>
      <c r="E210" s="18" t="s">
        <v>1926</v>
      </c>
      <c r="F210" s="18" t="s">
        <v>1810</v>
      </c>
      <c r="G210" s="59">
        <v>14.74</v>
      </c>
      <c r="H210" s="59">
        <v>14.74</v>
      </c>
      <c r="I210" s="18" t="s">
        <v>65</v>
      </c>
      <c r="J210" s="18" t="s">
        <v>368</v>
      </c>
      <c r="K210" s="18" t="s">
        <v>1924</v>
      </c>
      <c r="L210" s="30" t="s">
        <v>1612</v>
      </c>
    </row>
    <row r="211" spans="1:12" hidden="1" x14ac:dyDescent="0.25">
      <c r="A211" s="18" t="s">
        <v>25</v>
      </c>
      <c r="B211" s="57">
        <v>8.5648148148148139E-4</v>
      </c>
      <c r="C211" s="58">
        <v>1</v>
      </c>
      <c r="D211" s="18" t="s">
        <v>1927</v>
      </c>
      <c r="E211" s="18" t="s">
        <v>1928</v>
      </c>
      <c r="F211" s="18" t="s">
        <v>1810</v>
      </c>
      <c r="G211" s="59">
        <v>49.32</v>
      </c>
      <c r="H211" s="59">
        <v>49.32</v>
      </c>
      <c r="I211" s="18" t="s">
        <v>65</v>
      </c>
      <c r="J211" s="18" t="s">
        <v>368</v>
      </c>
      <c r="K211" s="18" t="s">
        <v>1924</v>
      </c>
      <c r="L211" s="30" t="s">
        <v>1612</v>
      </c>
    </row>
    <row r="212" spans="1:12" hidden="1" x14ac:dyDescent="0.25">
      <c r="A212" s="18" t="s">
        <v>25</v>
      </c>
      <c r="B212" s="57">
        <v>9.1435185185185185E-4</v>
      </c>
      <c r="C212" s="58">
        <v>1</v>
      </c>
      <c r="D212" s="18" t="s">
        <v>1929</v>
      </c>
      <c r="E212" s="18" t="s">
        <v>1928</v>
      </c>
      <c r="F212" s="18" t="s">
        <v>1810</v>
      </c>
      <c r="G212" s="59">
        <v>49.32</v>
      </c>
      <c r="H212" s="59">
        <v>49.32</v>
      </c>
      <c r="I212" s="18" t="s">
        <v>65</v>
      </c>
      <c r="J212" s="18" t="s">
        <v>368</v>
      </c>
      <c r="K212" s="18" t="s">
        <v>1924</v>
      </c>
      <c r="L212" s="30" t="s">
        <v>1612</v>
      </c>
    </row>
    <row r="213" spans="1:12" hidden="1" x14ac:dyDescent="0.25">
      <c r="A213" s="18" t="s">
        <v>25</v>
      </c>
      <c r="B213" s="57">
        <v>8.9120370370370362E-4</v>
      </c>
      <c r="C213" s="58">
        <v>1</v>
      </c>
      <c r="D213" s="18" t="s">
        <v>1930</v>
      </c>
      <c r="E213" s="18" t="s">
        <v>1931</v>
      </c>
      <c r="F213" s="18" t="s">
        <v>1810</v>
      </c>
      <c r="G213" s="59">
        <v>48.46</v>
      </c>
      <c r="H213" s="59">
        <v>48.46</v>
      </c>
      <c r="I213" s="18" t="s">
        <v>65</v>
      </c>
      <c r="J213" s="18" t="s">
        <v>368</v>
      </c>
      <c r="K213" s="18" t="s">
        <v>1924</v>
      </c>
      <c r="L213" s="30" t="s">
        <v>1612</v>
      </c>
    </row>
    <row r="214" spans="1:12" hidden="1" x14ac:dyDescent="0.25">
      <c r="A214" s="18" t="s">
        <v>25</v>
      </c>
      <c r="B214" s="57">
        <v>7.2916666666666659E-4</v>
      </c>
      <c r="C214" s="58">
        <v>1</v>
      </c>
      <c r="D214" s="18" t="s">
        <v>1932</v>
      </c>
      <c r="E214" s="18" t="s">
        <v>1931</v>
      </c>
      <c r="F214" s="18" t="s">
        <v>1810</v>
      </c>
      <c r="G214" s="59">
        <v>48.47</v>
      </c>
      <c r="H214" s="59">
        <v>48.47</v>
      </c>
      <c r="I214" s="18" t="s">
        <v>65</v>
      </c>
      <c r="J214" s="18" t="s">
        <v>368</v>
      </c>
      <c r="K214" s="18" t="s">
        <v>1924</v>
      </c>
      <c r="L214" s="30" t="s">
        <v>1612</v>
      </c>
    </row>
    <row r="215" spans="1:12" hidden="1" x14ac:dyDescent="0.25">
      <c r="A215" s="18" t="s">
        <v>25</v>
      </c>
      <c r="B215" s="57">
        <v>9.0277777777777774E-4</v>
      </c>
      <c r="C215" s="58">
        <v>1</v>
      </c>
      <c r="D215" s="18" t="s">
        <v>1933</v>
      </c>
      <c r="E215" s="18" t="s">
        <v>1865</v>
      </c>
      <c r="F215" s="18" t="s">
        <v>1810</v>
      </c>
      <c r="G215" s="59">
        <v>49.86</v>
      </c>
      <c r="H215" s="59">
        <v>49.86</v>
      </c>
      <c r="I215" s="18" t="s">
        <v>65</v>
      </c>
      <c r="J215" s="18" t="s">
        <v>368</v>
      </c>
      <c r="K215" s="18" t="s">
        <v>1924</v>
      </c>
      <c r="L215" s="30" t="s">
        <v>1612</v>
      </c>
    </row>
    <row r="216" spans="1:12" hidden="1" x14ac:dyDescent="0.25">
      <c r="A216" s="18" t="s">
        <v>25</v>
      </c>
      <c r="B216" s="57">
        <v>7.407407407407407E-4</v>
      </c>
      <c r="C216" s="58">
        <v>1</v>
      </c>
      <c r="D216" s="18" t="s">
        <v>1934</v>
      </c>
      <c r="E216" s="18" t="s">
        <v>1935</v>
      </c>
      <c r="F216" s="18" t="s">
        <v>1810</v>
      </c>
      <c r="G216" s="59">
        <v>49.86</v>
      </c>
      <c r="H216" s="59">
        <v>49.86</v>
      </c>
      <c r="I216" s="18" t="s">
        <v>65</v>
      </c>
      <c r="J216" s="18" t="s">
        <v>368</v>
      </c>
      <c r="K216" s="18" t="s">
        <v>1924</v>
      </c>
      <c r="L216" s="30" t="s">
        <v>1612</v>
      </c>
    </row>
    <row r="217" spans="1:12" hidden="1" x14ac:dyDescent="0.25">
      <c r="A217" s="18" t="s">
        <v>25</v>
      </c>
      <c r="B217" s="57">
        <v>1.7708333333333332E-3</v>
      </c>
      <c r="C217" s="58">
        <v>2</v>
      </c>
      <c r="D217" s="18" t="s">
        <v>1936</v>
      </c>
      <c r="E217" s="18" t="s">
        <v>1913</v>
      </c>
      <c r="F217" s="18" t="s">
        <v>1810</v>
      </c>
      <c r="G217" s="59">
        <v>36.96</v>
      </c>
      <c r="H217" s="59">
        <v>73.92</v>
      </c>
      <c r="I217" s="18" t="s">
        <v>65</v>
      </c>
      <c r="J217" s="18" t="s">
        <v>66</v>
      </c>
      <c r="K217" s="18" t="s">
        <v>1924</v>
      </c>
      <c r="L217" s="30" t="s">
        <v>1612</v>
      </c>
    </row>
    <row r="218" spans="1:12" hidden="1" x14ac:dyDescent="0.25">
      <c r="A218" s="18" t="s">
        <v>25</v>
      </c>
      <c r="B218" s="57">
        <v>7.2916666666666659E-4</v>
      </c>
      <c r="C218" s="58">
        <v>1</v>
      </c>
      <c r="D218" s="18" t="s">
        <v>1937</v>
      </c>
      <c r="E218" s="18" t="s">
        <v>1938</v>
      </c>
      <c r="F218" s="18" t="s">
        <v>1810</v>
      </c>
      <c r="G218" s="59">
        <v>32.43</v>
      </c>
      <c r="H218" s="59">
        <v>32.43</v>
      </c>
      <c r="I218" s="18" t="s">
        <v>65</v>
      </c>
      <c r="J218" s="18" t="s">
        <v>66</v>
      </c>
      <c r="K218" s="18" t="s">
        <v>1924</v>
      </c>
      <c r="L218" s="30" t="s">
        <v>1612</v>
      </c>
    </row>
    <row r="219" spans="1:12" hidden="1" x14ac:dyDescent="0.25">
      <c r="A219" s="18" t="s">
        <v>25</v>
      </c>
      <c r="B219" s="57">
        <v>1.1770833333333333E-2</v>
      </c>
      <c r="C219" s="58">
        <v>1</v>
      </c>
      <c r="D219" s="18" t="s">
        <v>1875</v>
      </c>
      <c r="E219" s="18" t="s">
        <v>1813</v>
      </c>
      <c r="F219" s="18" t="s">
        <v>1810</v>
      </c>
      <c r="G219" s="59">
        <v>1519.18</v>
      </c>
      <c r="H219" s="59">
        <v>1519.18</v>
      </c>
      <c r="I219" s="18" t="s">
        <v>511</v>
      </c>
      <c r="J219" s="18" t="s">
        <v>511</v>
      </c>
      <c r="K219" s="18" t="s">
        <v>1939</v>
      </c>
      <c r="L219" s="30" t="s">
        <v>1612</v>
      </c>
    </row>
    <row r="220" spans="1:12" hidden="1" x14ac:dyDescent="0.25">
      <c r="A220" s="18" t="s">
        <v>25</v>
      </c>
      <c r="B220" s="57">
        <v>3.3333333333333331E-3</v>
      </c>
      <c r="C220" s="58">
        <v>5</v>
      </c>
      <c r="D220" s="18" t="s">
        <v>1940</v>
      </c>
      <c r="E220" s="18" t="s">
        <v>1886</v>
      </c>
      <c r="F220" s="18" t="s">
        <v>1810</v>
      </c>
      <c r="G220" s="59">
        <v>37.479999999999997</v>
      </c>
      <c r="H220" s="59">
        <v>187.4</v>
      </c>
      <c r="I220" s="18" t="s">
        <v>1665</v>
      </c>
      <c r="J220" s="18" t="s">
        <v>115</v>
      </c>
      <c r="K220" s="18" t="s">
        <v>1939</v>
      </c>
      <c r="L220" s="30" t="s">
        <v>1612</v>
      </c>
    </row>
    <row r="221" spans="1:12" hidden="1" x14ac:dyDescent="0.25">
      <c r="A221" s="18" t="s">
        <v>25</v>
      </c>
      <c r="B221" s="57">
        <v>2.9050925925925924E-3</v>
      </c>
      <c r="C221" s="58">
        <v>4</v>
      </c>
      <c r="D221" s="18" t="s">
        <v>1885</v>
      </c>
      <c r="E221" s="18" t="s">
        <v>1886</v>
      </c>
      <c r="F221" s="18" t="s">
        <v>1810</v>
      </c>
      <c r="G221" s="59">
        <v>37.49</v>
      </c>
      <c r="H221" s="59">
        <v>149.96</v>
      </c>
      <c r="I221" s="18" t="s">
        <v>1672</v>
      </c>
      <c r="J221" s="18" t="s">
        <v>115</v>
      </c>
      <c r="K221" s="18" t="s">
        <v>1939</v>
      </c>
      <c r="L221" s="30" t="s">
        <v>1612</v>
      </c>
    </row>
    <row r="222" spans="1:12" hidden="1" x14ac:dyDescent="0.25">
      <c r="A222" s="18" t="s">
        <v>25</v>
      </c>
      <c r="B222" s="57">
        <v>2.1527777777777778E-3</v>
      </c>
      <c r="C222" s="58">
        <v>8</v>
      </c>
      <c r="D222" s="18" t="s">
        <v>1941</v>
      </c>
      <c r="E222" s="18" t="s">
        <v>1942</v>
      </c>
      <c r="F222" s="18" t="s">
        <v>1810</v>
      </c>
      <c r="G222" s="59">
        <v>1.93</v>
      </c>
      <c r="H222" s="59">
        <v>15.44</v>
      </c>
      <c r="I222" s="18" t="s">
        <v>367</v>
      </c>
      <c r="J222" s="18" t="s">
        <v>367</v>
      </c>
      <c r="K222" s="18" t="s">
        <v>1939</v>
      </c>
      <c r="L222" s="30" t="s">
        <v>1612</v>
      </c>
    </row>
    <row r="223" spans="1:12" hidden="1" x14ac:dyDescent="0.25">
      <c r="A223" s="18" t="s">
        <v>25</v>
      </c>
      <c r="B223" s="57">
        <v>6.5972222222222224E-4</v>
      </c>
      <c r="C223" s="58">
        <v>1</v>
      </c>
      <c r="D223" s="18" t="s">
        <v>1943</v>
      </c>
      <c r="E223" s="18" t="s">
        <v>1926</v>
      </c>
      <c r="F223" s="18" t="s">
        <v>1810</v>
      </c>
      <c r="G223" s="59">
        <v>14.67</v>
      </c>
      <c r="H223" s="59">
        <v>14.67</v>
      </c>
      <c r="I223" s="18" t="s">
        <v>65</v>
      </c>
      <c r="J223" s="18" t="s">
        <v>368</v>
      </c>
      <c r="K223" s="18" t="s">
        <v>1939</v>
      </c>
      <c r="L223" s="30" t="s">
        <v>1612</v>
      </c>
    </row>
    <row r="224" spans="1:12" hidden="1" x14ac:dyDescent="0.25">
      <c r="A224" s="18" t="s">
        <v>25</v>
      </c>
      <c r="B224" s="57">
        <v>1.3310185185185185E-3</v>
      </c>
      <c r="C224" s="58">
        <v>4</v>
      </c>
      <c r="D224" s="18" t="s">
        <v>1944</v>
      </c>
      <c r="E224" s="18" t="s">
        <v>1945</v>
      </c>
      <c r="F224" s="18" t="s">
        <v>1810</v>
      </c>
      <c r="G224" s="59">
        <v>2.29</v>
      </c>
      <c r="H224" s="59">
        <v>9.16</v>
      </c>
      <c r="I224" s="18" t="s">
        <v>65</v>
      </c>
      <c r="J224" s="18" t="s">
        <v>1589</v>
      </c>
      <c r="K224" s="18" t="s">
        <v>1939</v>
      </c>
      <c r="L224" s="30" t="s">
        <v>1612</v>
      </c>
    </row>
    <row r="225" spans="1:12" hidden="1" x14ac:dyDescent="0.25">
      <c r="A225" s="18" t="s">
        <v>25</v>
      </c>
      <c r="B225" s="57">
        <v>1.4814814814814814E-3</v>
      </c>
      <c r="C225" s="58">
        <v>4</v>
      </c>
      <c r="D225" s="18" t="s">
        <v>1946</v>
      </c>
      <c r="E225" s="18" t="s">
        <v>1947</v>
      </c>
      <c r="F225" s="18" t="s">
        <v>1810</v>
      </c>
      <c r="G225" s="59">
        <v>2.27</v>
      </c>
      <c r="H225" s="59">
        <v>9.08</v>
      </c>
      <c r="I225" s="18" t="s">
        <v>65</v>
      </c>
      <c r="J225" s="18" t="s">
        <v>1591</v>
      </c>
      <c r="K225" s="18" t="s">
        <v>1939</v>
      </c>
      <c r="L225" s="30" t="s">
        <v>1612</v>
      </c>
    </row>
    <row r="226" spans="1:12" hidden="1" x14ac:dyDescent="0.25">
      <c r="A226" s="18" t="s">
        <v>25</v>
      </c>
      <c r="B226" s="57">
        <v>3.5879629629629629E-4</v>
      </c>
      <c r="C226" s="58">
        <v>1</v>
      </c>
      <c r="D226" s="18" t="s">
        <v>1948</v>
      </c>
      <c r="E226" s="18" t="s">
        <v>1881</v>
      </c>
      <c r="F226" s="18" t="s">
        <v>1810</v>
      </c>
      <c r="G226" s="59">
        <v>5.12</v>
      </c>
      <c r="H226" s="59">
        <v>5.12</v>
      </c>
      <c r="I226" s="18" t="s">
        <v>65</v>
      </c>
      <c r="J226" s="18" t="s">
        <v>1590</v>
      </c>
      <c r="K226" s="18" t="s">
        <v>1939</v>
      </c>
      <c r="L226" s="30" t="s">
        <v>1612</v>
      </c>
    </row>
    <row r="227" spans="1:12" hidden="1" x14ac:dyDescent="0.25">
      <c r="A227" s="18" t="s">
        <v>25</v>
      </c>
      <c r="B227" s="57">
        <v>1.1805555555555556E-3</v>
      </c>
      <c r="C227" s="58">
        <v>1</v>
      </c>
      <c r="D227" s="18" t="s">
        <v>1831</v>
      </c>
      <c r="E227" s="18" t="s">
        <v>1830</v>
      </c>
      <c r="F227" s="18" t="s">
        <v>1810</v>
      </c>
      <c r="G227" s="59">
        <v>29.51</v>
      </c>
      <c r="H227" s="59">
        <v>29.51</v>
      </c>
      <c r="I227" s="18" t="s">
        <v>1665</v>
      </c>
      <c r="J227" s="18" t="s">
        <v>512</v>
      </c>
      <c r="K227" s="18" t="s">
        <v>1949</v>
      </c>
      <c r="L227" s="30" t="s">
        <v>1612</v>
      </c>
    </row>
    <row r="228" spans="1:12" hidden="1" x14ac:dyDescent="0.25">
      <c r="A228" s="18" t="s">
        <v>25</v>
      </c>
      <c r="B228" s="57">
        <v>1.511574074074074E-2</v>
      </c>
      <c r="C228" s="58">
        <v>1</v>
      </c>
      <c r="D228" s="18" t="s">
        <v>1875</v>
      </c>
      <c r="E228" s="18" t="s">
        <v>1813</v>
      </c>
      <c r="F228" s="18" t="s">
        <v>1810</v>
      </c>
      <c r="G228" s="59">
        <v>1519.18</v>
      </c>
      <c r="H228" s="59">
        <v>1519.18</v>
      </c>
      <c r="I228" s="18" t="s">
        <v>511</v>
      </c>
      <c r="J228" s="18" t="s">
        <v>511</v>
      </c>
      <c r="K228" s="18" t="s">
        <v>1949</v>
      </c>
      <c r="L228" s="30" t="s">
        <v>1612</v>
      </c>
    </row>
    <row r="229" spans="1:12" hidden="1" x14ac:dyDescent="0.25">
      <c r="A229" s="18" t="s">
        <v>25</v>
      </c>
      <c r="B229" s="57">
        <v>1.7013888888888888E-3</v>
      </c>
      <c r="C229" s="58">
        <v>2</v>
      </c>
      <c r="D229" s="18" t="s">
        <v>1940</v>
      </c>
      <c r="E229" s="18" t="s">
        <v>1886</v>
      </c>
      <c r="F229" s="18" t="s">
        <v>1810</v>
      </c>
      <c r="G229" s="59">
        <v>37.479999999999997</v>
      </c>
      <c r="H229" s="59">
        <v>74.959999999999994</v>
      </c>
      <c r="I229" s="18" t="s">
        <v>1665</v>
      </c>
      <c r="J229" s="18" t="s">
        <v>115</v>
      </c>
      <c r="K229" s="18" t="s">
        <v>1949</v>
      </c>
      <c r="L229" s="30" t="s">
        <v>1612</v>
      </c>
    </row>
    <row r="230" spans="1:12" hidden="1" x14ac:dyDescent="0.25">
      <c r="A230" s="18" t="s">
        <v>25</v>
      </c>
      <c r="B230" s="57">
        <v>1.2152777777777778E-3</v>
      </c>
      <c r="C230" s="58">
        <v>1</v>
      </c>
      <c r="D230" s="18" t="s">
        <v>1848</v>
      </c>
      <c r="E230" s="18" t="s">
        <v>1849</v>
      </c>
      <c r="F230" s="18" t="s">
        <v>1810</v>
      </c>
      <c r="G230" s="59">
        <v>239.17</v>
      </c>
      <c r="H230" s="59">
        <v>239.17</v>
      </c>
      <c r="I230" s="18" t="s">
        <v>367</v>
      </c>
      <c r="J230" s="18" t="s">
        <v>512</v>
      </c>
      <c r="K230" s="18" t="s">
        <v>1949</v>
      </c>
      <c r="L230" s="30" t="s">
        <v>1612</v>
      </c>
    </row>
    <row r="231" spans="1:12" hidden="1" x14ac:dyDescent="0.25">
      <c r="A231" s="18" t="s">
        <v>25</v>
      </c>
      <c r="B231" s="57">
        <v>1.3541666666666667E-3</v>
      </c>
      <c r="C231" s="58">
        <v>2</v>
      </c>
      <c r="D231" s="18" t="s">
        <v>1950</v>
      </c>
      <c r="E231" s="18" t="s">
        <v>1951</v>
      </c>
      <c r="F231" s="18" t="s">
        <v>1810</v>
      </c>
      <c r="G231" s="59">
        <v>38.65</v>
      </c>
      <c r="H231" s="59">
        <v>77.3</v>
      </c>
      <c r="I231" s="18" t="s">
        <v>367</v>
      </c>
      <c r="J231" s="18" t="s">
        <v>1594</v>
      </c>
      <c r="K231" s="18" t="s">
        <v>1949</v>
      </c>
      <c r="L231" s="30" t="s">
        <v>1612</v>
      </c>
    </row>
    <row r="232" spans="1:12" hidden="1" x14ac:dyDescent="0.25">
      <c r="A232" s="18" t="s">
        <v>25</v>
      </c>
      <c r="B232" s="57">
        <v>1.1226851851851851E-3</v>
      </c>
      <c r="C232" s="58">
        <v>1</v>
      </c>
      <c r="D232" s="18" t="s">
        <v>1831</v>
      </c>
      <c r="E232" s="18" t="s">
        <v>1830</v>
      </c>
      <c r="F232" s="18" t="s">
        <v>1810</v>
      </c>
      <c r="G232" s="59">
        <v>29.51</v>
      </c>
      <c r="H232" s="59">
        <v>29.51</v>
      </c>
      <c r="I232" s="18" t="s">
        <v>1665</v>
      </c>
      <c r="J232" s="18" t="s">
        <v>512</v>
      </c>
      <c r="K232" s="18" t="s">
        <v>1952</v>
      </c>
      <c r="L232" s="30" t="s">
        <v>1612</v>
      </c>
    </row>
    <row r="233" spans="1:12" hidden="1" x14ac:dyDescent="0.25">
      <c r="A233" s="18" t="s">
        <v>25</v>
      </c>
      <c r="B233" s="57">
        <v>1.4386574074074074E-2</v>
      </c>
      <c r="C233" s="58">
        <v>1</v>
      </c>
      <c r="D233" s="18" t="s">
        <v>1875</v>
      </c>
      <c r="E233" s="18" t="s">
        <v>1813</v>
      </c>
      <c r="F233" s="18" t="s">
        <v>1810</v>
      </c>
      <c r="G233" s="59">
        <v>1519.18</v>
      </c>
      <c r="H233" s="59">
        <v>1519.18</v>
      </c>
      <c r="I233" s="18" t="s">
        <v>511</v>
      </c>
      <c r="J233" s="18" t="s">
        <v>511</v>
      </c>
      <c r="K233" s="18" t="s">
        <v>1952</v>
      </c>
      <c r="L233" s="30" t="s">
        <v>1612</v>
      </c>
    </row>
    <row r="234" spans="1:12" hidden="1" x14ac:dyDescent="0.25">
      <c r="A234" s="18" t="s">
        <v>25</v>
      </c>
      <c r="B234" s="57">
        <v>3.2523148148148147E-3</v>
      </c>
      <c r="C234" s="58">
        <v>4</v>
      </c>
      <c r="D234" s="18" t="s">
        <v>1940</v>
      </c>
      <c r="E234" s="18" t="s">
        <v>1886</v>
      </c>
      <c r="F234" s="18" t="s">
        <v>1810</v>
      </c>
      <c r="G234" s="59">
        <v>37.479999999999997</v>
      </c>
      <c r="H234" s="59">
        <v>149.91999999999999</v>
      </c>
      <c r="I234" s="18" t="s">
        <v>1665</v>
      </c>
      <c r="J234" s="18" t="s">
        <v>115</v>
      </c>
      <c r="K234" s="18" t="s">
        <v>1952</v>
      </c>
      <c r="L234" s="30" t="s">
        <v>1612</v>
      </c>
    </row>
    <row r="235" spans="1:12" hidden="1" x14ac:dyDescent="0.25">
      <c r="A235" s="18" t="s">
        <v>25</v>
      </c>
      <c r="B235" s="57">
        <v>1.8171296296296295E-3</v>
      </c>
      <c r="C235" s="58">
        <v>1</v>
      </c>
      <c r="D235" s="18" t="s">
        <v>1953</v>
      </c>
      <c r="E235" s="18" t="s">
        <v>1954</v>
      </c>
      <c r="F235" s="18" t="s">
        <v>1810</v>
      </c>
      <c r="G235" s="59">
        <v>233.73</v>
      </c>
      <c r="H235" s="59">
        <v>233.73</v>
      </c>
      <c r="I235" s="18" t="s">
        <v>1588</v>
      </c>
      <c r="J235" s="18" t="s">
        <v>512</v>
      </c>
      <c r="K235" s="18" t="s">
        <v>1952</v>
      </c>
      <c r="L235" s="30" t="s">
        <v>1612</v>
      </c>
    </row>
    <row r="236" spans="1:12" hidden="1" x14ac:dyDescent="0.25">
      <c r="A236" s="18" t="s">
        <v>25</v>
      </c>
      <c r="B236" s="57">
        <v>1.4467592592592592E-3</v>
      </c>
      <c r="C236" s="58">
        <v>2</v>
      </c>
      <c r="D236" s="18" t="s">
        <v>1940</v>
      </c>
      <c r="E236" s="18" t="s">
        <v>1886</v>
      </c>
      <c r="F236" s="18" t="s">
        <v>1810</v>
      </c>
      <c r="G236" s="59">
        <v>37.479999999999997</v>
      </c>
      <c r="H236" s="59">
        <v>74.959999999999994</v>
      </c>
      <c r="I236" s="18" t="s">
        <v>1665</v>
      </c>
      <c r="J236" s="18" t="s">
        <v>115</v>
      </c>
      <c r="K236" s="18" t="s">
        <v>1955</v>
      </c>
      <c r="L236" s="30" t="s">
        <v>1612</v>
      </c>
    </row>
    <row r="237" spans="1:12" hidden="1" x14ac:dyDescent="0.25">
      <c r="A237" s="18" t="s">
        <v>25</v>
      </c>
      <c r="B237" s="57">
        <v>1.2268518518518518E-3</v>
      </c>
      <c r="C237" s="58">
        <v>2</v>
      </c>
      <c r="D237" s="18" t="s">
        <v>1888</v>
      </c>
      <c r="E237" s="18" t="s">
        <v>1889</v>
      </c>
      <c r="F237" s="18" t="s">
        <v>1810</v>
      </c>
      <c r="G237" s="59">
        <v>66.22</v>
      </c>
      <c r="H237" s="59">
        <v>132.44</v>
      </c>
      <c r="I237" s="18" t="s">
        <v>1583</v>
      </c>
      <c r="J237" s="18" t="s">
        <v>1583</v>
      </c>
      <c r="K237" s="18" t="s">
        <v>1955</v>
      </c>
      <c r="L237" s="30" t="s">
        <v>1612</v>
      </c>
    </row>
    <row r="238" spans="1:12" hidden="1" x14ac:dyDescent="0.25">
      <c r="A238" s="18" t="s">
        <v>25</v>
      </c>
      <c r="B238" s="57">
        <v>1.1226851851851851E-3</v>
      </c>
      <c r="C238" s="58">
        <v>1</v>
      </c>
      <c r="D238" s="18" t="s">
        <v>1956</v>
      </c>
      <c r="E238" s="18" t="s">
        <v>1834</v>
      </c>
      <c r="F238" s="18" t="s">
        <v>1810</v>
      </c>
      <c r="G238" s="59">
        <v>132.49</v>
      </c>
      <c r="H238" s="59">
        <v>132.49</v>
      </c>
      <c r="I238" s="18" t="s">
        <v>65</v>
      </c>
      <c r="J238" s="18" t="s">
        <v>368</v>
      </c>
      <c r="K238" s="18" t="s">
        <v>1955</v>
      </c>
      <c r="L238" s="30" t="s">
        <v>1612</v>
      </c>
    </row>
    <row r="239" spans="1:12" hidden="1" x14ac:dyDescent="0.25">
      <c r="A239" s="18" t="s">
        <v>25</v>
      </c>
      <c r="B239" s="57">
        <v>5.9027777777777778E-4</v>
      </c>
      <c r="C239" s="58">
        <v>1</v>
      </c>
      <c r="D239" s="18" t="s">
        <v>1957</v>
      </c>
      <c r="E239" s="18" t="s">
        <v>1958</v>
      </c>
      <c r="F239" s="18" t="s">
        <v>1810</v>
      </c>
      <c r="G239" s="59">
        <v>11.38</v>
      </c>
      <c r="H239" s="59">
        <v>11.38</v>
      </c>
      <c r="I239" s="18" t="s">
        <v>65</v>
      </c>
      <c r="J239" s="18" t="s">
        <v>1590</v>
      </c>
      <c r="K239" s="18" t="s">
        <v>1955</v>
      </c>
      <c r="L239" s="30" t="s">
        <v>1612</v>
      </c>
    </row>
    <row r="240" spans="1:12" hidden="1" x14ac:dyDescent="0.25">
      <c r="A240" s="18" t="s">
        <v>25</v>
      </c>
      <c r="B240" s="57">
        <v>8.6805555555555551E-4</v>
      </c>
      <c r="C240" s="58">
        <v>1</v>
      </c>
      <c r="D240" s="18" t="s">
        <v>1959</v>
      </c>
      <c r="E240" s="18" t="s">
        <v>1906</v>
      </c>
      <c r="F240" s="18" t="s">
        <v>1810</v>
      </c>
      <c r="G240" s="59">
        <v>52.3</v>
      </c>
      <c r="H240" s="59">
        <v>52.3</v>
      </c>
      <c r="I240" s="18" t="s">
        <v>65</v>
      </c>
      <c r="J240" s="18" t="s">
        <v>1597</v>
      </c>
      <c r="K240" s="18" t="s">
        <v>1955</v>
      </c>
      <c r="L240" s="30" t="s">
        <v>1612</v>
      </c>
    </row>
    <row r="241" spans="1:12" hidden="1" x14ac:dyDescent="0.25">
      <c r="A241" s="18" t="s">
        <v>25</v>
      </c>
      <c r="B241" s="57">
        <v>8.1018518518518516E-4</v>
      </c>
      <c r="C241" s="58">
        <v>1</v>
      </c>
      <c r="D241" s="18" t="s">
        <v>1960</v>
      </c>
      <c r="E241" s="18" t="s">
        <v>1906</v>
      </c>
      <c r="F241" s="18" t="s">
        <v>1810</v>
      </c>
      <c r="G241" s="59">
        <v>52.3</v>
      </c>
      <c r="H241" s="59">
        <v>52.3</v>
      </c>
      <c r="I241" s="18" t="s">
        <v>65</v>
      </c>
      <c r="J241" s="18" t="s">
        <v>1597</v>
      </c>
      <c r="K241" s="18" t="s">
        <v>1955</v>
      </c>
      <c r="L241" s="30" t="s">
        <v>1612</v>
      </c>
    </row>
    <row r="242" spans="1:12" hidden="1" x14ac:dyDescent="0.25">
      <c r="A242" s="18" t="s">
        <v>25</v>
      </c>
      <c r="B242" s="57">
        <v>8.4722222222222213E-3</v>
      </c>
      <c r="C242" s="58">
        <v>5</v>
      </c>
      <c r="D242" s="18" t="s">
        <v>1961</v>
      </c>
      <c r="E242" s="18" t="s">
        <v>1962</v>
      </c>
      <c r="F242" s="18" t="s">
        <v>1810</v>
      </c>
      <c r="G242" s="59">
        <v>252.68</v>
      </c>
      <c r="H242" s="59">
        <v>1263.4000000000001</v>
      </c>
      <c r="I242" s="18" t="s">
        <v>511</v>
      </c>
      <c r="J242" s="18" t="s">
        <v>512</v>
      </c>
      <c r="K242" s="18" t="s">
        <v>1955</v>
      </c>
      <c r="L242" s="30" t="s">
        <v>1612</v>
      </c>
    </row>
    <row r="243" spans="1:12" hidden="1" x14ac:dyDescent="0.25">
      <c r="A243" s="18" t="s">
        <v>25</v>
      </c>
      <c r="B243" s="57">
        <v>9.4907407407407408E-4</v>
      </c>
      <c r="C243" s="58">
        <v>1</v>
      </c>
      <c r="D243" s="18" t="s">
        <v>1963</v>
      </c>
      <c r="E243" s="18" t="s">
        <v>1964</v>
      </c>
      <c r="F243" s="18" t="s">
        <v>1810</v>
      </c>
      <c r="G243" s="59">
        <v>39.83</v>
      </c>
      <c r="H243" s="59">
        <v>39.83</v>
      </c>
      <c r="I243" s="18" t="s">
        <v>65</v>
      </c>
      <c r="J243" s="18" t="s">
        <v>66</v>
      </c>
      <c r="K243" s="18" t="s">
        <v>1955</v>
      </c>
      <c r="L243" s="30" t="s">
        <v>1612</v>
      </c>
    </row>
    <row r="244" spans="1:12" hidden="1" x14ac:dyDescent="0.25">
      <c r="A244" s="18" t="s">
        <v>25</v>
      </c>
      <c r="B244" s="57">
        <v>1.8981481481481482E-3</v>
      </c>
      <c r="C244" s="58">
        <v>1</v>
      </c>
      <c r="D244" s="18" t="s">
        <v>1965</v>
      </c>
      <c r="E244" s="18" t="s">
        <v>1966</v>
      </c>
      <c r="F244" s="18" t="s">
        <v>1810</v>
      </c>
      <c r="G244" s="59">
        <v>128.51</v>
      </c>
      <c r="H244" s="59">
        <v>128.51</v>
      </c>
      <c r="I244" s="18" t="s">
        <v>152</v>
      </c>
      <c r="J244" s="18" t="s">
        <v>152</v>
      </c>
      <c r="K244" s="18" t="s">
        <v>1955</v>
      </c>
      <c r="L244" s="30" t="s">
        <v>1612</v>
      </c>
    </row>
    <row r="245" spans="1:12" hidden="1" x14ac:dyDescent="0.25">
      <c r="A245" s="18" t="s">
        <v>25</v>
      </c>
      <c r="B245" s="57">
        <v>1.25E-3</v>
      </c>
      <c r="C245" s="58">
        <v>1</v>
      </c>
      <c r="D245" s="18" t="s">
        <v>1831</v>
      </c>
      <c r="E245" s="18" t="s">
        <v>1830</v>
      </c>
      <c r="F245" s="18" t="s">
        <v>1810</v>
      </c>
      <c r="G245" s="59">
        <v>29.51</v>
      </c>
      <c r="H245" s="59">
        <v>29.51</v>
      </c>
      <c r="I245" s="18" t="s">
        <v>1665</v>
      </c>
      <c r="J245" s="18" t="s">
        <v>512</v>
      </c>
      <c r="K245" s="18" t="s">
        <v>1967</v>
      </c>
      <c r="L245" s="30" t="s">
        <v>1612</v>
      </c>
    </row>
    <row r="246" spans="1:12" hidden="1" x14ac:dyDescent="0.25">
      <c r="A246" s="18" t="s">
        <v>25</v>
      </c>
      <c r="B246" s="57">
        <v>1.8055555555555555E-3</v>
      </c>
      <c r="C246" s="58">
        <v>2</v>
      </c>
      <c r="D246" s="18" t="s">
        <v>1940</v>
      </c>
      <c r="E246" s="18" t="s">
        <v>1886</v>
      </c>
      <c r="F246" s="18" t="s">
        <v>1810</v>
      </c>
      <c r="G246" s="59">
        <v>37.479999999999997</v>
      </c>
      <c r="H246" s="59">
        <v>74.959999999999994</v>
      </c>
      <c r="I246" s="18" t="s">
        <v>1665</v>
      </c>
      <c r="J246" s="18" t="s">
        <v>115</v>
      </c>
      <c r="K246" s="18" t="s">
        <v>1967</v>
      </c>
      <c r="L246" s="30" t="s">
        <v>1612</v>
      </c>
    </row>
    <row r="247" spans="1:12" hidden="1" x14ac:dyDescent="0.25">
      <c r="A247" s="18" t="s">
        <v>25</v>
      </c>
      <c r="B247" s="57">
        <v>1.724537037037037E-3</v>
      </c>
      <c r="C247" s="58">
        <v>1</v>
      </c>
      <c r="D247" s="18" t="s">
        <v>1968</v>
      </c>
      <c r="E247" s="18" t="s">
        <v>1954</v>
      </c>
      <c r="F247" s="18" t="s">
        <v>1810</v>
      </c>
      <c r="G247" s="59">
        <v>233.73</v>
      </c>
      <c r="H247" s="59">
        <v>233.73</v>
      </c>
      <c r="I247" s="18" t="s">
        <v>1588</v>
      </c>
      <c r="J247" s="18" t="s">
        <v>512</v>
      </c>
      <c r="K247" s="18" t="s">
        <v>1967</v>
      </c>
      <c r="L247" s="30" t="s">
        <v>1612</v>
      </c>
    </row>
    <row r="248" spans="1:12" hidden="1" x14ac:dyDescent="0.25">
      <c r="A248" s="18" t="s">
        <v>25</v>
      </c>
      <c r="B248" s="57">
        <v>7.1759259259259259E-4</v>
      </c>
      <c r="C248" s="58">
        <v>1</v>
      </c>
      <c r="D248" s="18" t="s">
        <v>1969</v>
      </c>
      <c r="E248" s="18" t="s">
        <v>1970</v>
      </c>
      <c r="F248" s="18" t="s">
        <v>1810</v>
      </c>
      <c r="G248" s="59">
        <v>37.729999999999997</v>
      </c>
      <c r="H248" s="59">
        <v>37.729999999999997</v>
      </c>
      <c r="I248" s="18" t="s">
        <v>367</v>
      </c>
      <c r="J248" s="18" t="s">
        <v>1594</v>
      </c>
      <c r="K248" s="18" t="s">
        <v>1967</v>
      </c>
      <c r="L248" s="30" t="s">
        <v>1612</v>
      </c>
    </row>
    <row r="249" spans="1:12" hidden="1" x14ac:dyDescent="0.25">
      <c r="A249" s="18" t="s">
        <v>25</v>
      </c>
      <c r="B249" s="57">
        <v>9.4212962962962957E-3</v>
      </c>
      <c r="C249" s="58">
        <v>1</v>
      </c>
      <c r="D249" s="18" t="s">
        <v>1971</v>
      </c>
      <c r="E249" s="18" t="s">
        <v>1972</v>
      </c>
      <c r="F249" s="18" t="s">
        <v>1810</v>
      </c>
      <c r="G249" s="59">
        <v>843.77</v>
      </c>
      <c r="H249" s="59">
        <v>843.77</v>
      </c>
      <c r="I249" s="18" t="s">
        <v>65</v>
      </c>
      <c r="J249" s="18" t="s">
        <v>368</v>
      </c>
      <c r="K249" s="18" t="s">
        <v>1967</v>
      </c>
      <c r="L249" s="30" t="s">
        <v>1612</v>
      </c>
    </row>
    <row r="250" spans="1:12" hidden="1" x14ac:dyDescent="0.25">
      <c r="A250" s="18" t="s">
        <v>25</v>
      </c>
      <c r="B250" s="57">
        <v>9.6064814814814808E-4</v>
      </c>
      <c r="C250" s="58">
        <v>1</v>
      </c>
      <c r="D250" s="18" t="s">
        <v>1973</v>
      </c>
      <c r="E250" s="18" t="s">
        <v>1974</v>
      </c>
      <c r="F250" s="18" t="s">
        <v>1810</v>
      </c>
      <c r="G250" s="59">
        <v>36.619999999999997</v>
      </c>
      <c r="H250" s="59">
        <v>36.619999999999997</v>
      </c>
      <c r="I250" s="18" t="s">
        <v>65</v>
      </c>
      <c r="J250" s="18" t="s">
        <v>1597</v>
      </c>
      <c r="K250" s="18" t="s">
        <v>1967</v>
      </c>
      <c r="L250" s="30" t="s">
        <v>1612</v>
      </c>
    </row>
    <row r="251" spans="1:12" hidden="1" x14ac:dyDescent="0.25">
      <c r="A251" s="18" t="s">
        <v>25</v>
      </c>
      <c r="B251" s="57">
        <v>4.1666666666666666E-3</v>
      </c>
      <c r="C251" s="58">
        <v>1</v>
      </c>
      <c r="D251" s="18" t="s">
        <v>1975</v>
      </c>
      <c r="E251" s="18" t="s">
        <v>1976</v>
      </c>
      <c r="F251" s="18" t="s">
        <v>1810</v>
      </c>
      <c r="G251" s="59">
        <v>503.87</v>
      </c>
      <c r="H251" s="59">
        <v>503.87</v>
      </c>
      <c r="I251" s="18" t="s">
        <v>550</v>
      </c>
      <c r="J251" s="18" t="s">
        <v>550</v>
      </c>
      <c r="K251" s="18" t="s">
        <v>1967</v>
      </c>
      <c r="L251" s="30" t="s">
        <v>1612</v>
      </c>
    </row>
    <row r="252" spans="1:12" hidden="1" x14ac:dyDescent="0.25">
      <c r="A252" s="18" t="s">
        <v>25</v>
      </c>
      <c r="B252" s="57">
        <v>6.0069444444444441E-3</v>
      </c>
      <c r="C252" s="58">
        <v>11</v>
      </c>
      <c r="D252" s="18" t="s">
        <v>1977</v>
      </c>
      <c r="E252" s="18" t="s">
        <v>1978</v>
      </c>
      <c r="F252" s="18" t="s">
        <v>1979</v>
      </c>
      <c r="G252" s="59">
        <v>25.64</v>
      </c>
      <c r="H252" s="59">
        <v>282.04000000000002</v>
      </c>
      <c r="I252" s="18" t="s">
        <v>1672</v>
      </c>
      <c r="J252" s="18" t="s">
        <v>498</v>
      </c>
      <c r="K252" s="18" t="s">
        <v>1980</v>
      </c>
      <c r="L252" s="30" t="s">
        <v>1612</v>
      </c>
    </row>
    <row r="253" spans="1:12" hidden="1" x14ac:dyDescent="0.25">
      <c r="A253" s="18" t="s">
        <v>25</v>
      </c>
      <c r="B253" s="57">
        <v>7.2916666666666659E-4</v>
      </c>
      <c r="C253" s="58">
        <v>1</v>
      </c>
      <c r="D253" s="18" t="s">
        <v>1981</v>
      </c>
      <c r="E253" s="18" t="s">
        <v>1978</v>
      </c>
      <c r="F253" s="18" t="s">
        <v>1979</v>
      </c>
      <c r="G253" s="59">
        <v>25.64</v>
      </c>
      <c r="H253" s="59">
        <v>25.64</v>
      </c>
      <c r="I253" s="18" t="s">
        <v>1665</v>
      </c>
      <c r="J253" s="18" t="s">
        <v>498</v>
      </c>
      <c r="K253" s="18" t="s">
        <v>1980</v>
      </c>
      <c r="L253" s="30" t="s">
        <v>1612</v>
      </c>
    </row>
    <row r="254" spans="1:12" hidden="1" x14ac:dyDescent="0.25">
      <c r="A254" s="18" t="s">
        <v>25</v>
      </c>
      <c r="B254" s="57">
        <v>4.5833333333333334E-3</v>
      </c>
      <c r="C254" s="58">
        <v>20</v>
      </c>
      <c r="D254" s="18" t="s">
        <v>1982</v>
      </c>
      <c r="E254" s="18" t="s">
        <v>1983</v>
      </c>
      <c r="F254" s="18" t="s">
        <v>1979</v>
      </c>
      <c r="G254" s="59">
        <v>2.35</v>
      </c>
      <c r="H254" s="59">
        <v>47</v>
      </c>
      <c r="I254" s="18" t="s">
        <v>367</v>
      </c>
      <c r="J254" s="18" t="s">
        <v>367</v>
      </c>
      <c r="K254" s="18" t="s">
        <v>1980</v>
      </c>
      <c r="L254" s="30" t="s">
        <v>1612</v>
      </c>
    </row>
    <row r="255" spans="1:12" hidden="1" x14ac:dyDescent="0.25">
      <c r="A255" s="18" t="s">
        <v>25</v>
      </c>
      <c r="B255" s="57">
        <v>1.4918981481481481E-2</v>
      </c>
      <c r="C255" s="58">
        <v>6</v>
      </c>
      <c r="D255" s="18" t="s">
        <v>1984</v>
      </c>
      <c r="E255" s="18" t="s">
        <v>1985</v>
      </c>
      <c r="F255" s="18" t="s">
        <v>1979</v>
      </c>
      <c r="G255" s="59">
        <v>83.2</v>
      </c>
      <c r="H255" s="59">
        <v>499.2</v>
      </c>
      <c r="I255" s="18" t="s">
        <v>65</v>
      </c>
      <c r="J255" s="18" t="s">
        <v>368</v>
      </c>
      <c r="K255" s="18" t="s">
        <v>1980</v>
      </c>
      <c r="L255" s="30" t="s">
        <v>1612</v>
      </c>
    </row>
    <row r="256" spans="1:12" hidden="1" x14ac:dyDescent="0.25">
      <c r="A256" s="18" t="s">
        <v>25</v>
      </c>
      <c r="B256" s="57">
        <v>9.837962962962962E-4</v>
      </c>
      <c r="C256" s="58">
        <v>2</v>
      </c>
      <c r="D256" s="18" t="s">
        <v>1986</v>
      </c>
      <c r="E256" s="18" t="s">
        <v>1987</v>
      </c>
      <c r="F256" s="18" t="s">
        <v>1979</v>
      </c>
      <c r="G256" s="59">
        <v>4.54</v>
      </c>
      <c r="H256" s="59">
        <v>9.08</v>
      </c>
      <c r="I256" s="18" t="s">
        <v>65</v>
      </c>
      <c r="J256" s="18" t="s">
        <v>368</v>
      </c>
      <c r="K256" s="18" t="s">
        <v>1980</v>
      </c>
      <c r="L256" s="30" t="s">
        <v>1612</v>
      </c>
    </row>
    <row r="257" spans="1:12" hidden="1" x14ac:dyDescent="0.25">
      <c r="A257" s="18" t="s">
        <v>25</v>
      </c>
      <c r="B257" s="57">
        <v>1.255787037037037E-2</v>
      </c>
      <c r="C257" s="58">
        <v>11</v>
      </c>
      <c r="D257" s="18" t="s">
        <v>1988</v>
      </c>
      <c r="E257" s="18" t="s">
        <v>1989</v>
      </c>
      <c r="F257" s="18" t="s">
        <v>1979</v>
      </c>
      <c r="G257" s="59">
        <v>30.41</v>
      </c>
      <c r="H257" s="59">
        <v>334.51</v>
      </c>
      <c r="I257" s="18" t="s">
        <v>65</v>
      </c>
      <c r="J257" s="18" t="s">
        <v>368</v>
      </c>
      <c r="K257" s="18" t="s">
        <v>1980</v>
      </c>
      <c r="L257" s="30" t="s">
        <v>1612</v>
      </c>
    </row>
    <row r="258" spans="1:12" hidden="1" x14ac:dyDescent="0.25">
      <c r="A258" s="18" t="s">
        <v>25</v>
      </c>
      <c r="B258" s="57">
        <v>1.4699074074074074E-3</v>
      </c>
      <c r="C258" s="58">
        <v>3</v>
      </c>
      <c r="D258" s="18" t="s">
        <v>1990</v>
      </c>
      <c r="E258" s="18" t="s">
        <v>1991</v>
      </c>
      <c r="F258" s="18" t="s">
        <v>1979</v>
      </c>
      <c r="G258" s="59">
        <v>4.57</v>
      </c>
      <c r="H258" s="59">
        <v>13.71</v>
      </c>
      <c r="I258" s="18" t="s">
        <v>65</v>
      </c>
      <c r="J258" s="18" t="s">
        <v>65</v>
      </c>
      <c r="K258" s="18" t="s">
        <v>1980</v>
      </c>
      <c r="L258" s="30" t="s">
        <v>1612</v>
      </c>
    </row>
    <row r="259" spans="1:12" hidden="1" x14ac:dyDescent="0.25">
      <c r="A259" s="18" t="s">
        <v>25</v>
      </c>
      <c r="B259" s="57">
        <v>7.9861111111111105E-4</v>
      </c>
      <c r="C259" s="58">
        <v>1</v>
      </c>
      <c r="D259" s="18" t="s">
        <v>1992</v>
      </c>
      <c r="E259" s="18" t="s">
        <v>1993</v>
      </c>
      <c r="F259" s="18" t="s">
        <v>1979</v>
      </c>
      <c r="G259" s="59">
        <v>32.619999999999997</v>
      </c>
      <c r="H259" s="59">
        <v>32.619999999999997</v>
      </c>
      <c r="I259" s="18" t="s">
        <v>65</v>
      </c>
      <c r="J259" s="18" t="s">
        <v>1590</v>
      </c>
      <c r="K259" s="18" t="s">
        <v>1980</v>
      </c>
      <c r="L259" s="30" t="s">
        <v>1612</v>
      </c>
    </row>
    <row r="260" spans="1:12" hidden="1" x14ac:dyDescent="0.25">
      <c r="A260" s="18" t="s">
        <v>25</v>
      </c>
      <c r="B260" s="57">
        <v>2.4421296296296296E-3</v>
      </c>
      <c r="C260" s="58">
        <v>3</v>
      </c>
      <c r="D260" s="18" t="s">
        <v>1994</v>
      </c>
      <c r="E260" s="18" t="s">
        <v>1995</v>
      </c>
      <c r="F260" s="18" t="s">
        <v>1979</v>
      </c>
      <c r="G260" s="59">
        <v>33.14</v>
      </c>
      <c r="H260" s="59">
        <v>99.42</v>
      </c>
      <c r="I260" s="18" t="s">
        <v>65</v>
      </c>
      <c r="J260" s="18" t="s">
        <v>1590</v>
      </c>
      <c r="K260" s="18" t="s">
        <v>1980</v>
      </c>
      <c r="L260" s="30" t="s">
        <v>1612</v>
      </c>
    </row>
    <row r="261" spans="1:12" hidden="1" x14ac:dyDescent="0.25">
      <c r="A261" s="18" t="s">
        <v>25</v>
      </c>
      <c r="B261" s="57">
        <v>1.736111111111111E-3</v>
      </c>
      <c r="C261" s="58">
        <v>4</v>
      </c>
      <c r="D261" s="18" t="s">
        <v>1996</v>
      </c>
      <c r="E261" s="18" t="s">
        <v>1997</v>
      </c>
      <c r="F261" s="18" t="s">
        <v>1979</v>
      </c>
      <c r="G261" s="59">
        <v>2.41</v>
      </c>
      <c r="H261" s="59">
        <v>9.64</v>
      </c>
      <c r="I261" s="18" t="s">
        <v>65</v>
      </c>
      <c r="J261" s="18" t="s">
        <v>368</v>
      </c>
      <c r="K261" s="18" t="s">
        <v>1980</v>
      </c>
      <c r="L261" s="30" t="s">
        <v>1612</v>
      </c>
    </row>
    <row r="262" spans="1:12" hidden="1" x14ac:dyDescent="0.25">
      <c r="A262" s="18" t="s">
        <v>25</v>
      </c>
      <c r="B262" s="57">
        <v>8.8425925925925929E-3</v>
      </c>
      <c r="C262" s="58">
        <v>13</v>
      </c>
      <c r="D262" s="18" t="s">
        <v>1981</v>
      </c>
      <c r="E262" s="18" t="s">
        <v>1978</v>
      </c>
      <c r="F262" s="18" t="s">
        <v>1979</v>
      </c>
      <c r="G262" s="59">
        <v>25.64</v>
      </c>
      <c r="H262" s="59">
        <v>333.32</v>
      </c>
      <c r="I262" s="18" t="s">
        <v>1665</v>
      </c>
      <c r="J262" s="18" t="s">
        <v>498</v>
      </c>
      <c r="K262" s="18" t="s">
        <v>1998</v>
      </c>
      <c r="L262" s="30" t="s">
        <v>1612</v>
      </c>
    </row>
    <row r="263" spans="1:12" hidden="1" x14ac:dyDescent="0.25">
      <c r="A263" s="18" t="s">
        <v>25</v>
      </c>
      <c r="B263" s="57">
        <v>1.0532407407407407E-3</v>
      </c>
      <c r="C263" s="58">
        <v>5</v>
      </c>
      <c r="D263" s="18" t="s">
        <v>1982</v>
      </c>
      <c r="E263" s="18" t="s">
        <v>1983</v>
      </c>
      <c r="F263" s="18" t="s">
        <v>1979</v>
      </c>
      <c r="G263" s="59">
        <v>2.35</v>
      </c>
      <c r="H263" s="59">
        <v>11.75</v>
      </c>
      <c r="I263" s="18" t="s">
        <v>367</v>
      </c>
      <c r="J263" s="18" t="s">
        <v>367</v>
      </c>
      <c r="K263" s="18" t="s">
        <v>1998</v>
      </c>
      <c r="L263" s="30" t="s">
        <v>1612</v>
      </c>
    </row>
    <row r="264" spans="1:12" hidden="1" x14ac:dyDescent="0.25">
      <c r="A264" s="18" t="s">
        <v>25</v>
      </c>
      <c r="B264" s="57">
        <v>2.5578703703703701E-3</v>
      </c>
      <c r="C264" s="58">
        <v>8</v>
      </c>
      <c r="D264" s="18" t="s">
        <v>1999</v>
      </c>
      <c r="E264" s="18" t="s">
        <v>2000</v>
      </c>
      <c r="F264" s="18" t="s">
        <v>1979</v>
      </c>
      <c r="G264" s="59">
        <v>7.11</v>
      </c>
      <c r="H264" s="59">
        <v>56.88</v>
      </c>
      <c r="I264" s="18" t="s">
        <v>367</v>
      </c>
      <c r="J264" s="18" t="s">
        <v>1593</v>
      </c>
      <c r="K264" s="18" t="s">
        <v>1998</v>
      </c>
      <c r="L264" s="30" t="s">
        <v>1612</v>
      </c>
    </row>
    <row r="265" spans="1:12" hidden="1" x14ac:dyDescent="0.25">
      <c r="A265" s="18" t="s">
        <v>25</v>
      </c>
      <c r="B265" s="57">
        <v>1.2384259259259258E-3</v>
      </c>
      <c r="C265" s="58">
        <v>1</v>
      </c>
      <c r="D265" s="18" t="s">
        <v>2001</v>
      </c>
      <c r="E265" s="18" t="s">
        <v>2002</v>
      </c>
      <c r="F265" s="18" t="s">
        <v>1979</v>
      </c>
      <c r="G265" s="59">
        <v>286.55</v>
      </c>
      <c r="H265" s="59">
        <v>286.55</v>
      </c>
      <c r="I265" s="18" t="s">
        <v>367</v>
      </c>
      <c r="J265" s="18" t="s">
        <v>1594</v>
      </c>
      <c r="K265" s="18" t="s">
        <v>1998</v>
      </c>
      <c r="L265" s="30" t="s">
        <v>1612</v>
      </c>
    </row>
    <row r="266" spans="1:12" hidden="1" x14ac:dyDescent="0.25">
      <c r="A266" s="18" t="s">
        <v>25</v>
      </c>
      <c r="B266" s="57">
        <v>4.3287037037037035E-3</v>
      </c>
      <c r="C266" s="58">
        <v>8</v>
      </c>
      <c r="D266" s="18" t="s">
        <v>2003</v>
      </c>
      <c r="E266" s="18" t="s">
        <v>2004</v>
      </c>
      <c r="F266" s="18" t="s">
        <v>1979</v>
      </c>
      <c r="G266" s="59">
        <v>9.9499999999999993</v>
      </c>
      <c r="H266" s="59">
        <v>79.599999999999994</v>
      </c>
      <c r="I266" s="18" t="s">
        <v>65</v>
      </c>
      <c r="J266" s="18" t="s">
        <v>65</v>
      </c>
      <c r="K266" s="18" t="s">
        <v>1998</v>
      </c>
      <c r="L266" s="30" t="s">
        <v>1612</v>
      </c>
    </row>
    <row r="267" spans="1:12" hidden="1" x14ac:dyDescent="0.25">
      <c r="A267" s="18" t="s">
        <v>25</v>
      </c>
      <c r="B267" s="57">
        <v>3.2523148148148147E-3</v>
      </c>
      <c r="C267" s="58">
        <v>7</v>
      </c>
      <c r="D267" s="18" t="s">
        <v>2005</v>
      </c>
      <c r="E267" s="18" t="s">
        <v>2006</v>
      </c>
      <c r="F267" s="18" t="s">
        <v>1979</v>
      </c>
      <c r="G267" s="59">
        <v>5.44</v>
      </c>
      <c r="H267" s="59">
        <v>38.08</v>
      </c>
      <c r="I267" s="18" t="s">
        <v>65</v>
      </c>
      <c r="J267" s="18" t="s">
        <v>65</v>
      </c>
      <c r="K267" s="18" t="s">
        <v>1998</v>
      </c>
      <c r="L267" s="30" t="s">
        <v>1612</v>
      </c>
    </row>
    <row r="268" spans="1:12" hidden="1" x14ac:dyDescent="0.25">
      <c r="A268" s="18" t="s">
        <v>25</v>
      </c>
      <c r="B268" s="57">
        <v>1.361111111111111E-2</v>
      </c>
      <c r="C268" s="58">
        <v>13</v>
      </c>
      <c r="D268" s="18" t="s">
        <v>2007</v>
      </c>
      <c r="E268" s="18" t="s">
        <v>2008</v>
      </c>
      <c r="F268" s="18" t="s">
        <v>1979</v>
      </c>
      <c r="G268" s="59">
        <v>27.73</v>
      </c>
      <c r="H268" s="59">
        <v>360.49</v>
      </c>
      <c r="I268" s="18" t="s">
        <v>65</v>
      </c>
      <c r="J268" s="18" t="s">
        <v>368</v>
      </c>
      <c r="K268" s="18" t="s">
        <v>1998</v>
      </c>
      <c r="L268" s="30" t="s">
        <v>1612</v>
      </c>
    </row>
    <row r="269" spans="1:12" hidden="1" x14ac:dyDescent="0.25">
      <c r="A269" s="18" t="s">
        <v>25</v>
      </c>
      <c r="B269" s="57">
        <v>1.1331018518518518E-2</v>
      </c>
      <c r="C269" s="58">
        <v>5</v>
      </c>
      <c r="D269" s="18" t="s">
        <v>2009</v>
      </c>
      <c r="E269" s="18" t="s">
        <v>2010</v>
      </c>
      <c r="F269" s="18" t="s">
        <v>1979</v>
      </c>
      <c r="G269" s="59">
        <v>76.099999999999994</v>
      </c>
      <c r="H269" s="59">
        <v>380.5</v>
      </c>
      <c r="I269" s="18" t="s">
        <v>65</v>
      </c>
      <c r="J269" s="18" t="s">
        <v>368</v>
      </c>
      <c r="K269" s="18" t="s">
        <v>1998</v>
      </c>
      <c r="L269" s="30" t="s">
        <v>1612</v>
      </c>
    </row>
    <row r="270" spans="1:12" hidden="1" x14ac:dyDescent="0.25">
      <c r="A270" s="18" t="s">
        <v>25</v>
      </c>
      <c r="B270" s="57">
        <v>3.472222222222222E-3</v>
      </c>
      <c r="C270" s="58">
        <v>8</v>
      </c>
      <c r="D270" s="18" t="s">
        <v>1977</v>
      </c>
      <c r="E270" s="18" t="s">
        <v>1978</v>
      </c>
      <c r="F270" s="18" t="s">
        <v>1979</v>
      </c>
      <c r="G270" s="59">
        <v>25.64</v>
      </c>
      <c r="H270" s="59">
        <v>205.12</v>
      </c>
      <c r="I270" s="18" t="s">
        <v>1672</v>
      </c>
      <c r="J270" s="18" t="s">
        <v>498</v>
      </c>
      <c r="K270" s="18" t="s">
        <v>2011</v>
      </c>
      <c r="L270" s="30" t="s">
        <v>1612</v>
      </c>
    </row>
    <row r="271" spans="1:12" hidden="1" x14ac:dyDescent="0.25">
      <c r="A271" s="18" t="s">
        <v>25</v>
      </c>
      <c r="B271" s="57">
        <v>0.01</v>
      </c>
      <c r="C271" s="58">
        <v>17</v>
      </c>
      <c r="D271" s="18" t="s">
        <v>1981</v>
      </c>
      <c r="E271" s="18" t="s">
        <v>1978</v>
      </c>
      <c r="F271" s="18" t="s">
        <v>1979</v>
      </c>
      <c r="G271" s="59">
        <v>25.64</v>
      </c>
      <c r="H271" s="59">
        <v>435.88</v>
      </c>
      <c r="I271" s="18" t="s">
        <v>1665</v>
      </c>
      <c r="J271" s="18" t="s">
        <v>498</v>
      </c>
      <c r="K271" s="18" t="s">
        <v>2011</v>
      </c>
      <c r="L271" s="30" t="s">
        <v>1612</v>
      </c>
    </row>
    <row r="272" spans="1:12" hidden="1" x14ac:dyDescent="0.25">
      <c r="A272" s="18" t="s">
        <v>25</v>
      </c>
      <c r="B272" s="57">
        <v>1.0034722222222223E-2</v>
      </c>
      <c r="C272" s="58">
        <v>55</v>
      </c>
      <c r="D272" s="18" t="s">
        <v>1982</v>
      </c>
      <c r="E272" s="18" t="s">
        <v>1983</v>
      </c>
      <c r="F272" s="18" t="s">
        <v>1979</v>
      </c>
      <c r="G272" s="59">
        <v>2.35</v>
      </c>
      <c r="H272" s="59">
        <v>129.25</v>
      </c>
      <c r="I272" s="18" t="s">
        <v>367</v>
      </c>
      <c r="J272" s="18" t="s">
        <v>367</v>
      </c>
      <c r="K272" s="18" t="s">
        <v>2011</v>
      </c>
      <c r="L272" s="30" t="s">
        <v>1612</v>
      </c>
    </row>
    <row r="273" spans="1:12" hidden="1" x14ac:dyDescent="0.25">
      <c r="A273" s="18" t="s">
        <v>25</v>
      </c>
      <c r="B273" s="57">
        <v>3.8194444444444441E-4</v>
      </c>
      <c r="C273" s="58">
        <v>1</v>
      </c>
      <c r="D273" s="18" t="s">
        <v>2012</v>
      </c>
      <c r="E273" s="18" t="s">
        <v>2013</v>
      </c>
      <c r="F273" s="18" t="s">
        <v>1979</v>
      </c>
      <c r="G273" s="59">
        <v>3.8</v>
      </c>
      <c r="H273" s="59">
        <v>3.8</v>
      </c>
      <c r="I273" s="18" t="s">
        <v>367</v>
      </c>
      <c r="J273" s="18" t="s">
        <v>1593</v>
      </c>
      <c r="K273" s="18" t="s">
        <v>2011</v>
      </c>
      <c r="L273" s="30" t="s">
        <v>1612</v>
      </c>
    </row>
    <row r="274" spans="1:12" hidden="1" x14ac:dyDescent="0.25">
      <c r="A274" s="18" t="s">
        <v>25</v>
      </c>
      <c r="B274" s="57">
        <v>5.9259259259259256E-3</v>
      </c>
      <c r="C274" s="58">
        <v>3</v>
      </c>
      <c r="D274" s="18" t="s">
        <v>1984</v>
      </c>
      <c r="E274" s="18" t="s">
        <v>1985</v>
      </c>
      <c r="F274" s="18" t="s">
        <v>1979</v>
      </c>
      <c r="G274" s="59">
        <v>83.2</v>
      </c>
      <c r="H274" s="59">
        <v>249.6</v>
      </c>
      <c r="I274" s="18" t="s">
        <v>65</v>
      </c>
      <c r="J274" s="18" t="s">
        <v>368</v>
      </c>
      <c r="K274" s="18" t="s">
        <v>2011</v>
      </c>
      <c r="L274" s="30" t="s">
        <v>1612</v>
      </c>
    </row>
    <row r="275" spans="1:12" hidden="1" x14ac:dyDescent="0.25">
      <c r="A275" s="18" t="s">
        <v>25</v>
      </c>
      <c r="B275" s="57">
        <v>2.696759259259259E-3</v>
      </c>
      <c r="C275" s="58">
        <v>3</v>
      </c>
      <c r="D275" s="18" t="s">
        <v>2014</v>
      </c>
      <c r="E275" s="18" t="s">
        <v>2015</v>
      </c>
      <c r="F275" s="18" t="s">
        <v>1979</v>
      </c>
      <c r="G275" s="59">
        <v>30.07</v>
      </c>
      <c r="H275" s="59">
        <v>90.21</v>
      </c>
      <c r="I275" s="18" t="s">
        <v>65</v>
      </c>
      <c r="J275" s="18" t="s">
        <v>368</v>
      </c>
      <c r="K275" s="18" t="s">
        <v>2011</v>
      </c>
      <c r="L275" s="30" t="s">
        <v>1612</v>
      </c>
    </row>
    <row r="276" spans="1:12" hidden="1" x14ac:dyDescent="0.25">
      <c r="A276" s="18" t="s">
        <v>25</v>
      </c>
      <c r="B276" s="57">
        <v>6.4120370370370364E-3</v>
      </c>
      <c r="C276" s="58">
        <v>4</v>
      </c>
      <c r="D276" s="18" t="s">
        <v>2016</v>
      </c>
      <c r="E276" s="18" t="s">
        <v>2017</v>
      </c>
      <c r="F276" s="18" t="s">
        <v>1979</v>
      </c>
      <c r="G276" s="59">
        <v>63.8</v>
      </c>
      <c r="H276" s="59">
        <v>255.2</v>
      </c>
      <c r="I276" s="18" t="s">
        <v>65</v>
      </c>
      <c r="J276" s="18" t="s">
        <v>368</v>
      </c>
      <c r="K276" s="18" t="s">
        <v>2011</v>
      </c>
      <c r="L276" s="30" t="s">
        <v>1612</v>
      </c>
    </row>
    <row r="277" spans="1:12" hidden="1" x14ac:dyDescent="0.25">
      <c r="A277" s="18" t="s">
        <v>25</v>
      </c>
      <c r="B277" s="57">
        <v>1.0092592592592592E-2</v>
      </c>
      <c r="C277" s="58">
        <v>20</v>
      </c>
      <c r="D277" s="18" t="s">
        <v>1977</v>
      </c>
      <c r="E277" s="18" t="s">
        <v>1978</v>
      </c>
      <c r="F277" s="18" t="s">
        <v>1979</v>
      </c>
      <c r="G277" s="59">
        <v>25.64</v>
      </c>
      <c r="H277" s="59">
        <v>512.79999999999995</v>
      </c>
      <c r="I277" s="18" t="s">
        <v>1672</v>
      </c>
      <c r="J277" s="18" t="s">
        <v>498</v>
      </c>
      <c r="K277" s="18" t="s">
        <v>2018</v>
      </c>
      <c r="L277" s="30" t="s">
        <v>1612</v>
      </c>
    </row>
    <row r="278" spans="1:12" hidden="1" x14ac:dyDescent="0.25">
      <c r="A278" s="18" t="s">
        <v>25</v>
      </c>
      <c r="B278" s="57">
        <v>2.7546296296296294E-3</v>
      </c>
      <c r="C278" s="58">
        <v>13</v>
      </c>
      <c r="D278" s="18" t="s">
        <v>1982</v>
      </c>
      <c r="E278" s="18" t="s">
        <v>1983</v>
      </c>
      <c r="F278" s="18" t="s">
        <v>1979</v>
      </c>
      <c r="G278" s="59">
        <v>2.35</v>
      </c>
      <c r="H278" s="59">
        <v>30.55</v>
      </c>
      <c r="I278" s="18" t="s">
        <v>367</v>
      </c>
      <c r="J278" s="18" t="s">
        <v>367</v>
      </c>
      <c r="K278" s="18" t="s">
        <v>2018</v>
      </c>
      <c r="L278" s="30" t="s">
        <v>1612</v>
      </c>
    </row>
    <row r="279" spans="1:12" hidden="1" x14ac:dyDescent="0.25">
      <c r="A279" s="18" t="s">
        <v>25</v>
      </c>
      <c r="B279" s="57">
        <v>1.3796296296296296E-2</v>
      </c>
      <c r="C279" s="58">
        <v>6</v>
      </c>
      <c r="D279" s="18" t="s">
        <v>1984</v>
      </c>
      <c r="E279" s="18" t="s">
        <v>1985</v>
      </c>
      <c r="F279" s="18" t="s">
        <v>1979</v>
      </c>
      <c r="G279" s="59">
        <v>83.2</v>
      </c>
      <c r="H279" s="59">
        <v>499.2</v>
      </c>
      <c r="I279" s="18" t="s">
        <v>65</v>
      </c>
      <c r="J279" s="18" t="s">
        <v>368</v>
      </c>
      <c r="K279" s="18" t="s">
        <v>2018</v>
      </c>
      <c r="L279" s="30" t="s">
        <v>1612</v>
      </c>
    </row>
    <row r="280" spans="1:12" hidden="1" x14ac:dyDescent="0.25">
      <c r="A280" s="18" t="s">
        <v>25</v>
      </c>
      <c r="B280" s="57">
        <v>4.6296296296296293E-4</v>
      </c>
      <c r="C280" s="58">
        <v>1</v>
      </c>
      <c r="D280" s="18" t="s">
        <v>2005</v>
      </c>
      <c r="E280" s="18" t="s">
        <v>2006</v>
      </c>
      <c r="F280" s="18" t="s">
        <v>1979</v>
      </c>
      <c r="G280" s="59">
        <v>5.44</v>
      </c>
      <c r="H280" s="59">
        <v>5.44</v>
      </c>
      <c r="I280" s="18" t="s">
        <v>65</v>
      </c>
      <c r="J280" s="18" t="s">
        <v>65</v>
      </c>
      <c r="K280" s="18" t="s">
        <v>2018</v>
      </c>
      <c r="L280" s="30" t="s">
        <v>1612</v>
      </c>
    </row>
    <row r="281" spans="1:12" hidden="1" x14ac:dyDescent="0.25">
      <c r="A281" s="18" t="s">
        <v>25</v>
      </c>
      <c r="B281" s="57">
        <v>9.0277777777777774E-4</v>
      </c>
      <c r="C281" s="58">
        <v>2</v>
      </c>
      <c r="D281" s="18" t="s">
        <v>1986</v>
      </c>
      <c r="E281" s="18" t="s">
        <v>1987</v>
      </c>
      <c r="F281" s="18" t="s">
        <v>1979</v>
      </c>
      <c r="G281" s="59">
        <v>4.54</v>
      </c>
      <c r="H281" s="59">
        <v>9.08</v>
      </c>
      <c r="I281" s="18" t="s">
        <v>65</v>
      </c>
      <c r="J281" s="18" t="s">
        <v>368</v>
      </c>
      <c r="K281" s="18" t="s">
        <v>2018</v>
      </c>
      <c r="L281" s="30" t="s">
        <v>1612</v>
      </c>
    </row>
    <row r="282" spans="1:12" hidden="1" x14ac:dyDescent="0.25">
      <c r="A282" s="18" t="s">
        <v>25</v>
      </c>
      <c r="B282" s="57">
        <v>8.4374999999999988E-3</v>
      </c>
      <c r="C282" s="58">
        <v>8</v>
      </c>
      <c r="D282" s="18" t="s">
        <v>1988</v>
      </c>
      <c r="E282" s="18" t="s">
        <v>1989</v>
      </c>
      <c r="F282" s="18" t="s">
        <v>1979</v>
      </c>
      <c r="G282" s="59">
        <v>30.41</v>
      </c>
      <c r="H282" s="59">
        <v>243.28</v>
      </c>
      <c r="I282" s="18" t="s">
        <v>65</v>
      </c>
      <c r="J282" s="18" t="s">
        <v>368</v>
      </c>
      <c r="K282" s="18" t="s">
        <v>2018</v>
      </c>
      <c r="L282" s="30" t="s">
        <v>1612</v>
      </c>
    </row>
    <row r="283" spans="1:12" hidden="1" x14ac:dyDescent="0.25">
      <c r="A283" s="18" t="s">
        <v>25</v>
      </c>
      <c r="B283" s="57">
        <v>4.5486111111111109E-3</v>
      </c>
      <c r="C283" s="58">
        <v>10</v>
      </c>
      <c r="D283" s="18" t="s">
        <v>1990</v>
      </c>
      <c r="E283" s="18" t="s">
        <v>1991</v>
      </c>
      <c r="F283" s="18" t="s">
        <v>1979</v>
      </c>
      <c r="G283" s="59">
        <v>4.57</v>
      </c>
      <c r="H283" s="59">
        <v>45.7</v>
      </c>
      <c r="I283" s="18" t="s">
        <v>65</v>
      </c>
      <c r="J283" s="18" t="s">
        <v>65</v>
      </c>
      <c r="K283" s="18" t="s">
        <v>2018</v>
      </c>
      <c r="L283" s="30" t="s">
        <v>1612</v>
      </c>
    </row>
    <row r="284" spans="1:12" hidden="1" x14ac:dyDescent="0.25">
      <c r="A284" s="18" t="s">
        <v>25</v>
      </c>
      <c r="B284" s="57">
        <v>6.0185185185185179E-4</v>
      </c>
      <c r="C284" s="58">
        <v>1</v>
      </c>
      <c r="D284" s="18" t="s">
        <v>1977</v>
      </c>
      <c r="E284" s="18" t="s">
        <v>1978</v>
      </c>
      <c r="F284" s="18" t="s">
        <v>1979</v>
      </c>
      <c r="G284" s="59">
        <v>25.64</v>
      </c>
      <c r="H284" s="59">
        <v>25.64</v>
      </c>
      <c r="I284" s="18" t="s">
        <v>1672</v>
      </c>
      <c r="J284" s="18" t="s">
        <v>498</v>
      </c>
      <c r="K284" s="18" t="s">
        <v>2019</v>
      </c>
      <c r="L284" s="30" t="s">
        <v>1612</v>
      </c>
    </row>
    <row r="285" spans="1:12" hidden="1" x14ac:dyDescent="0.25">
      <c r="A285" s="18" t="s">
        <v>25</v>
      </c>
      <c r="B285" s="57">
        <v>1.5393518518518519E-3</v>
      </c>
      <c r="C285" s="58">
        <v>6</v>
      </c>
      <c r="D285" s="18" t="s">
        <v>1982</v>
      </c>
      <c r="E285" s="18" t="s">
        <v>1983</v>
      </c>
      <c r="F285" s="18" t="s">
        <v>1979</v>
      </c>
      <c r="G285" s="59">
        <v>2.35</v>
      </c>
      <c r="H285" s="59">
        <v>14.1</v>
      </c>
      <c r="I285" s="18" t="s">
        <v>367</v>
      </c>
      <c r="J285" s="18" t="s">
        <v>367</v>
      </c>
      <c r="K285" s="18" t="s">
        <v>2019</v>
      </c>
      <c r="L285" s="30" t="s">
        <v>1612</v>
      </c>
    </row>
    <row r="286" spans="1:12" hidden="1" x14ac:dyDescent="0.25">
      <c r="A286" s="18" t="s">
        <v>25</v>
      </c>
      <c r="B286" s="57">
        <v>1.0138888888888888E-2</v>
      </c>
      <c r="C286" s="58">
        <v>8</v>
      </c>
      <c r="D286" s="18" t="s">
        <v>2020</v>
      </c>
      <c r="E286" s="18" t="s">
        <v>2021</v>
      </c>
      <c r="F286" s="18" t="s">
        <v>1979</v>
      </c>
      <c r="G286" s="59">
        <v>27.43</v>
      </c>
      <c r="H286" s="59">
        <v>219.44</v>
      </c>
      <c r="I286" s="18" t="s">
        <v>65</v>
      </c>
      <c r="J286" s="18" t="s">
        <v>368</v>
      </c>
      <c r="K286" s="18" t="s">
        <v>2019</v>
      </c>
      <c r="L286" s="30" t="s">
        <v>1612</v>
      </c>
    </row>
    <row r="287" spans="1:12" hidden="1" x14ac:dyDescent="0.25">
      <c r="A287" s="18" t="s">
        <v>25</v>
      </c>
      <c r="B287" s="57">
        <v>9.0277777777777769E-3</v>
      </c>
      <c r="C287" s="58">
        <v>4</v>
      </c>
      <c r="D287" s="18" t="s">
        <v>2022</v>
      </c>
      <c r="E287" s="18" t="s">
        <v>2023</v>
      </c>
      <c r="F287" s="18" t="s">
        <v>1979</v>
      </c>
      <c r="G287" s="59">
        <v>59.39</v>
      </c>
      <c r="H287" s="59">
        <v>237.56</v>
      </c>
      <c r="I287" s="18" t="s">
        <v>65</v>
      </c>
      <c r="J287" s="18" t="s">
        <v>368</v>
      </c>
      <c r="K287" s="18" t="s">
        <v>2019</v>
      </c>
      <c r="L287" s="30" t="s">
        <v>1612</v>
      </c>
    </row>
    <row r="288" spans="1:12" hidden="1" x14ac:dyDescent="0.25">
      <c r="A288" s="18" t="s">
        <v>25</v>
      </c>
      <c r="B288" s="57">
        <v>1.0219907407407407E-2</v>
      </c>
      <c r="C288" s="58">
        <v>8</v>
      </c>
      <c r="D288" s="18" t="s">
        <v>2007</v>
      </c>
      <c r="E288" s="18" t="s">
        <v>2008</v>
      </c>
      <c r="F288" s="18" t="s">
        <v>1979</v>
      </c>
      <c r="G288" s="59">
        <v>27.73</v>
      </c>
      <c r="H288" s="59">
        <v>221.84</v>
      </c>
      <c r="I288" s="18" t="s">
        <v>65</v>
      </c>
      <c r="J288" s="18" t="s">
        <v>368</v>
      </c>
      <c r="K288" s="18" t="s">
        <v>2019</v>
      </c>
      <c r="L288" s="30" t="s">
        <v>1612</v>
      </c>
    </row>
    <row r="289" spans="1:12" hidden="1" x14ac:dyDescent="0.25">
      <c r="A289" s="18" t="s">
        <v>25</v>
      </c>
      <c r="B289" s="57">
        <v>3.3194444444444443E-2</v>
      </c>
      <c r="C289" s="58">
        <v>12</v>
      </c>
      <c r="D289" s="18" t="s">
        <v>2009</v>
      </c>
      <c r="E289" s="18" t="s">
        <v>2010</v>
      </c>
      <c r="F289" s="18" t="s">
        <v>1979</v>
      </c>
      <c r="G289" s="59">
        <v>76.099999999999994</v>
      </c>
      <c r="H289" s="59">
        <v>913.2</v>
      </c>
      <c r="I289" s="18" t="s">
        <v>65</v>
      </c>
      <c r="J289" s="18" t="s">
        <v>368</v>
      </c>
      <c r="K289" s="18" t="s">
        <v>2019</v>
      </c>
      <c r="L289" s="30" t="s">
        <v>1612</v>
      </c>
    </row>
    <row r="290" spans="1:12" hidden="1" x14ac:dyDescent="0.25">
      <c r="A290" s="18" t="s">
        <v>25</v>
      </c>
      <c r="B290" s="57">
        <v>3.9351851851851852E-4</v>
      </c>
      <c r="C290" s="58">
        <v>1</v>
      </c>
      <c r="D290" s="18" t="s">
        <v>1977</v>
      </c>
      <c r="E290" s="18" t="s">
        <v>1978</v>
      </c>
      <c r="F290" s="18" t="s">
        <v>1979</v>
      </c>
      <c r="G290" s="59">
        <v>25.64</v>
      </c>
      <c r="H290" s="59">
        <v>25.64</v>
      </c>
      <c r="I290" s="18" t="s">
        <v>1672</v>
      </c>
      <c r="J290" s="18" t="s">
        <v>498</v>
      </c>
      <c r="K290" s="18" t="s">
        <v>2024</v>
      </c>
      <c r="L290" s="30" t="s">
        <v>1612</v>
      </c>
    </row>
    <row r="291" spans="1:12" hidden="1" x14ac:dyDescent="0.25">
      <c r="A291" s="18" t="s">
        <v>25</v>
      </c>
      <c r="B291" s="57">
        <v>4.861111111111111E-4</v>
      </c>
      <c r="C291" s="58">
        <v>3</v>
      </c>
      <c r="D291" s="18" t="s">
        <v>1982</v>
      </c>
      <c r="E291" s="18" t="s">
        <v>1983</v>
      </c>
      <c r="F291" s="18" t="s">
        <v>1979</v>
      </c>
      <c r="G291" s="59">
        <v>2.35</v>
      </c>
      <c r="H291" s="59">
        <v>7.05</v>
      </c>
      <c r="I291" s="18" t="s">
        <v>367</v>
      </c>
      <c r="J291" s="18" t="s">
        <v>367</v>
      </c>
      <c r="K291" s="18" t="s">
        <v>2024</v>
      </c>
      <c r="L291" s="30" t="s">
        <v>1612</v>
      </c>
    </row>
    <row r="292" spans="1:12" hidden="1" x14ac:dyDescent="0.25">
      <c r="A292" s="18" t="s">
        <v>25</v>
      </c>
      <c r="B292" s="57">
        <v>1.7592592592592592E-3</v>
      </c>
      <c r="C292" s="58">
        <v>5</v>
      </c>
      <c r="D292" s="18" t="s">
        <v>2012</v>
      </c>
      <c r="E292" s="18" t="s">
        <v>2013</v>
      </c>
      <c r="F292" s="18" t="s">
        <v>1979</v>
      </c>
      <c r="G292" s="59">
        <v>3.8</v>
      </c>
      <c r="H292" s="59">
        <v>19</v>
      </c>
      <c r="I292" s="18" t="s">
        <v>367</v>
      </c>
      <c r="J292" s="18" t="s">
        <v>1593</v>
      </c>
      <c r="K292" s="18" t="s">
        <v>2024</v>
      </c>
      <c r="L292" s="30" t="s">
        <v>1612</v>
      </c>
    </row>
    <row r="293" spans="1:12" hidden="1" x14ac:dyDescent="0.25">
      <c r="A293" s="18" t="s">
        <v>25</v>
      </c>
      <c r="B293" s="57">
        <v>3.5763888888888889E-3</v>
      </c>
      <c r="C293" s="58">
        <v>2</v>
      </c>
      <c r="D293" s="18" t="s">
        <v>1984</v>
      </c>
      <c r="E293" s="18" t="s">
        <v>1985</v>
      </c>
      <c r="F293" s="18" t="s">
        <v>1979</v>
      </c>
      <c r="G293" s="59">
        <v>83.2</v>
      </c>
      <c r="H293" s="59">
        <v>166.4</v>
      </c>
      <c r="I293" s="18" t="s">
        <v>65</v>
      </c>
      <c r="J293" s="18" t="s">
        <v>368</v>
      </c>
      <c r="K293" s="18" t="s">
        <v>2024</v>
      </c>
      <c r="L293" s="30" t="s">
        <v>1612</v>
      </c>
    </row>
    <row r="294" spans="1:12" hidden="1" x14ac:dyDescent="0.25">
      <c r="A294" s="18" t="s">
        <v>25</v>
      </c>
      <c r="B294" s="57">
        <v>4.7337962962962958E-3</v>
      </c>
      <c r="C294" s="58">
        <v>13</v>
      </c>
      <c r="D294" s="18" t="s">
        <v>2005</v>
      </c>
      <c r="E294" s="18" t="s">
        <v>2006</v>
      </c>
      <c r="F294" s="18" t="s">
        <v>1979</v>
      </c>
      <c r="G294" s="59">
        <v>5.44</v>
      </c>
      <c r="H294" s="59">
        <v>70.72</v>
      </c>
      <c r="I294" s="18" t="s">
        <v>65</v>
      </c>
      <c r="J294" s="18" t="s">
        <v>65</v>
      </c>
      <c r="K294" s="18" t="s">
        <v>2024</v>
      </c>
      <c r="L294" s="30" t="s">
        <v>1612</v>
      </c>
    </row>
    <row r="295" spans="1:12" hidden="1" x14ac:dyDescent="0.25">
      <c r="A295" s="18" t="s">
        <v>25</v>
      </c>
      <c r="B295" s="57">
        <v>1.4120370370370369E-3</v>
      </c>
      <c r="C295" s="58">
        <v>4</v>
      </c>
      <c r="D295" s="18" t="s">
        <v>1986</v>
      </c>
      <c r="E295" s="18" t="s">
        <v>1987</v>
      </c>
      <c r="F295" s="18" t="s">
        <v>1979</v>
      </c>
      <c r="G295" s="59">
        <v>4.54</v>
      </c>
      <c r="H295" s="59">
        <v>18.16</v>
      </c>
      <c r="I295" s="18" t="s">
        <v>65</v>
      </c>
      <c r="J295" s="18" t="s">
        <v>368</v>
      </c>
      <c r="K295" s="18" t="s">
        <v>2024</v>
      </c>
      <c r="L295" s="30" t="s">
        <v>1612</v>
      </c>
    </row>
    <row r="296" spans="1:12" hidden="1" x14ac:dyDescent="0.25">
      <c r="A296" s="18" t="s">
        <v>25</v>
      </c>
      <c r="B296" s="57">
        <v>1.6435185185185185E-3</v>
      </c>
      <c r="C296" s="58">
        <v>2</v>
      </c>
      <c r="D296" s="18" t="s">
        <v>1988</v>
      </c>
      <c r="E296" s="18" t="s">
        <v>1989</v>
      </c>
      <c r="F296" s="18" t="s">
        <v>1979</v>
      </c>
      <c r="G296" s="59">
        <v>30.41</v>
      </c>
      <c r="H296" s="59">
        <v>60.82</v>
      </c>
      <c r="I296" s="18" t="s">
        <v>65</v>
      </c>
      <c r="J296" s="18" t="s">
        <v>368</v>
      </c>
      <c r="K296" s="18" t="s">
        <v>2024</v>
      </c>
      <c r="L296" s="30" t="s">
        <v>1612</v>
      </c>
    </row>
    <row r="297" spans="1:12" hidden="1" x14ac:dyDescent="0.25">
      <c r="A297" s="18" t="s">
        <v>25</v>
      </c>
      <c r="B297" s="57">
        <v>7.0601851851851847E-4</v>
      </c>
      <c r="C297" s="58">
        <v>2</v>
      </c>
      <c r="D297" s="18" t="s">
        <v>1990</v>
      </c>
      <c r="E297" s="18" t="s">
        <v>1991</v>
      </c>
      <c r="F297" s="18" t="s">
        <v>1979</v>
      </c>
      <c r="G297" s="59">
        <v>4.57</v>
      </c>
      <c r="H297" s="59">
        <v>9.14</v>
      </c>
      <c r="I297" s="18" t="s">
        <v>65</v>
      </c>
      <c r="J297" s="18" t="s">
        <v>65</v>
      </c>
      <c r="K297" s="18" t="s">
        <v>2024</v>
      </c>
      <c r="L297" s="30" t="s">
        <v>1612</v>
      </c>
    </row>
    <row r="298" spans="1:12" hidden="1" x14ac:dyDescent="0.25">
      <c r="A298" s="18" t="s">
        <v>25</v>
      </c>
      <c r="B298" s="57">
        <v>4.0625000000000001E-3</v>
      </c>
      <c r="C298" s="58">
        <v>7</v>
      </c>
      <c r="D298" s="18" t="s">
        <v>1992</v>
      </c>
      <c r="E298" s="18" t="s">
        <v>1993</v>
      </c>
      <c r="F298" s="18" t="s">
        <v>1979</v>
      </c>
      <c r="G298" s="59">
        <v>32.619999999999997</v>
      </c>
      <c r="H298" s="59">
        <v>228.34</v>
      </c>
      <c r="I298" s="18" t="s">
        <v>65</v>
      </c>
      <c r="J298" s="18" t="s">
        <v>1590</v>
      </c>
      <c r="K298" s="18" t="s">
        <v>2024</v>
      </c>
      <c r="L298" s="30" t="s">
        <v>1612</v>
      </c>
    </row>
    <row r="299" spans="1:12" hidden="1" x14ac:dyDescent="0.25">
      <c r="A299" s="18" t="s">
        <v>25</v>
      </c>
      <c r="B299" s="57">
        <v>1.7592592592592592E-3</v>
      </c>
      <c r="C299" s="58">
        <v>3</v>
      </c>
      <c r="D299" s="18" t="s">
        <v>1994</v>
      </c>
      <c r="E299" s="18" t="s">
        <v>1995</v>
      </c>
      <c r="F299" s="18" t="s">
        <v>1979</v>
      </c>
      <c r="G299" s="59">
        <v>33.14</v>
      </c>
      <c r="H299" s="59">
        <v>99.42</v>
      </c>
      <c r="I299" s="18" t="s">
        <v>65</v>
      </c>
      <c r="J299" s="18" t="s">
        <v>1590</v>
      </c>
      <c r="K299" s="18" t="s">
        <v>2024</v>
      </c>
      <c r="L299" s="30" t="s">
        <v>1612</v>
      </c>
    </row>
    <row r="300" spans="1:12" hidden="1" x14ac:dyDescent="0.25">
      <c r="A300" s="18" t="s">
        <v>25</v>
      </c>
      <c r="B300" s="57">
        <v>1.1574074074074073E-3</v>
      </c>
      <c r="C300" s="58">
        <v>2</v>
      </c>
      <c r="D300" s="18" t="s">
        <v>2025</v>
      </c>
      <c r="E300" s="18" t="s">
        <v>1993</v>
      </c>
      <c r="F300" s="18" t="s">
        <v>1979</v>
      </c>
      <c r="G300" s="59">
        <v>32.6</v>
      </c>
      <c r="H300" s="59">
        <v>65.2</v>
      </c>
      <c r="I300" s="18" t="s">
        <v>65</v>
      </c>
      <c r="J300" s="18" t="s">
        <v>1591</v>
      </c>
      <c r="K300" s="18" t="s">
        <v>2024</v>
      </c>
      <c r="L300" s="30" t="s">
        <v>1612</v>
      </c>
    </row>
    <row r="301" spans="1:12" hidden="1" x14ac:dyDescent="0.25">
      <c r="A301" s="18" t="s">
        <v>25</v>
      </c>
      <c r="B301" s="57">
        <v>1.2037037037037036E-3</v>
      </c>
      <c r="C301" s="58">
        <v>1</v>
      </c>
      <c r="D301" s="18" t="s">
        <v>2026</v>
      </c>
      <c r="E301" s="18" t="s">
        <v>2027</v>
      </c>
      <c r="F301" s="18" t="s">
        <v>1979</v>
      </c>
      <c r="G301" s="59">
        <v>210.31</v>
      </c>
      <c r="H301" s="59">
        <v>210.31</v>
      </c>
      <c r="I301" s="18" t="s">
        <v>65</v>
      </c>
      <c r="J301" s="18" t="s">
        <v>66</v>
      </c>
      <c r="K301" s="18" t="s">
        <v>2024</v>
      </c>
      <c r="L301" s="30" t="s">
        <v>1612</v>
      </c>
    </row>
    <row r="302" spans="1:12" hidden="1" x14ac:dyDescent="0.25">
      <c r="A302" s="18" t="s">
        <v>25</v>
      </c>
      <c r="B302" s="57">
        <v>2.0833333333333333E-3</v>
      </c>
      <c r="C302" s="58">
        <v>1</v>
      </c>
      <c r="D302" s="18" t="s">
        <v>2028</v>
      </c>
      <c r="E302" s="18" t="s">
        <v>2029</v>
      </c>
      <c r="F302" s="18" t="s">
        <v>1979</v>
      </c>
      <c r="G302" s="59">
        <v>373.27</v>
      </c>
      <c r="H302" s="59">
        <v>373.27</v>
      </c>
      <c r="I302" s="18" t="s">
        <v>65</v>
      </c>
      <c r="J302" s="18" t="s">
        <v>66</v>
      </c>
      <c r="K302" s="18" t="s">
        <v>2024</v>
      </c>
      <c r="L302" s="30" t="s">
        <v>1612</v>
      </c>
    </row>
    <row r="303" spans="1:12" hidden="1" x14ac:dyDescent="0.25">
      <c r="A303" s="18" t="s">
        <v>25</v>
      </c>
      <c r="B303" s="57">
        <v>9.3749999999999997E-4</v>
      </c>
      <c r="C303" s="58">
        <v>3</v>
      </c>
      <c r="D303" s="18" t="s">
        <v>1996</v>
      </c>
      <c r="E303" s="18" t="s">
        <v>1997</v>
      </c>
      <c r="F303" s="18" t="s">
        <v>1979</v>
      </c>
      <c r="G303" s="59">
        <v>2.41</v>
      </c>
      <c r="H303" s="59">
        <v>7.23</v>
      </c>
      <c r="I303" s="18" t="s">
        <v>65</v>
      </c>
      <c r="J303" s="18" t="s">
        <v>368</v>
      </c>
      <c r="K303" s="18" t="s">
        <v>2024</v>
      </c>
      <c r="L303" s="30" t="s">
        <v>1612</v>
      </c>
    </row>
    <row r="304" spans="1:12" hidden="1" x14ac:dyDescent="0.25">
      <c r="A304" s="18" t="s">
        <v>25</v>
      </c>
      <c r="B304" s="57">
        <v>1.1574074074074073E-3</v>
      </c>
      <c r="C304" s="58">
        <v>2</v>
      </c>
      <c r="D304" s="18" t="s">
        <v>2030</v>
      </c>
      <c r="E304" s="18" t="s">
        <v>1993</v>
      </c>
      <c r="F304" s="18" t="s">
        <v>1979</v>
      </c>
      <c r="G304" s="59">
        <v>32.82</v>
      </c>
      <c r="H304" s="59">
        <v>65.64</v>
      </c>
      <c r="I304" s="18" t="s">
        <v>65</v>
      </c>
      <c r="J304" s="18" t="s">
        <v>512</v>
      </c>
      <c r="K304" s="18" t="s">
        <v>2024</v>
      </c>
      <c r="L304" s="30" t="s">
        <v>1612</v>
      </c>
    </row>
    <row r="305" spans="1:12" hidden="1" x14ac:dyDescent="0.25">
      <c r="A305" s="18" t="s">
        <v>25</v>
      </c>
      <c r="B305" s="57">
        <v>3.6689814814814814E-3</v>
      </c>
      <c r="C305" s="58">
        <v>1</v>
      </c>
      <c r="D305" s="18" t="s">
        <v>2031</v>
      </c>
      <c r="E305" s="18" t="s">
        <v>1976</v>
      </c>
      <c r="F305" s="18" t="s">
        <v>1810</v>
      </c>
      <c r="G305" s="59">
        <v>503.87</v>
      </c>
      <c r="H305" s="59">
        <v>503.87</v>
      </c>
      <c r="I305" s="18" t="s">
        <v>511</v>
      </c>
      <c r="J305" s="18" t="s">
        <v>511</v>
      </c>
      <c r="K305" s="18" t="s">
        <v>2032</v>
      </c>
      <c r="L305" s="30" t="s">
        <v>1612</v>
      </c>
    </row>
    <row r="306" spans="1:12" hidden="1" x14ac:dyDescent="0.25">
      <c r="A306" s="18" t="s">
        <v>25</v>
      </c>
      <c r="B306" s="57">
        <v>5.0115740740740737E-3</v>
      </c>
      <c r="C306" s="58">
        <v>3</v>
      </c>
      <c r="D306" s="18" t="s">
        <v>2033</v>
      </c>
      <c r="E306" s="18" t="s">
        <v>1962</v>
      </c>
      <c r="F306" s="18" t="s">
        <v>1810</v>
      </c>
      <c r="G306" s="59">
        <v>252.68</v>
      </c>
      <c r="H306" s="59">
        <v>758.04</v>
      </c>
      <c r="I306" s="18" t="s">
        <v>511</v>
      </c>
      <c r="J306" s="18" t="s">
        <v>512</v>
      </c>
      <c r="K306" s="18" t="s">
        <v>2032</v>
      </c>
      <c r="L306" s="30" t="s">
        <v>1612</v>
      </c>
    </row>
    <row r="307" spans="1:12" hidden="1" x14ac:dyDescent="0.25">
      <c r="A307" s="18" t="s">
        <v>25</v>
      </c>
      <c r="B307" s="57">
        <v>6.134259259259259E-4</v>
      </c>
      <c r="C307" s="58">
        <v>1</v>
      </c>
      <c r="D307" s="18" t="s">
        <v>2034</v>
      </c>
      <c r="E307" s="18" t="s">
        <v>1897</v>
      </c>
      <c r="F307" s="18" t="s">
        <v>1810</v>
      </c>
      <c r="G307" s="59">
        <v>10.71</v>
      </c>
      <c r="H307" s="59">
        <v>10.71</v>
      </c>
      <c r="I307" s="18" t="s">
        <v>1665</v>
      </c>
      <c r="J307" s="18" t="s">
        <v>512</v>
      </c>
      <c r="K307" s="18" t="s">
        <v>2032</v>
      </c>
      <c r="L307" s="30" t="s">
        <v>1612</v>
      </c>
    </row>
    <row r="308" spans="1:12" hidden="1" x14ac:dyDescent="0.25">
      <c r="A308" s="18" t="s">
        <v>25</v>
      </c>
      <c r="B308" s="57">
        <v>3.0439814814814813E-3</v>
      </c>
      <c r="C308" s="58">
        <v>2</v>
      </c>
      <c r="D308" s="18" t="s">
        <v>1968</v>
      </c>
      <c r="E308" s="18" t="s">
        <v>1954</v>
      </c>
      <c r="F308" s="18" t="s">
        <v>1810</v>
      </c>
      <c r="G308" s="59">
        <v>233.73</v>
      </c>
      <c r="H308" s="59">
        <v>467.46</v>
      </c>
      <c r="I308" s="18" t="s">
        <v>1588</v>
      </c>
      <c r="J308" s="18" t="s">
        <v>512</v>
      </c>
      <c r="K308" s="18" t="s">
        <v>2032</v>
      </c>
      <c r="L308" s="30" t="s">
        <v>1612</v>
      </c>
    </row>
    <row r="309" spans="1:12" hidden="1" x14ac:dyDescent="0.25">
      <c r="A309" s="18" t="s">
        <v>25</v>
      </c>
      <c r="B309" s="57">
        <v>8.9120370370370362E-4</v>
      </c>
      <c r="C309" s="58">
        <v>1</v>
      </c>
      <c r="D309" s="18" t="s">
        <v>1814</v>
      </c>
      <c r="E309" s="18" t="s">
        <v>1815</v>
      </c>
      <c r="F309" s="18" t="s">
        <v>1810</v>
      </c>
      <c r="G309" s="59">
        <v>24.5</v>
      </c>
      <c r="H309" s="59">
        <v>24.5</v>
      </c>
      <c r="I309" s="18" t="s">
        <v>367</v>
      </c>
      <c r="J309" s="18" t="s">
        <v>367</v>
      </c>
      <c r="K309" s="18" t="s">
        <v>2032</v>
      </c>
      <c r="L309" s="30" t="s">
        <v>1612</v>
      </c>
    </row>
    <row r="310" spans="1:12" hidden="1" x14ac:dyDescent="0.25">
      <c r="A310" s="18" t="s">
        <v>25</v>
      </c>
      <c r="B310" s="57">
        <v>4.7453703703703704E-4</v>
      </c>
      <c r="C310" s="58">
        <v>1</v>
      </c>
      <c r="D310" s="18" t="s">
        <v>2035</v>
      </c>
      <c r="E310" s="18" t="s">
        <v>2036</v>
      </c>
      <c r="F310" s="18" t="s">
        <v>1810</v>
      </c>
      <c r="G310" s="59">
        <v>12.45</v>
      </c>
      <c r="H310" s="59">
        <v>12.45</v>
      </c>
      <c r="I310" s="18" t="s">
        <v>367</v>
      </c>
      <c r="J310" s="18" t="s">
        <v>512</v>
      </c>
      <c r="K310" s="18" t="s">
        <v>2032</v>
      </c>
      <c r="L310" s="30" t="s">
        <v>1612</v>
      </c>
    </row>
    <row r="311" spans="1:12" hidden="1" x14ac:dyDescent="0.25">
      <c r="A311" s="18" t="s">
        <v>25</v>
      </c>
      <c r="B311" s="57">
        <v>4.8263888888888887E-3</v>
      </c>
      <c r="C311" s="58">
        <v>4</v>
      </c>
      <c r="D311" s="18" t="s">
        <v>2037</v>
      </c>
      <c r="E311" s="18" t="s">
        <v>1815</v>
      </c>
      <c r="F311" s="18" t="s">
        <v>1810</v>
      </c>
      <c r="G311" s="59">
        <v>24.5</v>
      </c>
      <c r="H311" s="59">
        <v>98</v>
      </c>
      <c r="I311" s="18" t="s">
        <v>65</v>
      </c>
      <c r="J311" s="18" t="s">
        <v>1589</v>
      </c>
      <c r="K311" s="18" t="s">
        <v>2032</v>
      </c>
      <c r="L311" s="30" t="s">
        <v>1612</v>
      </c>
    </row>
    <row r="312" spans="1:12" hidden="1" x14ac:dyDescent="0.25">
      <c r="A312" s="18" t="s">
        <v>25</v>
      </c>
      <c r="B312" s="57">
        <v>1.0879629629629629E-3</v>
      </c>
      <c r="C312" s="58">
        <v>1</v>
      </c>
      <c r="D312" s="18" t="s">
        <v>1816</v>
      </c>
      <c r="E312" s="18" t="s">
        <v>1815</v>
      </c>
      <c r="F312" s="18" t="s">
        <v>1810</v>
      </c>
      <c r="G312" s="59">
        <v>24.5</v>
      </c>
      <c r="H312" s="59">
        <v>24.5</v>
      </c>
      <c r="I312" s="18" t="s">
        <v>65</v>
      </c>
      <c r="J312" s="18" t="s">
        <v>1591</v>
      </c>
      <c r="K312" s="18" t="s">
        <v>2032</v>
      </c>
      <c r="L312" s="30" t="s">
        <v>1612</v>
      </c>
    </row>
    <row r="313" spans="1:12" hidden="1" x14ac:dyDescent="0.25">
      <c r="A313" s="18" t="s">
        <v>25</v>
      </c>
      <c r="B313" s="57">
        <v>7.905092592592592E-3</v>
      </c>
      <c r="C313" s="58">
        <v>5</v>
      </c>
      <c r="D313" s="18" t="s">
        <v>2033</v>
      </c>
      <c r="E313" s="18" t="s">
        <v>1962</v>
      </c>
      <c r="F313" s="18" t="s">
        <v>1810</v>
      </c>
      <c r="G313" s="59">
        <v>252.68</v>
      </c>
      <c r="H313" s="59">
        <v>1263.4000000000001</v>
      </c>
      <c r="I313" s="18" t="s">
        <v>511</v>
      </c>
      <c r="J313" s="18" t="s">
        <v>512</v>
      </c>
      <c r="K313" s="18" t="s">
        <v>2038</v>
      </c>
      <c r="L313" s="30" t="s">
        <v>1612</v>
      </c>
    </row>
    <row r="314" spans="1:12" hidden="1" x14ac:dyDescent="0.25">
      <c r="A314" s="18" t="s">
        <v>25</v>
      </c>
      <c r="B314" s="57">
        <v>1.6782407407407408E-3</v>
      </c>
      <c r="C314" s="58">
        <v>1</v>
      </c>
      <c r="D314" s="18" t="s">
        <v>1953</v>
      </c>
      <c r="E314" s="18" t="s">
        <v>1954</v>
      </c>
      <c r="F314" s="18" t="s">
        <v>1810</v>
      </c>
      <c r="G314" s="59">
        <v>233.73</v>
      </c>
      <c r="H314" s="59">
        <v>233.73</v>
      </c>
      <c r="I314" s="18" t="s">
        <v>1588</v>
      </c>
      <c r="J314" s="18" t="s">
        <v>512</v>
      </c>
      <c r="K314" s="18" t="s">
        <v>2038</v>
      </c>
      <c r="L314" s="30" t="s">
        <v>1612</v>
      </c>
    </row>
    <row r="315" spans="1:12" hidden="1" x14ac:dyDescent="0.25">
      <c r="A315" s="18" t="s">
        <v>25</v>
      </c>
      <c r="B315" s="57">
        <v>1.4351851851851852E-3</v>
      </c>
      <c r="C315" s="58">
        <v>1</v>
      </c>
      <c r="D315" s="18" t="s">
        <v>1968</v>
      </c>
      <c r="E315" s="18" t="s">
        <v>1954</v>
      </c>
      <c r="F315" s="18" t="s">
        <v>1810</v>
      </c>
      <c r="G315" s="59">
        <v>233.73</v>
      </c>
      <c r="H315" s="59">
        <v>233.73</v>
      </c>
      <c r="I315" s="18" t="s">
        <v>1588</v>
      </c>
      <c r="J315" s="18" t="s">
        <v>512</v>
      </c>
      <c r="K315" s="18" t="s">
        <v>2038</v>
      </c>
      <c r="L315" s="30" t="s">
        <v>1612</v>
      </c>
    </row>
    <row r="316" spans="1:12" hidden="1" x14ac:dyDescent="0.25">
      <c r="A316" s="18" t="s">
        <v>25</v>
      </c>
      <c r="B316" s="57">
        <v>1.7592592592592592E-3</v>
      </c>
      <c r="C316" s="58">
        <v>1</v>
      </c>
      <c r="D316" s="18" t="s">
        <v>1961</v>
      </c>
      <c r="E316" s="18" t="s">
        <v>1962</v>
      </c>
      <c r="F316" s="18" t="s">
        <v>1810</v>
      </c>
      <c r="G316" s="59">
        <v>252.68</v>
      </c>
      <c r="H316" s="59">
        <v>252.68</v>
      </c>
      <c r="I316" s="18" t="s">
        <v>511</v>
      </c>
      <c r="J316" s="18" t="s">
        <v>512</v>
      </c>
      <c r="K316" s="18" t="s">
        <v>2038</v>
      </c>
      <c r="L316" s="30" t="s">
        <v>1612</v>
      </c>
    </row>
    <row r="317" spans="1:12" hidden="1" x14ac:dyDescent="0.25">
      <c r="A317" s="18" t="s">
        <v>25</v>
      </c>
      <c r="B317" s="57">
        <v>5.9027777777777778E-4</v>
      </c>
      <c r="C317" s="58">
        <v>1</v>
      </c>
      <c r="D317" s="18" t="s">
        <v>1896</v>
      </c>
      <c r="E317" s="18" t="s">
        <v>1897</v>
      </c>
      <c r="F317" s="18" t="s">
        <v>1810</v>
      </c>
      <c r="G317" s="59">
        <v>10.71</v>
      </c>
      <c r="H317" s="59">
        <v>10.71</v>
      </c>
      <c r="I317" s="18" t="s">
        <v>1665</v>
      </c>
      <c r="J317" s="18" t="s">
        <v>512</v>
      </c>
      <c r="K317" s="18" t="s">
        <v>2039</v>
      </c>
      <c r="L317" s="30" t="s">
        <v>1612</v>
      </c>
    </row>
    <row r="318" spans="1:12" hidden="1" x14ac:dyDescent="0.25">
      <c r="A318" s="18" t="s">
        <v>25</v>
      </c>
      <c r="B318" s="57">
        <v>3.4027777777777776E-3</v>
      </c>
      <c r="C318" s="58">
        <v>2</v>
      </c>
      <c r="D318" s="18" t="s">
        <v>1953</v>
      </c>
      <c r="E318" s="18" t="s">
        <v>1954</v>
      </c>
      <c r="F318" s="18" t="s">
        <v>1810</v>
      </c>
      <c r="G318" s="59">
        <v>233.73</v>
      </c>
      <c r="H318" s="59">
        <v>467.46</v>
      </c>
      <c r="I318" s="18" t="s">
        <v>1588</v>
      </c>
      <c r="J318" s="18" t="s">
        <v>512</v>
      </c>
      <c r="K318" s="18" t="s">
        <v>2039</v>
      </c>
      <c r="L318" s="30" t="s">
        <v>1612</v>
      </c>
    </row>
    <row r="319" spans="1:12" hidden="1" x14ac:dyDescent="0.25">
      <c r="A319" s="18" t="s">
        <v>25</v>
      </c>
      <c r="B319" s="57">
        <v>1.0416666666666667E-3</v>
      </c>
      <c r="C319" s="58">
        <v>2</v>
      </c>
      <c r="D319" s="18" t="s">
        <v>1876</v>
      </c>
      <c r="E319" s="18" t="s">
        <v>1877</v>
      </c>
      <c r="F319" s="18" t="s">
        <v>1810</v>
      </c>
      <c r="G319" s="59">
        <v>3.7</v>
      </c>
      <c r="H319" s="59">
        <v>7.4</v>
      </c>
      <c r="I319" s="18" t="s">
        <v>367</v>
      </c>
      <c r="J319" s="18" t="s">
        <v>1594</v>
      </c>
      <c r="K319" s="18" t="s">
        <v>2039</v>
      </c>
      <c r="L319" s="30" t="s">
        <v>1612</v>
      </c>
    </row>
    <row r="320" spans="1:12" hidden="1" x14ac:dyDescent="0.25">
      <c r="A320" s="18" t="s">
        <v>25</v>
      </c>
      <c r="B320" s="57">
        <v>2.0717592592592593E-3</v>
      </c>
      <c r="C320" s="58">
        <v>2</v>
      </c>
      <c r="D320" s="18" t="s">
        <v>1816</v>
      </c>
      <c r="E320" s="18" t="s">
        <v>1815</v>
      </c>
      <c r="F320" s="18" t="s">
        <v>1810</v>
      </c>
      <c r="G320" s="59">
        <v>24.5</v>
      </c>
      <c r="H320" s="59">
        <v>49</v>
      </c>
      <c r="I320" s="18" t="s">
        <v>65</v>
      </c>
      <c r="J320" s="18" t="s">
        <v>1591</v>
      </c>
      <c r="K320" s="18" t="s">
        <v>2039</v>
      </c>
      <c r="L320" s="30" t="s">
        <v>1612</v>
      </c>
    </row>
    <row r="321" spans="1:12" hidden="1" x14ac:dyDescent="0.25">
      <c r="A321" s="18" t="s">
        <v>25</v>
      </c>
      <c r="B321" s="57">
        <v>4.9768518518518521E-4</v>
      </c>
      <c r="C321" s="58">
        <v>1</v>
      </c>
      <c r="D321" s="18" t="s">
        <v>2040</v>
      </c>
      <c r="E321" s="18" t="s">
        <v>1873</v>
      </c>
      <c r="F321" s="18" t="s">
        <v>1810</v>
      </c>
      <c r="G321" s="59">
        <v>9.19</v>
      </c>
      <c r="H321" s="59">
        <v>9.19</v>
      </c>
      <c r="I321" s="18" t="s">
        <v>65</v>
      </c>
      <c r="J321" s="18" t="s">
        <v>1591</v>
      </c>
      <c r="K321" s="18" t="s">
        <v>2039</v>
      </c>
      <c r="L321" s="30" t="s">
        <v>1612</v>
      </c>
    </row>
    <row r="322" spans="1:12" hidden="1" x14ac:dyDescent="0.25">
      <c r="A322" s="18" t="s">
        <v>25</v>
      </c>
      <c r="B322" s="57">
        <v>6.7129629629629625E-4</v>
      </c>
      <c r="C322" s="58">
        <v>1</v>
      </c>
      <c r="D322" s="18" t="s">
        <v>2041</v>
      </c>
      <c r="E322" s="18" t="s">
        <v>2042</v>
      </c>
      <c r="F322" s="18" t="s">
        <v>1810</v>
      </c>
      <c r="G322" s="59">
        <v>32.35</v>
      </c>
      <c r="H322" s="59">
        <v>32.35</v>
      </c>
      <c r="I322" s="18" t="s">
        <v>65</v>
      </c>
      <c r="J322" s="22" t="s">
        <v>66</v>
      </c>
      <c r="K322" s="18" t="s">
        <v>2039</v>
      </c>
      <c r="L322" s="30" t="s">
        <v>1612</v>
      </c>
    </row>
    <row r="323" spans="1:12" hidden="1" x14ac:dyDescent="0.25">
      <c r="A323" s="18" t="s">
        <v>25</v>
      </c>
      <c r="B323" s="57">
        <v>6.7129629629629625E-4</v>
      </c>
      <c r="C323" s="58">
        <v>1</v>
      </c>
      <c r="D323" s="58" t="s">
        <v>1937</v>
      </c>
      <c r="E323" s="58" t="s">
        <v>1938</v>
      </c>
      <c r="F323" s="18" t="s">
        <v>1810</v>
      </c>
      <c r="G323" s="59">
        <v>32.43</v>
      </c>
      <c r="H323" s="59">
        <v>32.43</v>
      </c>
      <c r="I323" s="18" t="s">
        <v>65</v>
      </c>
      <c r="J323" s="22" t="s">
        <v>66</v>
      </c>
      <c r="K323" s="18" t="s">
        <v>2039</v>
      </c>
      <c r="L323" s="30" t="s">
        <v>1612</v>
      </c>
    </row>
    <row r="324" spans="1:12" hidden="1" x14ac:dyDescent="0.25">
      <c r="A324" s="18" t="s">
        <v>25</v>
      </c>
      <c r="B324" s="57">
        <v>3.5648148148148145E-3</v>
      </c>
      <c r="C324" s="58">
        <v>2</v>
      </c>
      <c r="D324" s="58" t="s">
        <v>1961</v>
      </c>
      <c r="E324" s="58" t="s">
        <v>1962</v>
      </c>
      <c r="F324" s="18" t="s">
        <v>1810</v>
      </c>
      <c r="G324" s="59">
        <v>252.68</v>
      </c>
      <c r="H324" s="59">
        <v>505.36</v>
      </c>
      <c r="I324" s="18" t="s">
        <v>511</v>
      </c>
      <c r="J324" s="18" t="s">
        <v>512</v>
      </c>
      <c r="K324" s="18" t="s">
        <v>2039</v>
      </c>
      <c r="L324" s="30" t="s">
        <v>1612</v>
      </c>
    </row>
    <row r="325" spans="1:12" hidden="1" x14ac:dyDescent="0.25">
      <c r="A325" s="18" t="s">
        <v>25</v>
      </c>
      <c r="B325" s="57">
        <v>3.49537037037037E-3</v>
      </c>
      <c r="C325" s="58">
        <v>1</v>
      </c>
      <c r="D325" s="18" t="s">
        <v>1975</v>
      </c>
      <c r="E325" s="18" t="s">
        <v>1976</v>
      </c>
      <c r="F325" s="18" t="s">
        <v>1810</v>
      </c>
      <c r="G325" s="59">
        <v>503.87</v>
      </c>
      <c r="H325" s="59">
        <v>503.87</v>
      </c>
      <c r="I325" s="18" t="s">
        <v>550</v>
      </c>
      <c r="J325" s="18" t="s">
        <v>550</v>
      </c>
      <c r="K325" s="18" t="s">
        <v>2039</v>
      </c>
      <c r="L325" s="30" t="s">
        <v>1612</v>
      </c>
    </row>
    <row r="326" spans="1:12" hidden="1" x14ac:dyDescent="0.25">
      <c r="A326" s="18" t="s">
        <v>25</v>
      </c>
      <c r="B326" s="57">
        <v>2.0023148148148148E-3</v>
      </c>
      <c r="C326" s="58">
        <v>1</v>
      </c>
      <c r="D326" s="18" t="s">
        <v>1965</v>
      </c>
      <c r="E326" s="18" t="s">
        <v>1966</v>
      </c>
      <c r="F326" s="18" t="s">
        <v>1810</v>
      </c>
      <c r="G326" s="59">
        <v>128.51</v>
      </c>
      <c r="H326" s="59">
        <v>128.51</v>
      </c>
      <c r="I326" s="18" t="s">
        <v>152</v>
      </c>
      <c r="J326" s="18" t="s">
        <v>152</v>
      </c>
      <c r="K326" s="18" t="s">
        <v>2039</v>
      </c>
      <c r="L326" s="30" t="s">
        <v>1612</v>
      </c>
    </row>
    <row r="327" spans="1:12" hidden="1" x14ac:dyDescent="0.25">
      <c r="A327" s="18" t="s">
        <v>25</v>
      </c>
      <c r="B327" s="57">
        <v>4.8032407407407407E-3</v>
      </c>
      <c r="C327" s="58">
        <v>10</v>
      </c>
      <c r="D327" s="18" t="s">
        <v>1977</v>
      </c>
      <c r="E327" s="18" t="s">
        <v>1978</v>
      </c>
      <c r="F327" s="18" t="s">
        <v>1979</v>
      </c>
      <c r="G327" s="59">
        <v>25.64</v>
      </c>
      <c r="H327" s="59">
        <v>256.39999999999998</v>
      </c>
      <c r="I327" s="18" t="s">
        <v>1672</v>
      </c>
      <c r="J327" s="18" t="s">
        <v>498</v>
      </c>
      <c r="K327" s="18" t="s">
        <v>2043</v>
      </c>
      <c r="L327" s="30" t="s">
        <v>1612</v>
      </c>
    </row>
    <row r="328" spans="1:12" hidden="1" x14ac:dyDescent="0.25">
      <c r="A328" s="18" t="s">
        <v>25</v>
      </c>
      <c r="B328" s="57">
        <v>3.8425925925925923E-3</v>
      </c>
      <c r="C328" s="58">
        <v>1</v>
      </c>
      <c r="D328" s="18" t="s">
        <v>2044</v>
      </c>
      <c r="E328" s="18" t="s">
        <v>2045</v>
      </c>
      <c r="F328" s="18" t="s">
        <v>1979</v>
      </c>
      <c r="G328" s="59">
        <v>1372.49</v>
      </c>
      <c r="H328" s="59">
        <v>1372.49</v>
      </c>
      <c r="I328" s="18" t="s">
        <v>65</v>
      </c>
      <c r="J328" s="18" t="s">
        <v>66</v>
      </c>
      <c r="K328" s="18" t="s">
        <v>2043</v>
      </c>
      <c r="L328" s="30" t="s">
        <v>1612</v>
      </c>
    </row>
    <row r="329" spans="1:12" hidden="1" x14ac:dyDescent="0.25">
      <c r="A329" s="18" t="s">
        <v>25</v>
      </c>
      <c r="B329" s="57">
        <v>9.9537037037037042E-4</v>
      </c>
      <c r="C329" s="58">
        <v>1</v>
      </c>
      <c r="D329" s="18" t="s">
        <v>2014</v>
      </c>
      <c r="E329" s="18" t="s">
        <v>2015</v>
      </c>
      <c r="F329" s="18" t="s">
        <v>1979</v>
      </c>
      <c r="G329" s="59">
        <v>30.07</v>
      </c>
      <c r="H329" s="59">
        <v>30.07</v>
      </c>
      <c r="I329" s="18" t="s">
        <v>65</v>
      </c>
      <c r="J329" s="18" t="s">
        <v>368</v>
      </c>
      <c r="K329" s="18" t="s">
        <v>2043</v>
      </c>
      <c r="L329" s="30" t="s">
        <v>1612</v>
      </c>
    </row>
    <row r="330" spans="1:12" hidden="1" x14ac:dyDescent="0.25">
      <c r="A330" s="18" t="s">
        <v>25</v>
      </c>
      <c r="B330" s="57">
        <v>5.7870370370370367E-4</v>
      </c>
      <c r="C330" s="58">
        <v>1</v>
      </c>
      <c r="D330" s="18" t="s">
        <v>2046</v>
      </c>
      <c r="E330" s="18" t="s">
        <v>2047</v>
      </c>
      <c r="F330" s="18" t="s">
        <v>1621</v>
      </c>
      <c r="G330" s="59">
        <v>8.7799999999999994</v>
      </c>
      <c r="H330" s="59">
        <v>8.7799999999999994</v>
      </c>
      <c r="I330" s="18" t="s">
        <v>367</v>
      </c>
      <c r="J330" s="18" t="s">
        <v>1593</v>
      </c>
      <c r="K330" s="18" t="s">
        <v>1622</v>
      </c>
      <c r="L330" s="30" t="s">
        <v>1612</v>
      </c>
    </row>
    <row r="331" spans="1:12" hidden="1" x14ac:dyDescent="0.25">
      <c r="A331" s="18" t="s">
        <v>25</v>
      </c>
      <c r="B331" s="57">
        <v>1.2268518518518518E-3</v>
      </c>
      <c r="C331" s="58">
        <v>1</v>
      </c>
      <c r="D331" s="18" t="s">
        <v>2048</v>
      </c>
      <c r="E331" s="18" t="s">
        <v>2049</v>
      </c>
      <c r="F331" s="18" t="s">
        <v>1621</v>
      </c>
      <c r="G331" s="59">
        <v>63.86</v>
      </c>
      <c r="H331" s="59">
        <v>63.86</v>
      </c>
      <c r="I331" s="18" t="s">
        <v>1588</v>
      </c>
      <c r="J331" s="18" t="s">
        <v>44</v>
      </c>
      <c r="K331" s="18" t="s">
        <v>1622</v>
      </c>
      <c r="L331" s="30" t="s">
        <v>1612</v>
      </c>
    </row>
    <row r="332" spans="1:12" x14ac:dyDescent="0.25">
      <c r="A332" s="18" t="s">
        <v>25</v>
      </c>
      <c r="B332" s="57">
        <v>6.898148148148148E-3</v>
      </c>
      <c r="C332" s="58">
        <v>1</v>
      </c>
      <c r="D332" s="18" t="s">
        <v>369</v>
      </c>
      <c r="E332" s="18" t="s">
        <v>370</v>
      </c>
      <c r="F332" s="18" t="s">
        <v>1621</v>
      </c>
      <c r="G332" s="59">
        <v>1369.44</v>
      </c>
      <c r="H332" s="59">
        <v>1369.44</v>
      </c>
      <c r="I332" s="18" t="s">
        <v>367</v>
      </c>
      <c r="J332" s="18" t="s">
        <v>368</v>
      </c>
      <c r="K332" s="18" t="s">
        <v>2050</v>
      </c>
      <c r="L332" s="30" t="s">
        <v>1612</v>
      </c>
    </row>
    <row r="333" spans="1:12" x14ac:dyDescent="0.25">
      <c r="A333" s="18" t="s">
        <v>25</v>
      </c>
      <c r="B333" s="57">
        <v>6.875E-3</v>
      </c>
      <c r="C333" s="58">
        <v>1</v>
      </c>
      <c r="D333" s="18" t="s">
        <v>493</v>
      </c>
      <c r="E333" s="18" t="s">
        <v>494</v>
      </c>
      <c r="F333" s="18" t="s">
        <v>1621</v>
      </c>
      <c r="G333" s="59">
        <v>1390.02</v>
      </c>
      <c r="H333" s="59">
        <v>1390.02</v>
      </c>
      <c r="I333" s="18" t="s">
        <v>65</v>
      </c>
      <c r="J333" s="18" t="s">
        <v>492</v>
      </c>
      <c r="K333" s="18" t="s">
        <v>2051</v>
      </c>
      <c r="L333" s="30" t="s">
        <v>1612</v>
      </c>
    </row>
    <row r="334" spans="1:12" hidden="1" x14ac:dyDescent="0.25">
      <c r="A334" s="18" t="s">
        <v>25</v>
      </c>
      <c r="B334" s="57">
        <v>4.3518518518518515E-3</v>
      </c>
      <c r="C334" s="58">
        <v>1</v>
      </c>
      <c r="D334" s="18" t="s">
        <v>2052</v>
      </c>
      <c r="E334" s="18" t="s">
        <v>2053</v>
      </c>
      <c r="F334" s="18" t="s">
        <v>1621</v>
      </c>
      <c r="G334" s="59">
        <v>997.32</v>
      </c>
      <c r="H334" s="59">
        <v>997.32</v>
      </c>
      <c r="I334" s="18" t="s">
        <v>65</v>
      </c>
      <c r="J334" s="18" t="s">
        <v>1598</v>
      </c>
      <c r="K334" s="18" t="s">
        <v>2054</v>
      </c>
      <c r="L334" s="30" t="s">
        <v>1612</v>
      </c>
    </row>
    <row r="335" spans="1:12" hidden="1" x14ac:dyDescent="0.25">
      <c r="A335" s="18" t="s">
        <v>25</v>
      </c>
      <c r="B335" s="57">
        <v>7.9861111111111105E-4</v>
      </c>
      <c r="C335" s="58">
        <v>1</v>
      </c>
      <c r="D335" s="18" t="s">
        <v>2055</v>
      </c>
      <c r="E335" s="18" t="s">
        <v>2056</v>
      </c>
      <c r="F335" s="18" t="s">
        <v>1621</v>
      </c>
      <c r="G335" s="59">
        <v>18.61</v>
      </c>
      <c r="H335" s="59">
        <v>18.61</v>
      </c>
      <c r="I335" s="18" t="s">
        <v>1672</v>
      </c>
      <c r="J335" s="18" t="s">
        <v>498</v>
      </c>
      <c r="K335" s="18" t="s">
        <v>2054</v>
      </c>
      <c r="L335" s="30" t="s">
        <v>1612</v>
      </c>
    </row>
    <row r="336" spans="1:12" hidden="1" x14ac:dyDescent="0.25">
      <c r="A336" s="18" t="s">
        <v>25</v>
      </c>
      <c r="B336" s="57">
        <v>1.2152777777777778E-3</v>
      </c>
      <c r="C336" s="58">
        <v>1</v>
      </c>
      <c r="D336" s="18" t="s">
        <v>2057</v>
      </c>
      <c r="E336" s="18" t="s">
        <v>2049</v>
      </c>
      <c r="F336" s="18" t="s">
        <v>1621</v>
      </c>
      <c r="G336" s="59">
        <v>63.24</v>
      </c>
      <c r="H336" s="59">
        <v>63.24</v>
      </c>
      <c r="I336" s="18" t="s">
        <v>1588</v>
      </c>
      <c r="J336" s="18" t="s">
        <v>44</v>
      </c>
      <c r="K336" s="18" t="s">
        <v>2054</v>
      </c>
      <c r="L336" s="30" t="s">
        <v>1612</v>
      </c>
    </row>
    <row r="337" spans="1:12" hidden="1" x14ac:dyDescent="0.25">
      <c r="A337" s="18" t="s">
        <v>25</v>
      </c>
      <c r="B337" s="57">
        <v>5.9027777777777778E-4</v>
      </c>
      <c r="C337" s="58">
        <v>1</v>
      </c>
      <c r="D337" s="18" t="s">
        <v>2058</v>
      </c>
      <c r="E337" s="18" t="s">
        <v>2059</v>
      </c>
      <c r="F337" s="18" t="s">
        <v>1621</v>
      </c>
      <c r="G337" s="59">
        <v>10.62</v>
      </c>
      <c r="H337" s="59">
        <v>10.62</v>
      </c>
      <c r="I337" s="18" t="s">
        <v>367</v>
      </c>
      <c r="J337" s="18" t="s">
        <v>367</v>
      </c>
      <c r="K337" s="18" t="s">
        <v>2054</v>
      </c>
      <c r="L337" s="30" t="s">
        <v>1612</v>
      </c>
    </row>
    <row r="338" spans="1:12" hidden="1" x14ac:dyDescent="0.25">
      <c r="A338" s="18" t="s">
        <v>25</v>
      </c>
      <c r="B338" s="57">
        <v>1.1574074074074073E-3</v>
      </c>
      <c r="C338" s="58">
        <v>3</v>
      </c>
      <c r="D338" s="18" t="s">
        <v>2060</v>
      </c>
      <c r="E338" s="18" t="s">
        <v>2061</v>
      </c>
      <c r="F338" s="18" t="s">
        <v>1621</v>
      </c>
      <c r="G338" s="59">
        <v>1.4</v>
      </c>
      <c r="H338" s="59">
        <v>4.2</v>
      </c>
      <c r="I338" s="18" t="s">
        <v>367</v>
      </c>
      <c r="J338" s="18" t="s">
        <v>1593</v>
      </c>
      <c r="K338" s="18" t="s">
        <v>2054</v>
      </c>
      <c r="L338" s="30" t="s">
        <v>1612</v>
      </c>
    </row>
    <row r="339" spans="1:12" hidden="1" x14ac:dyDescent="0.25">
      <c r="A339" s="18" t="s">
        <v>25</v>
      </c>
      <c r="B339" s="57">
        <v>4.282407407407407E-4</v>
      </c>
      <c r="C339" s="58">
        <v>1</v>
      </c>
      <c r="D339" s="18" t="s">
        <v>2062</v>
      </c>
      <c r="E339" s="18" t="s">
        <v>2063</v>
      </c>
      <c r="F339" s="18" t="s">
        <v>1621</v>
      </c>
      <c r="G339" s="59">
        <v>2.2799999999999998</v>
      </c>
      <c r="H339" s="59">
        <v>2.2799999999999998</v>
      </c>
      <c r="I339" s="18" t="s">
        <v>367</v>
      </c>
      <c r="J339" s="18" t="s">
        <v>1592</v>
      </c>
      <c r="K339" s="18" t="s">
        <v>2054</v>
      </c>
      <c r="L339" s="30" t="s">
        <v>1612</v>
      </c>
    </row>
    <row r="340" spans="1:12" hidden="1" x14ac:dyDescent="0.25">
      <c r="A340" s="18" t="s">
        <v>25</v>
      </c>
      <c r="B340" s="57">
        <v>1.7592592592592592E-3</v>
      </c>
      <c r="C340" s="58">
        <v>1</v>
      </c>
      <c r="D340" s="18" t="s">
        <v>2064</v>
      </c>
      <c r="E340" s="18" t="s">
        <v>2065</v>
      </c>
      <c r="F340" s="18" t="s">
        <v>1621</v>
      </c>
      <c r="G340" s="59">
        <v>234.09</v>
      </c>
      <c r="H340" s="59">
        <v>234.09</v>
      </c>
      <c r="I340" s="18" t="s">
        <v>367</v>
      </c>
      <c r="J340" s="18" t="s">
        <v>368</v>
      </c>
      <c r="K340" s="18" t="s">
        <v>2054</v>
      </c>
      <c r="L340" s="30" t="s">
        <v>1612</v>
      </c>
    </row>
    <row r="341" spans="1:12" hidden="1" x14ac:dyDescent="0.25">
      <c r="A341" s="18" t="s">
        <v>25</v>
      </c>
      <c r="B341" s="57">
        <v>6.8287037037037036E-4</v>
      </c>
      <c r="C341" s="58">
        <v>1</v>
      </c>
      <c r="D341" s="18" t="s">
        <v>2066</v>
      </c>
      <c r="E341" s="18" t="s">
        <v>2067</v>
      </c>
      <c r="F341" s="18" t="s">
        <v>1621</v>
      </c>
      <c r="G341" s="59">
        <v>16.8</v>
      </c>
      <c r="H341" s="59">
        <v>16.8</v>
      </c>
      <c r="I341" s="18" t="s">
        <v>65</v>
      </c>
      <c r="J341" s="18" t="s">
        <v>65</v>
      </c>
      <c r="K341" s="18" t="s">
        <v>2054</v>
      </c>
      <c r="L341" s="30" t="s">
        <v>1612</v>
      </c>
    </row>
    <row r="342" spans="1:12" hidden="1" x14ac:dyDescent="0.25">
      <c r="A342" s="18" t="s">
        <v>25</v>
      </c>
      <c r="B342" s="57">
        <v>1.273148148148148E-3</v>
      </c>
      <c r="C342" s="58">
        <v>1</v>
      </c>
      <c r="D342" s="18" t="s">
        <v>1635</v>
      </c>
      <c r="E342" s="18" t="s">
        <v>1636</v>
      </c>
      <c r="F342" s="18" t="s">
        <v>1637</v>
      </c>
      <c r="G342" s="59">
        <v>34.479999999999997</v>
      </c>
      <c r="H342" s="59">
        <v>34.479999999999997</v>
      </c>
      <c r="I342" s="18" t="s">
        <v>1585</v>
      </c>
      <c r="J342" s="18" t="s">
        <v>1585</v>
      </c>
      <c r="K342" s="18" t="s">
        <v>2068</v>
      </c>
      <c r="L342" s="30" t="s">
        <v>1612</v>
      </c>
    </row>
    <row r="343" spans="1:12" hidden="1" x14ac:dyDescent="0.25">
      <c r="A343" s="18" t="s">
        <v>25</v>
      </c>
      <c r="B343" s="57">
        <v>1.0069444444444444E-3</v>
      </c>
      <c r="C343" s="58">
        <v>1</v>
      </c>
      <c r="D343" s="18" t="s">
        <v>1725</v>
      </c>
      <c r="E343" s="18" t="s">
        <v>1726</v>
      </c>
      <c r="F343" s="18" t="s">
        <v>1637</v>
      </c>
      <c r="G343" s="59">
        <v>43.7</v>
      </c>
      <c r="H343" s="59">
        <v>43.7</v>
      </c>
      <c r="I343" s="18" t="s">
        <v>367</v>
      </c>
      <c r="J343" s="18" t="s">
        <v>512</v>
      </c>
      <c r="K343" s="18" t="s">
        <v>2068</v>
      </c>
      <c r="L343" s="30" t="s">
        <v>1612</v>
      </c>
    </row>
    <row r="344" spans="1:12" hidden="1" x14ac:dyDescent="0.25">
      <c r="A344" s="18" t="s">
        <v>25</v>
      </c>
      <c r="B344" s="57">
        <v>1.423611111111111E-3</v>
      </c>
      <c r="C344" s="58">
        <v>1</v>
      </c>
      <c r="D344" s="18" t="s">
        <v>2069</v>
      </c>
      <c r="E344" s="18" t="s">
        <v>2070</v>
      </c>
      <c r="F344" s="18" t="s">
        <v>1637</v>
      </c>
      <c r="G344" s="59">
        <v>249.64</v>
      </c>
      <c r="H344" s="59">
        <v>249.64</v>
      </c>
      <c r="I344" s="18" t="s">
        <v>65</v>
      </c>
      <c r="J344" s="18" t="s">
        <v>1589</v>
      </c>
      <c r="K344" s="18" t="s">
        <v>2068</v>
      </c>
      <c r="L344" s="30" t="s">
        <v>1612</v>
      </c>
    </row>
    <row r="345" spans="1:12" hidden="1" x14ac:dyDescent="0.25">
      <c r="A345" s="18" t="s">
        <v>25</v>
      </c>
      <c r="B345" s="57">
        <v>1.4583333333333332E-3</v>
      </c>
      <c r="C345" s="58">
        <v>1</v>
      </c>
      <c r="D345" s="18" t="s">
        <v>2071</v>
      </c>
      <c r="E345" s="18" t="s">
        <v>2070</v>
      </c>
      <c r="F345" s="18" t="s">
        <v>1637</v>
      </c>
      <c r="G345" s="59">
        <v>249.64</v>
      </c>
      <c r="H345" s="59">
        <v>249.64</v>
      </c>
      <c r="I345" s="18" t="s">
        <v>65</v>
      </c>
      <c r="J345" s="18" t="s">
        <v>1591</v>
      </c>
      <c r="K345" s="18" t="s">
        <v>2068</v>
      </c>
      <c r="L345" s="30" t="s">
        <v>1612</v>
      </c>
    </row>
    <row r="346" spans="1:12" hidden="1" x14ac:dyDescent="0.25">
      <c r="A346" s="18" t="s">
        <v>25</v>
      </c>
      <c r="B346" s="57">
        <v>2.0023148148148148E-3</v>
      </c>
      <c r="C346" s="58">
        <v>2</v>
      </c>
      <c r="D346" s="18" t="s">
        <v>1767</v>
      </c>
      <c r="E346" s="18" t="s">
        <v>1768</v>
      </c>
      <c r="F346" s="18" t="s">
        <v>1637</v>
      </c>
      <c r="G346" s="59">
        <v>43.54</v>
      </c>
      <c r="H346" s="59">
        <v>87.08</v>
      </c>
      <c r="I346" s="18" t="s">
        <v>65</v>
      </c>
      <c r="J346" s="18" t="s">
        <v>512</v>
      </c>
      <c r="K346" s="18" t="s">
        <v>2068</v>
      </c>
      <c r="L346" s="30" t="s">
        <v>1612</v>
      </c>
    </row>
    <row r="347" spans="1:12" hidden="1" x14ac:dyDescent="0.25">
      <c r="A347" s="18" t="s">
        <v>25</v>
      </c>
      <c r="B347" s="57">
        <v>1.9675925925925924E-3</v>
      </c>
      <c r="C347" s="58">
        <v>1</v>
      </c>
      <c r="D347" s="18" t="s">
        <v>2072</v>
      </c>
      <c r="E347" s="18" t="s">
        <v>2073</v>
      </c>
      <c r="F347" s="18" t="s">
        <v>1637</v>
      </c>
      <c r="G347" s="59">
        <v>1021.04</v>
      </c>
      <c r="H347" s="59">
        <v>1021.04</v>
      </c>
      <c r="I347" s="18" t="s">
        <v>367</v>
      </c>
      <c r="J347" s="18" t="s">
        <v>367</v>
      </c>
      <c r="K347" s="18" t="s">
        <v>2068</v>
      </c>
      <c r="L347" s="30" t="s">
        <v>1612</v>
      </c>
    </row>
    <row r="348" spans="1:12" hidden="1" x14ac:dyDescent="0.25">
      <c r="A348" s="18" t="s">
        <v>25</v>
      </c>
      <c r="B348" s="57">
        <v>2.4305555555555556E-3</v>
      </c>
      <c r="C348" s="58">
        <v>1</v>
      </c>
      <c r="D348" s="18" t="s">
        <v>2074</v>
      </c>
      <c r="E348" s="18" t="s">
        <v>2073</v>
      </c>
      <c r="F348" s="18" t="s">
        <v>1637</v>
      </c>
      <c r="G348" s="59">
        <v>1021.04</v>
      </c>
      <c r="H348" s="59">
        <v>1021.04</v>
      </c>
      <c r="I348" s="18" t="s">
        <v>367</v>
      </c>
      <c r="J348" s="18" t="s">
        <v>367</v>
      </c>
      <c r="K348" s="18" t="s">
        <v>2068</v>
      </c>
      <c r="L348" s="30" t="s">
        <v>1612</v>
      </c>
    </row>
    <row r="349" spans="1:12" hidden="1" x14ac:dyDescent="0.25">
      <c r="A349" s="18" t="s">
        <v>25</v>
      </c>
      <c r="B349" s="57">
        <v>4.9074074074074072E-3</v>
      </c>
      <c r="C349" s="58">
        <v>4</v>
      </c>
      <c r="D349" s="18" t="s">
        <v>1635</v>
      </c>
      <c r="E349" s="18" t="s">
        <v>1636</v>
      </c>
      <c r="F349" s="18" t="s">
        <v>1637</v>
      </c>
      <c r="G349" s="59">
        <v>34.479999999999997</v>
      </c>
      <c r="H349" s="59">
        <v>137.91999999999999</v>
      </c>
      <c r="I349" s="18" t="s">
        <v>1585</v>
      </c>
      <c r="J349" s="18" t="s">
        <v>1585</v>
      </c>
      <c r="K349" s="18" t="s">
        <v>2075</v>
      </c>
      <c r="L349" s="30" t="s">
        <v>1612</v>
      </c>
    </row>
    <row r="350" spans="1:12" hidden="1" x14ac:dyDescent="0.25">
      <c r="A350" s="18" t="s">
        <v>25</v>
      </c>
      <c r="B350" s="57">
        <v>1.9328703703703704E-3</v>
      </c>
      <c r="C350" s="58">
        <v>1</v>
      </c>
      <c r="D350" s="18" t="s">
        <v>2076</v>
      </c>
      <c r="E350" s="18" t="s">
        <v>2077</v>
      </c>
      <c r="F350" s="18" t="s">
        <v>1637</v>
      </c>
      <c r="G350" s="59">
        <v>360.83</v>
      </c>
      <c r="H350" s="59">
        <v>360.83</v>
      </c>
      <c r="I350" s="18" t="s">
        <v>131</v>
      </c>
      <c r="J350" s="18" t="s">
        <v>115</v>
      </c>
      <c r="K350" s="18" t="s">
        <v>2075</v>
      </c>
      <c r="L350" s="30" t="s">
        <v>1612</v>
      </c>
    </row>
    <row r="351" spans="1:12" hidden="1" x14ac:dyDescent="0.25">
      <c r="A351" s="18" t="s">
        <v>25</v>
      </c>
      <c r="B351" s="57">
        <v>1.0763888888888889E-3</v>
      </c>
      <c r="C351" s="58">
        <v>1</v>
      </c>
      <c r="D351" s="18" t="s">
        <v>2078</v>
      </c>
      <c r="E351" s="18" t="s">
        <v>2079</v>
      </c>
      <c r="F351" s="18" t="s">
        <v>1637</v>
      </c>
      <c r="G351" s="59">
        <v>95.32</v>
      </c>
      <c r="H351" s="59">
        <v>95.32</v>
      </c>
      <c r="I351" s="18" t="s">
        <v>530</v>
      </c>
      <c r="J351" s="18" t="s">
        <v>512</v>
      </c>
      <c r="K351" s="18" t="s">
        <v>2075</v>
      </c>
      <c r="L351" s="30" t="s">
        <v>1612</v>
      </c>
    </row>
    <row r="352" spans="1:12" hidden="1" x14ac:dyDescent="0.25">
      <c r="A352" s="18" t="s">
        <v>25</v>
      </c>
      <c r="B352" s="57">
        <v>1.7824074074074072E-3</v>
      </c>
      <c r="C352" s="58">
        <v>1</v>
      </c>
      <c r="D352" s="18" t="s">
        <v>2080</v>
      </c>
      <c r="E352" s="18" t="s">
        <v>2077</v>
      </c>
      <c r="F352" s="18" t="s">
        <v>1637</v>
      </c>
      <c r="G352" s="59">
        <v>360.83</v>
      </c>
      <c r="H352" s="59">
        <v>360.83</v>
      </c>
      <c r="I352" s="18" t="s">
        <v>129</v>
      </c>
      <c r="J352" s="18" t="s">
        <v>115</v>
      </c>
      <c r="K352" s="18" t="s">
        <v>2075</v>
      </c>
      <c r="L352" s="30" t="s">
        <v>1612</v>
      </c>
    </row>
    <row r="353" spans="1:12" hidden="1" x14ac:dyDescent="0.25">
      <c r="A353" s="18" t="s">
        <v>25</v>
      </c>
      <c r="B353" s="57">
        <v>1.1111111111111111E-3</v>
      </c>
      <c r="C353" s="58">
        <v>1</v>
      </c>
      <c r="D353" s="18" t="s">
        <v>2081</v>
      </c>
      <c r="E353" s="18" t="s">
        <v>2082</v>
      </c>
      <c r="F353" s="18" t="s">
        <v>1637</v>
      </c>
      <c r="G353" s="59">
        <v>80.66</v>
      </c>
      <c r="H353" s="59">
        <v>80.66</v>
      </c>
      <c r="I353" s="18" t="s">
        <v>367</v>
      </c>
      <c r="J353" s="18" t="s">
        <v>512</v>
      </c>
      <c r="K353" s="18" t="s">
        <v>2075</v>
      </c>
      <c r="L353" s="30" t="s">
        <v>1612</v>
      </c>
    </row>
    <row r="354" spans="1:12" hidden="1" x14ac:dyDescent="0.25">
      <c r="A354" s="18" t="s">
        <v>25</v>
      </c>
      <c r="B354" s="57">
        <v>4.5138888888888887E-4</v>
      </c>
      <c r="C354" s="58">
        <v>1</v>
      </c>
      <c r="D354" s="18" t="s">
        <v>2083</v>
      </c>
      <c r="E354" s="18" t="s">
        <v>2084</v>
      </c>
      <c r="F354" s="18" t="s">
        <v>1621</v>
      </c>
      <c r="G354" s="59">
        <v>3.37</v>
      </c>
      <c r="H354" s="59">
        <v>3.37</v>
      </c>
      <c r="I354" s="18" t="s">
        <v>65</v>
      </c>
      <c r="J354" s="18" t="s">
        <v>65</v>
      </c>
      <c r="K354" s="18" t="s">
        <v>2054</v>
      </c>
      <c r="L354" s="30" t="s">
        <v>1612</v>
      </c>
    </row>
    <row r="355" spans="1:12" hidden="1" x14ac:dyDescent="0.25">
      <c r="A355" s="18" t="s">
        <v>25</v>
      </c>
      <c r="B355" s="57">
        <v>6.8287037037037036E-4</v>
      </c>
      <c r="C355" s="58">
        <v>1</v>
      </c>
      <c r="D355" s="18" t="s">
        <v>2085</v>
      </c>
      <c r="E355" s="18" t="s">
        <v>2086</v>
      </c>
      <c r="F355" s="18" t="s">
        <v>1621</v>
      </c>
      <c r="G355" s="59">
        <v>17.170000000000002</v>
      </c>
      <c r="H355" s="59">
        <v>17.170000000000002</v>
      </c>
      <c r="I355" s="18" t="s">
        <v>65</v>
      </c>
      <c r="J355" s="18" t="s">
        <v>65</v>
      </c>
      <c r="K355" s="18" t="s">
        <v>2054</v>
      </c>
      <c r="L355" s="30" t="s">
        <v>1612</v>
      </c>
    </row>
    <row r="356" spans="1:12" hidden="1" x14ac:dyDescent="0.25">
      <c r="A356" s="18" t="s">
        <v>25</v>
      </c>
      <c r="B356" s="57">
        <v>9.3749999999999997E-4</v>
      </c>
      <c r="C356" s="58">
        <v>1</v>
      </c>
      <c r="D356" s="18" t="s">
        <v>2087</v>
      </c>
      <c r="E356" s="18" t="s">
        <v>2088</v>
      </c>
      <c r="F356" s="18" t="s">
        <v>1621</v>
      </c>
      <c r="G356" s="59">
        <v>18.63</v>
      </c>
      <c r="H356" s="59">
        <v>18.63</v>
      </c>
      <c r="I356" s="18" t="s">
        <v>1672</v>
      </c>
      <c r="J356" s="18" t="s">
        <v>115</v>
      </c>
      <c r="K356" s="18" t="s">
        <v>2089</v>
      </c>
      <c r="L356" s="30" t="s">
        <v>1612</v>
      </c>
    </row>
    <row r="357" spans="1:12" x14ac:dyDescent="0.25">
      <c r="A357" s="18" t="s">
        <v>25</v>
      </c>
      <c r="B357" s="57">
        <v>6.5277777777777773E-3</v>
      </c>
      <c r="C357" s="58">
        <v>1</v>
      </c>
      <c r="D357" s="18" t="s">
        <v>2090</v>
      </c>
      <c r="E357" s="18" t="s">
        <v>2091</v>
      </c>
      <c r="F357" s="18" t="s">
        <v>1621</v>
      </c>
      <c r="G357" s="59">
        <v>1354.97</v>
      </c>
      <c r="H357" s="59">
        <v>1354.97</v>
      </c>
      <c r="I357" s="18" t="s">
        <v>1672</v>
      </c>
      <c r="J357" s="18" t="s">
        <v>115</v>
      </c>
      <c r="K357" s="18" t="s">
        <v>2089</v>
      </c>
      <c r="L357" s="30" t="s">
        <v>1612</v>
      </c>
    </row>
    <row r="358" spans="1:12" hidden="1" x14ac:dyDescent="0.25">
      <c r="A358" s="18" t="s">
        <v>25</v>
      </c>
      <c r="B358" s="57">
        <v>4.6296296296296293E-4</v>
      </c>
      <c r="C358" s="58">
        <v>1</v>
      </c>
      <c r="D358" s="18" t="s">
        <v>2060</v>
      </c>
      <c r="E358" s="18" t="s">
        <v>2061</v>
      </c>
      <c r="F358" s="18" t="s">
        <v>1621</v>
      </c>
      <c r="G358" s="59">
        <v>1.4</v>
      </c>
      <c r="H358" s="59">
        <v>1.4</v>
      </c>
      <c r="I358" s="18" t="s">
        <v>367</v>
      </c>
      <c r="J358" s="18" t="s">
        <v>1593</v>
      </c>
      <c r="K358" s="18" t="s">
        <v>2089</v>
      </c>
      <c r="L358" s="30" t="s">
        <v>1612</v>
      </c>
    </row>
    <row r="359" spans="1:12" hidden="1" x14ac:dyDescent="0.25">
      <c r="A359" s="18" t="s">
        <v>25</v>
      </c>
      <c r="B359" s="57">
        <v>7.1759259259259259E-4</v>
      </c>
      <c r="C359" s="58">
        <v>1</v>
      </c>
      <c r="D359" s="18" t="s">
        <v>2092</v>
      </c>
      <c r="E359" s="18" t="s">
        <v>2093</v>
      </c>
      <c r="F359" s="18" t="s">
        <v>1621</v>
      </c>
      <c r="G359" s="59">
        <v>10.99</v>
      </c>
      <c r="H359" s="59">
        <v>10.99</v>
      </c>
      <c r="I359" s="18" t="s">
        <v>65</v>
      </c>
      <c r="J359" s="18" t="s">
        <v>65</v>
      </c>
      <c r="K359" s="18" t="s">
        <v>2089</v>
      </c>
      <c r="L359" s="30" t="s">
        <v>1612</v>
      </c>
    </row>
    <row r="360" spans="1:12" hidden="1" x14ac:dyDescent="0.25">
      <c r="A360" s="18" t="s">
        <v>25</v>
      </c>
      <c r="B360" s="57">
        <v>4.5949074074074069E-3</v>
      </c>
      <c r="C360" s="58">
        <v>3</v>
      </c>
      <c r="D360" s="18" t="s">
        <v>48</v>
      </c>
      <c r="E360" s="18" t="s">
        <v>1119</v>
      </c>
      <c r="F360" s="18" t="s">
        <v>1621</v>
      </c>
      <c r="G360" s="59">
        <v>59.87</v>
      </c>
      <c r="H360" s="59">
        <v>179.61</v>
      </c>
      <c r="I360" s="18" t="s">
        <v>2094</v>
      </c>
      <c r="J360" s="18" t="s">
        <v>44</v>
      </c>
      <c r="K360" s="18" t="s">
        <v>2095</v>
      </c>
      <c r="L360" s="30" t="s">
        <v>1612</v>
      </c>
    </row>
    <row r="361" spans="1:12" hidden="1" x14ac:dyDescent="0.25">
      <c r="A361" s="18" t="s">
        <v>25</v>
      </c>
      <c r="B361" s="57">
        <v>2.1527777777777778E-3</v>
      </c>
      <c r="C361" s="58">
        <v>3</v>
      </c>
      <c r="D361" s="18" t="s">
        <v>2096</v>
      </c>
      <c r="E361" s="18" t="s">
        <v>2097</v>
      </c>
      <c r="F361" s="18" t="s">
        <v>1621</v>
      </c>
      <c r="G361" s="59">
        <v>12.44</v>
      </c>
      <c r="H361" s="59">
        <v>37.32</v>
      </c>
      <c r="I361" s="18" t="s">
        <v>367</v>
      </c>
      <c r="J361" s="18" t="s">
        <v>368</v>
      </c>
      <c r="K361" s="18" t="s">
        <v>2095</v>
      </c>
      <c r="L361" s="30" t="s">
        <v>1612</v>
      </c>
    </row>
    <row r="362" spans="1:12" hidden="1" x14ac:dyDescent="0.25">
      <c r="A362" s="18" t="s">
        <v>25</v>
      </c>
      <c r="B362" s="57">
        <v>6.9444444444444436E-4</v>
      </c>
      <c r="C362" s="58">
        <v>1</v>
      </c>
      <c r="D362" s="18" t="s">
        <v>2098</v>
      </c>
      <c r="E362" s="18" t="s">
        <v>2099</v>
      </c>
      <c r="F362" s="18" t="s">
        <v>1621</v>
      </c>
      <c r="G362" s="59">
        <v>7.49</v>
      </c>
      <c r="H362" s="59">
        <v>7.49</v>
      </c>
      <c r="I362" s="18" t="s">
        <v>65</v>
      </c>
      <c r="J362" s="18" t="s">
        <v>1589</v>
      </c>
      <c r="K362" s="18" t="s">
        <v>2095</v>
      </c>
      <c r="L362" s="30" t="s">
        <v>1612</v>
      </c>
    </row>
    <row r="363" spans="1:12" hidden="1" x14ac:dyDescent="0.25">
      <c r="A363" s="18" t="s">
        <v>25</v>
      </c>
      <c r="B363" s="57">
        <v>6.9444444444444436E-4</v>
      </c>
      <c r="C363" s="58">
        <v>1</v>
      </c>
      <c r="D363" s="18" t="s">
        <v>2100</v>
      </c>
      <c r="E363" s="18" t="s">
        <v>2101</v>
      </c>
      <c r="F363" s="18" t="s">
        <v>1621</v>
      </c>
      <c r="G363" s="59">
        <v>7.59</v>
      </c>
      <c r="H363" s="59">
        <v>7.59</v>
      </c>
      <c r="I363" s="18" t="s">
        <v>65</v>
      </c>
      <c r="J363" s="18" t="s">
        <v>1590</v>
      </c>
      <c r="K363" s="18" t="s">
        <v>2095</v>
      </c>
      <c r="L363" s="30" t="s">
        <v>1612</v>
      </c>
    </row>
    <row r="364" spans="1:12" hidden="1" x14ac:dyDescent="0.25">
      <c r="A364" s="18" t="s">
        <v>25</v>
      </c>
      <c r="B364" s="57">
        <v>7.6388888888888882E-4</v>
      </c>
      <c r="C364" s="58">
        <v>1</v>
      </c>
      <c r="D364" s="18" t="s">
        <v>2102</v>
      </c>
      <c r="E364" s="18" t="s">
        <v>2103</v>
      </c>
      <c r="F364" s="18" t="s">
        <v>1621</v>
      </c>
      <c r="G364" s="59">
        <v>9.4</v>
      </c>
      <c r="H364" s="59">
        <v>9.4</v>
      </c>
      <c r="I364" s="18" t="s">
        <v>65</v>
      </c>
      <c r="J364" s="18" t="s">
        <v>1590</v>
      </c>
      <c r="K364" s="18" t="s">
        <v>2095</v>
      </c>
      <c r="L364" s="30" t="s">
        <v>1612</v>
      </c>
    </row>
    <row r="365" spans="1:12" hidden="1" x14ac:dyDescent="0.25">
      <c r="A365" s="18" t="s">
        <v>25</v>
      </c>
      <c r="B365" s="57">
        <v>4.8032407407407407E-3</v>
      </c>
      <c r="C365" s="58">
        <v>1</v>
      </c>
      <c r="D365" s="18" t="s">
        <v>2104</v>
      </c>
      <c r="E365" s="18" t="s">
        <v>2105</v>
      </c>
      <c r="F365" s="18" t="s">
        <v>1621</v>
      </c>
      <c r="G365" s="59">
        <v>302.70999999999998</v>
      </c>
      <c r="H365" s="59">
        <v>302.70999999999998</v>
      </c>
      <c r="I365" s="18" t="s">
        <v>65</v>
      </c>
      <c r="J365" s="18" t="s">
        <v>492</v>
      </c>
      <c r="K365" s="18" t="s">
        <v>2095</v>
      </c>
      <c r="L365" s="30" t="s">
        <v>1612</v>
      </c>
    </row>
    <row r="366" spans="1:12" hidden="1" x14ac:dyDescent="0.25">
      <c r="A366" s="18" t="s">
        <v>25</v>
      </c>
      <c r="B366" s="57">
        <v>4.6759259259259254E-3</v>
      </c>
      <c r="C366" s="58">
        <v>1</v>
      </c>
      <c r="D366" s="18" t="s">
        <v>2106</v>
      </c>
      <c r="E366" s="18" t="s">
        <v>2107</v>
      </c>
      <c r="F366" s="18" t="s">
        <v>1621</v>
      </c>
      <c r="G366" s="59">
        <v>350.55</v>
      </c>
      <c r="H366" s="59">
        <v>350.55</v>
      </c>
      <c r="I366" s="18" t="s">
        <v>65</v>
      </c>
      <c r="J366" s="18" t="s">
        <v>1598</v>
      </c>
      <c r="K366" s="18" t="s">
        <v>2095</v>
      </c>
      <c r="L366" s="30" t="s">
        <v>1612</v>
      </c>
    </row>
    <row r="367" spans="1:12" hidden="1" x14ac:dyDescent="0.25">
      <c r="A367" s="18" t="s">
        <v>25</v>
      </c>
      <c r="B367" s="57">
        <v>4.6759259259259254E-3</v>
      </c>
      <c r="C367" s="58">
        <v>1</v>
      </c>
      <c r="D367" s="18" t="s">
        <v>2108</v>
      </c>
      <c r="E367" s="18" t="s">
        <v>2107</v>
      </c>
      <c r="F367" s="18" t="s">
        <v>1621</v>
      </c>
      <c r="G367" s="59">
        <v>350.55</v>
      </c>
      <c r="H367" s="59">
        <v>350.55</v>
      </c>
      <c r="I367" s="18" t="s">
        <v>65</v>
      </c>
      <c r="J367" s="18" t="s">
        <v>1599</v>
      </c>
      <c r="K367" s="18" t="s">
        <v>2095</v>
      </c>
      <c r="L367" s="30" t="s">
        <v>1612</v>
      </c>
    </row>
    <row r="368" spans="1:12" x14ac:dyDescent="0.25">
      <c r="A368" s="18" t="s">
        <v>25</v>
      </c>
      <c r="B368" s="57">
        <v>6.9444444444444441E-3</v>
      </c>
      <c r="C368" s="58">
        <v>1</v>
      </c>
      <c r="D368" s="18" t="s">
        <v>496</v>
      </c>
      <c r="E368" s="18" t="s">
        <v>494</v>
      </c>
      <c r="F368" s="18" t="s">
        <v>1621</v>
      </c>
      <c r="G368" s="59">
        <v>1388.03</v>
      </c>
      <c r="H368" s="59">
        <v>1388.03</v>
      </c>
      <c r="I368" s="18" t="s">
        <v>65</v>
      </c>
      <c r="J368" s="18" t="s">
        <v>492</v>
      </c>
      <c r="K368" s="18" t="s">
        <v>2109</v>
      </c>
      <c r="L368" s="30" t="s">
        <v>1612</v>
      </c>
    </row>
    <row r="369" spans="1:12" hidden="1" x14ac:dyDescent="0.25">
      <c r="A369" s="18" t="s">
        <v>25</v>
      </c>
      <c r="B369" s="57">
        <v>6.6666666666666662E-3</v>
      </c>
      <c r="C369" s="58">
        <v>12</v>
      </c>
      <c r="D369" s="18" t="s">
        <v>2110</v>
      </c>
      <c r="E369" s="18" t="s">
        <v>2111</v>
      </c>
      <c r="F369" s="18" t="s">
        <v>1621</v>
      </c>
      <c r="G369" s="59">
        <v>8.3699999999999992</v>
      </c>
      <c r="H369" s="59">
        <v>100.44</v>
      </c>
      <c r="I369" s="18" t="s">
        <v>1665</v>
      </c>
      <c r="J369" s="18" t="s">
        <v>498</v>
      </c>
      <c r="K369" s="18" t="s">
        <v>2112</v>
      </c>
      <c r="L369" s="30" t="s">
        <v>1612</v>
      </c>
    </row>
    <row r="370" spans="1:12" hidden="1" x14ac:dyDescent="0.25">
      <c r="A370" s="18" t="s">
        <v>25</v>
      </c>
      <c r="B370" s="57">
        <v>1.1111111111111111E-3</v>
      </c>
      <c r="C370" s="58">
        <v>2</v>
      </c>
      <c r="D370" s="18" t="s">
        <v>2113</v>
      </c>
      <c r="E370" s="18" t="s">
        <v>2111</v>
      </c>
      <c r="F370" s="18" t="s">
        <v>1621</v>
      </c>
      <c r="G370" s="59">
        <v>8.3699999999999992</v>
      </c>
      <c r="H370" s="59">
        <v>16.739999999999998</v>
      </c>
      <c r="I370" s="18" t="s">
        <v>1665</v>
      </c>
      <c r="J370" s="18" t="s">
        <v>115</v>
      </c>
      <c r="K370" s="18" t="s">
        <v>2112</v>
      </c>
      <c r="L370" s="30" t="s">
        <v>1612</v>
      </c>
    </row>
    <row r="371" spans="1:12" hidden="1" x14ac:dyDescent="0.25">
      <c r="A371" s="18" t="s">
        <v>25</v>
      </c>
      <c r="B371" s="57">
        <v>7.7546296296296293E-4</v>
      </c>
      <c r="C371" s="58">
        <v>1</v>
      </c>
      <c r="D371" s="18" t="s">
        <v>2087</v>
      </c>
      <c r="E371" s="18" t="s">
        <v>2088</v>
      </c>
      <c r="F371" s="18" t="s">
        <v>1621</v>
      </c>
      <c r="G371" s="59">
        <v>18.63</v>
      </c>
      <c r="H371" s="59">
        <v>18.63</v>
      </c>
      <c r="I371" s="18" t="s">
        <v>1672</v>
      </c>
      <c r="J371" s="18" t="s">
        <v>115</v>
      </c>
      <c r="K371" s="18" t="s">
        <v>2112</v>
      </c>
      <c r="L371" s="30" t="s">
        <v>1612</v>
      </c>
    </row>
    <row r="372" spans="1:12" hidden="1" x14ac:dyDescent="0.25">
      <c r="A372" s="18" t="s">
        <v>25</v>
      </c>
      <c r="B372" s="57">
        <v>1.2152777777777778E-3</v>
      </c>
      <c r="C372" s="58">
        <v>2</v>
      </c>
      <c r="D372" s="18" t="s">
        <v>2114</v>
      </c>
      <c r="E372" s="18" t="s">
        <v>2097</v>
      </c>
      <c r="F372" s="18" t="s">
        <v>1621</v>
      </c>
      <c r="G372" s="59">
        <v>12.44</v>
      </c>
      <c r="H372" s="59">
        <v>24.88</v>
      </c>
      <c r="I372" s="18" t="s">
        <v>367</v>
      </c>
      <c r="J372" s="18" t="s">
        <v>368</v>
      </c>
      <c r="K372" s="18" t="s">
        <v>2112</v>
      </c>
      <c r="L372" s="30" t="s">
        <v>1612</v>
      </c>
    </row>
    <row r="373" spans="1:12" hidden="1" x14ac:dyDescent="0.25">
      <c r="A373" s="18" t="s">
        <v>25</v>
      </c>
      <c r="B373" s="57">
        <v>1.298611111111111E-2</v>
      </c>
      <c r="C373" s="58">
        <v>6</v>
      </c>
      <c r="D373" s="18" t="s">
        <v>2115</v>
      </c>
      <c r="E373" s="18" t="s">
        <v>2116</v>
      </c>
      <c r="F373" s="18" t="s">
        <v>1621</v>
      </c>
      <c r="G373" s="59">
        <v>176.85</v>
      </c>
      <c r="H373" s="59">
        <v>1061.0999999999999</v>
      </c>
      <c r="I373" s="18" t="s">
        <v>65</v>
      </c>
      <c r="J373" s="18" t="s">
        <v>368</v>
      </c>
      <c r="K373" s="18" t="s">
        <v>2112</v>
      </c>
      <c r="L373" s="30" t="s">
        <v>1612</v>
      </c>
    </row>
    <row r="374" spans="1:12" hidden="1" x14ac:dyDescent="0.25">
      <c r="A374" s="18" t="s">
        <v>25</v>
      </c>
      <c r="B374" s="57">
        <v>2.8287037037037034E-2</v>
      </c>
      <c r="C374" s="58">
        <v>23</v>
      </c>
      <c r="D374" s="18" t="s">
        <v>48</v>
      </c>
      <c r="E374" s="18" t="s">
        <v>1119</v>
      </c>
      <c r="F374" s="18" t="s">
        <v>1621</v>
      </c>
      <c r="G374" s="59">
        <v>59.87</v>
      </c>
      <c r="H374" s="59">
        <v>1377.01</v>
      </c>
      <c r="I374" s="18" t="s">
        <v>50</v>
      </c>
      <c r="J374" s="18" t="s">
        <v>44</v>
      </c>
      <c r="K374" s="18" t="s">
        <v>2117</v>
      </c>
      <c r="L374" s="30" t="s">
        <v>1612</v>
      </c>
    </row>
    <row r="375" spans="1:12" hidden="1" x14ac:dyDescent="0.25">
      <c r="A375" s="18" t="s">
        <v>25</v>
      </c>
      <c r="B375" s="57">
        <v>2.8287037037037034E-2</v>
      </c>
      <c r="C375" s="58">
        <v>23</v>
      </c>
      <c r="D375" s="18" t="s">
        <v>48</v>
      </c>
      <c r="E375" s="18" t="s">
        <v>1119</v>
      </c>
      <c r="F375" s="18" t="s">
        <v>1621</v>
      </c>
      <c r="G375" s="59">
        <v>59.87</v>
      </c>
      <c r="H375" s="59">
        <v>1377.01</v>
      </c>
      <c r="I375" s="18" t="s">
        <v>51</v>
      </c>
      <c r="J375" s="18" t="s">
        <v>44</v>
      </c>
      <c r="K375" s="18" t="s">
        <v>2118</v>
      </c>
      <c r="L375" s="30" t="s">
        <v>1612</v>
      </c>
    </row>
    <row r="376" spans="1:12" hidden="1" x14ac:dyDescent="0.25">
      <c r="A376" s="18" t="s">
        <v>25</v>
      </c>
      <c r="B376" s="57">
        <v>2.8287037037037034E-2</v>
      </c>
      <c r="C376" s="58">
        <v>23</v>
      </c>
      <c r="D376" s="18" t="s">
        <v>48</v>
      </c>
      <c r="E376" s="18" t="s">
        <v>1119</v>
      </c>
      <c r="F376" s="18" t="s">
        <v>1621</v>
      </c>
      <c r="G376" s="59">
        <v>59.87</v>
      </c>
      <c r="H376" s="59">
        <v>1377.01</v>
      </c>
      <c r="I376" s="18" t="s">
        <v>51</v>
      </c>
      <c r="J376" s="18" t="s">
        <v>44</v>
      </c>
      <c r="K376" s="18" t="s">
        <v>2119</v>
      </c>
      <c r="L376" s="30" t="s">
        <v>1612</v>
      </c>
    </row>
    <row r="377" spans="1:12" hidden="1" x14ac:dyDescent="0.25">
      <c r="A377" s="18" t="s">
        <v>25</v>
      </c>
      <c r="B377" s="57">
        <v>2.8287037037037034E-2</v>
      </c>
      <c r="C377" s="58">
        <v>23</v>
      </c>
      <c r="D377" s="18" t="s">
        <v>48</v>
      </c>
      <c r="E377" s="18" t="s">
        <v>1119</v>
      </c>
      <c r="F377" s="18" t="s">
        <v>1621</v>
      </c>
      <c r="G377" s="59">
        <v>59.87</v>
      </c>
      <c r="H377" s="59">
        <v>1377.01</v>
      </c>
      <c r="I377" s="18" t="s">
        <v>51</v>
      </c>
      <c r="J377" s="18" t="s">
        <v>44</v>
      </c>
      <c r="K377" s="18" t="s">
        <v>2120</v>
      </c>
      <c r="L377" s="30" t="s">
        <v>1612</v>
      </c>
    </row>
    <row r="378" spans="1:12" hidden="1" x14ac:dyDescent="0.25">
      <c r="A378" s="18" t="s">
        <v>25</v>
      </c>
      <c r="B378" s="57">
        <v>2.8287037037037034E-2</v>
      </c>
      <c r="C378" s="58">
        <v>23</v>
      </c>
      <c r="D378" s="18" t="s">
        <v>48</v>
      </c>
      <c r="E378" s="18" t="s">
        <v>1119</v>
      </c>
      <c r="F378" s="18" t="s">
        <v>1621</v>
      </c>
      <c r="G378" s="59">
        <v>59.87</v>
      </c>
      <c r="H378" s="59">
        <v>1377.01</v>
      </c>
      <c r="I378" s="18" t="s">
        <v>51</v>
      </c>
      <c r="J378" s="18" t="s">
        <v>44</v>
      </c>
      <c r="K378" s="18" t="s">
        <v>2121</v>
      </c>
      <c r="L378" s="30" t="s">
        <v>1612</v>
      </c>
    </row>
    <row r="379" spans="1:12" hidden="1" x14ac:dyDescent="0.25">
      <c r="A379" s="18" t="s">
        <v>25</v>
      </c>
      <c r="B379" s="57">
        <v>2.8287037037037034E-2</v>
      </c>
      <c r="C379" s="58">
        <v>23</v>
      </c>
      <c r="D379" s="18" t="s">
        <v>48</v>
      </c>
      <c r="E379" s="18" t="s">
        <v>1119</v>
      </c>
      <c r="F379" s="18" t="s">
        <v>1621</v>
      </c>
      <c r="G379" s="59">
        <v>59.87</v>
      </c>
      <c r="H379" s="59">
        <v>1377.01</v>
      </c>
      <c r="I379" s="18" t="s">
        <v>52</v>
      </c>
      <c r="J379" s="18" t="s">
        <v>44</v>
      </c>
      <c r="K379" s="18" t="s">
        <v>2122</v>
      </c>
      <c r="L379" s="30" t="s">
        <v>1612</v>
      </c>
    </row>
    <row r="380" spans="1:12" hidden="1" x14ac:dyDescent="0.25">
      <c r="A380" s="18" t="s">
        <v>25</v>
      </c>
      <c r="B380" s="57">
        <v>2.8287037037037034E-2</v>
      </c>
      <c r="C380" s="58">
        <v>23</v>
      </c>
      <c r="D380" s="18" t="s">
        <v>48</v>
      </c>
      <c r="E380" s="18" t="s">
        <v>1119</v>
      </c>
      <c r="F380" s="18" t="s">
        <v>1621</v>
      </c>
      <c r="G380" s="59">
        <v>59.87</v>
      </c>
      <c r="H380" s="59">
        <v>1377.01</v>
      </c>
      <c r="I380" s="18" t="s">
        <v>53</v>
      </c>
      <c r="J380" s="18" t="s">
        <v>44</v>
      </c>
      <c r="K380" s="18" t="s">
        <v>2123</v>
      </c>
      <c r="L380" s="30" t="s">
        <v>1612</v>
      </c>
    </row>
    <row r="381" spans="1:12" hidden="1" x14ac:dyDescent="0.25">
      <c r="A381" s="18" t="s">
        <v>25</v>
      </c>
      <c r="B381" s="57">
        <v>2.8287037037037034E-2</v>
      </c>
      <c r="C381" s="58">
        <v>23</v>
      </c>
      <c r="D381" s="18" t="s">
        <v>48</v>
      </c>
      <c r="E381" s="18" t="s">
        <v>1119</v>
      </c>
      <c r="F381" s="18" t="s">
        <v>1621</v>
      </c>
      <c r="G381" s="59">
        <v>59.87</v>
      </c>
      <c r="H381" s="59">
        <v>1377.01</v>
      </c>
      <c r="I381" s="18" t="s">
        <v>53</v>
      </c>
      <c r="J381" s="18" t="s">
        <v>44</v>
      </c>
      <c r="K381" s="18" t="s">
        <v>2124</v>
      </c>
      <c r="L381" s="30" t="s">
        <v>1612</v>
      </c>
    </row>
    <row r="382" spans="1:12" hidden="1" x14ac:dyDescent="0.25">
      <c r="A382" s="18" t="s">
        <v>25</v>
      </c>
      <c r="B382" s="57">
        <v>3.3009259259259259E-2</v>
      </c>
      <c r="C382" s="58">
        <v>23</v>
      </c>
      <c r="D382" s="18" t="s">
        <v>48</v>
      </c>
      <c r="E382" s="18" t="s">
        <v>1119</v>
      </c>
      <c r="F382" s="18" t="s">
        <v>1621</v>
      </c>
      <c r="G382" s="59">
        <v>59.87</v>
      </c>
      <c r="H382" s="59">
        <v>1377.01</v>
      </c>
      <c r="I382" s="18" t="s">
        <v>53</v>
      </c>
      <c r="J382" s="18" t="s">
        <v>44</v>
      </c>
      <c r="K382" s="18" t="s">
        <v>2125</v>
      </c>
      <c r="L382" s="30" t="s">
        <v>1612</v>
      </c>
    </row>
    <row r="383" spans="1:12" hidden="1" x14ac:dyDescent="0.25">
      <c r="A383" s="18" t="s">
        <v>25</v>
      </c>
      <c r="B383" s="57">
        <v>3.3009259259259259E-2</v>
      </c>
      <c r="C383" s="58">
        <v>23</v>
      </c>
      <c r="D383" s="18" t="s">
        <v>48</v>
      </c>
      <c r="E383" s="18" t="s">
        <v>1119</v>
      </c>
      <c r="F383" s="18" t="s">
        <v>1621</v>
      </c>
      <c r="G383" s="59">
        <v>59.87</v>
      </c>
      <c r="H383" s="59">
        <v>1377.01</v>
      </c>
      <c r="I383" s="18" t="s">
        <v>53</v>
      </c>
      <c r="J383" s="18" t="s">
        <v>44</v>
      </c>
      <c r="K383" s="18" t="s">
        <v>2126</v>
      </c>
      <c r="L383" s="30" t="s">
        <v>1612</v>
      </c>
    </row>
    <row r="384" spans="1:12" hidden="1" x14ac:dyDescent="0.25">
      <c r="A384" s="18" t="s">
        <v>25</v>
      </c>
      <c r="B384" s="57">
        <v>3.3009259259259259E-2</v>
      </c>
      <c r="C384" s="58">
        <v>23</v>
      </c>
      <c r="D384" s="18" t="s">
        <v>48</v>
      </c>
      <c r="E384" s="18" t="s">
        <v>1119</v>
      </c>
      <c r="F384" s="18" t="s">
        <v>1621</v>
      </c>
      <c r="G384" s="59">
        <v>59.87</v>
      </c>
      <c r="H384" s="59">
        <v>1377.01</v>
      </c>
      <c r="I384" s="18" t="s">
        <v>53</v>
      </c>
      <c r="J384" s="18" t="s">
        <v>44</v>
      </c>
      <c r="K384" s="18" t="s">
        <v>2127</v>
      </c>
      <c r="L384" s="30" t="s">
        <v>1612</v>
      </c>
    </row>
    <row r="385" spans="1:12" hidden="1" x14ac:dyDescent="0.25">
      <c r="A385" s="18" t="s">
        <v>25</v>
      </c>
      <c r="B385" s="57">
        <v>3.3009259259259259E-2</v>
      </c>
      <c r="C385" s="58">
        <v>23</v>
      </c>
      <c r="D385" s="18" t="s">
        <v>48</v>
      </c>
      <c r="E385" s="18" t="s">
        <v>1119</v>
      </c>
      <c r="F385" s="18" t="s">
        <v>1621</v>
      </c>
      <c r="G385" s="59">
        <v>59.87</v>
      </c>
      <c r="H385" s="59">
        <v>1377.01</v>
      </c>
      <c r="I385" s="18" t="s">
        <v>57</v>
      </c>
      <c r="J385" s="18" t="s">
        <v>44</v>
      </c>
      <c r="K385" s="18" t="s">
        <v>2128</v>
      </c>
      <c r="L385" s="30" t="s">
        <v>1612</v>
      </c>
    </row>
    <row r="386" spans="1:12" hidden="1" x14ac:dyDescent="0.25">
      <c r="A386" s="18" t="s">
        <v>25</v>
      </c>
      <c r="B386" s="57">
        <v>3.3009259259259259E-2</v>
      </c>
      <c r="C386" s="58">
        <v>23</v>
      </c>
      <c r="D386" s="18" t="s">
        <v>48</v>
      </c>
      <c r="E386" s="18" t="s">
        <v>1119</v>
      </c>
      <c r="F386" s="18" t="s">
        <v>1621</v>
      </c>
      <c r="G386" s="59">
        <v>59.87</v>
      </c>
      <c r="H386" s="59">
        <v>1377.01</v>
      </c>
      <c r="I386" s="18" t="s">
        <v>58</v>
      </c>
      <c r="J386" s="18" t="s">
        <v>44</v>
      </c>
      <c r="K386" s="18" t="s">
        <v>2129</v>
      </c>
      <c r="L386" s="30" t="s">
        <v>1612</v>
      </c>
    </row>
    <row r="387" spans="1:12" hidden="1" x14ac:dyDescent="0.25">
      <c r="A387" s="18" t="s">
        <v>25</v>
      </c>
      <c r="B387" s="57">
        <v>3.3009259259259259E-2</v>
      </c>
      <c r="C387" s="58">
        <v>23</v>
      </c>
      <c r="D387" s="18" t="s">
        <v>48</v>
      </c>
      <c r="E387" s="18" t="s">
        <v>1119</v>
      </c>
      <c r="F387" s="18" t="s">
        <v>1621</v>
      </c>
      <c r="G387" s="59">
        <v>59.87</v>
      </c>
      <c r="H387" s="59">
        <v>1377.01</v>
      </c>
      <c r="I387" s="18" t="s">
        <v>58</v>
      </c>
      <c r="J387" s="18" t="s">
        <v>44</v>
      </c>
      <c r="K387" s="18" t="s">
        <v>2130</v>
      </c>
      <c r="L387" s="30" t="s">
        <v>1612</v>
      </c>
    </row>
    <row r="388" spans="1:12" hidden="1" x14ac:dyDescent="0.25">
      <c r="A388" s="18" t="s">
        <v>25</v>
      </c>
      <c r="B388" s="57">
        <v>3.3009259259259259E-2</v>
      </c>
      <c r="C388" s="58">
        <v>23</v>
      </c>
      <c r="D388" s="18" t="s">
        <v>48</v>
      </c>
      <c r="E388" s="18" t="s">
        <v>1119</v>
      </c>
      <c r="F388" s="18" t="s">
        <v>1621</v>
      </c>
      <c r="G388" s="59">
        <v>59.87</v>
      </c>
      <c r="H388" s="59">
        <v>1377.01</v>
      </c>
      <c r="I388" s="18" t="s">
        <v>58</v>
      </c>
      <c r="J388" s="18" t="s">
        <v>44</v>
      </c>
      <c r="K388" s="18" t="s">
        <v>2131</v>
      </c>
      <c r="L388" s="30" t="s">
        <v>1612</v>
      </c>
    </row>
    <row r="389" spans="1:12" x14ac:dyDescent="0.25">
      <c r="A389" s="18" t="s">
        <v>25</v>
      </c>
      <c r="B389" s="57">
        <v>6.9212962962962961E-3</v>
      </c>
      <c r="C389" s="58">
        <v>1</v>
      </c>
      <c r="D389" s="18" t="s">
        <v>82</v>
      </c>
      <c r="E389" s="18" t="s">
        <v>119</v>
      </c>
      <c r="F389" s="18" t="s">
        <v>1621</v>
      </c>
      <c r="G389" s="59">
        <v>1401.7</v>
      </c>
      <c r="H389" s="59">
        <v>1401.7</v>
      </c>
      <c r="I389" s="18" t="s">
        <v>129</v>
      </c>
      <c r="J389" s="18" t="s">
        <v>115</v>
      </c>
      <c r="K389" s="18" t="s">
        <v>2132</v>
      </c>
      <c r="L389" s="30" t="s">
        <v>1612</v>
      </c>
    </row>
    <row r="390" spans="1:12" x14ac:dyDescent="0.25">
      <c r="A390" s="18" t="s">
        <v>25</v>
      </c>
      <c r="B390" s="57">
        <v>6.9212962962962961E-3</v>
      </c>
      <c r="C390" s="58">
        <v>1</v>
      </c>
      <c r="D390" s="18" t="s">
        <v>83</v>
      </c>
      <c r="E390" s="18" t="s">
        <v>119</v>
      </c>
      <c r="F390" s="18" t="s">
        <v>1621</v>
      </c>
      <c r="G390" s="59">
        <v>1401.7</v>
      </c>
      <c r="H390" s="59">
        <v>1401.7</v>
      </c>
      <c r="I390" s="18" t="s">
        <v>131</v>
      </c>
      <c r="J390" s="18" t="s">
        <v>115</v>
      </c>
      <c r="K390" s="18" t="s">
        <v>2133</v>
      </c>
      <c r="L390" s="30" t="s">
        <v>1612</v>
      </c>
    </row>
    <row r="391" spans="1:12" x14ac:dyDescent="0.25">
      <c r="A391" s="18" t="s">
        <v>25</v>
      </c>
      <c r="B391" s="57">
        <v>6.875E-3</v>
      </c>
      <c r="C391" s="58">
        <v>1</v>
      </c>
      <c r="D391" s="18" t="s">
        <v>499</v>
      </c>
      <c r="E391" s="18" t="s">
        <v>500</v>
      </c>
      <c r="F391" s="18" t="s">
        <v>1621</v>
      </c>
      <c r="G391" s="59">
        <v>1326.34</v>
      </c>
      <c r="H391" s="59">
        <v>1326.34</v>
      </c>
      <c r="I391" s="18" t="s">
        <v>131</v>
      </c>
      <c r="J391" s="18" t="s">
        <v>498</v>
      </c>
      <c r="K391" s="18" t="s">
        <v>2134</v>
      </c>
      <c r="L391" s="30" t="s">
        <v>1612</v>
      </c>
    </row>
    <row r="392" spans="1:12" x14ac:dyDescent="0.25">
      <c r="A392" s="18" t="s">
        <v>25</v>
      </c>
      <c r="B392" s="57">
        <v>6.875E-3</v>
      </c>
      <c r="C392" s="58">
        <v>1</v>
      </c>
      <c r="D392" s="18" t="s">
        <v>502</v>
      </c>
      <c r="E392" s="18" t="s">
        <v>500</v>
      </c>
      <c r="F392" s="18" t="s">
        <v>1621</v>
      </c>
      <c r="G392" s="59">
        <v>1326.34</v>
      </c>
      <c r="H392" s="59">
        <v>1326.34</v>
      </c>
      <c r="I392" s="18" t="s">
        <v>114</v>
      </c>
      <c r="J392" s="18" t="s">
        <v>498</v>
      </c>
      <c r="K392" s="18" t="s">
        <v>2135</v>
      </c>
      <c r="L392" s="30" t="s">
        <v>1612</v>
      </c>
    </row>
    <row r="393" spans="1:12" hidden="1" x14ac:dyDescent="0.25">
      <c r="A393" s="18" t="s">
        <v>25</v>
      </c>
      <c r="B393" s="57">
        <v>6.8402777777777776E-3</v>
      </c>
      <c r="C393" s="58">
        <v>1</v>
      </c>
      <c r="D393" s="18" t="s">
        <v>504</v>
      </c>
      <c r="E393" s="18" t="s">
        <v>505</v>
      </c>
      <c r="F393" s="18" t="s">
        <v>1621</v>
      </c>
      <c r="G393" s="59">
        <v>1270.6600000000001</v>
      </c>
      <c r="H393" s="59">
        <v>1270.6600000000001</v>
      </c>
      <c r="I393" s="18" t="s">
        <v>129</v>
      </c>
      <c r="J393" s="18" t="s">
        <v>498</v>
      </c>
      <c r="K393" s="18" t="s">
        <v>2136</v>
      </c>
      <c r="L393" s="30" t="s">
        <v>1612</v>
      </c>
    </row>
    <row r="394" spans="1:12" hidden="1" x14ac:dyDescent="0.25">
      <c r="A394" s="18" t="s">
        <v>25</v>
      </c>
      <c r="B394" s="57">
        <v>6.122685185185185E-3</v>
      </c>
      <c r="C394" s="58">
        <v>1</v>
      </c>
      <c r="D394" s="18" t="s">
        <v>2137</v>
      </c>
      <c r="E394" s="18" t="s">
        <v>2138</v>
      </c>
      <c r="F394" s="18" t="s">
        <v>1621</v>
      </c>
      <c r="G394" s="59">
        <v>1046.44</v>
      </c>
      <c r="H394" s="59">
        <v>1046.44</v>
      </c>
      <c r="I394" s="18" t="s">
        <v>147</v>
      </c>
      <c r="J394" s="18" t="s">
        <v>115</v>
      </c>
      <c r="K394" s="18" t="s">
        <v>2139</v>
      </c>
      <c r="L394" s="30" t="s">
        <v>1612</v>
      </c>
    </row>
    <row r="395" spans="1:12" hidden="1" x14ac:dyDescent="0.25">
      <c r="A395" s="18" t="s">
        <v>25</v>
      </c>
      <c r="B395" s="57">
        <v>4.6296296296296293E-4</v>
      </c>
      <c r="C395" s="58">
        <v>1</v>
      </c>
      <c r="D395" s="18" t="s">
        <v>2140</v>
      </c>
      <c r="E395" s="18" t="s">
        <v>2141</v>
      </c>
      <c r="F395" s="18" t="s">
        <v>1610</v>
      </c>
      <c r="G395" s="59">
        <v>7.05</v>
      </c>
      <c r="H395" s="59">
        <v>7.05</v>
      </c>
      <c r="I395" s="18" t="s">
        <v>65</v>
      </c>
      <c r="J395" s="18" t="s">
        <v>1591</v>
      </c>
      <c r="K395" s="18" t="s">
        <v>1611</v>
      </c>
      <c r="L395" s="30" t="s">
        <v>1612</v>
      </c>
    </row>
    <row r="396" spans="1:12" hidden="1" x14ac:dyDescent="0.25">
      <c r="A396" s="18" t="s">
        <v>25</v>
      </c>
      <c r="B396" s="57">
        <v>2.3611111111111111E-3</v>
      </c>
      <c r="C396" s="58">
        <v>5</v>
      </c>
      <c r="D396" s="18" t="s">
        <v>2142</v>
      </c>
      <c r="E396" s="18" t="s">
        <v>2143</v>
      </c>
      <c r="F396" s="18" t="s">
        <v>1610</v>
      </c>
      <c r="G396" s="59">
        <v>7.13</v>
      </c>
      <c r="H396" s="59">
        <v>35.65</v>
      </c>
      <c r="I396" s="18" t="s">
        <v>65</v>
      </c>
      <c r="J396" s="18" t="s">
        <v>1589</v>
      </c>
      <c r="K396" s="18" t="s">
        <v>1611</v>
      </c>
      <c r="L396" s="30" t="s">
        <v>1612</v>
      </c>
    </row>
    <row r="397" spans="1:12" hidden="1" x14ac:dyDescent="0.25">
      <c r="A397" s="18" t="s">
        <v>25</v>
      </c>
      <c r="B397" s="57">
        <v>3.5069444444444445E-3</v>
      </c>
      <c r="C397" s="58">
        <v>5</v>
      </c>
      <c r="D397" s="18" t="s">
        <v>2144</v>
      </c>
      <c r="E397" s="18" t="s">
        <v>1616</v>
      </c>
      <c r="F397" s="18" t="s">
        <v>1610</v>
      </c>
      <c r="G397" s="59">
        <v>37.42</v>
      </c>
      <c r="H397" s="59">
        <v>187.1</v>
      </c>
      <c r="I397" s="18" t="s">
        <v>65</v>
      </c>
      <c r="J397" s="18" t="s">
        <v>1591</v>
      </c>
      <c r="K397" s="18" t="s">
        <v>1611</v>
      </c>
      <c r="L397" s="30" t="s">
        <v>1612</v>
      </c>
    </row>
    <row r="398" spans="1:12" hidden="1" x14ac:dyDescent="0.25">
      <c r="A398" s="18" t="s">
        <v>25</v>
      </c>
      <c r="B398" s="57">
        <v>2.9629629629629628E-3</v>
      </c>
      <c r="C398" s="58">
        <v>5</v>
      </c>
      <c r="D398" s="18" t="s">
        <v>2145</v>
      </c>
      <c r="E398" s="18" t="s">
        <v>2146</v>
      </c>
      <c r="F398" s="18" t="s">
        <v>1610</v>
      </c>
      <c r="G398" s="59">
        <v>22.21</v>
      </c>
      <c r="H398" s="59">
        <v>111.05</v>
      </c>
      <c r="I398" s="18" t="s">
        <v>65</v>
      </c>
      <c r="J398" s="18" t="s">
        <v>1591</v>
      </c>
      <c r="K398" s="18" t="s">
        <v>1611</v>
      </c>
      <c r="L398" s="30" t="s">
        <v>1612</v>
      </c>
    </row>
    <row r="399" spans="1:12" hidden="1" x14ac:dyDescent="0.25">
      <c r="A399" s="18" t="s">
        <v>25</v>
      </c>
      <c r="B399" s="57">
        <v>4.2245370370370371E-3</v>
      </c>
      <c r="C399" s="58">
        <v>4</v>
      </c>
      <c r="D399" s="18" t="s">
        <v>2147</v>
      </c>
      <c r="E399" s="18" t="s">
        <v>2148</v>
      </c>
      <c r="F399" s="18" t="s">
        <v>1610</v>
      </c>
      <c r="G399" s="59">
        <v>364.65</v>
      </c>
      <c r="H399" s="59">
        <v>1458.6</v>
      </c>
      <c r="I399" s="18" t="s">
        <v>65</v>
      </c>
      <c r="J399" s="18" t="s">
        <v>512</v>
      </c>
      <c r="K399" s="18" t="s">
        <v>1611</v>
      </c>
      <c r="L399" s="30" t="s">
        <v>1612</v>
      </c>
    </row>
    <row r="400" spans="1:12" hidden="1" x14ac:dyDescent="0.25">
      <c r="A400" s="18" t="s">
        <v>25</v>
      </c>
      <c r="B400" s="57">
        <v>8.912037037037036E-3</v>
      </c>
      <c r="C400" s="58">
        <v>8</v>
      </c>
      <c r="D400" s="18" t="s">
        <v>2149</v>
      </c>
      <c r="E400" s="18" t="s">
        <v>2150</v>
      </c>
      <c r="F400" s="18" t="s">
        <v>1610</v>
      </c>
      <c r="G400" s="59">
        <v>36.159999999999997</v>
      </c>
      <c r="H400" s="59">
        <v>289.27999999999997</v>
      </c>
      <c r="I400" s="18" t="s">
        <v>367</v>
      </c>
      <c r="J400" s="18" t="s">
        <v>367</v>
      </c>
      <c r="K400" s="18" t="s">
        <v>1611</v>
      </c>
      <c r="L400" s="30" t="s">
        <v>1612</v>
      </c>
    </row>
    <row r="401" spans="1:12" hidden="1" x14ac:dyDescent="0.25">
      <c r="A401" s="18" t="s">
        <v>25</v>
      </c>
      <c r="B401" s="57">
        <v>2.0474537037037038E-2</v>
      </c>
      <c r="C401" s="58">
        <v>12</v>
      </c>
      <c r="D401" s="18" t="s">
        <v>2151</v>
      </c>
      <c r="E401" s="18" t="s">
        <v>1614</v>
      </c>
      <c r="F401" s="18" t="s">
        <v>1610</v>
      </c>
      <c r="G401" s="59">
        <v>10.78</v>
      </c>
      <c r="H401" s="59">
        <v>129.36000000000001</v>
      </c>
      <c r="I401" s="18" t="s">
        <v>367</v>
      </c>
      <c r="J401" s="18" t="s">
        <v>367</v>
      </c>
      <c r="K401" s="18" t="s">
        <v>1611</v>
      </c>
      <c r="L401" s="30" t="s">
        <v>1612</v>
      </c>
    </row>
    <row r="402" spans="1:12" hidden="1" x14ac:dyDescent="0.25">
      <c r="A402" s="18" t="s">
        <v>25</v>
      </c>
      <c r="B402" s="57">
        <v>6.192129629629629E-3</v>
      </c>
      <c r="C402" s="58">
        <v>4</v>
      </c>
      <c r="D402" s="18" t="s">
        <v>2152</v>
      </c>
      <c r="E402" s="18" t="s">
        <v>2153</v>
      </c>
      <c r="F402" s="18" t="s">
        <v>1621</v>
      </c>
      <c r="G402" s="59">
        <v>73.5</v>
      </c>
      <c r="H402" s="59">
        <v>294</v>
      </c>
      <c r="I402" s="18" t="s">
        <v>1672</v>
      </c>
      <c r="J402" s="18" t="s">
        <v>512</v>
      </c>
      <c r="K402" s="18" t="s">
        <v>2139</v>
      </c>
      <c r="L402" s="30" t="s">
        <v>1612</v>
      </c>
    </row>
    <row r="403" spans="1:12" hidden="1" x14ac:dyDescent="0.25">
      <c r="A403" s="18" t="s">
        <v>25</v>
      </c>
      <c r="B403" s="57">
        <v>4.3981481481481481E-4</v>
      </c>
      <c r="C403" s="58">
        <v>1</v>
      </c>
      <c r="D403" s="18" t="s">
        <v>2062</v>
      </c>
      <c r="E403" s="18" t="s">
        <v>2063</v>
      </c>
      <c r="F403" s="18" t="s">
        <v>1621</v>
      </c>
      <c r="G403" s="59">
        <v>2.2799999999999998</v>
      </c>
      <c r="H403" s="59">
        <v>2.2799999999999998</v>
      </c>
      <c r="I403" s="18" t="s">
        <v>367</v>
      </c>
      <c r="J403" s="18" t="s">
        <v>1592</v>
      </c>
      <c r="K403" s="18" t="s">
        <v>2139</v>
      </c>
      <c r="L403" s="30" t="s">
        <v>1612</v>
      </c>
    </row>
    <row r="404" spans="1:12" hidden="1" x14ac:dyDescent="0.25">
      <c r="A404" s="18" t="s">
        <v>25</v>
      </c>
      <c r="B404" s="57">
        <v>7.407407407407407E-4</v>
      </c>
      <c r="C404" s="58">
        <v>1</v>
      </c>
      <c r="D404" s="18" t="s">
        <v>2154</v>
      </c>
      <c r="E404" s="18" t="s">
        <v>2155</v>
      </c>
      <c r="F404" s="18" t="s">
        <v>1621</v>
      </c>
      <c r="G404" s="59">
        <v>16.7</v>
      </c>
      <c r="H404" s="59">
        <v>16.7</v>
      </c>
      <c r="I404" s="18" t="s">
        <v>367</v>
      </c>
      <c r="J404" s="18" t="s">
        <v>367</v>
      </c>
      <c r="K404" s="18" t="s">
        <v>2139</v>
      </c>
      <c r="L404" s="30" t="s">
        <v>1612</v>
      </c>
    </row>
    <row r="405" spans="1:12" hidden="1" x14ac:dyDescent="0.25">
      <c r="A405" s="18" t="s">
        <v>25</v>
      </c>
      <c r="B405" s="57">
        <v>6.7129629629629625E-4</v>
      </c>
      <c r="C405" s="58">
        <v>2</v>
      </c>
      <c r="D405" s="18" t="s">
        <v>2156</v>
      </c>
      <c r="E405" s="18" t="s">
        <v>2157</v>
      </c>
      <c r="F405" s="18" t="s">
        <v>1621</v>
      </c>
      <c r="G405" s="59">
        <v>0.32</v>
      </c>
      <c r="H405" s="59">
        <v>0.64</v>
      </c>
      <c r="I405" s="18" t="s">
        <v>65</v>
      </c>
      <c r="J405" s="18" t="s">
        <v>368</v>
      </c>
      <c r="K405" s="18" t="s">
        <v>2139</v>
      </c>
      <c r="L405" s="30" t="s">
        <v>1612</v>
      </c>
    </row>
    <row r="406" spans="1:12" hidden="1" x14ac:dyDescent="0.25">
      <c r="A406" s="18" t="s">
        <v>25</v>
      </c>
      <c r="B406" s="57">
        <v>6.4120370370370364E-3</v>
      </c>
      <c r="C406" s="58">
        <v>1</v>
      </c>
      <c r="D406" s="18" t="s">
        <v>2158</v>
      </c>
      <c r="E406" s="18" t="s">
        <v>2138</v>
      </c>
      <c r="F406" s="18" t="s">
        <v>1621</v>
      </c>
      <c r="G406" s="59">
        <v>1046.44</v>
      </c>
      <c r="H406" s="59">
        <v>1046.44</v>
      </c>
      <c r="I406" s="18" t="s">
        <v>150</v>
      </c>
      <c r="J406" s="18" t="s">
        <v>115</v>
      </c>
      <c r="K406" s="18" t="s">
        <v>2159</v>
      </c>
      <c r="L406" s="30" t="s">
        <v>1612</v>
      </c>
    </row>
    <row r="407" spans="1:12" hidden="1" x14ac:dyDescent="0.25">
      <c r="A407" s="18" t="s">
        <v>25</v>
      </c>
      <c r="B407" s="57">
        <v>3.4259259259259256E-3</v>
      </c>
      <c r="C407" s="58">
        <v>2</v>
      </c>
      <c r="D407" s="18" t="s">
        <v>2160</v>
      </c>
      <c r="E407" s="18" t="s">
        <v>2161</v>
      </c>
      <c r="F407" s="18" t="s">
        <v>1621</v>
      </c>
      <c r="G407" s="59">
        <v>79.45</v>
      </c>
      <c r="H407" s="59">
        <v>158.9</v>
      </c>
      <c r="I407" s="18" t="s">
        <v>150</v>
      </c>
      <c r="J407" s="18" t="s">
        <v>512</v>
      </c>
      <c r="K407" s="18" t="s">
        <v>2159</v>
      </c>
      <c r="L407" s="30" t="s">
        <v>1612</v>
      </c>
    </row>
    <row r="408" spans="1:12" hidden="1" x14ac:dyDescent="0.25">
      <c r="A408" s="18" t="s">
        <v>25</v>
      </c>
      <c r="B408" s="57">
        <v>4.1666666666666664E-4</v>
      </c>
      <c r="C408" s="58">
        <v>1</v>
      </c>
      <c r="D408" s="18" t="s">
        <v>2060</v>
      </c>
      <c r="E408" s="18" t="s">
        <v>2061</v>
      </c>
      <c r="F408" s="18" t="s">
        <v>1621</v>
      </c>
      <c r="G408" s="59">
        <v>1.4</v>
      </c>
      <c r="H408" s="59">
        <v>1.4</v>
      </c>
      <c r="I408" s="18" t="s">
        <v>367</v>
      </c>
      <c r="J408" s="18" t="s">
        <v>1593</v>
      </c>
      <c r="K408" s="18" t="s">
        <v>2159</v>
      </c>
      <c r="L408" s="30" t="s">
        <v>1612</v>
      </c>
    </row>
    <row r="409" spans="1:12" hidden="1" x14ac:dyDescent="0.25">
      <c r="A409" s="18" t="s">
        <v>25</v>
      </c>
      <c r="B409" s="57">
        <v>2.2800925925925927E-3</v>
      </c>
      <c r="C409" s="58">
        <v>1</v>
      </c>
      <c r="D409" s="18" t="s">
        <v>2162</v>
      </c>
      <c r="E409" s="18" t="s">
        <v>2163</v>
      </c>
      <c r="F409" s="18" t="s">
        <v>1621</v>
      </c>
      <c r="G409" s="59">
        <v>120.07</v>
      </c>
      <c r="H409" s="59">
        <v>120.07</v>
      </c>
      <c r="I409" s="18" t="s">
        <v>367</v>
      </c>
      <c r="J409" s="18" t="s">
        <v>367</v>
      </c>
      <c r="K409" s="18" t="s">
        <v>2159</v>
      </c>
      <c r="L409" s="30" t="s">
        <v>1612</v>
      </c>
    </row>
    <row r="410" spans="1:12" hidden="1" x14ac:dyDescent="0.25">
      <c r="A410" s="18" t="s">
        <v>25</v>
      </c>
      <c r="B410" s="57">
        <v>1.4120370370370369E-3</v>
      </c>
      <c r="C410" s="58">
        <v>1</v>
      </c>
      <c r="D410" s="18" t="s">
        <v>2164</v>
      </c>
      <c r="E410" s="18" t="s">
        <v>2165</v>
      </c>
      <c r="F410" s="18" t="s">
        <v>1621</v>
      </c>
      <c r="G410" s="59">
        <v>30.82</v>
      </c>
      <c r="H410" s="59">
        <v>30.82</v>
      </c>
      <c r="I410" s="18" t="s">
        <v>65</v>
      </c>
      <c r="J410" s="18" t="s">
        <v>368</v>
      </c>
      <c r="K410" s="18" t="s">
        <v>2159</v>
      </c>
      <c r="L410" s="30" t="s">
        <v>1612</v>
      </c>
    </row>
    <row r="411" spans="1:12" x14ac:dyDescent="0.25">
      <c r="A411" s="18" t="s">
        <v>25</v>
      </c>
      <c r="B411" s="57">
        <v>6.9212962962962961E-3</v>
      </c>
      <c r="C411" s="58">
        <v>1</v>
      </c>
      <c r="D411" s="18" t="s">
        <v>428</v>
      </c>
      <c r="E411" s="18" t="s">
        <v>429</v>
      </c>
      <c r="F411" s="18" t="s">
        <v>1621</v>
      </c>
      <c r="G411" s="59">
        <v>1407.72</v>
      </c>
      <c r="H411" s="59">
        <v>1407.72</v>
      </c>
      <c r="I411" s="18" t="s">
        <v>367</v>
      </c>
      <c r="J411" s="18" t="s">
        <v>427</v>
      </c>
      <c r="K411" s="18" t="s">
        <v>2166</v>
      </c>
      <c r="L411" s="30" t="s">
        <v>1612</v>
      </c>
    </row>
    <row r="412" spans="1:12" hidden="1" x14ac:dyDescent="0.25">
      <c r="A412" s="18" t="s">
        <v>25</v>
      </c>
      <c r="B412" s="57">
        <v>1.0416666666666667E-3</v>
      </c>
      <c r="C412" s="58">
        <v>2</v>
      </c>
      <c r="D412" s="18" t="s">
        <v>2110</v>
      </c>
      <c r="E412" s="18" t="s">
        <v>2111</v>
      </c>
      <c r="F412" s="18" t="s">
        <v>1621</v>
      </c>
      <c r="G412" s="59">
        <v>8.3699999999999992</v>
      </c>
      <c r="H412" s="59">
        <v>16.739999999999998</v>
      </c>
      <c r="I412" s="18" t="s">
        <v>1665</v>
      </c>
      <c r="J412" s="18" t="s">
        <v>498</v>
      </c>
      <c r="K412" s="18" t="s">
        <v>2167</v>
      </c>
      <c r="L412" s="30" t="s">
        <v>1612</v>
      </c>
    </row>
    <row r="413" spans="1:12" hidden="1" x14ac:dyDescent="0.25">
      <c r="A413" s="18" t="s">
        <v>25</v>
      </c>
      <c r="B413" s="57">
        <v>1.4930555555555554E-3</v>
      </c>
      <c r="C413" s="58">
        <v>1</v>
      </c>
      <c r="D413" s="18" t="s">
        <v>1623</v>
      </c>
      <c r="E413" s="18" t="s">
        <v>1624</v>
      </c>
      <c r="F413" s="18" t="s">
        <v>1621</v>
      </c>
      <c r="G413" s="59">
        <v>76.63</v>
      </c>
      <c r="H413" s="59">
        <v>76.63</v>
      </c>
      <c r="I413" s="18" t="s">
        <v>1588</v>
      </c>
      <c r="J413" s="18" t="s">
        <v>44</v>
      </c>
      <c r="K413" s="18" t="s">
        <v>2167</v>
      </c>
      <c r="L413" s="30" t="s">
        <v>1612</v>
      </c>
    </row>
    <row r="414" spans="1:12" hidden="1" x14ac:dyDescent="0.25">
      <c r="A414" s="18" t="s">
        <v>25</v>
      </c>
      <c r="B414" s="57">
        <v>1.1342592592592591E-3</v>
      </c>
      <c r="C414" s="58">
        <v>1</v>
      </c>
      <c r="D414" s="18" t="s">
        <v>2048</v>
      </c>
      <c r="E414" s="18" t="s">
        <v>2049</v>
      </c>
      <c r="F414" s="18" t="s">
        <v>1621</v>
      </c>
      <c r="G414" s="59">
        <v>63.86</v>
      </c>
      <c r="H414" s="59">
        <v>63.86</v>
      </c>
      <c r="I414" s="18" t="s">
        <v>1588</v>
      </c>
      <c r="J414" s="18" t="s">
        <v>44</v>
      </c>
      <c r="K414" s="18" t="s">
        <v>2167</v>
      </c>
      <c r="L414" s="30" t="s">
        <v>1612</v>
      </c>
    </row>
    <row r="415" spans="1:12" hidden="1" x14ac:dyDescent="0.25">
      <c r="A415" s="18" t="s">
        <v>25</v>
      </c>
      <c r="B415" s="57">
        <v>6.3657407407407402E-4</v>
      </c>
      <c r="C415" s="58">
        <v>1</v>
      </c>
      <c r="D415" s="18" t="s">
        <v>2168</v>
      </c>
      <c r="E415" s="18" t="s">
        <v>1634</v>
      </c>
      <c r="F415" s="18" t="s">
        <v>1621</v>
      </c>
      <c r="G415" s="59">
        <v>19.12</v>
      </c>
      <c r="H415" s="59">
        <v>19.12</v>
      </c>
      <c r="I415" s="18" t="s">
        <v>367</v>
      </c>
      <c r="J415" s="18" t="s">
        <v>1598</v>
      </c>
      <c r="K415" s="18" t="s">
        <v>2167</v>
      </c>
      <c r="L415" s="30" t="s">
        <v>1612</v>
      </c>
    </row>
    <row r="416" spans="1:12" hidden="1" x14ac:dyDescent="0.25">
      <c r="A416" s="18" t="s">
        <v>25</v>
      </c>
      <c r="B416" s="57">
        <v>4.9768518518518521E-4</v>
      </c>
      <c r="C416" s="58">
        <v>1</v>
      </c>
      <c r="D416" s="18" t="s">
        <v>2169</v>
      </c>
      <c r="E416" s="18" t="s">
        <v>2170</v>
      </c>
      <c r="F416" s="18" t="s">
        <v>1621</v>
      </c>
      <c r="G416" s="59">
        <v>3.71</v>
      </c>
      <c r="H416" s="59">
        <v>3.71</v>
      </c>
      <c r="I416" s="18" t="s">
        <v>367</v>
      </c>
      <c r="J416" s="18" t="s">
        <v>368</v>
      </c>
      <c r="K416" s="18" t="s">
        <v>2167</v>
      </c>
      <c r="L416" s="30" t="s">
        <v>1612</v>
      </c>
    </row>
    <row r="417" spans="1:12" hidden="1" x14ac:dyDescent="0.25">
      <c r="A417" s="18" t="s">
        <v>25</v>
      </c>
      <c r="B417" s="57">
        <v>2.0833333333333333E-3</v>
      </c>
      <c r="C417" s="58">
        <v>4</v>
      </c>
      <c r="D417" s="18" t="s">
        <v>2171</v>
      </c>
      <c r="E417" s="18" t="s">
        <v>2172</v>
      </c>
      <c r="F417" s="18" t="s">
        <v>1621</v>
      </c>
      <c r="G417" s="59">
        <v>3.26</v>
      </c>
      <c r="H417" s="59">
        <v>13.04</v>
      </c>
      <c r="I417" s="18" t="s">
        <v>65</v>
      </c>
      <c r="J417" s="18" t="s">
        <v>368</v>
      </c>
      <c r="K417" s="18" t="s">
        <v>2167</v>
      </c>
      <c r="L417" s="30" t="s">
        <v>1612</v>
      </c>
    </row>
    <row r="418" spans="1:12" hidden="1" x14ac:dyDescent="0.25">
      <c r="A418" s="18" t="s">
        <v>25</v>
      </c>
      <c r="B418" s="57">
        <v>6.134259259259259E-4</v>
      </c>
      <c r="C418" s="58">
        <v>1</v>
      </c>
      <c r="D418" s="18" t="s">
        <v>2173</v>
      </c>
      <c r="E418" s="18" t="s">
        <v>2103</v>
      </c>
      <c r="F418" s="18" t="s">
        <v>1621</v>
      </c>
      <c r="G418" s="59">
        <v>9.4</v>
      </c>
      <c r="H418" s="59">
        <v>9.4</v>
      </c>
      <c r="I418" s="18" t="s">
        <v>65</v>
      </c>
      <c r="J418" s="18" t="s">
        <v>1589</v>
      </c>
      <c r="K418" s="18" t="s">
        <v>2167</v>
      </c>
      <c r="L418" s="30" t="s">
        <v>1612</v>
      </c>
    </row>
    <row r="419" spans="1:12" hidden="1" x14ac:dyDescent="0.25">
      <c r="A419" s="18" t="s">
        <v>25</v>
      </c>
      <c r="B419" s="57">
        <v>5.5555555555555556E-4</v>
      </c>
      <c r="C419" s="58">
        <v>1</v>
      </c>
      <c r="D419" s="18" t="s">
        <v>2100</v>
      </c>
      <c r="E419" s="18" t="s">
        <v>2101</v>
      </c>
      <c r="F419" s="18" t="s">
        <v>1621</v>
      </c>
      <c r="G419" s="59">
        <v>7.59</v>
      </c>
      <c r="H419" s="59">
        <v>7.59</v>
      </c>
      <c r="I419" s="18" t="s">
        <v>65</v>
      </c>
      <c r="J419" s="18" t="s">
        <v>1590</v>
      </c>
      <c r="K419" s="18" t="s">
        <v>2167</v>
      </c>
      <c r="L419" s="30" t="s">
        <v>1612</v>
      </c>
    </row>
    <row r="420" spans="1:12" hidden="1" x14ac:dyDescent="0.25">
      <c r="A420" s="18" t="s">
        <v>25</v>
      </c>
      <c r="B420" s="57">
        <v>3.2870370370370371E-3</v>
      </c>
      <c r="C420" s="58">
        <v>1</v>
      </c>
      <c r="D420" s="18" t="s">
        <v>2174</v>
      </c>
      <c r="E420" s="18" t="s">
        <v>2175</v>
      </c>
      <c r="F420" s="18" t="s">
        <v>1621</v>
      </c>
      <c r="G420" s="59">
        <v>306.37</v>
      </c>
      <c r="H420" s="59">
        <v>306.37</v>
      </c>
      <c r="I420" s="18" t="s">
        <v>65</v>
      </c>
      <c r="J420" s="18" t="s">
        <v>1590</v>
      </c>
      <c r="K420" s="18" t="s">
        <v>2167</v>
      </c>
      <c r="L420" s="30" t="s">
        <v>1612</v>
      </c>
    </row>
    <row r="421" spans="1:12" hidden="1" x14ac:dyDescent="0.25">
      <c r="A421" s="18" t="s">
        <v>25</v>
      </c>
      <c r="B421" s="57">
        <v>5.2083333333333333E-4</v>
      </c>
      <c r="C421" s="58">
        <v>1</v>
      </c>
      <c r="D421" s="18" t="s">
        <v>2176</v>
      </c>
      <c r="E421" s="18" t="s">
        <v>2177</v>
      </c>
      <c r="F421" s="18" t="s">
        <v>1621</v>
      </c>
      <c r="G421" s="59">
        <v>7.61</v>
      </c>
      <c r="H421" s="59">
        <v>7.61</v>
      </c>
      <c r="I421" s="18" t="s">
        <v>65</v>
      </c>
      <c r="J421" s="18" t="s">
        <v>1591</v>
      </c>
      <c r="K421" s="18" t="s">
        <v>2167</v>
      </c>
      <c r="L421" s="30" t="s">
        <v>1612</v>
      </c>
    </row>
    <row r="422" spans="1:12" hidden="1" x14ac:dyDescent="0.25">
      <c r="A422" s="18" t="s">
        <v>25</v>
      </c>
      <c r="B422" s="57">
        <v>5.3240740740740744E-4</v>
      </c>
      <c r="C422" s="58">
        <v>1</v>
      </c>
      <c r="D422" s="18" t="s">
        <v>2178</v>
      </c>
      <c r="E422" s="18" t="s">
        <v>2179</v>
      </c>
      <c r="F422" s="18" t="s">
        <v>1621</v>
      </c>
      <c r="G422" s="59">
        <v>4.58</v>
      </c>
      <c r="H422" s="59">
        <v>4.58</v>
      </c>
      <c r="I422" s="18" t="s">
        <v>65</v>
      </c>
      <c r="J422" s="18" t="s">
        <v>66</v>
      </c>
      <c r="K422" s="18" t="s">
        <v>2167</v>
      </c>
      <c r="L422" s="30" t="s">
        <v>1612</v>
      </c>
    </row>
    <row r="423" spans="1:12" hidden="1" x14ac:dyDescent="0.25">
      <c r="A423" s="18" t="s">
        <v>25</v>
      </c>
      <c r="B423" s="57">
        <v>5.4398148148148144E-4</v>
      </c>
      <c r="C423" s="58">
        <v>1</v>
      </c>
      <c r="D423" s="18" t="s">
        <v>2180</v>
      </c>
      <c r="E423" s="18" t="s">
        <v>2181</v>
      </c>
      <c r="F423" s="18" t="s">
        <v>1621</v>
      </c>
      <c r="G423" s="59">
        <v>4.6900000000000004</v>
      </c>
      <c r="H423" s="59">
        <v>4.6900000000000004</v>
      </c>
      <c r="I423" s="18" t="s">
        <v>65</v>
      </c>
      <c r="J423" s="18" t="s">
        <v>66</v>
      </c>
      <c r="K423" s="18" t="s">
        <v>2167</v>
      </c>
      <c r="L423" s="30" t="s">
        <v>1612</v>
      </c>
    </row>
    <row r="424" spans="1:12" hidden="1" x14ac:dyDescent="0.25">
      <c r="A424" s="18" t="s">
        <v>25</v>
      </c>
      <c r="B424" s="57">
        <v>5.7175925925925927E-3</v>
      </c>
      <c r="C424" s="58">
        <v>1</v>
      </c>
      <c r="D424" s="18" t="s">
        <v>2182</v>
      </c>
      <c r="E424" s="18" t="s">
        <v>2183</v>
      </c>
      <c r="F424" s="18" t="s">
        <v>1621</v>
      </c>
      <c r="G424" s="59">
        <v>783.74</v>
      </c>
      <c r="H424" s="59">
        <v>783.74</v>
      </c>
      <c r="I424" s="18" t="s">
        <v>550</v>
      </c>
      <c r="J424" s="18" t="s">
        <v>512</v>
      </c>
      <c r="K424" s="18" t="s">
        <v>2167</v>
      </c>
      <c r="L424" s="30" t="s">
        <v>1612</v>
      </c>
    </row>
    <row r="425" spans="1:12" hidden="1" x14ac:dyDescent="0.25">
      <c r="A425" s="18" t="s">
        <v>25</v>
      </c>
      <c r="B425" s="57">
        <v>6.4236111111111108E-3</v>
      </c>
      <c r="C425" s="58">
        <v>1</v>
      </c>
      <c r="D425" s="18" t="s">
        <v>2184</v>
      </c>
      <c r="E425" s="18" t="s">
        <v>2138</v>
      </c>
      <c r="F425" s="18" t="s">
        <v>1621</v>
      </c>
      <c r="G425" s="59">
        <v>1046.44</v>
      </c>
      <c r="H425" s="59">
        <v>1046.44</v>
      </c>
      <c r="I425" s="18" t="s">
        <v>114</v>
      </c>
      <c r="J425" s="18" t="s">
        <v>115</v>
      </c>
      <c r="K425" s="18" t="s">
        <v>2185</v>
      </c>
      <c r="L425" s="30" t="s">
        <v>1612</v>
      </c>
    </row>
    <row r="426" spans="1:12" hidden="1" x14ac:dyDescent="0.25">
      <c r="A426" s="18" t="s">
        <v>25</v>
      </c>
      <c r="B426" s="57">
        <v>3.2523148148148147E-3</v>
      </c>
      <c r="C426" s="58">
        <v>2</v>
      </c>
      <c r="D426" s="18" t="s">
        <v>2160</v>
      </c>
      <c r="E426" s="18" t="s">
        <v>2161</v>
      </c>
      <c r="F426" s="18" t="s">
        <v>1621</v>
      </c>
      <c r="G426" s="59">
        <v>79.45</v>
      </c>
      <c r="H426" s="59">
        <v>158.9</v>
      </c>
      <c r="I426" s="18" t="s">
        <v>150</v>
      </c>
      <c r="J426" s="18" t="s">
        <v>512</v>
      </c>
      <c r="K426" s="18" t="s">
        <v>2185</v>
      </c>
      <c r="L426" s="30" t="s">
        <v>1612</v>
      </c>
    </row>
    <row r="427" spans="1:12" hidden="1" x14ac:dyDescent="0.25">
      <c r="A427" s="18" t="s">
        <v>25</v>
      </c>
      <c r="B427" s="57">
        <v>5.6712962962962956E-4</v>
      </c>
      <c r="C427" s="58">
        <v>1</v>
      </c>
      <c r="D427" s="18" t="s">
        <v>2171</v>
      </c>
      <c r="E427" s="18" t="s">
        <v>2172</v>
      </c>
      <c r="F427" s="18" t="s">
        <v>1621</v>
      </c>
      <c r="G427" s="59">
        <v>3.26</v>
      </c>
      <c r="H427" s="59">
        <v>3.26</v>
      </c>
      <c r="I427" s="18" t="s">
        <v>65</v>
      </c>
      <c r="J427" s="18" t="s">
        <v>368</v>
      </c>
      <c r="K427" s="18" t="s">
        <v>2185</v>
      </c>
      <c r="L427" s="30" t="s">
        <v>1612</v>
      </c>
    </row>
    <row r="428" spans="1:12" hidden="1" x14ac:dyDescent="0.25">
      <c r="A428" s="18" t="s">
        <v>25</v>
      </c>
      <c r="B428" s="57">
        <v>1.6319444444444443E-3</v>
      </c>
      <c r="C428" s="58">
        <v>1</v>
      </c>
      <c r="D428" s="18" t="s">
        <v>2186</v>
      </c>
      <c r="E428" s="18" t="s">
        <v>2187</v>
      </c>
      <c r="F428" s="18" t="s">
        <v>1621</v>
      </c>
      <c r="G428" s="59">
        <v>65.489999999999995</v>
      </c>
      <c r="H428" s="59">
        <v>65.489999999999995</v>
      </c>
      <c r="I428" s="18" t="s">
        <v>65</v>
      </c>
      <c r="J428" s="18" t="s">
        <v>1589</v>
      </c>
      <c r="K428" s="18" t="s">
        <v>2185</v>
      </c>
      <c r="L428" s="30" t="s">
        <v>1612</v>
      </c>
    </row>
    <row r="429" spans="1:12" hidden="1" x14ac:dyDescent="0.25">
      <c r="A429" s="18" t="s">
        <v>25</v>
      </c>
      <c r="B429" s="57">
        <v>1.6319444444444443E-3</v>
      </c>
      <c r="C429" s="58">
        <v>1</v>
      </c>
      <c r="D429" s="18" t="s">
        <v>2188</v>
      </c>
      <c r="E429" s="18" t="s">
        <v>2189</v>
      </c>
      <c r="F429" s="18" t="s">
        <v>1621</v>
      </c>
      <c r="G429" s="59">
        <v>65.489999999999995</v>
      </c>
      <c r="H429" s="59">
        <v>65.489999999999995</v>
      </c>
      <c r="I429" s="18" t="s">
        <v>65</v>
      </c>
      <c r="J429" s="18" t="s">
        <v>1591</v>
      </c>
      <c r="K429" s="18" t="s">
        <v>2185</v>
      </c>
      <c r="L429" s="30" t="s">
        <v>1612</v>
      </c>
    </row>
    <row r="430" spans="1:12" hidden="1" x14ac:dyDescent="0.25">
      <c r="A430" s="18" t="s">
        <v>25</v>
      </c>
      <c r="B430" s="57">
        <v>8.9120370370370362E-4</v>
      </c>
      <c r="C430" s="58">
        <v>1</v>
      </c>
      <c r="D430" s="18" t="s">
        <v>2190</v>
      </c>
      <c r="E430" s="18" t="s">
        <v>2191</v>
      </c>
      <c r="F430" s="18" t="s">
        <v>1621</v>
      </c>
      <c r="G430" s="59">
        <v>19.690000000000001</v>
      </c>
      <c r="H430" s="59">
        <v>19.690000000000001</v>
      </c>
      <c r="I430" s="18" t="s">
        <v>65</v>
      </c>
      <c r="J430" s="18" t="s">
        <v>512</v>
      </c>
      <c r="K430" s="18" t="s">
        <v>2185</v>
      </c>
      <c r="L430" s="30" t="s">
        <v>1612</v>
      </c>
    </row>
    <row r="431" spans="1:12" hidden="1" x14ac:dyDescent="0.25">
      <c r="A431" s="18" t="s">
        <v>25</v>
      </c>
      <c r="B431" s="57">
        <v>5.7870370370370367E-3</v>
      </c>
      <c r="C431" s="58">
        <v>1</v>
      </c>
      <c r="D431" s="18" t="s">
        <v>2192</v>
      </c>
      <c r="E431" s="18" t="s">
        <v>2193</v>
      </c>
      <c r="F431" s="18" t="s">
        <v>1621</v>
      </c>
      <c r="G431" s="59">
        <v>1175.3499999999999</v>
      </c>
      <c r="H431" s="59">
        <v>1175.3499999999999</v>
      </c>
      <c r="I431" s="18" t="s">
        <v>1665</v>
      </c>
      <c r="J431" s="18" t="s">
        <v>498</v>
      </c>
      <c r="K431" s="18" t="s">
        <v>2194</v>
      </c>
      <c r="L431" s="30" t="s">
        <v>1612</v>
      </c>
    </row>
    <row r="432" spans="1:12" hidden="1" x14ac:dyDescent="0.25">
      <c r="A432" s="18" t="s">
        <v>25</v>
      </c>
      <c r="B432" s="57">
        <v>2.0138888888888888E-3</v>
      </c>
      <c r="C432" s="58">
        <v>3</v>
      </c>
      <c r="D432" s="18" t="s">
        <v>2092</v>
      </c>
      <c r="E432" s="18" t="s">
        <v>2093</v>
      </c>
      <c r="F432" s="18" t="s">
        <v>1621</v>
      </c>
      <c r="G432" s="59">
        <v>10.99</v>
      </c>
      <c r="H432" s="59">
        <v>32.97</v>
      </c>
      <c r="I432" s="18" t="s">
        <v>65</v>
      </c>
      <c r="J432" s="18" t="s">
        <v>65</v>
      </c>
      <c r="K432" s="18" t="s">
        <v>2194</v>
      </c>
      <c r="L432" s="30" t="s">
        <v>1612</v>
      </c>
    </row>
    <row r="433" spans="1:12" hidden="1" x14ac:dyDescent="0.25">
      <c r="A433" s="18" t="s">
        <v>25</v>
      </c>
      <c r="B433" s="57">
        <v>1.2962962962962963E-3</v>
      </c>
      <c r="C433" s="58">
        <v>1</v>
      </c>
      <c r="D433" s="18" t="s">
        <v>54</v>
      </c>
      <c r="E433" s="18" t="s">
        <v>1119</v>
      </c>
      <c r="F433" s="18" t="s">
        <v>1621</v>
      </c>
      <c r="G433" s="59">
        <v>59.25</v>
      </c>
      <c r="H433" s="59">
        <v>59.25</v>
      </c>
      <c r="I433" s="18" t="s">
        <v>2195</v>
      </c>
      <c r="J433" s="18" t="s">
        <v>44</v>
      </c>
      <c r="K433" s="18" t="s">
        <v>2194</v>
      </c>
      <c r="L433" s="30" t="s">
        <v>1612</v>
      </c>
    </row>
    <row r="434" spans="1:12" x14ac:dyDescent="0.25">
      <c r="A434" s="18" t="s">
        <v>25</v>
      </c>
      <c r="B434" s="57">
        <v>6.9212962962962961E-3</v>
      </c>
      <c r="C434" s="58">
        <v>1</v>
      </c>
      <c r="D434" s="18" t="s">
        <v>513</v>
      </c>
      <c r="E434" s="18" t="s">
        <v>119</v>
      </c>
      <c r="F434" s="18" t="s">
        <v>1621</v>
      </c>
      <c r="G434" s="59">
        <v>1401.7</v>
      </c>
      <c r="H434" s="59">
        <v>1401.7</v>
      </c>
      <c r="I434" s="18" t="s">
        <v>511</v>
      </c>
      <c r="J434" s="18" t="s">
        <v>512</v>
      </c>
      <c r="K434" s="18" t="s">
        <v>2196</v>
      </c>
      <c r="L434" s="30" t="s">
        <v>1612</v>
      </c>
    </row>
    <row r="435" spans="1:12" hidden="1" x14ac:dyDescent="0.25">
      <c r="A435" s="18" t="s">
        <v>25</v>
      </c>
      <c r="B435" s="57">
        <v>5.9953703703703705E-3</v>
      </c>
      <c r="C435" s="58">
        <v>1</v>
      </c>
      <c r="D435" s="18" t="s">
        <v>2197</v>
      </c>
      <c r="E435" s="18" t="s">
        <v>2198</v>
      </c>
      <c r="F435" s="18" t="s">
        <v>1621</v>
      </c>
      <c r="G435" s="59">
        <v>1296.57</v>
      </c>
      <c r="H435" s="59">
        <v>1296.57</v>
      </c>
      <c r="I435" s="18" t="s">
        <v>1588</v>
      </c>
      <c r="J435" s="18" t="s">
        <v>512</v>
      </c>
      <c r="K435" s="18" t="s">
        <v>2199</v>
      </c>
      <c r="L435" s="30" t="s">
        <v>1612</v>
      </c>
    </row>
    <row r="436" spans="1:12" hidden="1" x14ac:dyDescent="0.25">
      <c r="A436" s="18" t="s">
        <v>25</v>
      </c>
      <c r="B436" s="57">
        <v>1.2037037037037036E-3</v>
      </c>
      <c r="C436" s="58">
        <v>1</v>
      </c>
      <c r="D436" s="18" t="s">
        <v>2200</v>
      </c>
      <c r="E436" s="18" t="s">
        <v>2201</v>
      </c>
      <c r="F436" s="18" t="s">
        <v>1621</v>
      </c>
      <c r="G436" s="59">
        <v>36.53</v>
      </c>
      <c r="H436" s="59">
        <v>36.53</v>
      </c>
      <c r="I436" s="18" t="s">
        <v>367</v>
      </c>
      <c r="J436" s="18" t="s">
        <v>512</v>
      </c>
      <c r="K436" s="18" t="s">
        <v>2199</v>
      </c>
      <c r="L436" s="30" t="s">
        <v>1612</v>
      </c>
    </row>
    <row r="437" spans="1:12" hidden="1" x14ac:dyDescent="0.25">
      <c r="A437" s="18" t="s">
        <v>25</v>
      </c>
      <c r="B437" s="57">
        <v>1.4930555555555554E-3</v>
      </c>
      <c r="C437" s="58">
        <v>1</v>
      </c>
      <c r="D437" s="18" t="s">
        <v>48</v>
      </c>
      <c r="E437" s="18" t="s">
        <v>1119</v>
      </c>
      <c r="F437" s="18" t="s">
        <v>1621</v>
      </c>
      <c r="G437" s="59">
        <v>59.87</v>
      </c>
      <c r="H437" s="59">
        <v>59.87</v>
      </c>
      <c r="I437" s="18" t="s">
        <v>2195</v>
      </c>
      <c r="J437" s="18" t="s">
        <v>44</v>
      </c>
      <c r="K437" s="18" t="s">
        <v>2199</v>
      </c>
      <c r="L437" s="30" t="s">
        <v>1612</v>
      </c>
    </row>
    <row r="438" spans="1:12" hidden="1" x14ac:dyDescent="0.25">
      <c r="A438" s="18" t="s">
        <v>25</v>
      </c>
      <c r="B438" s="57">
        <v>5.9953703703703705E-3</v>
      </c>
      <c r="C438" s="58">
        <v>1</v>
      </c>
      <c r="D438" s="18" t="s">
        <v>2197</v>
      </c>
      <c r="E438" s="18" t="s">
        <v>2198</v>
      </c>
      <c r="F438" s="18" t="s">
        <v>1621</v>
      </c>
      <c r="G438" s="59">
        <v>1296.57</v>
      </c>
      <c r="H438" s="59">
        <v>1296.57</v>
      </c>
      <c r="I438" s="18" t="s">
        <v>1588</v>
      </c>
      <c r="J438" s="18" t="s">
        <v>512</v>
      </c>
      <c r="K438" s="18" t="s">
        <v>2202</v>
      </c>
      <c r="L438" s="30" t="s">
        <v>1612</v>
      </c>
    </row>
    <row r="439" spans="1:12" hidden="1" x14ac:dyDescent="0.25">
      <c r="A439" s="18" t="s">
        <v>25</v>
      </c>
      <c r="B439" s="57">
        <v>1.2152777777777778E-3</v>
      </c>
      <c r="C439" s="58">
        <v>1</v>
      </c>
      <c r="D439" s="18" t="s">
        <v>2203</v>
      </c>
      <c r="E439" s="18" t="s">
        <v>2204</v>
      </c>
      <c r="F439" s="18" t="s">
        <v>1621</v>
      </c>
      <c r="G439" s="59">
        <v>36.56</v>
      </c>
      <c r="H439" s="59">
        <v>36.56</v>
      </c>
      <c r="I439" s="18" t="s">
        <v>367</v>
      </c>
      <c r="J439" s="18" t="s">
        <v>512</v>
      </c>
      <c r="K439" s="18" t="s">
        <v>2202</v>
      </c>
      <c r="L439" s="30" t="s">
        <v>1612</v>
      </c>
    </row>
    <row r="440" spans="1:12" hidden="1" x14ac:dyDescent="0.25">
      <c r="A440" s="18" t="s">
        <v>25</v>
      </c>
      <c r="B440" s="57">
        <v>1.4930555555555554E-3</v>
      </c>
      <c r="C440" s="58">
        <v>1</v>
      </c>
      <c r="D440" s="18" t="s">
        <v>48</v>
      </c>
      <c r="E440" s="18" t="s">
        <v>1119</v>
      </c>
      <c r="F440" s="18" t="s">
        <v>1621</v>
      </c>
      <c r="G440" s="59">
        <v>59.87</v>
      </c>
      <c r="H440" s="59">
        <v>59.87</v>
      </c>
      <c r="I440" s="18" t="s">
        <v>2195</v>
      </c>
      <c r="J440" s="18" t="s">
        <v>44</v>
      </c>
      <c r="K440" s="18" t="s">
        <v>2202</v>
      </c>
      <c r="L440" s="30" t="s">
        <v>1612</v>
      </c>
    </row>
    <row r="441" spans="1:12" hidden="1" x14ac:dyDescent="0.25">
      <c r="A441" s="18" t="s">
        <v>25</v>
      </c>
      <c r="B441" s="57">
        <v>5.9837962962962961E-3</v>
      </c>
      <c r="C441" s="58">
        <v>1</v>
      </c>
      <c r="D441" s="18" t="s">
        <v>2197</v>
      </c>
      <c r="E441" s="18" t="s">
        <v>2198</v>
      </c>
      <c r="F441" s="18" t="s">
        <v>1621</v>
      </c>
      <c r="G441" s="59">
        <v>1296.57</v>
      </c>
      <c r="H441" s="59">
        <v>1296.57</v>
      </c>
      <c r="I441" s="18" t="s">
        <v>1588</v>
      </c>
      <c r="J441" s="18" t="s">
        <v>512</v>
      </c>
      <c r="K441" s="18" t="s">
        <v>2205</v>
      </c>
      <c r="L441" s="30" t="s">
        <v>1612</v>
      </c>
    </row>
    <row r="442" spans="1:12" hidden="1" x14ac:dyDescent="0.25">
      <c r="A442" s="18" t="s">
        <v>25</v>
      </c>
      <c r="B442" s="57">
        <v>1.2037037037037036E-3</v>
      </c>
      <c r="C442" s="58">
        <v>1</v>
      </c>
      <c r="D442" s="18" t="s">
        <v>2203</v>
      </c>
      <c r="E442" s="18" t="s">
        <v>2204</v>
      </c>
      <c r="F442" s="18" t="s">
        <v>1621</v>
      </c>
      <c r="G442" s="59">
        <v>36.56</v>
      </c>
      <c r="H442" s="59">
        <v>36.56</v>
      </c>
      <c r="I442" s="18" t="s">
        <v>367</v>
      </c>
      <c r="J442" s="18" t="s">
        <v>512</v>
      </c>
      <c r="K442" s="18" t="s">
        <v>2205</v>
      </c>
      <c r="L442" s="30" t="s">
        <v>1612</v>
      </c>
    </row>
    <row r="443" spans="1:12" hidden="1" x14ac:dyDescent="0.25">
      <c r="A443" s="18" t="s">
        <v>25</v>
      </c>
      <c r="B443" s="57">
        <v>1.4930555555555554E-3</v>
      </c>
      <c r="C443" s="58">
        <v>1</v>
      </c>
      <c r="D443" s="18" t="s">
        <v>48</v>
      </c>
      <c r="E443" s="18" t="s">
        <v>1119</v>
      </c>
      <c r="F443" s="18" t="s">
        <v>1621</v>
      </c>
      <c r="G443" s="59">
        <v>59.87</v>
      </c>
      <c r="H443" s="59">
        <v>59.87</v>
      </c>
      <c r="I443" s="18" t="s">
        <v>2195</v>
      </c>
      <c r="J443" s="18" t="s">
        <v>44</v>
      </c>
      <c r="K443" s="18" t="s">
        <v>2205</v>
      </c>
      <c r="L443" s="30" t="s">
        <v>1612</v>
      </c>
    </row>
    <row r="444" spans="1:12" x14ac:dyDescent="0.25">
      <c r="A444" s="18" t="s">
        <v>25</v>
      </c>
      <c r="B444" s="57">
        <v>6.9212962962962961E-3</v>
      </c>
      <c r="C444" s="58">
        <v>1</v>
      </c>
      <c r="D444" s="18" t="s">
        <v>513</v>
      </c>
      <c r="E444" s="18" t="s">
        <v>119</v>
      </c>
      <c r="F444" s="18" t="s">
        <v>1621</v>
      </c>
      <c r="G444" s="59">
        <v>1401.7</v>
      </c>
      <c r="H444" s="59">
        <v>1401.7</v>
      </c>
      <c r="I444" s="18" t="s">
        <v>511</v>
      </c>
      <c r="J444" s="18" t="s">
        <v>512</v>
      </c>
      <c r="K444" s="18" t="s">
        <v>2206</v>
      </c>
      <c r="L444" s="30" t="s">
        <v>1612</v>
      </c>
    </row>
    <row r="445" spans="1:12" x14ac:dyDescent="0.25">
      <c r="A445" s="18" t="s">
        <v>25</v>
      </c>
      <c r="B445" s="57">
        <v>6.9212962962962961E-3</v>
      </c>
      <c r="C445" s="58">
        <v>1</v>
      </c>
      <c r="D445" s="18" t="s">
        <v>513</v>
      </c>
      <c r="E445" s="18" t="s">
        <v>119</v>
      </c>
      <c r="F445" s="18" t="s">
        <v>1621</v>
      </c>
      <c r="G445" s="59">
        <v>1401.7</v>
      </c>
      <c r="H445" s="59">
        <v>1401.7</v>
      </c>
      <c r="I445" s="18" t="s">
        <v>511</v>
      </c>
      <c r="J445" s="18" t="s">
        <v>512</v>
      </c>
      <c r="K445" s="18" t="s">
        <v>2207</v>
      </c>
      <c r="L445" s="30" t="s">
        <v>1612</v>
      </c>
    </row>
    <row r="446" spans="1:12" x14ac:dyDescent="0.25">
      <c r="A446" s="18" t="s">
        <v>25</v>
      </c>
      <c r="B446" s="57">
        <v>6.9212962962962961E-3</v>
      </c>
      <c r="C446" s="58">
        <v>1</v>
      </c>
      <c r="D446" s="18" t="s">
        <v>513</v>
      </c>
      <c r="E446" s="18" t="s">
        <v>119</v>
      </c>
      <c r="F446" s="18" t="s">
        <v>1621</v>
      </c>
      <c r="G446" s="59">
        <v>1401.7</v>
      </c>
      <c r="H446" s="59">
        <v>1401.7</v>
      </c>
      <c r="I446" s="18" t="s">
        <v>511</v>
      </c>
      <c r="J446" s="18" t="s">
        <v>512</v>
      </c>
      <c r="K446" s="18" t="s">
        <v>2208</v>
      </c>
      <c r="L446" s="30" t="s">
        <v>1612</v>
      </c>
    </row>
    <row r="447" spans="1:12" x14ac:dyDescent="0.25">
      <c r="A447" s="18" t="s">
        <v>25</v>
      </c>
      <c r="B447" s="57">
        <v>6.9212962962962961E-3</v>
      </c>
      <c r="C447" s="58">
        <v>1</v>
      </c>
      <c r="D447" s="18" t="s">
        <v>513</v>
      </c>
      <c r="E447" s="18" t="s">
        <v>119</v>
      </c>
      <c r="F447" s="18" t="s">
        <v>1621</v>
      </c>
      <c r="G447" s="59">
        <v>1401.7</v>
      </c>
      <c r="H447" s="59">
        <v>1401.7</v>
      </c>
      <c r="I447" s="18" t="s">
        <v>511</v>
      </c>
      <c r="J447" s="18" t="s">
        <v>512</v>
      </c>
      <c r="K447" s="18" t="s">
        <v>2209</v>
      </c>
      <c r="L447" s="30" t="s">
        <v>1612</v>
      </c>
    </row>
    <row r="448" spans="1:12" x14ac:dyDescent="0.25">
      <c r="A448" s="18" t="s">
        <v>25</v>
      </c>
      <c r="B448" s="57">
        <v>6.9212962962962961E-3</v>
      </c>
      <c r="C448" s="58">
        <v>1</v>
      </c>
      <c r="D448" s="18" t="s">
        <v>513</v>
      </c>
      <c r="E448" s="18" t="s">
        <v>119</v>
      </c>
      <c r="F448" s="18" t="s">
        <v>1621</v>
      </c>
      <c r="G448" s="59">
        <v>1401.7</v>
      </c>
      <c r="H448" s="59">
        <v>1401.7</v>
      </c>
      <c r="I448" s="18" t="s">
        <v>511</v>
      </c>
      <c r="J448" s="18" t="s">
        <v>512</v>
      </c>
      <c r="K448" s="18" t="s">
        <v>2210</v>
      </c>
      <c r="L448" s="30" t="s">
        <v>1612</v>
      </c>
    </row>
    <row r="449" spans="1:12" x14ac:dyDescent="0.25">
      <c r="A449" s="18" t="s">
        <v>25</v>
      </c>
      <c r="B449" s="57">
        <v>6.9212962962962961E-3</v>
      </c>
      <c r="C449" s="58">
        <v>1</v>
      </c>
      <c r="D449" s="18" t="s">
        <v>513</v>
      </c>
      <c r="E449" s="18" t="s">
        <v>119</v>
      </c>
      <c r="F449" s="18" t="s">
        <v>1621</v>
      </c>
      <c r="G449" s="59">
        <v>1401.7</v>
      </c>
      <c r="H449" s="59">
        <v>1401.7</v>
      </c>
      <c r="I449" s="18" t="s">
        <v>511</v>
      </c>
      <c r="J449" s="18" t="s">
        <v>512</v>
      </c>
      <c r="K449" s="18" t="s">
        <v>2211</v>
      </c>
      <c r="L449" s="30" t="s">
        <v>1612</v>
      </c>
    </row>
    <row r="450" spans="1:12" x14ac:dyDescent="0.25">
      <c r="A450" s="18" t="s">
        <v>25</v>
      </c>
      <c r="B450" s="57">
        <v>6.8055555555555551E-3</v>
      </c>
      <c r="C450" s="58">
        <v>1</v>
      </c>
      <c r="D450" s="18" t="s">
        <v>521</v>
      </c>
      <c r="E450" s="18" t="s">
        <v>522</v>
      </c>
      <c r="F450" s="18" t="s">
        <v>1621</v>
      </c>
      <c r="G450" s="59">
        <v>1385.59</v>
      </c>
      <c r="H450" s="59">
        <v>1385.59</v>
      </c>
      <c r="I450" s="18" t="s">
        <v>65</v>
      </c>
      <c r="J450" s="18" t="s">
        <v>368</v>
      </c>
      <c r="K450" s="18" t="s">
        <v>2212</v>
      </c>
      <c r="L450" s="30" t="s">
        <v>1612</v>
      </c>
    </row>
    <row r="451" spans="1:12" hidden="1" x14ac:dyDescent="0.25">
      <c r="A451" s="18" t="s">
        <v>25</v>
      </c>
      <c r="B451" s="57">
        <v>1.4583333333333332E-3</v>
      </c>
      <c r="C451" s="58">
        <v>2</v>
      </c>
      <c r="D451" s="18" t="s">
        <v>2055</v>
      </c>
      <c r="E451" s="18" t="s">
        <v>2056</v>
      </c>
      <c r="F451" s="18" t="s">
        <v>1621</v>
      </c>
      <c r="G451" s="59">
        <v>18.61</v>
      </c>
      <c r="H451" s="59">
        <v>37.22</v>
      </c>
      <c r="I451" s="18" t="s">
        <v>1672</v>
      </c>
      <c r="J451" s="18" t="s">
        <v>498</v>
      </c>
      <c r="K451" s="18" t="s">
        <v>2213</v>
      </c>
      <c r="L451" s="30" t="s">
        <v>1612</v>
      </c>
    </row>
    <row r="452" spans="1:12" hidden="1" x14ac:dyDescent="0.25">
      <c r="A452" s="18" t="s">
        <v>25</v>
      </c>
      <c r="B452" s="57">
        <v>4.7800925925925927E-3</v>
      </c>
      <c r="C452" s="58">
        <v>1</v>
      </c>
      <c r="D452" s="18" t="s">
        <v>2214</v>
      </c>
      <c r="E452" s="18" t="s">
        <v>1620</v>
      </c>
      <c r="F452" s="18" t="s">
        <v>1621</v>
      </c>
      <c r="G452" s="59">
        <v>764.88</v>
      </c>
      <c r="H452" s="59">
        <v>764.88</v>
      </c>
      <c r="I452" s="18" t="s">
        <v>147</v>
      </c>
      <c r="J452" s="18" t="s">
        <v>512</v>
      </c>
      <c r="K452" s="18" t="s">
        <v>2213</v>
      </c>
      <c r="L452" s="30" t="s">
        <v>1612</v>
      </c>
    </row>
    <row r="453" spans="1:12" hidden="1" x14ac:dyDescent="0.25">
      <c r="A453" s="18" t="s">
        <v>25</v>
      </c>
      <c r="B453" s="57">
        <v>1.3888888888888887E-3</v>
      </c>
      <c r="C453" s="58">
        <v>1</v>
      </c>
      <c r="D453" s="18" t="s">
        <v>2215</v>
      </c>
      <c r="E453" s="18" t="s">
        <v>2216</v>
      </c>
      <c r="F453" s="18" t="s">
        <v>1621</v>
      </c>
      <c r="G453" s="59">
        <v>90.38</v>
      </c>
      <c r="H453" s="59">
        <v>90.38</v>
      </c>
      <c r="I453" s="18" t="s">
        <v>1588</v>
      </c>
      <c r="J453" s="18" t="s">
        <v>44</v>
      </c>
      <c r="K453" s="18" t="s">
        <v>2213</v>
      </c>
      <c r="L453" s="30" t="s">
        <v>1612</v>
      </c>
    </row>
    <row r="454" spans="1:12" hidden="1" x14ac:dyDescent="0.25">
      <c r="A454" s="18" t="s">
        <v>25</v>
      </c>
      <c r="B454" s="57">
        <v>1.0995370370370369E-3</v>
      </c>
      <c r="C454" s="58">
        <v>1</v>
      </c>
      <c r="D454" s="18" t="s">
        <v>2217</v>
      </c>
      <c r="E454" s="18" t="s">
        <v>2049</v>
      </c>
      <c r="F454" s="18" t="s">
        <v>1621</v>
      </c>
      <c r="G454" s="59">
        <v>63.24</v>
      </c>
      <c r="H454" s="59">
        <v>63.24</v>
      </c>
      <c r="I454" s="18" t="s">
        <v>1588</v>
      </c>
      <c r="J454" s="18" t="s">
        <v>44</v>
      </c>
      <c r="K454" s="18" t="s">
        <v>2213</v>
      </c>
      <c r="L454" s="30" t="s">
        <v>1612</v>
      </c>
    </row>
    <row r="455" spans="1:12" hidden="1" x14ac:dyDescent="0.25">
      <c r="A455" s="18" t="s">
        <v>25</v>
      </c>
      <c r="B455" s="57">
        <v>3.4722222222222218E-4</v>
      </c>
      <c r="C455" s="58">
        <v>1</v>
      </c>
      <c r="D455" s="18" t="s">
        <v>2060</v>
      </c>
      <c r="E455" s="18" t="s">
        <v>2061</v>
      </c>
      <c r="F455" s="18" t="s">
        <v>1621</v>
      </c>
      <c r="G455" s="59">
        <v>1.4</v>
      </c>
      <c r="H455" s="59">
        <v>1.4</v>
      </c>
      <c r="I455" s="18" t="s">
        <v>367</v>
      </c>
      <c r="J455" s="18" t="s">
        <v>1593</v>
      </c>
      <c r="K455" s="18" t="s">
        <v>2213</v>
      </c>
      <c r="L455" s="30" t="s">
        <v>1612</v>
      </c>
    </row>
    <row r="456" spans="1:12" hidden="1" x14ac:dyDescent="0.25">
      <c r="A456" s="18" t="s">
        <v>25</v>
      </c>
      <c r="B456" s="57">
        <v>3.0902777777777777E-3</v>
      </c>
      <c r="C456" s="58">
        <v>6</v>
      </c>
      <c r="D456" s="18" t="s">
        <v>2218</v>
      </c>
      <c r="E456" s="18" t="s">
        <v>2219</v>
      </c>
      <c r="F456" s="18" t="s">
        <v>1621</v>
      </c>
      <c r="G456" s="59">
        <v>6.89</v>
      </c>
      <c r="H456" s="59">
        <v>41.34</v>
      </c>
      <c r="I456" s="18" t="s">
        <v>65</v>
      </c>
      <c r="J456" s="18" t="s">
        <v>65</v>
      </c>
      <c r="K456" s="18" t="s">
        <v>2213</v>
      </c>
      <c r="L456" s="30" t="s">
        <v>1612</v>
      </c>
    </row>
    <row r="457" spans="1:12" hidden="1" x14ac:dyDescent="0.25">
      <c r="A457" s="18" t="s">
        <v>25</v>
      </c>
      <c r="B457" s="57">
        <v>5.4398148148148144E-4</v>
      </c>
      <c r="C457" s="58">
        <v>1</v>
      </c>
      <c r="D457" s="18" t="s">
        <v>2092</v>
      </c>
      <c r="E457" s="18" t="s">
        <v>2093</v>
      </c>
      <c r="F457" s="18" t="s">
        <v>1621</v>
      </c>
      <c r="G457" s="59">
        <v>10.99</v>
      </c>
      <c r="H457" s="59">
        <v>10.99</v>
      </c>
      <c r="I457" s="18" t="s">
        <v>65</v>
      </c>
      <c r="J457" s="18" t="s">
        <v>65</v>
      </c>
      <c r="K457" s="18" t="s">
        <v>2213</v>
      </c>
      <c r="L457" s="30" t="s">
        <v>1612</v>
      </c>
    </row>
    <row r="458" spans="1:12" hidden="1" x14ac:dyDescent="0.25">
      <c r="A458" s="18" t="s">
        <v>25</v>
      </c>
      <c r="B458" s="57">
        <v>3.3333333333333331E-3</v>
      </c>
      <c r="C458" s="58">
        <v>8</v>
      </c>
      <c r="D458" s="18" t="s">
        <v>2083</v>
      </c>
      <c r="E458" s="18" t="s">
        <v>2084</v>
      </c>
      <c r="F458" s="18" t="s">
        <v>1621</v>
      </c>
      <c r="G458" s="59">
        <v>3.37</v>
      </c>
      <c r="H458" s="59">
        <v>26.96</v>
      </c>
      <c r="I458" s="18" t="s">
        <v>65</v>
      </c>
      <c r="J458" s="18" t="s">
        <v>65</v>
      </c>
      <c r="K458" s="18" t="s">
        <v>2213</v>
      </c>
      <c r="L458" s="30" t="s">
        <v>1612</v>
      </c>
    </row>
    <row r="459" spans="1:12" hidden="1" x14ac:dyDescent="0.25">
      <c r="A459" s="18" t="s">
        <v>25</v>
      </c>
      <c r="B459" s="57">
        <v>5.7870370370370367E-3</v>
      </c>
      <c r="C459" s="58">
        <v>10</v>
      </c>
      <c r="D459" s="18" t="s">
        <v>2220</v>
      </c>
      <c r="E459" s="18" t="s">
        <v>2221</v>
      </c>
      <c r="F459" s="18" t="s">
        <v>1621</v>
      </c>
      <c r="G459" s="59">
        <v>5.28</v>
      </c>
      <c r="H459" s="59">
        <v>52.8</v>
      </c>
      <c r="I459" s="18" t="s">
        <v>65</v>
      </c>
      <c r="J459" s="18" t="s">
        <v>368</v>
      </c>
      <c r="K459" s="18" t="s">
        <v>2213</v>
      </c>
      <c r="L459" s="30" t="s">
        <v>1612</v>
      </c>
    </row>
    <row r="460" spans="1:12" hidden="1" x14ac:dyDescent="0.25">
      <c r="A460" s="18" t="s">
        <v>25</v>
      </c>
      <c r="B460" s="57">
        <v>1.3888888888888887E-3</v>
      </c>
      <c r="C460" s="58">
        <v>1</v>
      </c>
      <c r="D460" s="18" t="s">
        <v>2222</v>
      </c>
      <c r="E460" s="18" t="s">
        <v>2216</v>
      </c>
      <c r="F460" s="18" t="s">
        <v>1621</v>
      </c>
      <c r="G460" s="59">
        <v>90.38</v>
      </c>
      <c r="H460" s="59">
        <v>90.38</v>
      </c>
      <c r="I460" s="18" t="s">
        <v>65</v>
      </c>
      <c r="J460" s="18" t="s">
        <v>44</v>
      </c>
      <c r="K460" s="18" t="s">
        <v>2213</v>
      </c>
      <c r="L460" s="30" t="s">
        <v>1612</v>
      </c>
    </row>
    <row r="461" spans="1:12" hidden="1" x14ac:dyDescent="0.25">
      <c r="A461" s="18" t="s">
        <v>25</v>
      </c>
      <c r="B461" s="57">
        <v>1.5856481481481481E-3</v>
      </c>
      <c r="C461" s="58">
        <v>1</v>
      </c>
      <c r="D461" s="18" t="s">
        <v>2223</v>
      </c>
      <c r="E461" s="18" t="s">
        <v>2224</v>
      </c>
      <c r="F461" s="18" t="s">
        <v>1621</v>
      </c>
      <c r="G461" s="59">
        <v>63.55</v>
      </c>
      <c r="H461" s="59">
        <v>63.55</v>
      </c>
      <c r="I461" s="18" t="s">
        <v>65</v>
      </c>
      <c r="J461" s="18" t="s">
        <v>368</v>
      </c>
      <c r="K461" s="18" t="s">
        <v>2213</v>
      </c>
      <c r="L461" s="30" t="s">
        <v>1612</v>
      </c>
    </row>
    <row r="462" spans="1:12" hidden="1" x14ac:dyDescent="0.25">
      <c r="A462" s="18" t="s">
        <v>25</v>
      </c>
      <c r="B462" s="57">
        <v>6.0185185185185179E-4</v>
      </c>
      <c r="C462" s="58">
        <v>1</v>
      </c>
      <c r="D462" s="18" t="s">
        <v>2102</v>
      </c>
      <c r="E462" s="18" t="s">
        <v>2103</v>
      </c>
      <c r="F462" s="18" t="s">
        <v>1621</v>
      </c>
      <c r="G462" s="59">
        <v>9.4</v>
      </c>
      <c r="H462" s="59">
        <v>9.4</v>
      </c>
      <c r="I462" s="18" t="s">
        <v>65</v>
      </c>
      <c r="J462" s="18" t="s">
        <v>1590</v>
      </c>
      <c r="K462" s="18" t="s">
        <v>2213</v>
      </c>
      <c r="L462" s="30" t="s">
        <v>1612</v>
      </c>
    </row>
    <row r="463" spans="1:12" hidden="1" x14ac:dyDescent="0.25">
      <c r="A463" s="18" t="s">
        <v>25</v>
      </c>
      <c r="B463" s="57">
        <v>1.5972222222222221E-3</v>
      </c>
      <c r="C463" s="58">
        <v>3</v>
      </c>
      <c r="D463" s="18" t="s">
        <v>2180</v>
      </c>
      <c r="E463" s="18" t="s">
        <v>2181</v>
      </c>
      <c r="F463" s="18" t="s">
        <v>1621</v>
      </c>
      <c r="G463" s="59">
        <v>4.6900000000000004</v>
      </c>
      <c r="H463" s="59">
        <v>14.07</v>
      </c>
      <c r="I463" s="18" t="s">
        <v>65</v>
      </c>
      <c r="J463" s="18" t="s">
        <v>66</v>
      </c>
      <c r="K463" s="18" t="s">
        <v>2213</v>
      </c>
      <c r="L463" s="30" t="s">
        <v>1612</v>
      </c>
    </row>
    <row r="464" spans="1:12" hidden="1" x14ac:dyDescent="0.25">
      <c r="A464" s="18" t="s">
        <v>25</v>
      </c>
      <c r="B464" s="57">
        <v>1.8287037037037037E-3</v>
      </c>
      <c r="C464" s="58">
        <v>1</v>
      </c>
      <c r="D464" s="18" t="s">
        <v>2225</v>
      </c>
      <c r="E464" s="18" t="s">
        <v>2226</v>
      </c>
      <c r="F464" s="18" t="s">
        <v>1621</v>
      </c>
      <c r="G464" s="59">
        <v>59.77</v>
      </c>
      <c r="H464" s="59">
        <v>59.77</v>
      </c>
      <c r="I464" s="18" t="s">
        <v>1665</v>
      </c>
      <c r="J464" s="18" t="s">
        <v>512</v>
      </c>
      <c r="K464" s="18" t="s">
        <v>2227</v>
      </c>
      <c r="L464" s="30" t="s">
        <v>1612</v>
      </c>
    </row>
    <row r="465" spans="1:12" hidden="1" x14ac:dyDescent="0.25">
      <c r="A465" s="18" t="s">
        <v>25</v>
      </c>
      <c r="B465" s="57">
        <v>8.4490740740740739E-4</v>
      </c>
      <c r="C465" s="58">
        <v>1</v>
      </c>
      <c r="D465" s="18" t="s">
        <v>2087</v>
      </c>
      <c r="E465" s="18" t="s">
        <v>2088</v>
      </c>
      <c r="F465" s="18" t="s">
        <v>1621</v>
      </c>
      <c r="G465" s="59">
        <v>18.63</v>
      </c>
      <c r="H465" s="59">
        <v>18.63</v>
      </c>
      <c r="I465" s="18" t="s">
        <v>1672</v>
      </c>
      <c r="J465" s="18" t="s">
        <v>115</v>
      </c>
      <c r="K465" s="18" t="s">
        <v>2227</v>
      </c>
      <c r="L465" s="30" t="s">
        <v>1612</v>
      </c>
    </row>
    <row r="466" spans="1:12" hidden="1" x14ac:dyDescent="0.25">
      <c r="A466" s="18" t="s">
        <v>25</v>
      </c>
      <c r="B466" s="57">
        <v>1.6319444444444443E-3</v>
      </c>
      <c r="C466" s="58">
        <v>1</v>
      </c>
      <c r="D466" s="18" t="s">
        <v>2228</v>
      </c>
      <c r="E466" s="18" t="s">
        <v>2153</v>
      </c>
      <c r="F466" s="18" t="s">
        <v>1621</v>
      </c>
      <c r="G466" s="59">
        <v>73.5</v>
      </c>
      <c r="H466" s="59">
        <v>73.5</v>
      </c>
      <c r="I466" s="18" t="s">
        <v>1665</v>
      </c>
      <c r="J466" s="18" t="s">
        <v>512</v>
      </c>
      <c r="K466" s="18" t="s">
        <v>2227</v>
      </c>
      <c r="L466" s="30" t="s">
        <v>1612</v>
      </c>
    </row>
    <row r="467" spans="1:12" hidden="1" x14ac:dyDescent="0.25">
      <c r="A467" s="18" t="s">
        <v>25</v>
      </c>
      <c r="B467" s="57">
        <v>3.2754629629629627E-3</v>
      </c>
      <c r="C467" s="58">
        <v>2</v>
      </c>
      <c r="D467" s="18" t="s">
        <v>2229</v>
      </c>
      <c r="E467" s="18" t="s">
        <v>2230</v>
      </c>
      <c r="F467" s="18" t="s">
        <v>1621</v>
      </c>
      <c r="G467" s="59">
        <v>62.2</v>
      </c>
      <c r="H467" s="59">
        <v>124.4</v>
      </c>
      <c r="I467" s="18" t="s">
        <v>367</v>
      </c>
      <c r="J467" s="18" t="s">
        <v>512</v>
      </c>
      <c r="K467" s="18" t="s">
        <v>2227</v>
      </c>
      <c r="L467" s="30" t="s">
        <v>1612</v>
      </c>
    </row>
    <row r="468" spans="1:12" hidden="1" x14ac:dyDescent="0.25">
      <c r="A468" s="18" t="s">
        <v>25</v>
      </c>
      <c r="B468" s="57">
        <v>3.2754629629629627E-3</v>
      </c>
      <c r="C468" s="58">
        <v>2</v>
      </c>
      <c r="D468" s="18" t="s">
        <v>2231</v>
      </c>
      <c r="E468" s="18" t="s">
        <v>2232</v>
      </c>
      <c r="F468" s="18" t="s">
        <v>1621</v>
      </c>
      <c r="G468" s="59">
        <v>61.18</v>
      </c>
      <c r="H468" s="59">
        <v>122.36</v>
      </c>
      <c r="I468" s="18" t="s">
        <v>367</v>
      </c>
      <c r="J468" s="18" t="s">
        <v>512</v>
      </c>
      <c r="K468" s="18" t="s">
        <v>2227</v>
      </c>
      <c r="L468" s="30" t="s">
        <v>1612</v>
      </c>
    </row>
    <row r="469" spans="1:12" hidden="1" x14ac:dyDescent="0.25">
      <c r="A469" s="18" t="s">
        <v>25</v>
      </c>
      <c r="B469" s="57">
        <v>1.3888888888888887E-3</v>
      </c>
      <c r="C469" s="58">
        <v>2</v>
      </c>
      <c r="D469" s="58" t="s">
        <v>2220</v>
      </c>
      <c r="E469" s="58" t="s">
        <v>2221</v>
      </c>
      <c r="F469" s="18" t="s">
        <v>1621</v>
      </c>
      <c r="G469" s="59">
        <v>5.28</v>
      </c>
      <c r="H469" s="59">
        <v>10.56</v>
      </c>
      <c r="I469" s="18" t="s">
        <v>65</v>
      </c>
      <c r="J469" s="18" t="s">
        <v>368</v>
      </c>
      <c r="K469" s="18" t="s">
        <v>2227</v>
      </c>
      <c r="L469" s="30" t="s">
        <v>1612</v>
      </c>
    </row>
    <row r="470" spans="1:12" hidden="1" x14ac:dyDescent="0.25">
      <c r="A470" s="18" t="s">
        <v>25</v>
      </c>
      <c r="B470" s="57">
        <v>4.5023148148148149E-3</v>
      </c>
      <c r="C470" s="58">
        <v>5</v>
      </c>
      <c r="D470" s="58" t="s">
        <v>1625</v>
      </c>
      <c r="E470" s="58" t="s">
        <v>1626</v>
      </c>
      <c r="F470" s="18" t="s">
        <v>1621</v>
      </c>
      <c r="G470" s="59">
        <v>8.39</v>
      </c>
      <c r="H470" s="59">
        <v>41.95</v>
      </c>
      <c r="I470" s="18" t="s">
        <v>65</v>
      </c>
      <c r="J470" s="18" t="s">
        <v>368</v>
      </c>
      <c r="K470" s="18" t="s">
        <v>2227</v>
      </c>
      <c r="L470" s="30" t="s">
        <v>1612</v>
      </c>
    </row>
    <row r="471" spans="1:12" hidden="1" x14ac:dyDescent="0.25">
      <c r="A471" s="18" t="s">
        <v>25</v>
      </c>
      <c r="B471" s="57">
        <v>1.6666666666666666E-3</v>
      </c>
      <c r="C471" s="58">
        <v>1</v>
      </c>
      <c r="D471" s="58" t="s">
        <v>2233</v>
      </c>
      <c r="E471" s="58" t="s">
        <v>2216</v>
      </c>
      <c r="F471" s="18" t="s">
        <v>1621</v>
      </c>
      <c r="G471" s="59">
        <v>90.38</v>
      </c>
      <c r="H471" s="59">
        <v>90.38</v>
      </c>
      <c r="I471" s="18" t="s">
        <v>65</v>
      </c>
      <c r="J471" s="18" t="s">
        <v>44</v>
      </c>
      <c r="K471" s="18" t="s">
        <v>2227</v>
      </c>
      <c r="L471" s="30" t="s">
        <v>1612</v>
      </c>
    </row>
    <row r="472" spans="1:12" hidden="1" x14ac:dyDescent="0.25">
      <c r="A472" s="18" t="s">
        <v>25</v>
      </c>
      <c r="B472" s="57">
        <v>5.6944444444444438E-3</v>
      </c>
      <c r="C472" s="58">
        <v>1</v>
      </c>
      <c r="D472" s="58" t="s">
        <v>2234</v>
      </c>
      <c r="E472" s="58" t="s">
        <v>2235</v>
      </c>
      <c r="F472" s="18" t="s">
        <v>1621</v>
      </c>
      <c r="G472" s="59">
        <v>689.95</v>
      </c>
      <c r="H472" s="59">
        <v>689.95</v>
      </c>
      <c r="I472" s="18" t="s">
        <v>367</v>
      </c>
      <c r="J472" s="22" t="s">
        <v>427</v>
      </c>
      <c r="K472" s="18" t="s">
        <v>2227</v>
      </c>
      <c r="L472" s="30" t="s">
        <v>1612</v>
      </c>
    </row>
    <row r="473" spans="1:12" hidden="1" x14ac:dyDescent="0.25">
      <c r="A473" s="18" t="s">
        <v>25</v>
      </c>
      <c r="B473" s="57">
        <v>1.4004629629629629E-3</v>
      </c>
      <c r="C473" s="58">
        <v>1</v>
      </c>
      <c r="D473" s="58" t="s">
        <v>45</v>
      </c>
      <c r="E473" s="58" t="s">
        <v>1119</v>
      </c>
      <c r="F473" s="18" t="s">
        <v>1621</v>
      </c>
      <c r="G473" s="59">
        <v>59.25</v>
      </c>
      <c r="H473" s="59">
        <v>59.25</v>
      </c>
      <c r="I473" s="18" t="s">
        <v>2195</v>
      </c>
      <c r="J473" s="22" t="s">
        <v>44</v>
      </c>
      <c r="K473" s="18" t="s">
        <v>2227</v>
      </c>
      <c r="L473" s="30" t="s">
        <v>1612</v>
      </c>
    </row>
    <row r="474" spans="1:12" hidden="1" x14ac:dyDescent="0.25">
      <c r="A474" s="18" t="s">
        <v>25</v>
      </c>
      <c r="B474" s="57">
        <v>3.7615740740740739E-3</v>
      </c>
      <c r="C474" s="58">
        <v>1</v>
      </c>
      <c r="D474" s="58" t="s">
        <v>2236</v>
      </c>
      <c r="E474" s="58" t="s">
        <v>2237</v>
      </c>
      <c r="F474" s="18" t="s">
        <v>1621</v>
      </c>
      <c r="G474" s="59">
        <v>966.59</v>
      </c>
      <c r="H474" s="59">
        <v>966.59</v>
      </c>
      <c r="I474" s="18" t="s">
        <v>367</v>
      </c>
      <c r="J474" s="18" t="s">
        <v>1594</v>
      </c>
      <c r="K474" s="18" t="s">
        <v>2238</v>
      </c>
      <c r="L474" s="30" t="s">
        <v>1612</v>
      </c>
    </row>
    <row r="475" spans="1:12" hidden="1" x14ac:dyDescent="0.25">
      <c r="A475" s="18" t="s">
        <v>25</v>
      </c>
      <c r="B475" s="57">
        <v>2.1643518518518518E-3</v>
      </c>
      <c r="C475" s="58">
        <v>1</v>
      </c>
      <c r="D475" s="58" t="s">
        <v>2239</v>
      </c>
      <c r="E475" s="58" t="s">
        <v>2240</v>
      </c>
      <c r="F475" s="18" t="s">
        <v>1621</v>
      </c>
      <c r="G475" s="59">
        <v>402.54</v>
      </c>
      <c r="H475" s="59">
        <v>402.54</v>
      </c>
      <c r="I475" s="18" t="s">
        <v>367</v>
      </c>
      <c r="J475" s="18" t="s">
        <v>1599</v>
      </c>
      <c r="K475" s="18" t="s">
        <v>2238</v>
      </c>
      <c r="L475" s="30" t="s">
        <v>1612</v>
      </c>
    </row>
    <row r="476" spans="1:12" hidden="1" x14ac:dyDescent="0.25">
      <c r="A476" s="18" t="s">
        <v>25</v>
      </c>
      <c r="B476" s="57">
        <v>2.7777777777777775E-3</v>
      </c>
      <c r="C476" s="58">
        <v>9</v>
      </c>
      <c r="D476" s="58" t="s">
        <v>2156</v>
      </c>
      <c r="E476" s="58" t="s">
        <v>2157</v>
      </c>
      <c r="F476" s="18" t="s">
        <v>1621</v>
      </c>
      <c r="G476" s="59">
        <v>0.32</v>
      </c>
      <c r="H476" s="59">
        <v>2.88</v>
      </c>
      <c r="I476" s="18" t="s">
        <v>65</v>
      </c>
      <c r="J476" s="18" t="s">
        <v>368</v>
      </c>
      <c r="K476" s="18" t="s">
        <v>2238</v>
      </c>
      <c r="L476" s="30" t="s">
        <v>1612</v>
      </c>
    </row>
    <row r="477" spans="1:12" hidden="1" x14ac:dyDescent="0.25">
      <c r="A477" s="18" t="s">
        <v>25</v>
      </c>
      <c r="B477" s="57">
        <v>2.1990740740740738E-3</v>
      </c>
      <c r="C477" s="58">
        <v>4</v>
      </c>
      <c r="D477" s="58" t="s">
        <v>2180</v>
      </c>
      <c r="E477" s="58" t="s">
        <v>2181</v>
      </c>
      <c r="F477" s="18" t="s">
        <v>1621</v>
      </c>
      <c r="G477" s="59">
        <v>4.6900000000000004</v>
      </c>
      <c r="H477" s="59">
        <v>18.760000000000002</v>
      </c>
      <c r="I477" s="18" t="s">
        <v>65</v>
      </c>
      <c r="J477" s="18" t="s">
        <v>66</v>
      </c>
      <c r="K477" s="18" t="s">
        <v>2238</v>
      </c>
      <c r="L477" s="30" t="s">
        <v>1612</v>
      </c>
    </row>
    <row r="478" spans="1:12" x14ac:dyDescent="0.25">
      <c r="A478" s="18" t="s">
        <v>25</v>
      </c>
      <c r="B478" s="57">
        <v>6.875E-3</v>
      </c>
      <c r="C478" s="58">
        <v>1</v>
      </c>
      <c r="D478" s="18" t="s">
        <v>524</v>
      </c>
      <c r="E478" s="18" t="s">
        <v>522</v>
      </c>
      <c r="F478" s="18" t="s">
        <v>1621</v>
      </c>
      <c r="G478" s="59">
        <v>1391.48</v>
      </c>
      <c r="H478" s="59">
        <v>1391.48</v>
      </c>
      <c r="I478" s="18" t="s">
        <v>65</v>
      </c>
      <c r="J478" s="18" t="s">
        <v>368</v>
      </c>
      <c r="K478" s="18" t="s">
        <v>2241</v>
      </c>
      <c r="L478" s="30" t="s">
        <v>1612</v>
      </c>
    </row>
    <row r="479" spans="1:12" x14ac:dyDescent="0.25">
      <c r="A479" s="18" t="s">
        <v>25</v>
      </c>
      <c r="B479" s="57">
        <v>6.875E-3</v>
      </c>
      <c r="C479" s="58">
        <v>1</v>
      </c>
      <c r="D479" s="18" t="s">
        <v>524</v>
      </c>
      <c r="E479" s="18" t="s">
        <v>522</v>
      </c>
      <c r="F479" s="18" t="s">
        <v>1621</v>
      </c>
      <c r="G479" s="59">
        <v>1391.48</v>
      </c>
      <c r="H479" s="59">
        <v>1391.48</v>
      </c>
      <c r="I479" s="18" t="s">
        <v>65</v>
      </c>
      <c r="J479" s="18" t="s">
        <v>368</v>
      </c>
      <c r="K479" s="18" t="s">
        <v>2242</v>
      </c>
      <c r="L479" s="30" t="s">
        <v>1612</v>
      </c>
    </row>
    <row r="480" spans="1:12" x14ac:dyDescent="0.25">
      <c r="A480" s="18" t="s">
        <v>25</v>
      </c>
      <c r="B480" s="57">
        <v>6.875E-3</v>
      </c>
      <c r="C480" s="58">
        <v>1</v>
      </c>
      <c r="D480" s="18" t="s">
        <v>524</v>
      </c>
      <c r="E480" s="18" t="s">
        <v>522</v>
      </c>
      <c r="F480" s="18" t="s">
        <v>1621</v>
      </c>
      <c r="G480" s="59">
        <v>1391.48</v>
      </c>
      <c r="H480" s="59">
        <v>1391.48</v>
      </c>
      <c r="I480" s="18" t="s">
        <v>65</v>
      </c>
      <c r="J480" s="18" t="s">
        <v>368</v>
      </c>
      <c r="K480" s="18" t="s">
        <v>2243</v>
      </c>
      <c r="L480" s="30" t="s">
        <v>1612</v>
      </c>
    </row>
    <row r="481" spans="1:12" x14ac:dyDescent="0.25">
      <c r="A481" s="18" t="s">
        <v>25</v>
      </c>
      <c r="B481" s="57">
        <v>6.875E-3</v>
      </c>
      <c r="C481" s="58">
        <v>1</v>
      </c>
      <c r="D481" s="18" t="s">
        <v>524</v>
      </c>
      <c r="E481" s="18" t="s">
        <v>522</v>
      </c>
      <c r="F481" s="18" t="s">
        <v>1621</v>
      </c>
      <c r="G481" s="59">
        <v>1391.48</v>
      </c>
      <c r="H481" s="59">
        <v>1391.48</v>
      </c>
      <c r="I481" s="18" t="s">
        <v>65</v>
      </c>
      <c r="J481" s="18" t="s">
        <v>368</v>
      </c>
      <c r="K481" s="18" t="s">
        <v>2244</v>
      </c>
      <c r="L481" s="30" t="s">
        <v>1612</v>
      </c>
    </row>
    <row r="482" spans="1:12" x14ac:dyDescent="0.25">
      <c r="A482" s="18" t="s">
        <v>25</v>
      </c>
      <c r="B482" s="57">
        <v>6.875E-3</v>
      </c>
      <c r="C482" s="58">
        <v>1</v>
      </c>
      <c r="D482" s="18" t="s">
        <v>524</v>
      </c>
      <c r="E482" s="18" t="s">
        <v>522</v>
      </c>
      <c r="F482" s="18" t="s">
        <v>1621</v>
      </c>
      <c r="G482" s="59">
        <v>1391.48</v>
      </c>
      <c r="H482" s="59">
        <v>1391.48</v>
      </c>
      <c r="I482" s="18" t="s">
        <v>65</v>
      </c>
      <c r="J482" s="18" t="s">
        <v>368</v>
      </c>
      <c r="K482" s="18" t="s">
        <v>2245</v>
      </c>
      <c r="L482" s="30" t="s">
        <v>1612</v>
      </c>
    </row>
    <row r="483" spans="1:12" hidden="1" x14ac:dyDescent="0.25">
      <c r="A483" s="18" t="s">
        <v>25</v>
      </c>
      <c r="B483" s="57">
        <v>1.3888888888888887E-3</v>
      </c>
      <c r="C483" s="58">
        <v>1</v>
      </c>
      <c r="D483" s="18" t="s">
        <v>2246</v>
      </c>
      <c r="E483" s="18" t="s">
        <v>2247</v>
      </c>
      <c r="F483" s="18" t="s">
        <v>1621</v>
      </c>
      <c r="G483" s="59">
        <v>91.88</v>
      </c>
      <c r="H483" s="59">
        <v>91.88</v>
      </c>
      <c r="I483" s="18" t="s">
        <v>367</v>
      </c>
      <c r="J483" s="18" t="s">
        <v>427</v>
      </c>
      <c r="K483" s="18" t="s">
        <v>2248</v>
      </c>
      <c r="L483" s="30" t="s">
        <v>1612</v>
      </c>
    </row>
    <row r="484" spans="1:12" hidden="1" x14ac:dyDescent="0.25">
      <c r="A484" s="18" t="s">
        <v>25</v>
      </c>
      <c r="B484" s="57">
        <v>2.6041666666666665E-3</v>
      </c>
      <c r="C484" s="58">
        <v>1</v>
      </c>
      <c r="D484" s="18" t="s">
        <v>2249</v>
      </c>
      <c r="E484" s="18" t="s">
        <v>2240</v>
      </c>
      <c r="F484" s="18" t="s">
        <v>1621</v>
      </c>
      <c r="G484" s="59">
        <v>402.54</v>
      </c>
      <c r="H484" s="59">
        <v>402.54</v>
      </c>
      <c r="I484" s="18" t="s">
        <v>367</v>
      </c>
      <c r="J484" s="18" t="s">
        <v>1598</v>
      </c>
      <c r="K484" s="18" t="s">
        <v>2248</v>
      </c>
      <c r="L484" s="30" t="s">
        <v>1612</v>
      </c>
    </row>
    <row r="485" spans="1:12" hidden="1" x14ac:dyDescent="0.25">
      <c r="A485" s="18" t="s">
        <v>25</v>
      </c>
      <c r="B485" s="57">
        <v>1.2962962962962963E-3</v>
      </c>
      <c r="C485" s="58">
        <v>2</v>
      </c>
      <c r="D485" s="18" t="s">
        <v>2102</v>
      </c>
      <c r="E485" s="18" t="s">
        <v>2103</v>
      </c>
      <c r="F485" s="18" t="s">
        <v>1621</v>
      </c>
      <c r="G485" s="59">
        <v>9.4</v>
      </c>
      <c r="H485" s="59">
        <v>18.8</v>
      </c>
      <c r="I485" s="18" t="s">
        <v>65</v>
      </c>
      <c r="J485" s="18" t="s">
        <v>1590</v>
      </c>
      <c r="K485" s="18" t="s">
        <v>2248</v>
      </c>
      <c r="L485" s="30" t="s">
        <v>1612</v>
      </c>
    </row>
    <row r="486" spans="1:12" hidden="1" x14ac:dyDescent="0.25">
      <c r="A486" s="18" t="s">
        <v>25</v>
      </c>
      <c r="B486" s="57">
        <v>2.5115740740740741E-3</v>
      </c>
      <c r="C486" s="58">
        <v>1</v>
      </c>
      <c r="D486" s="18" t="s">
        <v>2250</v>
      </c>
      <c r="E486" s="18" t="s">
        <v>2251</v>
      </c>
      <c r="F486" s="18" t="s">
        <v>1621</v>
      </c>
      <c r="G486" s="59">
        <v>376.71</v>
      </c>
      <c r="H486" s="59">
        <v>376.71</v>
      </c>
      <c r="I486" s="18" t="s">
        <v>65</v>
      </c>
      <c r="J486" s="18" t="s">
        <v>66</v>
      </c>
      <c r="K486" s="18" t="s">
        <v>2248</v>
      </c>
      <c r="L486" s="30" t="s">
        <v>1612</v>
      </c>
    </row>
    <row r="487" spans="1:12" hidden="1" x14ac:dyDescent="0.25">
      <c r="A487" s="18" t="s">
        <v>25</v>
      </c>
      <c r="B487" s="57">
        <v>7.2916666666666659E-4</v>
      </c>
      <c r="C487" s="58">
        <v>1</v>
      </c>
      <c r="D487" s="18" t="s">
        <v>2252</v>
      </c>
      <c r="E487" s="18" t="s">
        <v>2253</v>
      </c>
      <c r="F487" s="18" t="s">
        <v>1621</v>
      </c>
      <c r="G487" s="59">
        <v>20.100000000000001</v>
      </c>
      <c r="H487" s="59">
        <v>20.100000000000001</v>
      </c>
      <c r="I487" s="18" t="s">
        <v>65</v>
      </c>
      <c r="J487" s="18" t="s">
        <v>66</v>
      </c>
      <c r="K487" s="18" t="s">
        <v>2248</v>
      </c>
      <c r="L487" s="30" t="s">
        <v>1612</v>
      </c>
    </row>
    <row r="488" spans="1:12" hidden="1" x14ac:dyDescent="0.25">
      <c r="A488" s="18" t="s">
        <v>25</v>
      </c>
      <c r="B488" s="57">
        <v>1.724537037037037E-3</v>
      </c>
      <c r="C488" s="58">
        <v>3</v>
      </c>
      <c r="D488" s="18" t="s">
        <v>2180</v>
      </c>
      <c r="E488" s="18" t="s">
        <v>2181</v>
      </c>
      <c r="F488" s="18" t="s">
        <v>1621</v>
      </c>
      <c r="G488" s="59">
        <v>4.6900000000000004</v>
      </c>
      <c r="H488" s="59">
        <v>14.07</v>
      </c>
      <c r="I488" s="18" t="s">
        <v>65</v>
      </c>
      <c r="J488" s="18" t="s">
        <v>66</v>
      </c>
      <c r="K488" s="18" t="s">
        <v>2248</v>
      </c>
      <c r="L488" s="30" t="s">
        <v>1612</v>
      </c>
    </row>
    <row r="489" spans="1:12" hidden="1" x14ac:dyDescent="0.25">
      <c r="A489" s="18" t="s">
        <v>25</v>
      </c>
      <c r="B489" s="57">
        <v>2.7893518518518519E-3</v>
      </c>
      <c r="C489" s="58">
        <v>1</v>
      </c>
      <c r="D489" s="18" t="s">
        <v>2254</v>
      </c>
      <c r="E489" s="18" t="s">
        <v>2255</v>
      </c>
      <c r="F489" s="18" t="s">
        <v>1621</v>
      </c>
      <c r="G489" s="59">
        <v>451.11</v>
      </c>
      <c r="H489" s="59">
        <v>451.11</v>
      </c>
      <c r="I489" s="18" t="s">
        <v>65</v>
      </c>
      <c r="J489" s="18" t="s">
        <v>1597</v>
      </c>
      <c r="K489" s="18" t="s">
        <v>2248</v>
      </c>
      <c r="L489" s="30" t="s">
        <v>1612</v>
      </c>
    </row>
    <row r="490" spans="1:12" hidden="1" x14ac:dyDescent="0.25">
      <c r="A490" s="18" t="s">
        <v>25</v>
      </c>
      <c r="B490" s="57">
        <v>8.7499999999999991E-3</v>
      </c>
      <c r="C490" s="58">
        <v>5</v>
      </c>
      <c r="D490" s="18" t="s">
        <v>2225</v>
      </c>
      <c r="E490" s="18" t="s">
        <v>2226</v>
      </c>
      <c r="F490" s="18" t="s">
        <v>1621</v>
      </c>
      <c r="G490" s="59">
        <v>59.77</v>
      </c>
      <c r="H490" s="59">
        <v>298.85000000000002</v>
      </c>
      <c r="I490" s="18" t="s">
        <v>1665</v>
      </c>
      <c r="J490" s="18" t="s">
        <v>512</v>
      </c>
      <c r="K490" s="18" t="s">
        <v>2256</v>
      </c>
      <c r="L490" s="30" t="s">
        <v>1612</v>
      </c>
    </row>
    <row r="491" spans="1:12" hidden="1" x14ac:dyDescent="0.25">
      <c r="A491" s="18" t="s">
        <v>25</v>
      </c>
      <c r="B491" s="57">
        <v>1.261574074074074E-3</v>
      </c>
      <c r="C491" s="58">
        <v>1</v>
      </c>
      <c r="D491" s="18" t="s">
        <v>2217</v>
      </c>
      <c r="E491" s="18" t="s">
        <v>2049</v>
      </c>
      <c r="F491" s="18" t="s">
        <v>1621</v>
      </c>
      <c r="G491" s="59">
        <v>63.24</v>
      </c>
      <c r="H491" s="59">
        <v>63.24</v>
      </c>
      <c r="I491" s="18" t="s">
        <v>1588</v>
      </c>
      <c r="J491" s="18" t="s">
        <v>44</v>
      </c>
      <c r="K491" s="18" t="s">
        <v>2256</v>
      </c>
      <c r="L491" s="30" t="s">
        <v>1612</v>
      </c>
    </row>
    <row r="492" spans="1:12" hidden="1" x14ac:dyDescent="0.25">
      <c r="A492" s="18" t="s">
        <v>25</v>
      </c>
      <c r="B492" s="57">
        <v>1.7129629629629628E-3</v>
      </c>
      <c r="C492" s="58">
        <v>2</v>
      </c>
      <c r="D492" s="18" t="s">
        <v>1625</v>
      </c>
      <c r="E492" s="18" t="s">
        <v>1626</v>
      </c>
      <c r="F492" s="18" t="s">
        <v>1621</v>
      </c>
      <c r="G492" s="59">
        <v>8.39</v>
      </c>
      <c r="H492" s="59">
        <v>16.78</v>
      </c>
      <c r="I492" s="18" t="s">
        <v>65</v>
      </c>
      <c r="J492" s="18" t="s">
        <v>368</v>
      </c>
      <c r="K492" s="18" t="s">
        <v>2256</v>
      </c>
      <c r="L492" s="30" t="s">
        <v>1612</v>
      </c>
    </row>
    <row r="493" spans="1:12" hidden="1" x14ac:dyDescent="0.25">
      <c r="A493" s="18" t="s">
        <v>25</v>
      </c>
      <c r="B493" s="57">
        <v>4.3981481481481476E-3</v>
      </c>
      <c r="C493" s="58">
        <v>1</v>
      </c>
      <c r="D493" s="18" t="s">
        <v>2257</v>
      </c>
      <c r="E493" s="18" t="s">
        <v>2258</v>
      </c>
      <c r="F493" s="18" t="s">
        <v>1621</v>
      </c>
      <c r="G493" s="59">
        <v>813.01</v>
      </c>
      <c r="H493" s="59">
        <v>813.01</v>
      </c>
      <c r="I493" s="18" t="s">
        <v>65</v>
      </c>
      <c r="J493" s="18" t="s">
        <v>1590</v>
      </c>
      <c r="K493" s="18" t="s">
        <v>2256</v>
      </c>
      <c r="L493" s="30" t="s">
        <v>1612</v>
      </c>
    </row>
    <row r="494" spans="1:12" hidden="1" x14ac:dyDescent="0.25">
      <c r="A494" s="18" t="s">
        <v>25</v>
      </c>
      <c r="B494" s="57">
        <v>2.4421296296296296E-3</v>
      </c>
      <c r="C494" s="58">
        <v>4</v>
      </c>
      <c r="D494" s="18" t="s">
        <v>2180</v>
      </c>
      <c r="E494" s="18" t="s">
        <v>2181</v>
      </c>
      <c r="F494" s="18" t="s">
        <v>1621</v>
      </c>
      <c r="G494" s="59">
        <v>4.6900000000000004</v>
      </c>
      <c r="H494" s="59">
        <v>18.760000000000002</v>
      </c>
      <c r="I494" s="18" t="s">
        <v>65</v>
      </c>
      <c r="J494" s="18" t="s">
        <v>66</v>
      </c>
      <c r="K494" s="18" t="s">
        <v>2256</v>
      </c>
      <c r="L494" s="30" t="s">
        <v>1612</v>
      </c>
    </row>
    <row r="495" spans="1:12" hidden="1" x14ac:dyDescent="0.25">
      <c r="A495" s="18" t="s">
        <v>25</v>
      </c>
      <c r="B495" s="57">
        <v>2.4305555555555556E-3</v>
      </c>
      <c r="C495" s="58">
        <v>2</v>
      </c>
      <c r="D495" s="18" t="s">
        <v>54</v>
      </c>
      <c r="E495" s="18" t="s">
        <v>1119</v>
      </c>
      <c r="F495" s="18" t="s">
        <v>1621</v>
      </c>
      <c r="G495" s="59">
        <v>59.25</v>
      </c>
      <c r="H495" s="59">
        <v>118.5</v>
      </c>
      <c r="I495" s="18" t="s">
        <v>2259</v>
      </c>
      <c r="J495" s="18" t="s">
        <v>44</v>
      </c>
      <c r="K495" s="18" t="s">
        <v>2256</v>
      </c>
      <c r="L495" s="30" t="s">
        <v>1612</v>
      </c>
    </row>
    <row r="496" spans="1:12" hidden="1" x14ac:dyDescent="0.25">
      <c r="A496" s="18" t="s">
        <v>25</v>
      </c>
      <c r="B496" s="57">
        <v>5.2083333333333333E-4</v>
      </c>
      <c r="C496" s="58">
        <v>1</v>
      </c>
      <c r="D496" s="18" t="s">
        <v>2113</v>
      </c>
      <c r="E496" s="18" t="s">
        <v>2111</v>
      </c>
      <c r="F496" s="18" t="s">
        <v>1621</v>
      </c>
      <c r="G496" s="59">
        <v>8.3699999999999992</v>
      </c>
      <c r="H496" s="59">
        <v>8.3699999999999992</v>
      </c>
      <c r="I496" s="18" t="s">
        <v>1665</v>
      </c>
      <c r="J496" s="18" t="s">
        <v>115</v>
      </c>
      <c r="K496" s="18" t="s">
        <v>2260</v>
      </c>
      <c r="L496" s="30" t="s">
        <v>1612</v>
      </c>
    </row>
    <row r="497" spans="1:12" hidden="1" x14ac:dyDescent="0.25">
      <c r="A497" s="18" t="s">
        <v>25</v>
      </c>
      <c r="B497" s="57">
        <v>7.407407407407407E-4</v>
      </c>
      <c r="C497" s="58">
        <v>2</v>
      </c>
      <c r="D497" s="18" t="s">
        <v>2060</v>
      </c>
      <c r="E497" s="18" t="s">
        <v>2061</v>
      </c>
      <c r="F497" s="18" t="s">
        <v>1621</v>
      </c>
      <c r="G497" s="59">
        <v>1.4</v>
      </c>
      <c r="H497" s="59">
        <v>2.8</v>
      </c>
      <c r="I497" s="18" t="s">
        <v>367</v>
      </c>
      <c r="J497" s="18" t="s">
        <v>1593</v>
      </c>
      <c r="K497" s="18" t="s">
        <v>2260</v>
      </c>
      <c r="L497" s="30" t="s">
        <v>1612</v>
      </c>
    </row>
    <row r="498" spans="1:12" hidden="1" x14ac:dyDescent="0.25">
      <c r="A498" s="18" t="s">
        <v>25</v>
      </c>
      <c r="B498" s="57">
        <v>4.0509259259259258E-4</v>
      </c>
      <c r="C498" s="58">
        <v>1</v>
      </c>
      <c r="D498" s="18" t="s">
        <v>2062</v>
      </c>
      <c r="E498" s="18" t="s">
        <v>2063</v>
      </c>
      <c r="F498" s="18" t="s">
        <v>1621</v>
      </c>
      <c r="G498" s="59">
        <v>2.2799999999999998</v>
      </c>
      <c r="H498" s="59">
        <v>2.2799999999999998</v>
      </c>
      <c r="I498" s="18" t="s">
        <v>367</v>
      </c>
      <c r="J498" s="18" t="s">
        <v>1592</v>
      </c>
      <c r="K498" s="18" t="s">
        <v>2260</v>
      </c>
      <c r="L498" s="30" t="s">
        <v>1612</v>
      </c>
    </row>
    <row r="499" spans="1:12" hidden="1" x14ac:dyDescent="0.25">
      <c r="A499" s="18" t="s">
        <v>25</v>
      </c>
      <c r="B499" s="57">
        <v>5.2083333333333333E-4</v>
      </c>
      <c r="C499" s="58">
        <v>1</v>
      </c>
      <c r="D499" s="18" t="s">
        <v>2171</v>
      </c>
      <c r="E499" s="18" t="s">
        <v>2172</v>
      </c>
      <c r="F499" s="18" t="s">
        <v>1621</v>
      </c>
      <c r="G499" s="59">
        <v>3.26</v>
      </c>
      <c r="H499" s="59">
        <v>3.26</v>
      </c>
      <c r="I499" s="18" t="s">
        <v>65</v>
      </c>
      <c r="J499" s="18" t="s">
        <v>368</v>
      </c>
      <c r="K499" s="18" t="s">
        <v>2260</v>
      </c>
      <c r="L499" s="30" t="s">
        <v>1612</v>
      </c>
    </row>
    <row r="500" spans="1:12" hidden="1" x14ac:dyDescent="0.25">
      <c r="A500" s="18" t="s">
        <v>25</v>
      </c>
      <c r="B500" s="57">
        <v>3.1828703703703702E-3</v>
      </c>
      <c r="C500" s="58">
        <v>1</v>
      </c>
      <c r="D500" s="18" t="s">
        <v>2261</v>
      </c>
      <c r="E500" s="18" t="s">
        <v>2262</v>
      </c>
      <c r="F500" s="18" t="s">
        <v>1621</v>
      </c>
      <c r="G500" s="59">
        <v>494.64</v>
      </c>
      <c r="H500" s="59">
        <v>494.64</v>
      </c>
      <c r="I500" s="18" t="s">
        <v>65</v>
      </c>
      <c r="J500" s="18" t="s">
        <v>1589</v>
      </c>
      <c r="K500" s="18" t="s">
        <v>2260</v>
      </c>
      <c r="L500" s="30" t="s">
        <v>1612</v>
      </c>
    </row>
    <row r="501" spans="1:12" hidden="1" x14ac:dyDescent="0.25">
      <c r="A501" s="18" t="s">
        <v>25</v>
      </c>
      <c r="B501" s="57">
        <v>4.0393518518518513E-3</v>
      </c>
      <c r="C501" s="58">
        <v>1</v>
      </c>
      <c r="D501" s="18" t="s">
        <v>2263</v>
      </c>
      <c r="E501" s="18" t="s">
        <v>2258</v>
      </c>
      <c r="F501" s="18" t="s">
        <v>1621</v>
      </c>
      <c r="G501" s="59">
        <v>772.53</v>
      </c>
      <c r="H501" s="59">
        <v>772.53</v>
      </c>
      <c r="I501" s="18" t="s">
        <v>65</v>
      </c>
      <c r="J501" s="18" t="s">
        <v>1590</v>
      </c>
      <c r="K501" s="18" t="s">
        <v>2260</v>
      </c>
      <c r="L501" s="30" t="s">
        <v>1612</v>
      </c>
    </row>
    <row r="502" spans="1:12" hidden="1" x14ac:dyDescent="0.25">
      <c r="A502" s="18" t="s">
        <v>25</v>
      </c>
      <c r="B502" s="57">
        <v>1.7013888888888888E-3</v>
      </c>
      <c r="C502" s="58">
        <v>1</v>
      </c>
      <c r="D502" s="18" t="s">
        <v>2264</v>
      </c>
      <c r="E502" s="18" t="s">
        <v>2226</v>
      </c>
      <c r="F502" s="18" t="s">
        <v>1621</v>
      </c>
      <c r="G502" s="59">
        <v>62.55</v>
      </c>
      <c r="H502" s="59">
        <v>62.55</v>
      </c>
      <c r="I502" s="18" t="s">
        <v>65</v>
      </c>
      <c r="J502" s="18" t="s">
        <v>1599</v>
      </c>
      <c r="K502" s="18" t="s">
        <v>2260</v>
      </c>
      <c r="L502" s="30" t="s">
        <v>1612</v>
      </c>
    </row>
    <row r="503" spans="1:12" x14ac:dyDescent="0.25">
      <c r="A503" s="18" t="s">
        <v>25</v>
      </c>
      <c r="B503" s="57">
        <v>8.9351851851851849E-3</v>
      </c>
      <c r="C503" s="58">
        <v>1</v>
      </c>
      <c r="D503" s="18" t="s">
        <v>84</v>
      </c>
      <c r="E503" s="18" t="s">
        <v>770</v>
      </c>
      <c r="F503" s="18" t="s">
        <v>1621</v>
      </c>
      <c r="G503" s="59">
        <v>1351.26</v>
      </c>
      <c r="H503" s="59">
        <v>1351.26</v>
      </c>
      <c r="I503" s="18" t="s">
        <v>131</v>
      </c>
      <c r="J503" s="18" t="s">
        <v>512</v>
      </c>
      <c r="K503" s="18" t="s">
        <v>2265</v>
      </c>
      <c r="L503" s="30" t="s">
        <v>1612</v>
      </c>
    </row>
    <row r="504" spans="1:12" hidden="1" x14ac:dyDescent="0.25">
      <c r="A504" s="18" t="s">
        <v>25</v>
      </c>
      <c r="B504" s="57">
        <v>5.8680555555555552E-3</v>
      </c>
      <c r="C504" s="58">
        <v>1</v>
      </c>
      <c r="D504" s="18" t="s">
        <v>2266</v>
      </c>
      <c r="E504" s="18" t="s">
        <v>2267</v>
      </c>
      <c r="F504" s="18" t="s">
        <v>1621</v>
      </c>
      <c r="G504" s="59">
        <v>1011.56</v>
      </c>
      <c r="H504" s="59">
        <v>1011.56</v>
      </c>
      <c r="I504" s="18" t="s">
        <v>1672</v>
      </c>
      <c r="J504" s="18" t="s">
        <v>115</v>
      </c>
      <c r="K504" s="18" t="s">
        <v>2268</v>
      </c>
      <c r="L504" s="30" t="s">
        <v>1612</v>
      </c>
    </row>
    <row r="505" spans="1:12" hidden="1" x14ac:dyDescent="0.25">
      <c r="A505" s="18" t="s">
        <v>25</v>
      </c>
      <c r="B505" s="57">
        <v>1.8055555555555555E-3</v>
      </c>
      <c r="C505" s="58">
        <v>1</v>
      </c>
      <c r="D505" s="18" t="s">
        <v>2269</v>
      </c>
      <c r="E505" s="18" t="s">
        <v>2270</v>
      </c>
      <c r="F505" s="18" t="s">
        <v>1621</v>
      </c>
      <c r="G505" s="59">
        <v>55.27</v>
      </c>
      <c r="H505" s="59">
        <v>55.27</v>
      </c>
      <c r="I505" s="18" t="s">
        <v>367</v>
      </c>
      <c r="J505" s="18" t="s">
        <v>427</v>
      </c>
      <c r="K505" s="18" t="s">
        <v>2268</v>
      </c>
      <c r="L505" s="30" t="s">
        <v>1612</v>
      </c>
    </row>
    <row r="506" spans="1:12" hidden="1" x14ac:dyDescent="0.25">
      <c r="A506" s="18" t="s">
        <v>25</v>
      </c>
      <c r="B506" s="57">
        <v>3.49537037037037E-3</v>
      </c>
      <c r="C506" s="58">
        <v>2</v>
      </c>
      <c r="D506" s="18" t="s">
        <v>2271</v>
      </c>
      <c r="E506" s="18" t="s">
        <v>2270</v>
      </c>
      <c r="F506" s="18" t="s">
        <v>1621</v>
      </c>
      <c r="G506" s="59">
        <v>55.28</v>
      </c>
      <c r="H506" s="59">
        <v>110.56</v>
      </c>
      <c r="I506" s="18" t="s">
        <v>367</v>
      </c>
      <c r="J506" s="18" t="s">
        <v>427</v>
      </c>
      <c r="K506" s="18" t="s">
        <v>2268</v>
      </c>
      <c r="L506" s="30" t="s">
        <v>1612</v>
      </c>
    </row>
    <row r="507" spans="1:12" hidden="1" x14ac:dyDescent="0.25">
      <c r="A507" s="18" t="s">
        <v>25</v>
      </c>
      <c r="B507" s="57">
        <v>2.0486111111111109E-3</v>
      </c>
      <c r="C507" s="58">
        <v>1</v>
      </c>
      <c r="D507" s="18" t="s">
        <v>2272</v>
      </c>
      <c r="E507" s="18" t="s">
        <v>2273</v>
      </c>
      <c r="F507" s="18" t="s">
        <v>1621</v>
      </c>
      <c r="G507" s="59">
        <v>64.28</v>
      </c>
      <c r="H507" s="59">
        <v>64.28</v>
      </c>
      <c r="I507" s="18" t="s">
        <v>367</v>
      </c>
      <c r="J507" s="18" t="s">
        <v>1594</v>
      </c>
      <c r="K507" s="18" t="s">
        <v>2268</v>
      </c>
      <c r="L507" s="30" t="s">
        <v>1612</v>
      </c>
    </row>
    <row r="508" spans="1:12" hidden="1" x14ac:dyDescent="0.25">
      <c r="A508" s="18" t="s">
        <v>25</v>
      </c>
      <c r="B508" s="57">
        <v>1.2268518518518518E-3</v>
      </c>
      <c r="C508" s="58">
        <v>2</v>
      </c>
      <c r="D508" s="18" t="s">
        <v>2171</v>
      </c>
      <c r="E508" s="18" t="s">
        <v>2172</v>
      </c>
      <c r="F508" s="18" t="s">
        <v>1621</v>
      </c>
      <c r="G508" s="59">
        <v>3.26</v>
      </c>
      <c r="H508" s="59">
        <v>6.52</v>
      </c>
      <c r="I508" s="18" t="s">
        <v>65</v>
      </c>
      <c r="J508" s="18" t="s">
        <v>368</v>
      </c>
      <c r="K508" s="18" t="s">
        <v>2268</v>
      </c>
      <c r="L508" s="30" t="s">
        <v>1612</v>
      </c>
    </row>
    <row r="509" spans="1:12" hidden="1" x14ac:dyDescent="0.25">
      <c r="A509" s="18" t="s">
        <v>25</v>
      </c>
      <c r="B509" s="57">
        <v>9.9537037037037042E-4</v>
      </c>
      <c r="C509" s="58">
        <v>1</v>
      </c>
      <c r="D509" s="18" t="s">
        <v>1629</v>
      </c>
      <c r="E509" s="18" t="s">
        <v>1630</v>
      </c>
      <c r="F509" s="18" t="s">
        <v>1621</v>
      </c>
      <c r="G509" s="59">
        <v>7.75</v>
      </c>
      <c r="H509" s="59">
        <v>7.75</v>
      </c>
      <c r="I509" s="18" t="s">
        <v>65</v>
      </c>
      <c r="J509" s="18" t="s">
        <v>368</v>
      </c>
      <c r="K509" s="18" t="s">
        <v>2268</v>
      </c>
      <c r="L509" s="30" t="s">
        <v>1612</v>
      </c>
    </row>
    <row r="510" spans="1:12" hidden="1" x14ac:dyDescent="0.25">
      <c r="A510" s="18" t="s">
        <v>25</v>
      </c>
      <c r="B510" s="57">
        <v>1.2962962962962963E-3</v>
      </c>
      <c r="C510" s="58">
        <v>2</v>
      </c>
      <c r="D510" s="18" t="s">
        <v>2180</v>
      </c>
      <c r="E510" s="18" t="s">
        <v>2181</v>
      </c>
      <c r="F510" s="18" t="s">
        <v>1621</v>
      </c>
      <c r="G510" s="59">
        <v>4.6900000000000004</v>
      </c>
      <c r="H510" s="59">
        <v>9.3800000000000008</v>
      </c>
      <c r="I510" s="18" t="s">
        <v>65</v>
      </c>
      <c r="J510" s="18" t="s">
        <v>66</v>
      </c>
      <c r="K510" s="18" t="s">
        <v>2268</v>
      </c>
      <c r="L510" s="30" t="s">
        <v>1612</v>
      </c>
    </row>
    <row r="511" spans="1:12" hidden="1" x14ac:dyDescent="0.25">
      <c r="A511" s="18" t="s">
        <v>25</v>
      </c>
      <c r="B511" s="57">
        <v>1.2037037037037036E-3</v>
      </c>
      <c r="C511" s="58">
        <v>2</v>
      </c>
      <c r="D511" s="18" t="s">
        <v>2110</v>
      </c>
      <c r="E511" s="18" t="s">
        <v>2111</v>
      </c>
      <c r="F511" s="18" t="s">
        <v>1621</v>
      </c>
      <c r="G511" s="59">
        <v>8.3699999999999992</v>
      </c>
      <c r="H511" s="59">
        <v>16.739999999999998</v>
      </c>
      <c r="I511" s="18" t="s">
        <v>1665</v>
      </c>
      <c r="J511" s="18" t="s">
        <v>498</v>
      </c>
      <c r="K511" s="18" t="s">
        <v>2274</v>
      </c>
      <c r="L511" s="30" t="s">
        <v>1612</v>
      </c>
    </row>
    <row r="512" spans="1:12" hidden="1" x14ac:dyDescent="0.25">
      <c r="A512" s="18" t="s">
        <v>25</v>
      </c>
      <c r="B512" s="57">
        <v>1.9212962962962962E-3</v>
      </c>
      <c r="C512" s="58">
        <v>1</v>
      </c>
      <c r="D512" s="18" t="s">
        <v>2275</v>
      </c>
      <c r="E512" s="18" t="s">
        <v>2216</v>
      </c>
      <c r="F512" s="18" t="s">
        <v>1621</v>
      </c>
      <c r="G512" s="59">
        <v>90.38</v>
      </c>
      <c r="H512" s="59">
        <v>90.38</v>
      </c>
      <c r="I512" s="18" t="s">
        <v>1588</v>
      </c>
      <c r="J512" s="18" t="s">
        <v>44</v>
      </c>
      <c r="K512" s="18" t="s">
        <v>2274</v>
      </c>
      <c r="L512" s="30" t="s">
        <v>1612</v>
      </c>
    </row>
    <row r="513" spans="1:12" hidden="1" x14ac:dyDescent="0.25">
      <c r="A513" s="18" t="s">
        <v>25</v>
      </c>
      <c r="B513" s="57">
        <v>1.6435185185185185E-3</v>
      </c>
      <c r="C513" s="58">
        <v>1</v>
      </c>
      <c r="D513" s="18" t="s">
        <v>2276</v>
      </c>
      <c r="E513" s="18" t="s">
        <v>2270</v>
      </c>
      <c r="F513" s="18" t="s">
        <v>1621</v>
      </c>
      <c r="G513" s="59">
        <v>57.73</v>
      </c>
      <c r="H513" s="59">
        <v>57.73</v>
      </c>
      <c r="I513" s="18" t="s">
        <v>367</v>
      </c>
      <c r="J513" s="18" t="s">
        <v>427</v>
      </c>
      <c r="K513" s="18" t="s">
        <v>2274</v>
      </c>
      <c r="L513" s="30" t="s">
        <v>1612</v>
      </c>
    </row>
    <row r="514" spans="1:12" x14ac:dyDescent="0.25">
      <c r="A514" s="18" t="s">
        <v>25</v>
      </c>
      <c r="B514" s="57">
        <v>7.5231481481481477E-3</v>
      </c>
      <c r="C514" s="58">
        <v>1</v>
      </c>
      <c r="D514" s="18" t="s">
        <v>2277</v>
      </c>
      <c r="E514" s="18" t="s">
        <v>2278</v>
      </c>
      <c r="F514" s="18" t="s">
        <v>1621</v>
      </c>
      <c r="G514" s="59">
        <v>1153.19</v>
      </c>
      <c r="H514" s="59">
        <v>1153.19</v>
      </c>
      <c r="I514" s="18" t="s">
        <v>1672</v>
      </c>
      <c r="J514" s="18" t="s">
        <v>115</v>
      </c>
      <c r="K514" s="18" t="s">
        <v>2274</v>
      </c>
      <c r="L514" s="30" t="s">
        <v>1612</v>
      </c>
    </row>
    <row r="515" spans="1:12" hidden="1" x14ac:dyDescent="0.25">
      <c r="A515" s="18" t="s">
        <v>25</v>
      </c>
      <c r="B515" s="57">
        <v>1.9791666666666664E-3</v>
      </c>
      <c r="C515" s="58">
        <v>1</v>
      </c>
      <c r="D515" s="18" t="s">
        <v>2272</v>
      </c>
      <c r="E515" s="18" t="s">
        <v>2273</v>
      </c>
      <c r="F515" s="18" t="s">
        <v>1621</v>
      </c>
      <c r="G515" s="59">
        <v>64.28</v>
      </c>
      <c r="H515" s="59">
        <v>64.28</v>
      </c>
      <c r="I515" s="18" t="s">
        <v>367</v>
      </c>
      <c r="J515" s="18" t="s">
        <v>1594</v>
      </c>
      <c r="K515" s="18" t="s">
        <v>2279</v>
      </c>
      <c r="L515" s="30" t="s">
        <v>1612</v>
      </c>
    </row>
    <row r="516" spans="1:12" hidden="1" x14ac:dyDescent="0.25">
      <c r="A516" s="18" t="s">
        <v>25</v>
      </c>
      <c r="B516" s="57">
        <v>5.7407407407407407E-3</v>
      </c>
      <c r="C516" s="58">
        <v>3</v>
      </c>
      <c r="D516" s="18" t="s">
        <v>2280</v>
      </c>
      <c r="E516" s="18" t="s">
        <v>2273</v>
      </c>
      <c r="F516" s="18" t="s">
        <v>1621</v>
      </c>
      <c r="G516" s="59">
        <v>64.28</v>
      </c>
      <c r="H516" s="59">
        <v>192.84</v>
      </c>
      <c r="I516" s="18" t="s">
        <v>367</v>
      </c>
      <c r="J516" s="18" t="s">
        <v>1594</v>
      </c>
      <c r="K516" s="18" t="s">
        <v>2279</v>
      </c>
      <c r="L516" s="30" t="s">
        <v>1612</v>
      </c>
    </row>
    <row r="517" spans="1:12" hidden="1" x14ac:dyDescent="0.25">
      <c r="A517" s="18" t="s">
        <v>25</v>
      </c>
      <c r="B517" s="57">
        <v>6.5277777777777773E-3</v>
      </c>
      <c r="C517" s="58">
        <v>1</v>
      </c>
      <c r="D517" s="18" t="s">
        <v>2281</v>
      </c>
      <c r="E517" s="18" t="s">
        <v>2282</v>
      </c>
      <c r="F517" s="18" t="s">
        <v>1621</v>
      </c>
      <c r="G517" s="59">
        <v>778.03</v>
      </c>
      <c r="H517" s="59">
        <v>778.03</v>
      </c>
      <c r="I517" s="18" t="s">
        <v>65</v>
      </c>
      <c r="J517" s="18" t="s">
        <v>368</v>
      </c>
      <c r="K517" s="18" t="s">
        <v>2279</v>
      </c>
      <c r="L517" s="30" t="s">
        <v>1612</v>
      </c>
    </row>
    <row r="518" spans="1:12" hidden="1" x14ac:dyDescent="0.25">
      <c r="A518" s="18" t="s">
        <v>25</v>
      </c>
      <c r="B518" s="57">
        <v>1.6550925925925926E-3</v>
      </c>
      <c r="C518" s="58">
        <v>1</v>
      </c>
      <c r="D518" s="18" t="s">
        <v>2283</v>
      </c>
      <c r="E518" s="18" t="s">
        <v>2284</v>
      </c>
      <c r="F518" s="18" t="s">
        <v>1621</v>
      </c>
      <c r="G518" s="59">
        <v>72.37</v>
      </c>
      <c r="H518" s="59">
        <v>72.37</v>
      </c>
      <c r="I518" s="18" t="s">
        <v>65</v>
      </c>
      <c r="J518" s="18" t="s">
        <v>44</v>
      </c>
      <c r="K518" s="18" t="s">
        <v>2279</v>
      </c>
      <c r="L518" s="30" t="s">
        <v>1612</v>
      </c>
    </row>
    <row r="519" spans="1:12" hidden="1" x14ac:dyDescent="0.25">
      <c r="A519" s="18" t="s">
        <v>25</v>
      </c>
      <c r="B519" s="57">
        <v>2.1180555555555553E-3</v>
      </c>
      <c r="C519" s="58">
        <v>1</v>
      </c>
      <c r="D519" s="18" t="s">
        <v>2285</v>
      </c>
      <c r="E519" s="18" t="s">
        <v>2286</v>
      </c>
      <c r="F519" s="18" t="s">
        <v>1621</v>
      </c>
      <c r="G519" s="59">
        <v>59.97</v>
      </c>
      <c r="H519" s="59">
        <v>59.97</v>
      </c>
      <c r="I519" s="18" t="s">
        <v>65</v>
      </c>
      <c r="J519" s="18" t="s">
        <v>1590</v>
      </c>
      <c r="K519" s="18" t="s">
        <v>2279</v>
      </c>
      <c r="L519" s="30" t="s">
        <v>1612</v>
      </c>
    </row>
    <row r="520" spans="1:12" hidden="1" x14ac:dyDescent="0.25">
      <c r="A520" s="18" t="s">
        <v>25</v>
      </c>
      <c r="B520" s="57">
        <v>1.7939814814814815E-3</v>
      </c>
      <c r="C520" s="58">
        <v>1</v>
      </c>
      <c r="D520" s="18" t="s">
        <v>2287</v>
      </c>
      <c r="E520" s="18" t="s">
        <v>2286</v>
      </c>
      <c r="F520" s="18" t="s">
        <v>1621</v>
      </c>
      <c r="G520" s="59">
        <v>59.97</v>
      </c>
      <c r="H520" s="59">
        <v>59.97</v>
      </c>
      <c r="I520" s="18" t="s">
        <v>65</v>
      </c>
      <c r="J520" s="18" t="s">
        <v>1590</v>
      </c>
      <c r="K520" s="18" t="s">
        <v>2279</v>
      </c>
      <c r="L520" s="30" t="s">
        <v>1612</v>
      </c>
    </row>
    <row r="521" spans="1:12" hidden="1" x14ac:dyDescent="0.25">
      <c r="A521" s="18" t="s">
        <v>25</v>
      </c>
      <c r="B521" s="57">
        <v>2.4768518518518516E-3</v>
      </c>
      <c r="C521" s="58">
        <v>2</v>
      </c>
      <c r="D521" s="18" t="s">
        <v>2288</v>
      </c>
      <c r="E521" s="18" t="s">
        <v>2289</v>
      </c>
      <c r="F521" s="18" t="s">
        <v>1621</v>
      </c>
      <c r="G521" s="59">
        <v>14.25</v>
      </c>
      <c r="H521" s="59">
        <v>28.5</v>
      </c>
      <c r="I521" s="18" t="s">
        <v>65</v>
      </c>
      <c r="J521" s="18" t="s">
        <v>66</v>
      </c>
      <c r="K521" s="18" t="s">
        <v>2279</v>
      </c>
      <c r="L521" s="30" t="s">
        <v>1612</v>
      </c>
    </row>
    <row r="522" spans="1:12" hidden="1" x14ac:dyDescent="0.25">
      <c r="A522" s="18" t="s">
        <v>25</v>
      </c>
      <c r="B522" s="57">
        <v>5.9027777777777778E-4</v>
      </c>
      <c r="C522" s="58">
        <v>1</v>
      </c>
      <c r="D522" s="18" t="s">
        <v>2113</v>
      </c>
      <c r="E522" s="18" t="s">
        <v>2111</v>
      </c>
      <c r="F522" s="18" t="s">
        <v>1621</v>
      </c>
      <c r="G522" s="59">
        <v>8.3699999999999992</v>
      </c>
      <c r="H522" s="59">
        <v>8.3699999999999992</v>
      </c>
      <c r="I522" s="18" t="s">
        <v>1665</v>
      </c>
      <c r="J522" s="18" t="s">
        <v>115</v>
      </c>
      <c r="K522" s="18" t="s">
        <v>2290</v>
      </c>
      <c r="L522" s="30" t="s">
        <v>1612</v>
      </c>
    </row>
    <row r="523" spans="1:12" hidden="1" x14ac:dyDescent="0.25">
      <c r="A523" s="18" t="s">
        <v>25</v>
      </c>
      <c r="B523" s="57">
        <v>1.6782407407407408E-3</v>
      </c>
      <c r="C523" s="58">
        <v>2</v>
      </c>
      <c r="D523" s="18" t="s">
        <v>2087</v>
      </c>
      <c r="E523" s="18" t="s">
        <v>2088</v>
      </c>
      <c r="F523" s="18" t="s">
        <v>1621</v>
      </c>
      <c r="G523" s="59">
        <v>18.63</v>
      </c>
      <c r="H523" s="59">
        <v>37.26</v>
      </c>
      <c r="I523" s="18" t="s">
        <v>1672</v>
      </c>
      <c r="J523" s="18" t="s">
        <v>115</v>
      </c>
      <c r="K523" s="18" t="s">
        <v>2290</v>
      </c>
      <c r="L523" s="30" t="s">
        <v>1612</v>
      </c>
    </row>
    <row r="524" spans="1:12" hidden="1" x14ac:dyDescent="0.25">
      <c r="A524" s="18" t="s">
        <v>25</v>
      </c>
      <c r="B524" s="57">
        <v>7.2916666666666659E-4</v>
      </c>
      <c r="C524" s="58">
        <v>1</v>
      </c>
      <c r="D524" s="18" t="s">
        <v>1633</v>
      </c>
      <c r="E524" s="18" t="s">
        <v>1634</v>
      </c>
      <c r="F524" s="18" t="s">
        <v>1621</v>
      </c>
      <c r="G524" s="59">
        <v>19.12</v>
      </c>
      <c r="H524" s="59">
        <v>19.12</v>
      </c>
      <c r="I524" s="18" t="s">
        <v>367</v>
      </c>
      <c r="J524" s="18" t="s">
        <v>1599</v>
      </c>
      <c r="K524" s="18" t="s">
        <v>2290</v>
      </c>
      <c r="L524" s="30" t="s">
        <v>1612</v>
      </c>
    </row>
    <row r="525" spans="1:12" hidden="1" x14ac:dyDescent="0.25">
      <c r="A525" s="18" t="s">
        <v>25</v>
      </c>
      <c r="B525" s="57">
        <v>4.6643518518518518E-3</v>
      </c>
      <c r="C525" s="58">
        <v>1</v>
      </c>
      <c r="D525" s="18" t="s">
        <v>2291</v>
      </c>
      <c r="E525" s="18" t="s">
        <v>2292</v>
      </c>
      <c r="F525" s="18" t="s">
        <v>1621</v>
      </c>
      <c r="G525" s="59">
        <v>999.05</v>
      </c>
      <c r="H525" s="59">
        <v>999.05</v>
      </c>
      <c r="I525" s="18" t="s">
        <v>65</v>
      </c>
      <c r="J525" s="18" t="s">
        <v>1599</v>
      </c>
      <c r="K525" s="18" t="s">
        <v>2290</v>
      </c>
      <c r="L525" s="30" t="s">
        <v>1612</v>
      </c>
    </row>
    <row r="526" spans="1:12" hidden="1" x14ac:dyDescent="0.25">
      <c r="A526" s="18" t="s">
        <v>25</v>
      </c>
      <c r="B526" s="57">
        <v>5.5092592592592589E-3</v>
      </c>
      <c r="C526" s="58">
        <v>4</v>
      </c>
      <c r="D526" s="18" t="s">
        <v>45</v>
      </c>
      <c r="E526" s="18" t="s">
        <v>1119</v>
      </c>
      <c r="F526" s="18" t="s">
        <v>1621</v>
      </c>
      <c r="G526" s="59">
        <v>59.25</v>
      </c>
      <c r="H526" s="59">
        <v>237</v>
      </c>
      <c r="I526" s="18" t="s">
        <v>2293</v>
      </c>
      <c r="J526" s="18" t="s">
        <v>44</v>
      </c>
      <c r="K526" s="18" t="s">
        <v>2290</v>
      </c>
      <c r="L526" s="30" t="s">
        <v>1612</v>
      </c>
    </row>
    <row r="527" spans="1:12" hidden="1" x14ac:dyDescent="0.25">
      <c r="A527" s="18" t="s">
        <v>25</v>
      </c>
      <c r="B527" s="57">
        <v>1.7129629629629628E-3</v>
      </c>
      <c r="C527" s="58">
        <v>2</v>
      </c>
      <c r="D527" s="18" t="s">
        <v>1625</v>
      </c>
      <c r="E527" s="18" t="s">
        <v>1626</v>
      </c>
      <c r="F527" s="18" t="s">
        <v>1621</v>
      </c>
      <c r="G527" s="59">
        <v>8.39</v>
      </c>
      <c r="H527" s="59">
        <v>16.78</v>
      </c>
      <c r="I527" s="18" t="s">
        <v>65</v>
      </c>
      <c r="J527" s="18" t="s">
        <v>368</v>
      </c>
      <c r="K527" s="18" t="s">
        <v>2294</v>
      </c>
      <c r="L527" s="30" t="s">
        <v>1612</v>
      </c>
    </row>
    <row r="528" spans="1:12" hidden="1" x14ac:dyDescent="0.25">
      <c r="A528" s="18" t="s">
        <v>25</v>
      </c>
      <c r="B528" s="57">
        <v>5.7175925925925927E-3</v>
      </c>
      <c r="C528" s="58">
        <v>1</v>
      </c>
      <c r="D528" s="18" t="s">
        <v>2295</v>
      </c>
      <c r="E528" s="18" t="s">
        <v>2183</v>
      </c>
      <c r="F528" s="18" t="s">
        <v>1621</v>
      </c>
      <c r="G528" s="59">
        <v>783.74</v>
      </c>
      <c r="H528" s="59">
        <v>783.74</v>
      </c>
      <c r="I528" s="18" t="s">
        <v>511</v>
      </c>
      <c r="J528" s="18" t="s">
        <v>512</v>
      </c>
      <c r="K528" s="18" t="s">
        <v>2294</v>
      </c>
      <c r="L528" s="30" t="s">
        <v>1612</v>
      </c>
    </row>
    <row r="529" spans="1:12" hidden="1" x14ac:dyDescent="0.25">
      <c r="A529" s="18" t="s">
        <v>25</v>
      </c>
      <c r="B529" s="57">
        <v>7.0601851851851847E-4</v>
      </c>
      <c r="C529" s="58">
        <v>1</v>
      </c>
      <c r="D529" s="18" t="s">
        <v>1633</v>
      </c>
      <c r="E529" s="18" t="s">
        <v>1634</v>
      </c>
      <c r="F529" s="18" t="s">
        <v>1621</v>
      </c>
      <c r="G529" s="59">
        <v>19.12</v>
      </c>
      <c r="H529" s="59">
        <v>19.12</v>
      </c>
      <c r="I529" s="18" t="s">
        <v>367</v>
      </c>
      <c r="J529" s="18" t="s">
        <v>1599</v>
      </c>
      <c r="K529" s="18" t="s">
        <v>2294</v>
      </c>
      <c r="L529" s="30" t="s">
        <v>1612</v>
      </c>
    </row>
    <row r="530" spans="1:12" hidden="1" x14ac:dyDescent="0.25">
      <c r="A530" s="18" t="s">
        <v>25</v>
      </c>
      <c r="B530" s="57">
        <v>1.2152777777777778E-3</v>
      </c>
      <c r="C530" s="58">
        <v>2</v>
      </c>
      <c r="D530" s="18" t="s">
        <v>2180</v>
      </c>
      <c r="E530" s="18" t="s">
        <v>2181</v>
      </c>
      <c r="F530" s="18" t="s">
        <v>1621</v>
      </c>
      <c r="G530" s="59">
        <v>4.6900000000000004</v>
      </c>
      <c r="H530" s="59">
        <v>9.3800000000000008</v>
      </c>
      <c r="I530" s="18" t="s">
        <v>65</v>
      </c>
      <c r="J530" s="18" t="s">
        <v>66</v>
      </c>
      <c r="K530" s="18" t="s">
        <v>2294</v>
      </c>
      <c r="L530" s="30" t="s">
        <v>1612</v>
      </c>
    </row>
    <row r="531" spans="1:12" hidden="1" x14ac:dyDescent="0.25">
      <c r="A531" s="18" t="s">
        <v>25</v>
      </c>
      <c r="B531" s="57">
        <v>7.3032407407407404E-3</v>
      </c>
      <c r="C531" s="58">
        <v>6</v>
      </c>
      <c r="D531" s="18" t="s">
        <v>54</v>
      </c>
      <c r="E531" s="18" t="s">
        <v>1119</v>
      </c>
      <c r="F531" s="18" t="s">
        <v>1621</v>
      </c>
      <c r="G531" s="59">
        <v>59.25</v>
      </c>
      <c r="H531" s="59">
        <v>355.5</v>
      </c>
      <c r="I531" s="18" t="s">
        <v>2296</v>
      </c>
      <c r="J531" s="18" t="s">
        <v>44</v>
      </c>
      <c r="K531" s="18" t="s">
        <v>2294</v>
      </c>
      <c r="L531" s="30" t="s">
        <v>1612</v>
      </c>
    </row>
    <row r="532" spans="1:12" hidden="1" x14ac:dyDescent="0.25">
      <c r="A532" s="18" t="s">
        <v>25</v>
      </c>
      <c r="B532" s="57">
        <v>7.4074074074074068E-3</v>
      </c>
      <c r="C532" s="58">
        <v>4</v>
      </c>
      <c r="D532" s="18" t="s">
        <v>2297</v>
      </c>
      <c r="E532" s="18" t="s">
        <v>2226</v>
      </c>
      <c r="F532" s="18" t="s">
        <v>1621</v>
      </c>
      <c r="G532" s="59">
        <v>59.77</v>
      </c>
      <c r="H532" s="59">
        <v>239.08</v>
      </c>
      <c r="I532" s="18" t="s">
        <v>1672</v>
      </c>
      <c r="J532" s="18" t="s">
        <v>512</v>
      </c>
      <c r="K532" s="18" t="s">
        <v>2298</v>
      </c>
      <c r="L532" s="30" t="s">
        <v>1612</v>
      </c>
    </row>
    <row r="533" spans="1:12" hidden="1" x14ac:dyDescent="0.25">
      <c r="A533" s="18" t="s">
        <v>25</v>
      </c>
      <c r="B533" s="57">
        <v>8.5648148148148139E-4</v>
      </c>
      <c r="C533" s="58">
        <v>1</v>
      </c>
      <c r="D533" s="18" t="s">
        <v>2087</v>
      </c>
      <c r="E533" s="18" t="s">
        <v>2088</v>
      </c>
      <c r="F533" s="18" t="s">
        <v>1621</v>
      </c>
      <c r="G533" s="59">
        <v>18.63</v>
      </c>
      <c r="H533" s="59">
        <v>18.63</v>
      </c>
      <c r="I533" s="18" t="s">
        <v>1672</v>
      </c>
      <c r="J533" s="18" t="s">
        <v>115</v>
      </c>
      <c r="K533" s="18" t="s">
        <v>2298</v>
      </c>
      <c r="L533" s="30" t="s">
        <v>1612</v>
      </c>
    </row>
    <row r="534" spans="1:12" hidden="1" x14ac:dyDescent="0.25">
      <c r="A534" s="18" t="s">
        <v>25</v>
      </c>
      <c r="B534" s="57">
        <v>3.8425925925925923E-3</v>
      </c>
      <c r="C534" s="58">
        <v>2</v>
      </c>
      <c r="D534" s="18" t="s">
        <v>2299</v>
      </c>
      <c r="E534" s="18" t="s">
        <v>2300</v>
      </c>
      <c r="F534" s="18" t="s">
        <v>1621</v>
      </c>
      <c r="G534" s="59">
        <v>58.12</v>
      </c>
      <c r="H534" s="59">
        <v>116.24</v>
      </c>
      <c r="I534" s="18" t="s">
        <v>1672</v>
      </c>
      <c r="J534" s="18" t="s">
        <v>498</v>
      </c>
      <c r="K534" s="18" t="s">
        <v>2298</v>
      </c>
      <c r="L534" s="30" t="s">
        <v>1612</v>
      </c>
    </row>
    <row r="535" spans="1:12" hidden="1" x14ac:dyDescent="0.25">
      <c r="A535" s="18" t="s">
        <v>25</v>
      </c>
      <c r="B535" s="57">
        <v>8.7962962962962962E-4</v>
      </c>
      <c r="C535" s="58">
        <v>1</v>
      </c>
      <c r="D535" s="18" t="s">
        <v>2055</v>
      </c>
      <c r="E535" s="18" t="s">
        <v>2056</v>
      </c>
      <c r="F535" s="18" t="s">
        <v>1621</v>
      </c>
      <c r="G535" s="59">
        <v>18.61</v>
      </c>
      <c r="H535" s="59">
        <v>18.61</v>
      </c>
      <c r="I535" s="18" t="s">
        <v>1672</v>
      </c>
      <c r="J535" s="18" t="s">
        <v>498</v>
      </c>
      <c r="K535" s="18" t="s">
        <v>2298</v>
      </c>
      <c r="L535" s="30" t="s">
        <v>1612</v>
      </c>
    </row>
    <row r="536" spans="1:12" hidden="1" x14ac:dyDescent="0.25">
      <c r="A536" s="18" t="s">
        <v>25</v>
      </c>
      <c r="B536" s="57">
        <v>3.6458333333333334E-3</v>
      </c>
      <c r="C536" s="58">
        <v>1</v>
      </c>
      <c r="D536" s="18" t="s">
        <v>2301</v>
      </c>
      <c r="E536" s="18" t="s">
        <v>2302</v>
      </c>
      <c r="F536" s="18" t="s">
        <v>1621</v>
      </c>
      <c r="G536" s="59">
        <v>421.06</v>
      </c>
      <c r="H536" s="59">
        <v>421.06</v>
      </c>
      <c r="I536" s="18" t="s">
        <v>65</v>
      </c>
      <c r="J536" s="18" t="s">
        <v>1590</v>
      </c>
      <c r="K536" s="18" t="s">
        <v>2298</v>
      </c>
      <c r="L536" s="30" t="s">
        <v>1612</v>
      </c>
    </row>
    <row r="537" spans="1:12" hidden="1" x14ac:dyDescent="0.25">
      <c r="A537" s="18" t="s">
        <v>25</v>
      </c>
      <c r="B537" s="57">
        <v>2.1296296296296298E-3</v>
      </c>
      <c r="C537" s="58">
        <v>1</v>
      </c>
      <c r="D537" s="18" t="s">
        <v>2303</v>
      </c>
      <c r="E537" s="18" t="s">
        <v>2304</v>
      </c>
      <c r="F537" s="18" t="s">
        <v>1621</v>
      </c>
      <c r="G537" s="59">
        <v>217.15</v>
      </c>
      <c r="H537" s="59">
        <v>217.15</v>
      </c>
      <c r="I537" s="18" t="s">
        <v>65</v>
      </c>
      <c r="J537" s="18" t="s">
        <v>66</v>
      </c>
      <c r="K537" s="18" t="s">
        <v>2298</v>
      </c>
      <c r="L537" s="30" t="s">
        <v>1612</v>
      </c>
    </row>
    <row r="538" spans="1:12" hidden="1" x14ac:dyDescent="0.25">
      <c r="A538" s="18" t="s">
        <v>25</v>
      </c>
      <c r="B538" s="57">
        <v>8.3333333333333328E-4</v>
      </c>
      <c r="C538" s="58">
        <v>1</v>
      </c>
      <c r="D538" s="18" t="s">
        <v>2305</v>
      </c>
      <c r="E538" s="18" t="s">
        <v>2306</v>
      </c>
      <c r="F538" s="18" t="s">
        <v>1621</v>
      </c>
      <c r="G538" s="59">
        <v>19.61</v>
      </c>
      <c r="H538" s="59">
        <v>19.61</v>
      </c>
      <c r="I538" s="18" t="s">
        <v>65</v>
      </c>
      <c r="J538" s="18" t="s">
        <v>1599</v>
      </c>
      <c r="K538" s="18" t="s">
        <v>2298</v>
      </c>
      <c r="L538" s="30" t="s">
        <v>1612</v>
      </c>
    </row>
    <row r="539" spans="1:12" hidden="1" x14ac:dyDescent="0.25">
      <c r="A539" s="18" t="s">
        <v>25</v>
      </c>
      <c r="B539" s="57">
        <v>3.8657407407407408E-3</v>
      </c>
      <c r="C539" s="58">
        <v>3</v>
      </c>
      <c r="D539" s="18" t="s">
        <v>54</v>
      </c>
      <c r="E539" s="18" t="s">
        <v>1119</v>
      </c>
      <c r="F539" s="18" t="s">
        <v>1621</v>
      </c>
      <c r="G539" s="59">
        <v>59.25</v>
      </c>
      <c r="H539" s="59">
        <v>177.75</v>
      </c>
      <c r="I539" s="18" t="s">
        <v>2094</v>
      </c>
      <c r="J539" s="18" t="s">
        <v>44</v>
      </c>
      <c r="K539" s="18" t="s">
        <v>2298</v>
      </c>
      <c r="L539" s="30" t="s">
        <v>1612</v>
      </c>
    </row>
    <row r="540" spans="1:12" hidden="1" x14ac:dyDescent="0.25">
      <c r="A540" s="18" t="s">
        <v>25</v>
      </c>
      <c r="B540" s="57">
        <v>5.7754629629629631E-3</v>
      </c>
      <c r="C540" s="58">
        <v>1</v>
      </c>
      <c r="D540" s="18" t="s">
        <v>2307</v>
      </c>
      <c r="E540" s="18" t="s">
        <v>1620</v>
      </c>
      <c r="F540" s="18" t="s">
        <v>1621</v>
      </c>
      <c r="G540" s="59">
        <v>764.9</v>
      </c>
      <c r="H540" s="59">
        <v>764.9</v>
      </c>
      <c r="I540" s="18" t="s">
        <v>114</v>
      </c>
      <c r="J540" s="18" t="s">
        <v>512</v>
      </c>
      <c r="K540" s="18" t="s">
        <v>2308</v>
      </c>
      <c r="L540" s="30" t="s">
        <v>1612</v>
      </c>
    </row>
    <row r="541" spans="1:12" hidden="1" x14ac:dyDescent="0.25">
      <c r="A541" s="18" t="s">
        <v>25</v>
      </c>
      <c r="B541" s="57">
        <v>1.8518518518518517E-3</v>
      </c>
      <c r="C541" s="58">
        <v>1</v>
      </c>
      <c r="D541" s="18" t="s">
        <v>2309</v>
      </c>
      <c r="E541" s="18" t="s">
        <v>2310</v>
      </c>
      <c r="F541" s="18" t="s">
        <v>1621</v>
      </c>
      <c r="G541" s="59">
        <v>58.91</v>
      </c>
      <c r="H541" s="59">
        <v>58.91</v>
      </c>
      <c r="I541" s="18" t="s">
        <v>1672</v>
      </c>
      <c r="J541" s="18" t="s">
        <v>115</v>
      </c>
      <c r="K541" s="18" t="s">
        <v>2308</v>
      </c>
      <c r="L541" s="30" t="s">
        <v>1612</v>
      </c>
    </row>
    <row r="542" spans="1:12" hidden="1" x14ac:dyDescent="0.25">
      <c r="A542" s="18" t="s">
        <v>25</v>
      </c>
      <c r="B542" s="57">
        <v>5.6944444444444438E-3</v>
      </c>
      <c r="C542" s="58">
        <v>3</v>
      </c>
      <c r="D542" s="18" t="s">
        <v>2311</v>
      </c>
      <c r="E542" s="18" t="s">
        <v>2300</v>
      </c>
      <c r="F542" s="18" t="s">
        <v>1621</v>
      </c>
      <c r="G542" s="59">
        <v>58.12</v>
      </c>
      <c r="H542" s="59">
        <v>174.36</v>
      </c>
      <c r="I542" s="18" t="s">
        <v>1665</v>
      </c>
      <c r="J542" s="18" t="s">
        <v>498</v>
      </c>
      <c r="K542" s="18" t="s">
        <v>2308</v>
      </c>
      <c r="L542" s="30" t="s">
        <v>1612</v>
      </c>
    </row>
    <row r="543" spans="1:12" hidden="1" x14ac:dyDescent="0.25">
      <c r="A543" s="18" t="s">
        <v>25</v>
      </c>
      <c r="B543" s="57">
        <v>1.747685185185185E-3</v>
      </c>
      <c r="C543" s="58">
        <v>2</v>
      </c>
      <c r="D543" s="18" t="s">
        <v>2055</v>
      </c>
      <c r="E543" s="18" t="s">
        <v>2056</v>
      </c>
      <c r="F543" s="18" t="s">
        <v>1621</v>
      </c>
      <c r="G543" s="59">
        <v>18.61</v>
      </c>
      <c r="H543" s="59">
        <v>37.22</v>
      </c>
      <c r="I543" s="18" t="s">
        <v>1672</v>
      </c>
      <c r="J543" s="18" t="s">
        <v>498</v>
      </c>
      <c r="K543" s="18" t="s">
        <v>2308</v>
      </c>
      <c r="L543" s="30" t="s">
        <v>1612</v>
      </c>
    </row>
    <row r="544" spans="1:12" hidden="1" x14ac:dyDescent="0.25">
      <c r="A544" s="18" t="s">
        <v>25</v>
      </c>
      <c r="B544" s="57">
        <v>1.6319444444444443E-3</v>
      </c>
      <c r="C544" s="58">
        <v>1</v>
      </c>
      <c r="D544" s="18" t="s">
        <v>2228</v>
      </c>
      <c r="E544" s="18" t="s">
        <v>2153</v>
      </c>
      <c r="F544" s="18" t="s">
        <v>1621</v>
      </c>
      <c r="G544" s="59">
        <v>73.5</v>
      </c>
      <c r="H544" s="59">
        <v>73.5</v>
      </c>
      <c r="I544" s="18" t="s">
        <v>1665</v>
      </c>
      <c r="J544" s="18" t="s">
        <v>512</v>
      </c>
      <c r="K544" s="18" t="s">
        <v>2308</v>
      </c>
      <c r="L544" s="30" t="s">
        <v>1612</v>
      </c>
    </row>
    <row r="545" spans="1:12" hidden="1" x14ac:dyDescent="0.25">
      <c r="A545" s="18" t="s">
        <v>25</v>
      </c>
      <c r="B545" s="57">
        <v>1.6550925925925926E-3</v>
      </c>
      <c r="C545" s="58">
        <v>1</v>
      </c>
      <c r="D545" s="18" t="s">
        <v>2312</v>
      </c>
      <c r="E545" s="18" t="s">
        <v>2270</v>
      </c>
      <c r="F545" s="18" t="s">
        <v>1621</v>
      </c>
      <c r="G545" s="59">
        <v>57.73</v>
      </c>
      <c r="H545" s="59">
        <v>57.73</v>
      </c>
      <c r="I545" s="18" t="s">
        <v>367</v>
      </c>
      <c r="J545" s="18" t="s">
        <v>427</v>
      </c>
      <c r="K545" s="18" t="s">
        <v>2308</v>
      </c>
      <c r="L545" s="30" t="s">
        <v>1612</v>
      </c>
    </row>
    <row r="546" spans="1:12" hidden="1" x14ac:dyDescent="0.25">
      <c r="A546" s="18" t="s">
        <v>25</v>
      </c>
      <c r="B546" s="57">
        <v>7.1759259259259259E-4</v>
      </c>
      <c r="C546" s="58">
        <v>1</v>
      </c>
      <c r="D546" s="18" t="s">
        <v>2102</v>
      </c>
      <c r="E546" s="18" t="s">
        <v>2103</v>
      </c>
      <c r="F546" s="18" t="s">
        <v>1621</v>
      </c>
      <c r="G546" s="59">
        <v>9.4</v>
      </c>
      <c r="H546" s="59">
        <v>9.4</v>
      </c>
      <c r="I546" s="18" t="s">
        <v>65</v>
      </c>
      <c r="J546" s="18" t="s">
        <v>1590</v>
      </c>
      <c r="K546" s="18" t="s">
        <v>2308</v>
      </c>
      <c r="L546" s="30" t="s">
        <v>1612</v>
      </c>
    </row>
    <row r="547" spans="1:12" hidden="1" x14ac:dyDescent="0.25">
      <c r="A547" s="18" t="s">
        <v>25</v>
      </c>
      <c r="B547" s="57">
        <v>7.5231481481481482E-4</v>
      </c>
      <c r="C547" s="58">
        <v>1</v>
      </c>
      <c r="D547" s="18" t="s">
        <v>2313</v>
      </c>
      <c r="E547" s="18" t="s">
        <v>2314</v>
      </c>
      <c r="F547" s="18" t="s">
        <v>1621</v>
      </c>
      <c r="G547" s="59">
        <v>9.24</v>
      </c>
      <c r="H547" s="59">
        <v>9.24</v>
      </c>
      <c r="I547" s="18" t="s">
        <v>65</v>
      </c>
      <c r="J547" s="18" t="s">
        <v>1590</v>
      </c>
      <c r="K547" s="18" t="s">
        <v>2308</v>
      </c>
      <c r="L547" s="30" t="s">
        <v>1612</v>
      </c>
    </row>
    <row r="548" spans="1:12" hidden="1" x14ac:dyDescent="0.25">
      <c r="A548" s="18" t="s">
        <v>25</v>
      </c>
      <c r="B548" s="57">
        <v>6.5972222222222224E-4</v>
      </c>
      <c r="C548" s="58">
        <v>1</v>
      </c>
      <c r="D548" s="18" t="s">
        <v>2315</v>
      </c>
      <c r="E548" s="18" t="s">
        <v>2099</v>
      </c>
      <c r="F548" s="18" t="s">
        <v>1621</v>
      </c>
      <c r="G548" s="59">
        <v>7.49</v>
      </c>
      <c r="H548" s="59">
        <v>7.49</v>
      </c>
      <c r="I548" s="18" t="s">
        <v>65</v>
      </c>
      <c r="J548" s="18" t="s">
        <v>1591</v>
      </c>
      <c r="K548" s="18" t="s">
        <v>2308</v>
      </c>
      <c r="L548" s="30" t="s">
        <v>1612</v>
      </c>
    </row>
    <row r="549" spans="1:12" hidden="1" x14ac:dyDescent="0.25">
      <c r="A549" s="18" t="s">
        <v>25</v>
      </c>
      <c r="B549" s="57">
        <v>1.4351851851851852E-3</v>
      </c>
      <c r="C549" s="58">
        <v>1</v>
      </c>
      <c r="D549" s="18" t="s">
        <v>48</v>
      </c>
      <c r="E549" s="18" t="s">
        <v>1119</v>
      </c>
      <c r="F549" s="18" t="s">
        <v>1621</v>
      </c>
      <c r="G549" s="59">
        <v>59.87</v>
      </c>
      <c r="H549" s="59">
        <v>59.87</v>
      </c>
      <c r="I549" s="18" t="s">
        <v>2195</v>
      </c>
      <c r="J549" s="18" t="s">
        <v>44</v>
      </c>
      <c r="K549" s="18" t="s">
        <v>2308</v>
      </c>
      <c r="L549" s="30" t="s">
        <v>1612</v>
      </c>
    </row>
    <row r="550" spans="1:12" hidden="1" x14ac:dyDescent="0.25">
      <c r="A550" s="18" t="s">
        <v>25</v>
      </c>
      <c r="B550" s="57">
        <v>1.8518518518518517E-3</v>
      </c>
      <c r="C550" s="58">
        <v>1</v>
      </c>
      <c r="D550" s="18" t="s">
        <v>2316</v>
      </c>
      <c r="E550" s="18" t="s">
        <v>2286</v>
      </c>
      <c r="F550" s="18" t="s">
        <v>1621</v>
      </c>
      <c r="G550" s="59">
        <v>59.97</v>
      </c>
      <c r="H550" s="59">
        <v>59.97</v>
      </c>
      <c r="I550" s="18" t="s">
        <v>65</v>
      </c>
      <c r="J550" s="18" t="s">
        <v>1590</v>
      </c>
      <c r="K550" s="18" t="s">
        <v>2317</v>
      </c>
      <c r="L550" s="30" t="s">
        <v>1612</v>
      </c>
    </row>
    <row r="551" spans="1:12" hidden="1" x14ac:dyDescent="0.25">
      <c r="A551" s="18" t="s">
        <v>25</v>
      </c>
      <c r="B551" s="57">
        <v>2.2453703703703702E-3</v>
      </c>
      <c r="C551" s="58">
        <v>1</v>
      </c>
      <c r="D551" s="18" t="s">
        <v>2318</v>
      </c>
      <c r="E551" s="18" t="s">
        <v>2319</v>
      </c>
      <c r="F551" s="18" t="s">
        <v>1621</v>
      </c>
      <c r="G551" s="59">
        <v>224.79</v>
      </c>
      <c r="H551" s="59">
        <v>224.79</v>
      </c>
      <c r="I551" s="18" t="s">
        <v>65</v>
      </c>
      <c r="J551" s="18" t="s">
        <v>1596</v>
      </c>
      <c r="K551" s="18" t="s">
        <v>2317</v>
      </c>
      <c r="L551" s="30" t="s">
        <v>1612</v>
      </c>
    </row>
    <row r="552" spans="1:12" hidden="1" x14ac:dyDescent="0.25">
      <c r="A552" s="18" t="s">
        <v>25</v>
      </c>
      <c r="B552" s="57">
        <v>1.6435185185185185E-3</v>
      </c>
      <c r="C552" s="58">
        <v>1</v>
      </c>
      <c r="D552" s="18" t="s">
        <v>2320</v>
      </c>
      <c r="E552" s="18" t="s">
        <v>2321</v>
      </c>
      <c r="F552" s="18" t="s">
        <v>1621</v>
      </c>
      <c r="G552" s="59">
        <v>63.19</v>
      </c>
      <c r="H552" s="59">
        <v>63.19</v>
      </c>
      <c r="I552" s="18" t="s">
        <v>129</v>
      </c>
      <c r="J552" s="18" t="s">
        <v>512</v>
      </c>
      <c r="K552" s="18" t="s">
        <v>2317</v>
      </c>
      <c r="L552" s="30" t="s">
        <v>1612</v>
      </c>
    </row>
    <row r="553" spans="1:12" hidden="1" x14ac:dyDescent="0.25">
      <c r="A553" s="18" t="s">
        <v>25</v>
      </c>
      <c r="B553" s="57">
        <v>1.5856481481481481E-3</v>
      </c>
      <c r="C553" s="58">
        <v>1</v>
      </c>
      <c r="D553" s="18" t="s">
        <v>2322</v>
      </c>
      <c r="E553" s="18" t="s">
        <v>2323</v>
      </c>
      <c r="F553" s="18" t="s">
        <v>1621</v>
      </c>
      <c r="G553" s="59">
        <v>131.79</v>
      </c>
      <c r="H553" s="59">
        <v>131.79</v>
      </c>
      <c r="I553" s="18" t="s">
        <v>367</v>
      </c>
      <c r="J553" s="18" t="s">
        <v>368</v>
      </c>
      <c r="K553" s="18" t="s">
        <v>2317</v>
      </c>
      <c r="L553" s="30" t="s">
        <v>1612</v>
      </c>
    </row>
    <row r="554" spans="1:12" hidden="1" x14ac:dyDescent="0.25">
      <c r="A554" s="18" t="s">
        <v>25</v>
      </c>
      <c r="B554" s="57">
        <v>1.3541666666666667E-3</v>
      </c>
      <c r="C554" s="58">
        <v>1</v>
      </c>
      <c r="D554" s="18" t="s">
        <v>2324</v>
      </c>
      <c r="E554" s="18" t="s">
        <v>2325</v>
      </c>
      <c r="F554" s="18" t="s">
        <v>1621</v>
      </c>
      <c r="G554" s="59">
        <v>57.9</v>
      </c>
      <c r="H554" s="59">
        <v>57.9</v>
      </c>
      <c r="I554" s="18" t="s">
        <v>367</v>
      </c>
      <c r="J554" s="18" t="s">
        <v>367</v>
      </c>
      <c r="K554" s="18" t="s">
        <v>2317</v>
      </c>
      <c r="L554" s="30" t="s">
        <v>1612</v>
      </c>
    </row>
    <row r="555" spans="1:12" hidden="1" x14ac:dyDescent="0.25">
      <c r="A555" s="18" t="s">
        <v>25</v>
      </c>
      <c r="B555" s="57">
        <v>3.6111111111111109E-3</v>
      </c>
      <c r="C555" s="58">
        <v>1</v>
      </c>
      <c r="D555" s="18" t="s">
        <v>2326</v>
      </c>
      <c r="E555" s="18" t="s">
        <v>2327</v>
      </c>
      <c r="F555" s="18" t="s">
        <v>1621</v>
      </c>
      <c r="G555" s="59">
        <v>703.77</v>
      </c>
      <c r="H555" s="59">
        <v>703.77</v>
      </c>
      <c r="I555" s="18" t="s">
        <v>367</v>
      </c>
      <c r="J555" s="18" t="s">
        <v>1594</v>
      </c>
      <c r="K555" s="18" t="s">
        <v>2317</v>
      </c>
      <c r="L555" s="30" t="s">
        <v>1612</v>
      </c>
    </row>
    <row r="556" spans="1:12" hidden="1" x14ac:dyDescent="0.25">
      <c r="A556" s="18" t="s">
        <v>25</v>
      </c>
      <c r="B556" s="57">
        <v>6.0185185185185179E-4</v>
      </c>
      <c r="C556" s="58">
        <v>1</v>
      </c>
      <c r="D556" s="18" t="s">
        <v>2113</v>
      </c>
      <c r="E556" s="18" t="s">
        <v>2111</v>
      </c>
      <c r="F556" s="18" t="s">
        <v>1621</v>
      </c>
      <c r="G556" s="59">
        <v>8.3699999999999992</v>
      </c>
      <c r="H556" s="59">
        <v>8.3699999999999992</v>
      </c>
      <c r="I556" s="18" t="s">
        <v>1665</v>
      </c>
      <c r="J556" s="18" t="s">
        <v>115</v>
      </c>
      <c r="K556" s="18" t="s">
        <v>2317</v>
      </c>
      <c r="L556" s="30" t="s">
        <v>1612</v>
      </c>
    </row>
    <row r="557" spans="1:12" hidden="1" x14ac:dyDescent="0.25">
      <c r="A557" s="18" t="s">
        <v>25</v>
      </c>
      <c r="B557" s="57">
        <v>2.6273148148148145E-3</v>
      </c>
      <c r="C557" s="58">
        <v>3</v>
      </c>
      <c r="D557" s="18" t="s">
        <v>2055</v>
      </c>
      <c r="E557" s="18" t="s">
        <v>2056</v>
      </c>
      <c r="F557" s="18" t="s">
        <v>1621</v>
      </c>
      <c r="G557" s="59">
        <v>18.61</v>
      </c>
      <c r="H557" s="59">
        <v>55.83</v>
      </c>
      <c r="I557" s="18" t="s">
        <v>1672</v>
      </c>
      <c r="J557" s="18" t="s">
        <v>498</v>
      </c>
      <c r="K557" s="18" t="s">
        <v>2317</v>
      </c>
      <c r="L557" s="30" t="s">
        <v>1612</v>
      </c>
    </row>
    <row r="558" spans="1:12" hidden="1" x14ac:dyDescent="0.25">
      <c r="A558" s="18" t="s">
        <v>25</v>
      </c>
      <c r="B558" s="57">
        <v>6.9444444444444436E-4</v>
      </c>
      <c r="C558" s="58">
        <v>1</v>
      </c>
      <c r="D558" s="18" t="s">
        <v>2328</v>
      </c>
      <c r="E558" s="18" t="s">
        <v>2329</v>
      </c>
      <c r="F558" s="18" t="s">
        <v>1621</v>
      </c>
      <c r="G558" s="59">
        <v>14.31</v>
      </c>
      <c r="H558" s="59">
        <v>14.31</v>
      </c>
      <c r="I558" s="18" t="s">
        <v>367</v>
      </c>
      <c r="J558" s="18" t="s">
        <v>367</v>
      </c>
      <c r="K558" s="18" t="s">
        <v>2317</v>
      </c>
      <c r="L558" s="30" t="s">
        <v>1612</v>
      </c>
    </row>
    <row r="559" spans="1:12" hidden="1" x14ac:dyDescent="0.25">
      <c r="A559" s="18" t="s">
        <v>25</v>
      </c>
      <c r="B559" s="57">
        <v>1.1689814814814813E-3</v>
      </c>
      <c r="C559" s="58">
        <v>2</v>
      </c>
      <c r="D559" s="18" t="s">
        <v>2113</v>
      </c>
      <c r="E559" s="18" t="s">
        <v>2111</v>
      </c>
      <c r="F559" s="18" t="s">
        <v>1621</v>
      </c>
      <c r="G559" s="59">
        <v>8.3699999999999992</v>
      </c>
      <c r="H559" s="59">
        <v>16.739999999999998</v>
      </c>
      <c r="I559" s="18" t="s">
        <v>1665</v>
      </c>
      <c r="J559" s="18" t="s">
        <v>115</v>
      </c>
      <c r="K559" s="18" t="s">
        <v>2330</v>
      </c>
      <c r="L559" s="30" t="s">
        <v>1612</v>
      </c>
    </row>
    <row r="560" spans="1:12" hidden="1" x14ac:dyDescent="0.25">
      <c r="A560" s="18" t="s">
        <v>25</v>
      </c>
      <c r="B560" s="57">
        <v>1.7708333333333332E-3</v>
      </c>
      <c r="C560" s="58">
        <v>1</v>
      </c>
      <c r="D560" s="18" t="s">
        <v>2225</v>
      </c>
      <c r="E560" s="18" t="s">
        <v>2226</v>
      </c>
      <c r="F560" s="18" t="s">
        <v>1621</v>
      </c>
      <c r="G560" s="59">
        <v>59.77</v>
      </c>
      <c r="H560" s="59">
        <v>59.77</v>
      </c>
      <c r="I560" s="18" t="s">
        <v>1665</v>
      </c>
      <c r="J560" s="18" t="s">
        <v>512</v>
      </c>
      <c r="K560" s="18" t="s">
        <v>2330</v>
      </c>
      <c r="L560" s="30" t="s">
        <v>1612</v>
      </c>
    </row>
    <row r="561" spans="1:12" hidden="1" x14ac:dyDescent="0.25">
      <c r="A561" s="18" t="s">
        <v>25</v>
      </c>
      <c r="B561" s="57">
        <v>5.324074074074074E-3</v>
      </c>
      <c r="C561" s="58">
        <v>3</v>
      </c>
      <c r="D561" s="18" t="s">
        <v>2297</v>
      </c>
      <c r="E561" s="18" t="s">
        <v>2226</v>
      </c>
      <c r="F561" s="18" t="s">
        <v>1621</v>
      </c>
      <c r="G561" s="59">
        <v>59.77</v>
      </c>
      <c r="H561" s="59">
        <v>179.31</v>
      </c>
      <c r="I561" s="18" t="s">
        <v>1672</v>
      </c>
      <c r="J561" s="18" t="s">
        <v>512</v>
      </c>
      <c r="K561" s="18" t="s">
        <v>2330</v>
      </c>
      <c r="L561" s="30" t="s">
        <v>1612</v>
      </c>
    </row>
    <row r="562" spans="1:12" hidden="1" x14ac:dyDescent="0.25">
      <c r="A562" s="18" t="s">
        <v>25</v>
      </c>
      <c r="B562" s="57">
        <v>9.0277777777777774E-4</v>
      </c>
      <c r="C562" s="58">
        <v>2</v>
      </c>
      <c r="D562" s="18" t="s">
        <v>2062</v>
      </c>
      <c r="E562" s="18" t="s">
        <v>2063</v>
      </c>
      <c r="F562" s="18" t="s">
        <v>1621</v>
      </c>
      <c r="G562" s="59">
        <v>2.2799999999999998</v>
      </c>
      <c r="H562" s="59">
        <v>4.5599999999999996</v>
      </c>
      <c r="I562" s="18" t="s">
        <v>367</v>
      </c>
      <c r="J562" s="18" t="s">
        <v>1592</v>
      </c>
      <c r="K562" s="18" t="s">
        <v>2330</v>
      </c>
      <c r="L562" s="30" t="s">
        <v>1612</v>
      </c>
    </row>
    <row r="563" spans="1:12" hidden="1" x14ac:dyDescent="0.25">
      <c r="A563" s="18" t="s">
        <v>25</v>
      </c>
      <c r="B563" s="57">
        <v>5.393518518518518E-3</v>
      </c>
      <c r="C563" s="58">
        <v>1</v>
      </c>
      <c r="D563" s="18" t="s">
        <v>2331</v>
      </c>
      <c r="E563" s="18" t="s">
        <v>2332</v>
      </c>
      <c r="F563" s="18" t="s">
        <v>1621</v>
      </c>
      <c r="G563" s="59">
        <v>769.63</v>
      </c>
      <c r="H563" s="59">
        <v>769.63</v>
      </c>
      <c r="I563" s="18" t="s">
        <v>367</v>
      </c>
      <c r="J563" s="18" t="s">
        <v>368</v>
      </c>
      <c r="K563" s="18" t="s">
        <v>2330</v>
      </c>
      <c r="L563" s="30" t="s">
        <v>1612</v>
      </c>
    </row>
    <row r="564" spans="1:12" hidden="1" x14ac:dyDescent="0.25">
      <c r="A564" s="18" t="s">
        <v>25</v>
      </c>
      <c r="B564" s="57">
        <v>7.8703703703703705E-4</v>
      </c>
      <c r="C564" s="58">
        <v>1</v>
      </c>
      <c r="D564" s="18" t="s">
        <v>2333</v>
      </c>
      <c r="E564" s="18" t="s">
        <v>2253</v>
      </c>
      <c r="F564" s="18" t="s">
        <v>1621</v>
      </c>
      <c r="G564" s="59">
        <v>20.100000000000001</v>
      </c>
      <c r="H564" s="59">
        <v>20.100000000000001</v>
      </c>
      <c r="I564" s="18" t="s">
        <v>65</v>
      </c>
      <c r="J564" s="18" t="s">
        <v>66</v>
      </c>
      <c r="K564" s="18" t="s">
        <v>2330</v>
      </c>
      <c r="L564" s="30" t="s">
        <v>1612</v>
      </c>
    </row>
    <row r="565" spans="1:12" hidden="1" x14ac:dyDescent="0.25">
      <c r="A565" s="18" t="s">
        <v>25</v>
      </c>
      <c r="B565" s="57">
        <v>2.4768518518518516E-3</v>
      </c>
      <c r="C565" s="58">
        <v>4</v>
      </c>
      <c r="D565" s="18" t="s">
        <v>2180</v>
      </c>
      <c r="E565" s="18" t="s">
        <v>2181</v>
      </c>
      <c r="F565" s="18" t="s">
        <v>1621</v>
      </c>
      <c r="G565" s="59">
        <v>4.6900000000000004</v>
      </c>
      <c r="H565" s="59">
        <v>18.760000000000002</v>
      </c>
      <c r="I565" s="18" t="s">
        <v>65</v>
      </c>
      <c r="J565" s="18" t="s">
        <v>66</v>
      </c>
      <c r="K565" s="18" t="s">
        <v>2330</v>
      </c>
      <c r="L565" s="30" t="s">
        <v>1612</v>
      </c>
    </row>
    <row r="566" spans="1:12" hidden="1" x14ac:dyDescent="0.25">
      <c r="A566" s="18" t="s">
        <v>25</v>
      </c>
      <c r="B566" s="57">
        <v>1.6550925925925926E-3</v>
      </c>
      <c r="C566" s="58">
        <v>1</v>
      </c>
      <c r="D566" s="18" t="s">
        <v>2334</v>
      </c>
      <c r="E566" s="18" t="s">
        <v>2335</v>
      </c>
      <c r="F566" s="18" t="s">
        <v>1621</v>
      </c>
      <c r="G566" s="59">
        <v>61.64</v>
      </c>
      <c r="H566" s="59">
        <v>61.64</v>
      </c>
      <c r="I566" s="18" t="s">
        <v>65</v>
      </c>
      <c r="J566" s="18" t="s">
        <v>66</v>
      </c>
      <c r="K566" s="18" t="s">
        <v>2330</v>
      </c>
      <c r="L566" s="30" t="s">
        <v>1612</v>
      </c>
    </row>
    <row r="567" spans="1:12" hidden="1" x14ac:dyDescent="0.25">
      <c r="A567" s="18" t="s">
        <v>25</v>
      </c>
      <c r="B567" s="57">
        <v>1.6550925925925926E-3</v>
      </c>
      <c r="C567" s="58">
        <v>1</v>
      </c>
      <c r="D567" s="18" t="s">
        <v>2336</v>
      </c>
      <c r="E567" s="18" t="s">
        <v>2335</v>
      </c>
      <c r="F567" s="18" t="s">
        <v>1621</v>
      </c>
      <c r="G567" s="59">
        <v>61.65</v>
      </c>
      <c r="H567" s="59">
        <v>61.65</v>
      </c>
      <c r="I567" s="18" t="s">
        <v>65</v>
      </c>
      <c r="J567" s="18" t="s">
        <v>66</v>
      </c>
      <c r="K567" s="18" t="s">
        <v>2330</v>
      </c>
      <c r="L567" s="30" t="s">
        <v>1612</v>
      </c>
    </row>
    <row r="568" spans="1:12" hidden="1" x14ac:dyDescent="0.25">
      <c r="A568" s="18" t="s">
        <v>25</v>
      </c>
      <c r="B568" s="57">
        <v>1.3888888888888887E-3</v>
      </c>
      <c r="C568" s="58">
        <v>1</v>
      </c>
      <c r="D568" s="18" t="s">
        <v>48</v>
      </c>
      <c r="E568" s="18" t="s">
        <v>1119</v>
      </c>
      <c r="F568" s="18" t="s">
        <v>1621</v>
      </c>
      <c r="G568" s="59">
        <v>59.87</v>
      </c>
      <c r="H568" s="59">
        <v>59.87</v>
      </c>
      <c r="I568" s="18" t="s">
        <v>2195</v>
      </c>
      <c r="J568" s="18" t="s">
        <v>44</v>
      </c>
      <c r="K568" s="18" t="s">
        <v>2330</v>
      </c>
      <c r="L568" s="30" t="s">
        <v>1612</v>
      </c>
    </row>
    <row r="569" spans="1:12" hidden="1" x14ac:dyDescent="0.25">
      <c r="A569" s="18" t="s">
        <v>25</v>
      </c>
      <c r="B569" s="57">
        <v>1.4814814814814814E-3</v>
      </c>
      <c r="C569" s="58">
        <v>1</v>
      </c>
      <c r="D569" s="18" t="s">
        <v>2337</v>
      </c>
      <c r="E569" s="18" t="s">
        <v>2286</v>
      </c>
      <c r="F569" s="18" t="s">
        <v>1621</v>
      </c>
      <c r="G569" s="59">
        <v>62.78</v>
      </c>
      <c r="H569" s="59">
        <v>62.78</v>
      </c>
      <c r="I569" s="18" t="s">
        <v>65</v>
      </c>
      <c r="J569" s="18" t="s">
        <v>512</v>
      </c>
      <c r="K569" s="18" t="s">
        <v>2338</v>
      </c>
      <c r="L569" s="30" t="s">
        <v>1612</v>
      </c>
    </row>
    <row r="570" spans="1:12" hidden="1" x14ac:dyDescent="0.25">
      <c r="A570" s="18" t="s">
        <v>25</v>
      </c>
      <c r="B570" s="57">
        <v>1.7592592592592592E-3</v>
      </c>
      <c r="C570" s="58">
        <v>1</v>
      </c>
      <c r="D570" s="18" t="s">
        <v>2339</v>
      </c>
      <c r="E570" s="18" t="s">
        <v>2226</v>
      </c>
      <c r="F570" s="18" t="s">
        <v>1621</v>
      </c>
      <c r="G570" s="59">
        <v>62.55</v>
      </c>
      <c r="H570" s="59">
        <v>62.55</v>
      </c>
      <c r="I570" s="18" t="s">
        <v>65</v>
      </c>
      <c r="J570" s="18" t="s">
        <v>1598</v>
      </c>
      <c r="K570" s="18" t="s">
        <v>2338</v>
      </c>
      <c r="L570" s="30" t="s">
        <v>1612</v>
      </c>
    </row>
    <row r="571" spans="1:12" hidden="1" x14ac:dyDescent="0.25">
      <c r="A571" s="18" t="s">
        <v>25</v>
      </c>
      <c r="B571" s="57">
        <v>1.0879629629629629E-3</v>
      </c>
      <c r="C571" s="58">
        <v>2</v>
      </c>
      <c r="D571" s="18" t="s">
        <v>2113</v>
      </c>
      <c r="E571" s="18" t="s">
        <v>2111</v>
      </c>
      <c r="F571" s="18" t="s">
        <v>1621</v>
      </c>
      <c r="G571" s="59">
        <v>8.3699999999999992</v>
      </c>
      <c r="H571" s="59">
        <v>16.739999999999998</v>
      </c>
      <c r="I571" s="18" t="s">
        <v>1665</v>
      </c>
      <c r="J571" s="18" t="s">
        <v>115</v>
      </c>
      <c r="K571" s="18" t="s">
        <v>2338</v>
      </c>
      <c r="L571" s="30" t="s">
        <v>1612</v>
      </c>
    </row>
    <row r="572" spans="1:12" hidden="1" x14ac:dyDescent="0.25">
      <c r="A572" s="18" t="s">
        <v>25</v>
      </c>
      <c r="B572" s="57">
        <v>3.4259259259259256E-3</v>
      </c>
      <c r="C572" s="58">
        <v>2</v>
      </c>
      <c r="D572" s="18" t="s">
        <v>2299</v>
      </c>
      <c r="E572" s="18" t="s">
        <v>2300</v>
      </c>
      <c r="F572" s="18" t="s">
        <v>1621</v>
      </c>
      <c r="G572" s="59">
        <v>58.12</v>
      </c>
      <c r="H572" s="59">
        <v>116.24</v>
      </c>
      <c r="I572" s="18" t="s">
        <v>1672</v>
      </c>
      <c r="J572" s="18" t="s">
        <v>498</v>
      </c>
      <c r="K572" s="18" t="s">
        <v>2338</v>
      </c>
      <c r="L572" s="30" t="s">
        <v>1612</v>
      </c>
    </row>
    <row r="573" spans="1:12" hidden="1" x14ac:dyDescent="0.25">
      <c r="A573" s="18" t="s">
        <v>25</v>
      </c>
      <c r="B573" s="57">
        <v>1.5740740740740741E-3</v>
      </c>
      <c r="C573" s="58">
        <v>1</v>
      </c>
      <c r="D573" s="18" t="s">
        <v>1623</v>
      </c>
      <c r="E573" s="18" t="s">
        <v>1624</v>
      </c>
      <c r="F573" s="18" t="s">
        <v>1621</v>
      </c>
      <c r="G573" s="59">
        <v>76.63</v>
      </c>
      <c r="H573" s="59">
        <v>76.63</v>
      </c>
      <c r="I573" s="18" t="s">
        <v>1588</v>
      </c>
      <c r="J573" s="18" t="s">
        <v>44</v>
      </c>
      <c r="K573" s="18" t="s">
        <v>2338</v>
      </c>
      <c r="L573" s="30" t="s">
        <v>1612</v>
      </c>
    </row>
    <row r="574" spans="1:12" hidden="1" x14ac:dyDescent="0.25">
      <c r="A574" s="18" t="s">
        <v>25</v>
      </c>
      <c r="B574" s="57">
        <v>2.2337962962962962E-3</v>
      </c>
      <c r="C574" s="58">
        <v>1</v>
      </c>
      <c r="D574" s="18" t="s">
        <v>2340</v>
      </c>
      <c r="E574" s="18" t="s">
        <v>2341</v>
      </c>
      <c r="F574" s="18" t="s">
        <v>1621</v>
      </c>
      <c r="G574" s="59">
        <v>208.85</v>
      </c>
      <c r="H574" s="59">
        <v>208.85</v>
      </c>
      <c r="I574" s="18" t="s">
        <v>367</v>
      </c>
      <c r="J574" s="18" t="s">
        <v>1598</v>
      </c>
      <c r="K574" s="18" t="s">
        <v>2338</v>
      </c>
      <c r="L574" s="30" t="s">
        <v>1612</v>
      </c>
    </row>
    <row r="575" spans="1:12" hidden="1" x14ac:dyDescent="0.25">
      <c r="A575" s="18" t="s">
        <v>25</v>
      </c>
      <c r="B575" s="57">
        <v>2.2337962962962962E-3</v>
      </c>
      <c r="C575" s="58">
        <v>1</v>
      </c>
      <c r="D575" s="18" t="s">
        <v>2342</v>
      </c>
      <c r="E575" s="18" t="s">
        <v>2341</v>
      </c>
      <c r="F575" s="18" t="s">
        <v>1621</v>
      </c>
      <c r="G575" s="59">
        <v>208.85</v>
      </c>
      <c r="H575" s="59">
        <v>208.85</v>
      </c>
      <c r="I575" s="18" t="s">
        <v>367</v>
      </c>
      <c r="J575" s="18" t="s">
        <v>1599</v>
      </c>
      <c r="K575" s="18" t="s">
        <v>2338</v>
      </c>
      <c r="L575" s="30" t="s">
        <v>1612</v>
      </c>
    </row>
    <row r="576" spans="1:12" hidden="1" x14ac:dyDescent="0.25">
      <c r="A576" s="18" t="s">
        <v>25</v>
      </c>
      <c r="B576" s="57">
        <v>2.9166666666666664E-3</v>
      </c>
      <c r="C576" s="58">
        <v>1</v>
      </c>
      <c r="D576" s="18" t="s">
        <v>2343</v>
      </c>
      <c r="E576" s="18" t="s">
        <v>2344</v>
      </c>
      <c r="F576" s="18" t="s">
        <v>1621</v>
      </c>
      <c r="G576" s="59">
        <v>318.27999999999997</v>
      </c>
      <c r="H576" s="59">
        <v>318.27999999999997</v>
      </c>
      <c r="I576" s="18" t="s">
        <v>65</v>
      </c>
      <c r="J576" s="18" t="s">
        <v>1589</v>
      </c>
      <c r="K576" s="18" t="s">
        <v>2338</v>
      </c>
      <c r="L576" s="30" t="s">
        <v>1612</v>
      </c>
    </row>
    <row r="577" spans="1:12" hidden="1" x14ac:dyDescent="0.25">
      <c r="A577" s="18" t="s">
        <v>25</v>
      </c>
      <c r="B577" s="57">
        <v>1.5624999999999999E-3</v>
      </c>
      <c r="C577" s="58">
        <v>1</v>
      </c>
      <c r="D577" s="18" t="s">
        <v>2345</v>
      </c>
      <c r="E577" s="18" t="s">
        <v>2346</v>
      </c>
      <c r="F577" s="18" t="s">
        <v>1621</v>
      </c>
      <c r="G577" s="59">
        <v>65.66</v>
      </c>
      <c r="H577" s="59">
        <v>65.66</v>
      </c>
      <c r="I577" s="18" t="s">
        <v>65</v>
      </c>
      <c r="J577" s="18" t="s">
        <v>1591</v>
      </c>
      <c r="K577" s="18" t="s">
        <v>2338</v>
      </c>
      <c r="L577" s="30" t="s">
        <v>1612</v>
      </c>
    </row>
    <row r="578" spans="1:12" hidden="1" x14ac:dyDescent="0.25">
      <c r="A578" s="18" t="s">
        <v>25</v>
      </c>
      <c r="B578" s="57">
        <v>1.7592592592592592E-3</v>
      </c>
      <c r="C578" s="58">
        <v>1</v>
      </c>
      <c r="D578" s="18" t="s">
        <v>2347</v>
      </c>
      <c r="E578" s="18" t="s">
        <v>2226</v>
      </c>
      <c r="F578" s="18" t="s">
        <v>1621</v>
      </c>
      <c r="G578" s="59">
        <v>62.71</v>
      </c>
      <c r="H578" s="59">
        <v>62.71</v>
      </c>
      <c r="I578" s="18" t="s">
        <v>65</v>
      </c>
      <c r="J578" s="18" t="s">
        <v>1596</v>
      </c>
      <c r="K578" s="18" t="s">
        <v>2338</v>
      </c>
      <c r="L578" s="30" t="s">
        <v>1612</v>
      </c>
    </row>
    <row r="579" spans="1:12" hidden="1" x14ac:dyDescent="0.25">
      <c r="A579" s="18" t="s">
        <v>25</v>
      </c>
      <c r="B579" s="57">
        <v>1.7592592592592592E-3</v>
      </c>
      <c r="C579" s="58">
        <v>1</v>
      </c>
      <c r="D579" s="18" t="s">
        <v>2348</v>
      </c>
      <c r="E579" s="18" t="s">
        <v>2226</v>
      </c>
      <c r="F579" s="18" t="s">
        <v>1621</v>
      </c>
      <c r="G579" s="59">
        <v>62.71</v>
      </c>
      <c r="H579" s="59">
        <v>62.71</v>
      </c>
      <c r="I579" s="18" t="s">
        <v>65</v>
      </c>
      <c r="J579" s="18" t="s">
        <v>1597</v>
      </c>
      <c r="K579" s="18" t="s">
        <v>2338</v>
      </c>
      <c r="L579" s="30" t="s">
        <v>1612</v>
      </c>
    </row>
    <row r="580" spans="1:12" hidden="1" x14ac:dyDescent="0.25">
      <c r="A580" s="18" t="s">
        <v>25</v>
      </c>
      <c r="B580" s="57">
        <v>2.1874999999999998E-3</v>
      </c>
      <c r="C580" s="58">
        <v>1</v>
      </c>
      <c r="D580" s="18" t="s">
        <v>2349</v>
      </c>
      <c r="E580" s="18" t="s">
        <v>2116</v>
      </c>
      <c r="F580" s="18" t="s">
        <v>1621</v>
      </c>
      <c r="G580" s="59">
        <v>176.8</v>
      </c>
      <c r="H580" s="59">
        <v>176.8</v>
      </c>
      <c r="I580" s="18" t="s">
        <v>65</v>
      </c>
      <c r="J580" s="18" t="s">
        <v>368</v>
      </c>
      <c r="K580" s="18" t="s">
        <v>2350</v>
      </c>
      <c r="L580" s="30" t="s">
        <v>1612</v>
      </c>
    </row>
    <row r="581" spans="1:12" hidden="1" x14ac:dyDescent="0.25">
      <c r="A581" s="18" t="s">
        <v>25</v>
      </c>
      <c r="B581" s="57">
        <v>3.0208333333333333E-3</v>
      </c>
      <c r="C581" s="58">
        <v>1</v>
      </c>
      <c r="D581" s="18" t="s">
        <v>2351</v>
      </c>
      <c r="E581" s="18" t="s">
        <v>2344</v>
      </c>
      <c r="F581" s="18" t="s">
        <v>1621</v>
      </c>
      <c r="G581" s="59">
        <v>318.27999999999997</v>
      </c>
      <c r="H581" s="59">
        <v>318.27999999999997</v>
      </c>
      <c r="I581" s="18" t="s">
        <v>65</v>
      </c>
      <c r="J581" s="18" t="s">
        <v>1591</v>
      </c>
      <c r="K581" s="18" t="s">
        <v>2350</v>
      </c>
      <c r="L581" s="30" t="s">
        <v>1612</v>
      </c>
    </row>
    <row r="582" spans="1:12" hidden="1" x14ac:dyDescent="0.25">
      <c r="A582" s="18" t="s">
        <v>25</v>
      </c>
      <c r="B582" s="57">
        <v>1.2384259259259258E-3</v>
      </c>
      <c r="C582" s="58">
        <v>1</v>
      </c>
      <c r="D582" s="18" t="s">
        <v>2057</v>
      </c>
      <c r="E582" s="18" t="s">
        <v>2049</v>
      </c>
      <c r="F582" s="18" t="s">
        <v>1621</v>
      </c>
      <c r="G582" s="59">
        <v>63.24</v>
      </c>
      <c r="H582" s="59">
        <v>63.24</v>
      </c>
      <c r="I582" s="18" t="s">
        <v>1588</v>
      </c>
      <c r="J582" s="18" t="s">
        <v>44</v>
      </c>
      <c r="K582" s="18" t="s">
        <v>2350</v>
      </c>
      <c r="L582" s="30" t="s">
        <v>1612</v>
      </c>
    </row>
    <row r="583" spans="1:12" hidden="1" x14ac:dyDescent="0.25">
      <c r="A583" s="18" t="s">
        <v>25</v>
      </c>
      <c r="B583" s="57">
        <v>6.9444444444444436E-4</v>
      </c>
      <c r="C583" s="58">
        <v>1</v>
      </c>
      <c r="D583" s="18" t="s">
        <v>2168</v>
      </c>
      <c r="E583" s="18" t="s">
        <v>1634</v>
      </c>
      <c r="F583" s="18" t="s">
        <v>1621</v>
      </c>
      <c r="G583" s="59">
        <v>19.12</v>
      </c>
      <c r="H583" s="59">
        <v>19.12</v>
      </c>
      <c r="I583" s="18" t="s">
        <v>367</v>
      </c>
      <c r="J583" s="18" t="s">
        <v>1598</v>
      </c>
      <c r="K583" s="18" t="s">
        <v>2350</v>
      </c>
      <c r="L583" s="30" t="s">
        <v>1612</v>
      </c>
    </row>
    <row r="584" spans="1:12" hidden="1" x14ac:dyDescent="0.25">
      <c r="A584" s="18" t="s">
        <v>25</v>
      </c>
      <c r="B584" s="57">
        <v>3.9699074074074072E-3</v>
      </c>
      <c r="C584" s="58">
        <v>7</v>
      </c>
      <c r="D584" s="18" t="s">
        <v>2113</v>
      </c>
      <c r="E584" s="18" t="s">
        <v>2111</v>
      </c>
      <c r="F584" s="18" t="s">
        <v>1621</v>
      </c>
      <c r="G584" s="59">
        <v>8.3699999999999992</v>
      </c>
      <c r="H584" s="59">
        <v>58.59</v>
      </c>
      <c r="I584" s="18" t="s">
        <v>1665</v>
      </c>
      <c r="J584" s="18" t="s">
        <v>115</v>
      </c>
      <c r="K584" s="18" t="s">
        <v>2350</v>
      </c>
      <c r="L584" s="30" t="s">
        <v>1612</v>
      </c>
    </row>
    <row r="585" spans="1:12" hidden="1" x14ac:dyDescent="0.25">
      <c r="A585" s="18" t="s">
        <v>25</v>
      </c>
      <c r="B585" s="57">
        <v>7.129629629629629E-3</v>
      </c>
      <c r="C585" s="58">
        <v>4</v>
      </c>
      <c r="D585" s="18" t="s">
        <v>2299</v>
      </c>
      <c r="E585" s="18" t="s">
        <v>2300</v>
      </c>
      <c r="F585" s="18" t="s">
        <v>1621</v>
      </c>
      <c r="G585" s="59">
        <v>58.12</v>
      </c>
      <c r="H585" s="59">
        <v>232.48</v>
      </c>
      <c r="I585" s="18" t="s">
        <v>1672</v>
      </c>
      <c r="J585" s="18" t="s">
        <v>498</v>
      </c>
      <c r="K585" s="18" t="s">
        <v>2350</v>
      </c>
      <c r="L585" s="30" t="s">
        <v>1612</v>
      </c>
    </row>
    <row r="586" spans="1:12" hidden="1" x14ac:dyDescent="0.25">
      <c r="A586" s="18" t="s">
        <v>25</v>
      </c>
      <c r="B586" s="57">
        <v>6.4930555555555549E-3</v>
      </c>
      <c r="C586" s="58">
        <v>4</v>
      </c>
      <c r="D586" s="18" t="s">
        <v>2352</v>
      </c>
      <c r="E586" s="18" t="s">
        <v>2161</v>
      </c>
      <c r="F586" s="18" t="s">
        <v>1621</v>
      </c>
      <c r="G586" s="59">
        <v>79.45</v>
      </c>
      <c r="H586" s="59">
        <v>317.8</v>
      </c>
      <c r="I586" s="18" t="s">
        <v>147</v>
      </c>
      <c r="J586" s="18" t="s">
        <v>512</v>
      </c>
      <c r="K586" s="18" t="s">
        <v>2350</v>
      </c>
      <c r="L586" s="30" t="s">
        <v>1612</v>
      </c>
    </row>
    <row r="587" spans="1:12" x14ac:dyDescent="0.25">
      <c r="A587" s="18" t="s">
        <v>25</v>
      </c>
      <c r="B587" s="57">
        <v>6.9097222222222216E-3</v>
      </c>
      <c r="C587" s="58">
        <v>1</v>
      </c>
      <c r="D587" s="18" t="s">
        <v>153</v>
      </c>
      <c r="E587" s="18" t="s">
        <v>119</v>
      </c>
      <c r="F587" s="18" t="s">
        <v>1621</v>
      </c>
      <c r="G587" s="59">
        <v>1401.7</v>
      </c>
      <c r="H587" s="59">
        <v>1401.7</v>
      </c>
      <c r="I587" s="18" t="s">
        <v>152</v>
      </c>
      <c r="J587" s="18" t="s">
        <v>152</v>
      </c>
      <c r="K587" s="18" t="s">
        <v>2353</v>
      </c>
      <c r="L587" s="30" t="s">
        <v>1612</v>
      </c>
    </row>
    <row r="588" spans="1:12" x14ac:dyDescent="0.25">
      <c r="A588" s="18" t="s">
        <v>25</v>
      </c>
      <c r="B588" s="57">
        <v>6.9212962962962961E-3</v>
      </c>
      <c r="C588" s="58">
        <v>1</v>
      </c>
      <c r="D588" s="18" t="s">
        <v>531</v>
      </c>
      <c r="E588" s="18" t="s">
        <v>119</v>
      </c>
      <c r="F588" s="18" t="s">
        <v>1621</v>
      </c>
      <c r="G588" s="59">
        <v>1401.7</v>
      </c>
      <c r="H588" s="59">
        <v>1401.7</v>
      </c>
      <c r="I588" s="18" t="s">
        <v>530</v>
      </c>
      <c r="J588" s="18" t="s">
        <v>512</v>
      </c>
      <c r="K588" s="18" t="s">
        <v>2354</v>
      </c>
      <c r="L588" s="30" t="s">
        <v>1612</v>
      </c>
    </row>
    <row r="589" spans="1:12" hidden="1" x14ac:dyDescent="0.25">
      <c r="A589" s="18" t="s">
        <v>25</v>
      </c>
      <c r="B589" s="57">
        <v>5.8217592592592592E-3</v>
      </c>
      <c r="C589" s="58">
        <v>3</v>
      </c>
      <c r="D589" s="18" t="s">
        <v>2309</v>
      </c>
      <c r="E589" s="18" t="s">
        <v>2310</v>
      </c>
      <c r="F589" s="18" t="s">
        <v>1621</v>
      </c>
      <c r="G589" s="59">
        <v>58.91</v>
      </c>
      <c r="H589" s="59">
        <v>176.73</v>
      </c>
      <c r="I589" s="18" t="s">
        <v>1672</v>
      </c>
      <c r="J589" s="18" t="s">
        <v>115</v>
      </c>
      <c r="K589" s="18" t="s">
        <v>2355</v>
      </c>
      <c r="L589" s="30" t="s">
        <v>1612</v>
      </c>
    </row>
    <row r="590" spans="1:12" hidden="1" x14ac:dyDescent="0.25">
      <c r="A590" s="18" t="s">
        <v>25</v>
      </c>
      <c r="B590" s="57">
        <v>5.9490740740740736E-3</v>
      </c>
      <c r="C590" s="58">
        <v>3</v>
      </c>
      <c r="D590" s="18" t="s">
        <v>2311</v>
      </c>
      <c r="E590" s="18" t="s">
        <v>2300</v>
      </c>
      <c r="F590" s="18" t="s">
        <v>1621</v>
      </c>
      <c r="G590" s="59">
        <v>58.12</v>
      </c>
      <c r="H590" s="59">
        <v>174.36</v>
      </c>
      <c r="I590" s="18" t="s">
        <v>1665</v>
      </c>
      <c r="J590" s="18" t="s">
        <v>498</v>
      </c>
      <c r="K590" s="18" t="s">
        <v>2355</v>
      </c>
      <c r="L590" s="30" t="s">
        <v>1612</v>
      </c>
    </row>
    <row r="591" spans="1:12" hidden="1" x14ac:dyDescent="0.25">
      <c r="A591" s="18" t="s">
        <v>25</v>
      </c>
      <c r="B591" s="57">
        <v>3.8194444444444443E-3</v>
      </c>
      <c r="C591" s="58">
        <v>2</v>
      </c>
      <c r="D591" s="18" t="s">
        <v>2356</v>
      </c>
      <c r="E591" s="18" t="s">
        <v>2310</v>
      </c>
      <c r="F591" s="18" t="s">
        <v>1621</v>
      </c>
      <c r="G591" s="59">
        <v>58.91</v>
      </c>
      <c r="H591" s="59">
        <v>117.82</v>
      </c>
      <c r="I591" s="18" t="s">
        <v>1665</v>
      </c>
      <c r="J591" s="18" t="s">
        <v>115</v>
      </c>
      <c r="K591" s="18" t="s">
        <v>2355</v>
      </c>
      <c r="L591" s="30" t="s">
        <v>1612</v>
      </c>
    </row>
    <row r="592" spans="1:12" hidden="1" x14ac:dyDescent="0.25">
      <c r="A592" s="18" t="s">
        <v>25</v>
      </c>
      <c r="B592" s="57">
        <v>6.2615740740740739E-3</v>
      </c>
      <c r="C592" s="58">
        <v>1</v>
      </c>
      <c r="D592" s="18" t="s">
        <v>2357</v>
      </c>
      <c r="E592" s="18" t="s">
        <v>2183</v>
      </c>
      <c r="F592" s="18" t="s">
        <v>1621</v>
      </c>
      <c r="G592" s="59">
        <v>783.74</v>
      </c>
      <c r="H592" s="59">
        <v>783.74</v>
      </c>
      <c r="I592" s="18" t="s">
        <v>530</v>
      </c>
      <c r="J592" s="18" t="s">
        <v>512</v>
      </c>
      <c r="K592" s="18" t="s">
        <v>2355</v>
      </c>
      <c r="L592" s="30" t="s">
        <v>1612</v>
      </c>
    </row>
    <row r="593" spans="1:12" x14ac:dyDescent="0.25">
      <c r="A593" s="18" t="s">
        <v>25</v>
      </c>
      <c r="B593" s="57">
        <v>6.9212962962962961E-3</v>
      </c>
      <c r="C593" s="58">
        <v>1</v>
      </c>
      <c r="D593" s="18" t="s">
        <v>531</v>
      </c>
      <c r="E593" s="18" t="s">
        <v>119</v>
      </c>
      <c r="F593" s="18" t="s">
        <v>1621</v>
      </c>
      <c r="G593" s="59">
        <v>1401.7</v>
      </c>
      <c r="H593" s="59">
        <v>1401.7</v>
      </c>
      <c r="I593" s="18" t="s">
        <v>530</v>
      </c>
      <c r="J593" s="18" t="s">
        <v>512</v>
      </c>
      <c r="K593" s="18" t="s">
        <v>2358</v>
      </c>
      <c r="L593" s="30" t="s">
        <v>1612</v>
      </c>
    </row>
    <row r="594" spans="1:12" x14ac:dyDescent="0.25">
      <c r="A594" s="18" t="s">
        <v>25</v>
      </c>
      <c r="B594" s="57">
        <v>6.9212962962962961E-3</v>
      </c>
      <c r="C594" s="58">
        <v>1</v>
      </c>
      <c r="D594" s="18" t="s">
        <v>531</v>
      </c>
      <c r="E594" s="18" t="s">
        <v>119</v>
      </c>
      <c r="F594" s="18" t="s">
        <v>1621</v>
      </c>
      <c r="G594" s="59">
        <v>1401.7</v>
      </c>
      <c r="H594" s="59">
        <v>1401.7</v>
      </c>
      <c r="I594" s="18" t="s">
        <v>530</v>
      </c>
      <c r="J594" s="18" t="s">
        <v>512</v>
      </c>
      <c r="K594" s="18" t="s">
        <v>2359</v>
      </c>
      <c r="L594" s="30" t="s">
        <v>1612</v>
      </c>
    </row>
    <row r="595" spans="1:12" x14ac:dyDescent="0.25">
      <c r="A595" s="18" t="s">
        <v>25</v>
      </c>
      <c r="B595" s="57">
        <v>6.9212962962962961E-3</v>
      </c>
      <c r="C595" s="58">
        <v>1</v>
      </c>
      <c r="D595" s="18" t="s">
        <v>531</v>
      </c>
      <c r="E595" s="18" t="s">
        <v>119</v>
      </c>
      <c r="F595" s="18" t="s">
        <v>1621</v>
      </c>
      <c r="G595" s="59">
        <v>1401.7</v>
      </c>
      <c r="H595" s="59">
        <v>1401.7</v>
      </c>
      <c r="I595" s="18" t="s">
        <v>530</v>
      </c>
      <c r="J595" s="18" t="s">
        <v>512</v>
      </c>
      <c r="K595" s="18" t="s">
        <v>2360</v>
      </c>
      <c r="L595" s="30" t="s">
        <v>1612</v>
      </c>
    </row>
    <row r="596" spans="1:12" x14ac:dyDescent="0.25">
      <c r="A596" s="18" t="s">
        <v>25</v>
      </c>
      <c r="B596" s="57">
        <v>6.9212962962962961E-3</v>
      </c>
      <c r="C596" s="58">
        <v>1</v>
      </c>
      <c r="D596" s="18" t="s">
        <v>531</v>
      </c>
      <c r="E596" s="18" t="s">
        <v>119</v>
      </c>
      <c r="F596" s="18" t="s">
        <v>1621</v>
      </c>
      <c r="G596" s="59">
        <v>1401.7</v>
      </c>
      <c r="H596" s="59">
        <v>1401.7</v>
      </c>
      <c r="I596" s="18" t="s">
        <v>530</v>
      </c>
      <c r="J596" s="18" t="s">
        <v>512</v>
      </c>
      <c r="K596" s="18" t="s">
        <v>2361</v>
      </c>
      <c r="L596" s="30" t="s">
        <v>1612</v>
      </c>
    </row>
    <row r="597" spans="1:12" x14ac:dyDescent="0.25">
      <c r="A597" s="18" t="s">
        <v>25</v>
      </c>
      <c r="B597" s="57">
        <v>6.9212962962962961E-3</v>
      </c>
      <c r="C597" s="58">
        <v>1</v>
      </c>
      <c r="D597" s="18" t="s">
        <v>531</v>
      </c>
      <c r="E597" s="18" t="s">
        <v>119</v>
      </c>
      <c r="F597" s="18" t="s">
        <v>1621</v>
      </c>
      <c r="G597" s="59">
        <v>1401.7</v>
      </c>
      <c r="H597" s="59">
        <v>1401.7</v>
      </c>
      <c r="I597" s="18" t="s">
        <v>530</v>
      </c>
      <c r="J597" s="18" t="s">
        <v>512</v>
      </c>
      <c r="K597" s="18" t="s">
        <v>2362</v>
      </c>
      <c r="L597" s="30" t="s">
        <v>1612</v>
      </c>
    </row>
    <row r="598" spans="1:12" x14ac:dyDescent="0.25">
      <c r="A598" s="18" t="s">
        <v>25</v>
      </c>
      <c r="B598" s="57">
        <v>6.9212962962962961E-3</v>
      </c>
      <c r="C598" s="58">
        <v>1</v>
      </c>
      <c r="D598" s="18" t="s">
        <v>531</v>
      </c>
      <c r="E598" s="18" t="s">
        <v>119</v>
      </c>
      <c r="F598" s="18" t="s">
        <v>1621</v>
      </c>
      <c r="G598" s="59">
        <v>1401.7</v>
      </c>
      <c r="H598" s="59">
        <v>1401.7</v>
      </c>
      <c r="I598" s="18" t="s">
        <v>530</v>
      </c>
      <c r="J598" s="18" t="s">
        <v>512</v>
      </c>
      <c r="K598" s="18" t="s">
        <v>2363</v>
      </c>
      <c r="L598" s="30" t="s">
        <v>1612</v>
      </c>
    </row>
    <row r="599" spans="1:12" hidden="1" x14ac:dyDescent="0.25">
      <c r="A599" s="18" t="s">
        <v>25</v>
      </c>
      <c r="B599" s="57">
        <v>3.2291666666666666E-3</v>
      </c>
      <c r="C599" s="58">
        <v>2</v>
      </c>
      <c r="D599" s="18" t="s">
        <v>2364</v>
      </c>
      <c r="E599" s="18" t="s">
        <v>2284</v>
      </c>
      <c r="F599" s="18" t="s">
        <v>1621</v>
      </c>
      <c r="G599" s="59">
        <v>72.37</v>
      </c>
      <c r="H599" s="59">
        <v>144.74</v>
      </c>
      <c r="I599" s="18" t="s">
        <v>530</v>
      </c>
      <c r="J599" s="18" t="s">
        <v>44</v>
      </c>
      <c r="K599" s="18" t="s">
        <v>2365</v>
      </c>
      <c r="L599" s="30" t="s">
        <v>1612</v>
      </c>
    </row>
    <row r="600" spans="1:12" x14ac:dyDescent="0.25">
      <c r="A600" s="18" t="s">
        <v>25</v>
      </c>
      <c r="B600" s="57">
        <v>7.4074074074074068E-3</v>
      </c>
      <c r="C600" s="58">
        <v>1</v>
      </c>
      <c r="D600" s="18" t="s">
        <v>2366</v>
      </c>
      <c r="E600" s="18" t="s">
        <v>116</v>
      </c>
      <c r="F600" s="18" t="s">
        <v>1621</v>
      </c>
      <c r="G600" s="59">
        <v>1150.99</v>
      </c>
      <c r="H600" s="59">
        <v>1150.99</v>
      </c>
      <c r="I600" s="18" t="s">
        <v>129</v>
      </c>
      <c r="J600" s="18" t="s">
        <v>115</v>
      </c>
      <c r="K600" s="18" t="s">
        <v>2365</v>
      </c>
      <c r="L600" s="30" t="s">
        <v>1612</v>
      </c>
    </row>
    <row r="601" spans="1:12" x14ac:dyDescent="0.25">
      <c r="A601" s="18" t="s">
        <v>25</v>
      </c>
      <c r="B601" s="57">
        <v>6.875E-3</v>
      </c>
      <c r="C601" s="58">
        <v>1</v>
      </c>
      <c r="D601" s="18" t="s">
        <v>539</v>
      </c>
      <c r="E601" s="18" t="s">
        <v>500</v>
      </c>
      <c r="F601" s="18" t="s">
        <v>1621</v>
      </c>
      <c r="G601" s="59">
        <v>1326.34</v>
      </c>
      <c r="H601" s="59">
        <v>1326.34</v>
      </c>
      <c r="I601" s="18" t="s">
        <v>129</v>
      </c>
      <c r="J601" s="18" t="s">
        <v>498</v>
      </c>
      <c r="K601" s="18" t="s">
        <v>2367</v>
      </c>
      <c r="L601" s="30" t="s">
        <v>1612</v>
      </c>
    </row>
    <row r="602" spans="1:12" hidden="1" x14ac:dyDescent="0.25">
      <c r="A602" s="18" t="s">
        <v>25</v>
      </c>
      <c r="B602" s="57">
        <v>5.0925925925925921E-3</v>
      </c>
      <c r="C602" s="58">
        <v>3</v>
      </c>
      <c r="D602" s="18" t="s">
        <v>2352</v>
      </c>
      <c r="E602" s="18" t="s">
        <v>2161</v>
      </c>
      <c r="F602" s="18" t="s">
        <v>1621</v>
      </c>
      <c r="G602" s="59">
        <v>79.45</v>
      </c>
      <c r="H602" s="59">
        <v>238.35</v>
      </c>
      <c r="I602" s="18" t="s">
        <v>147</v>
      </c>
      <c r="J602" s="18" t="s">
        <v>512</v>
      </c>
      <c r="K602" s="18" t="s">
        <v>2368</v>
      </c>
      <c r="L602" s="30" t="s">
        <v>1612</v>
      </c>
    </row>
    <row r="603" spans="1:12" hidden="1" x14ac:dyDescent="0.25">
      <c r="A603" s="18" t="s">
        <v>25</v>
      </c>
      <c r="B603" s="57">
        <v>6.7013888888888887E-3</v>
      </c>
      <c r="C603" s="58">
        <v>1</v>
      </c>
      <c r="D603" s="18" t="s">
        <v>2369</v>
      </c>
      <c r="E603" s="18" t="s">
        <v>2138</v>
      </c>
      <c r="F603" s="18" t="s">
        <v>1621</v>
      </c>
      <c r="G603" s="59">
        <v>1046.44</v>
      </c>
      <c r="H603" s="59">
        <v>1046.44</v>
      </c>
      <c r="I603" s="18" t="s">
        <v>133</v>
      </c>
      <c r="J603" s="18" t="s">
        <v>115</v>
      </c>
      <c r="K603" s="18" t="s">
        <v>2368</v>
      </c>
      <c r="L603" s="30" t="s">
        <v>1612</v>
      </c>
    </row>
    <row r="604" spans="1:12" hidden="1" x14ac:dyDescent="0.25">
      <c r="A604" s="18" t="s">
        <v>25</v>
      </c>
      <c r="B604" s="57">
        <v>1.8634259259259259E-3</v>
      </c>
      <c r="C604" s="58">
        <v>1</v>
      </c>
      <c r="D604" s="18" t="s">
        <v>2370</v>
      </c>
      <c r="E604" s="18" t="s">
        <v>2371</v>
      </c>
      <c r="F604" s="18" t="s">
        <v>1621</v>
      </c>
      <c r="G604" s="59">
        <v>74.42</v>
      </c>
      <c r="H604" s="59">
        <v>74.42</v>
      </c>
      <c r="I604" s="18" t="s">
        <v>129</v>
      </c>
      <c r="J604" s="18" t="s">
        <v>512</v>
      </c>
      <c r="K604" s="18" t="s">
        <v>2368</v>
      </c>
      <c r="L604" s="30" t="s">
        <v>1612</v>
      </c>
    </row>
    <row r="605" spans="1:12" hidden="1" x14ac:dyDescent="0.25">
      <c r="A605" s="18" t="s">
        <v>25</v>
      </c>
      <c r="B605" s="57">
        <v>5.6944444444444438E-3</v>
      </c>
      <c r="C605" s="58">
        <v>3</v>
      </c>
      <c r="D605" s="18" t="s">
        <v>2297</v>
      </c>
      <c r="E605" s="18" t="s">
        <v>2226</v>
      </c>
      <c r="F605" s="18" t="s">
        <v>1621</v>
      </c>
      <c r="G605" s="59">
        <v>59.77</v>
      </c>
      <c r="H605" s="59">
        <v>179.31</v>
      </c>
      <c r="I605" s="18" t="s">
        <v>1672</v>
      </c>
      <c r="J605" s="18" t="s">
        <v>512</v>
      </c>
      <c r="K605" s="18" t="s">
        <v>2372</v>
      </c>
      <c r="L605" s="30" t="s">
        <v>1612</v>
      </c>
    </row>
    <row r="606" spans="1:12" hidden="1" x14ac:dyDescent="0.25">
      <c r="A606" s="18" t="s">
        <v>25</v>
      </c>
      <c r="B606" s="57">
        <v>2.7199074074074074E-3</v>
      </c>
      <c r="C606" s="58">
        <v>3</v>
      </c>
      <c r="D606" s="18" t="s">
        <v>2055</v>
      </c>
      <c r="E606" s="18" t="s">
        <v>2056</v>
      </c>
      <c r="F606" s="18" t="s">
        <v>1621</v>
      </c>
      <c r="G606" s="59">
        <v>18.61</v>
      </c>
      <c r="H606" s="59">
        <v>55.83</v>
      </c>
      <c r="I606" s="18" t="s">
        <v>1672</v>
      </c>
      <c r="J606" s="18" t="s">
        <v>498</v>
      </c>
      <c r="K606" s="18" t="s">
        <v>2372</v>
      </c>
      <c r="L606" s="30" t="s">
        <v>1612</v>
      </c>
    </row>
    <row r="607" spans="1:12" hidden="1" x14ac:dyDescent="0.25">
      <c r="A607" s="18" t="s">
        <v>25</v>
      </c>
      <c r="B607" s="57">
        <v>8.2175925925925927E-4</v>
      </c>
      <c r="C607" s="58">
        <v>1</v>
      </c>
      <c r="D607" s="18" t="s">
        <v>2373</v>
      </c>
      <c r="E607" s="18" t="s">
        <v>2155</v>
      </c>
      <c r="F607" s="18" t="s">
        <v>1621</v>
      </c>
      <c r="G607" s="59">
        <v>16.7</v>
      </c>
      <c r="H607" s="59">
        <v>16.7</v>
      </c>
      <c r="I607" s="18" t="s">
        <v>367</v>
      </c>
      <c r="J607" s="18" t="s">
        <v>367</v>
      </c>
      <c r="K607" s="18" t="s">
        <v>2372</v>
      </c>
      <c r="L607" s="30" t="s">
        <v>1612</v>
      </c>
    </row>
    <row r="608" spans="1:12" hidden="1" x14ac:dyDescent="0.25">
      <c r="A608" s="18" t="s">
        <v>25</v>
      </c>
      <c r="B608" s="57">
        <v>5.9375000000000001E-3</v>
      </c>
      <c r="C608" s="58">
        <v>1</v>
      </c>
      <c r="D608" s="18" t="s">
        <v>2374</v>
      </c>
      <c r="E608" s="18" t="s">
        <v>2267</v>
      </c>
      <c r="F608" s="18" t="s">
        <v>1621</v>
      </c>
      <c r="G608" s="59">
        <v>1011.56</v>
      </c>
      <c r="H608" s="59">
        <v>1011.56</v>
      </c>
      <c r="I608" s="18" t="s">
        <v>1665</v>
      </c>
      <c r="J608" s="18" t="s">
        <v>115</v>
      </c>
      <c r="K608" s="18" t="s">
        <v>2372</v>
      </c>
      <c r="L608" s="30" t="s">
        <v>1612</v>
      </c>
    </row>
    <row r="609" spans="1:12" hidden="1" x14ac:dyDescent="0.25">
      <c r="A609" s="18" t="s">
        <v>25</v>
      </c>
      <c r="B609" s="57">
        <v>1.8287037037037037E-3</v>
      </c>
      <c r="C609" s="58">
        <v>1</v>
      </c>
      <c r="D609" s="18" t="s">
        <v>2375</v>
      </c>
      <c r="E609" s="18" t="s">
        <v>2376</v>
      </c>
      <c r="F609" s="18" t="s">
        <v>1621</v>
      </c>
      <c r="G609" s="59">
        <v>11.72</v>
      </c>
      <c r="H609" s="59">
        <v>11.72</v>
      </c>
      <c r="I609" s="18" t="s">
        <v>367</v>
      </c>
      <c r="J609" s="18" t="s">
        <v>368</v>
      </c>
      <c r="K609" s="18" t="s">
        <v>2377</v>
      </c>
      <c r="L609" s="30" t="s">
        <v>1612</v>
      </c>
    </row>
    <row r="610" spans="1:12" x14ac:dyDescent="0.25">
      <c r="A610" s="18" t="s">
        <v>25</v>
      </c>
      <c r="B610" s="57">
        <v>6.7939814814814816E-3</v>
      </c>
      <c r="C610" s="58">
        <v>1</v>
      </c>
      <c r="D610" s="18" t="s">
        <v>784</v>
      </c>
      <c r="E610" s="18" t="s">
        <v>560</v>
      </c>
      <c r="F610" s="18" t="s">
        <v>1621</v>
      </c>
      <c r="G610" s="59">
        <v>1270.6500000000001</v>
      </c>
      <c r="H610" s="59">
        <v>1270.6500000000001</v>
      </c>
      <c r="I610" s="18" t="s">
        <v>133</v>
      </c>
      <c r="J610" s="18" t="s">
        <v>498</v>
      </c>
      <c r="K610" s="18" t="s">
        <v>2377</v>
      </c>
      <c r="L610" s="30" t="s">
        <v>1612</v>
      </c>
    </row>
    <row r="611" spans="1:12" hidden="1" x14ac:dyDescent="0.25">
      <c r="A611" s="18" t="s">
        <v>25</v>
      </c>
      <c r="B611" s="57">
        <v>1.7939814814814815E-3</v>
      </c>
      <c r="C611" s="58">
        <v>2</v>
      </c>
      <c r="D611" s="18" t="s">
        <v>2087</v>
      </c>
      <c r="E611" s="18" t="s">
        <v>2088</v>
      </c>
      <c r="F611" s="18" t="s">
        <v>1621</v>
      </c>
      <c r="G611" s="59">
        <v>18.63</v>
      </c>
      <c r="H611" s="59">
        <v>37.26</v>
      </c>
      <c r="I611" s="18" t="s">
        <v>1672</v>
      </c>
      <c r="J611" s="18" t="s">
        <v>115</v>
      </c>
      <c r="K611" s="18" t="s">
        <v>2378</v>
      </c>
      <c r="L611" s="30" t="s">
        <v>1612</v>
      </c>
    </row>
    <row r="612" spans="1:12" hidden="1" x14ac:dyDescent="0.25">
      <c r="A612" s="18" t="s">
        <v>25</v>
      </c>
      <c r="B612" s="57">
        <v>5.9490740740740736E-3</v>
      </c>
      <c r="C612" s="58">
        <v>1</v>
      </c>
      <c r="D612" s="18" t="s">
        <v>2379</v>
      </c>
      <c r="E612" s="18" t="s">
        <v>2380</v>
      </c>
      <c r="F612" s="18" t="s">
        <v>1621</v>
      </c>
      <c r="G612" s="59">
        <v>752.79</v>
      </c>
      <c r="H612" s="59">
        <v>752.79</v>
      </c>
      <c r="I612" s="18" t="s">
        <v>129</v>
      </c>
      <c r="J612" s="18" t="s">
        <v>512</v>
      </c>
      <c r="K612" s="18" t="s">
        <v>2378</v>
      </c>
      <c r="L612" s="30" t="s">
        <v>1612</v>
      </c>
    </row>
    <row r="613" spans="1:12" hidden="1" x14ac:dyDescent="0.25">
      <c r="A613" s="18" t="s">
        <v>25</v>
      </c>
      <c r="B613" s="57">
        <v>1.747685185185185E-3</v>
      </c>
      <c r="C613" s="58">
        <v>1</v>
      </c>
      <c r="D613" s="18" t="s">
        <v>2381</v>
      </c>
      <c r="E613" s="18" t="s">
        <v>2216</v>
      </c>
      <c r="F613" s="18" t="s">
        <v>1621</v>
      </c>
      <c r="G613" s="59">
        <v>90.38</v>
      </c>
      <c r="H613" s="59">
        <v>90.38</v>
      </c>
      <c r="I613" s="18" t="s">
        <v>530</v>
      </c>
      <c r="J613" s="18" t="s">
        <v>44</v>
      </c>
      <c r="K613" s="18" t="s">
        <v>2378</v>
      </c>
      <c r="L613" s="30" t="s">
        <v>1612</v>
      </c>
    </row>
    <row r="614" spans="1:12" hidden="1" x14ac:dyDescent="0.25">
      <c r="A614" s="18" t="s">
        <v>25</v>
      </c>
      <c r="B614" s="57">
        <v>1.747685185185185E-3</v>
      </c>
      <c r="C614" s="58">
        <v>1</v>
      </c>
      <c r="D614" s="18" t="s">
        <v>2382</v>
      </c>
      <c r="E614" s="18" t="s">
        <v>2216</v>
      </c>
      <c r="F614" s="18" t="s">
        <v>1621</v>
      </c>
      <c r="G614" s="59">
        <v>90.38</v>
      </c>
      <c r="H614" s="59">
        <v>90.38</v>
      </c>
      <c r="I614" s="18" t="s">
        <v>530</v>
      </c>
      <c r="J614" s="18" t="s">
        <v>44</v>
      </c>
      <c r="K614" s="18" t="s">
        <v>2378</v>
      </c>
      <c r="L614" s="30" t="s">
        <v>1612</v>
      </c>
    </row>
    <row r="615" spans="1:12" hidden="1" x14ac:dyDescent="0.25">
      <c r="A615" s="18" t="s">
        <v>25</v>
      </c>
      <c r="B615" s="57">
        <v>3.2638888888888887E-3</v>
      </c>
      <c r="C615" s="58">
        <v>2</v>
      </c>
      <c r="D615" s="18" t="s">
        <v>2383</v>
      </c>
      <c r="E615" s="18" t="s">
        <v>2384</v>
      </c>
      <c r="F615" s="18" t="s">
        <v>1621</v>
      </c>
      <c r="G615" s="59">
        <v>79.819999999999993</v>
      </c>
      <c r="H615" s="59">
        <v>159.63999999999999</v>
      </c>
      <c r="I615" s="18" t="s">
        <v>530</v>
      </c>
      <c r="J615" s="18" t="s">
        <v>44</v>
      </c>
      <c r="K615" s="18" t="s">
        <v>2378</v>
      </c>
      <c r="L615" s="30" t="s">
        <v>1612</v>
      </c>
    </row>
    <row r="616" spans="1:12" hidden="1" x14ac:dyDescent="0.25">
      <c r="A616" s="18" t="s">
        <v>25</v>
      </c>
      <c r="B616" s="57">
        <v>6.8402777777777776E-3</v>
      </c>
      <c r="C616" s="58">
        <v>1</v>
      </c>
      <c r="D616" s="18" t="s">
        <v>541</v>
      </c>
      <c r="E616" s="18" t="s">
        <v>505</v>
      </c>
      <c r="F616" s="18" t="s">
        <v>1621</v>
      </c>
      <c r="G616" s="59">
        <v>1270.6500000000001</v>
      </c>
      <c r="H616" s="59">
        <v>1270.6500000000001</v>
      </c>
      <c r="I616" s="18" t="s">
        <v>131</v>
      </c>
      <c r="J616" s="18" t="s">
        <v>498</v>
      </c>
      <c r="K616" s="18" t="s">
        <v>2385</v>
      </c>
      <c r="L616" s="30" t="s">
        <v>1612</v>
      </c>
    </row>
    <row r="617" spans="1:12" hidden="1" x14ac:dyDescent="0.25">
      <c r="A617" s="18" t="s">
        <v>25</v>
      </c>
      <c r="B617" s="57">
        <v>1.8055555555555555E-3</v>
      </c>
      <c r="C617" s="58">
        <v>2</v>
      </c>
      <c r="D617" s="18" t="s">
        <v>2087</v>
      </c>
      <c r="E617" s="18" t="s">
        <v>2088</v>
      </c>
      <c r="F617" s="18" t="s">
        <v>1621</v>
      </c>
      <c r="G617" s="59">
        <v>18.63</v>
      </c>
      <c r="H617" s="59">
        <v>37.26</v>
      </c>
      <c r="I617" s="18" t="s">
        <v>1672</v>
      </c>
      <c r="J617" s="18" t="s">
        <v>115</v>
      </c>
      <c r="K617" s="18" t="s">
        <v>2386</v>
      </c>
      <c r="L617" s="30" t="s">
        <v>1612</v>
      </c>
    </row>
    <row r="618" spans="1:12" hidden="1" x14ac:dyDescent="0.25">
      <c r="A618" s="18" t="s">
        <v>25</v>
      </c>
      <c r="B618" s="57">
        <v>6.0300925925925921E-3</v>
      </c>
      <c r="C618" s="58">
        <v>3</v>
      </c>
      <c r="D618" s="18" t="s">
        <v>2299</v>
      </c>
      <c r="E618" s="18" t="s">
        <v>2300</v>
      </c>
      <c r="F618" s="18" t="s">
        <v>1621</v>
      </c>
      <c r="G618" s="59">
        <v>58.12</v>
      </c>
      <c r="H618" s="59">
        <v>174.36</v>
      </c>
      <c r="I618" s="18" t="s">
        <v>1672</v>
      </c>
      <c r="J618" s="18" t="s">
        <v>498</v>
      </c>
      <c r="K618" s="18" t="s">
        <v>2386</v>
      </c>
      <c r="L618" s="30" t="s">
        <v>1612</v>
      </c>
    </row>
    <row r="619" spans="1:12" hidden="1" x14ac:dyDescent="0.25">
      <c r="A619" s="18" t="s">
        <v>25</v>
      </c>
      <c r="B619" s="57">
        <v>6.2384259259259259E-3</v>
      </c>
      <c r="C619" s="58">
        <v>1</v>
      </c>
      <c r="D619" s="18" t="s">
        <v>2387</v>
      </c>
      <c r="E619" s="18" t="s">
        <v>2138</v>
      </c>
      <c r="F619" s="18" t="s">
        <v>1621</v>
      </c>
      <c r="G619" s="59">
        <v>1046.44</v>
      </c>
      <c r="H619" s="59">
        <v>1046.44</v>
      </c>
      <c r="I619" s="18" t="s">
        <v>131</v>
      </c>
      <c r="J619" s="18" t="s">
        <v>115</v>
      </c>
      <c r="K619" s="18" t="s">
        <v>2386</v>
      </c>
      <c r="L619" s="30" t="s">
        <v>1612</v>
      </c>
    </row>
    <row r="620" spans="1:12" hidden="1" x14ac:dyDescent="0.25">
      <c r="A620" s="18" t="s">
        <v>25</v>
      </c>
      <c r="B620" s="57">
        <v>3.3333333333333331E-3</v>
      </c>
      <c r="C620" s="58">
        <v>2</v>
      </c>
      <c r="D620" s="18" t="s">
        <v>2297</v>
      </c>
      <c r="E620" s="18" t="s">
        <v>2226</v>
      </c>
      <c r="F620" s="18" t="s">
        <v>1621</v>
      </c>
      <c r="G620" s="59">
        <v>59.77</v>
      </c>
      <c r="H620" s="59">
        <v>119.54</v>
      </c>
      <c r="I620" s="18" t="s">
        <v>1672</v>
      </c>
      <c r="J620" s="18" t="s">
        <v>512</v>
      </c>
      <c r="K620" s="18" t="s">
        <v>2388</v>
      </c>
      <c r="L620" s="30" t="s">
        <v>1612</v>
      </c>
    </row>
    <row r="621" spans="1:12" hidden="1" x14ac:dyDescent="0.25">
      <c r="A621" s="18" t="s">
        <v>25</v>
      </c>
      <c r="B621" s="57">
        <v>7.7546296296296293E-4</v>
      </c>
      <c r="C621" s="58">
        <v>1</v>
      </c>
      <c r="D621" s="18" t="s">
        <v>2087</v>
      </c>
      <c r="E621" s="18" t="s">
        <v>2088</v>
      </c>
      <c r="F621" s="18" t="s">
        <v>1621</v>
      </c>
      <c r="G621" s="59">
        <v>18.63</v>
      </c>
      <c r="H621" s="59">
        <v>18.63</v>
      </c>
      <c r="I621" s="18" t="s">
        <v>1672</v>
      </c>
      <c r="J621" s="18" t="s">
        <v>115</v>
      </c>
      <c r="K621" s="18" t="s">
        <v>2388</v>
      </c>
      <c r="L621" s="30" t="s">
        <v>1612</v>
      </c>
    </row>
    <row r="622" spans="1:12" hidden="1" x14ac:dyDescent="0.25">
      <c r="A622" s="18" t="s">
        <v>25</v>
      </c>
      <c r="B622" s="57">
        <v>6.2847222222222219E-3</v>
      </c>
      <c r="C622" s="58">
        <v>4</v>
      </c>
      <c r="D622" s="18" t="s">
        <v>2352</v>
      </c>
      <c r="E622" s="18" t="s">
        <v>2161</v>
      </c>
      <c r="F622" s="18" t="s">
        <v>1621</v>
      </c>
      <c r="G622" s="59">
        <v>79.45</v>
      </c>
      <c r="H622" s="59">
        <v>317.8</v>
      </c>
      <c r="I622" s="18" t="s">
        <v>147</v>
      </c>
      <c r="J622" s="18" t="s">
        <v>512</v>
      </c>
      <c r="K622" s="18" t="s">
        <v>2388</v>
      </c>
      <c r="L622" s="30" t="s">
        <v>1612</v>
      </c>
    </row>
    <row r="623" spans="1:12" hidden="1" x14ac:dyDescent="0.25">
      <c r="A623" s="18" t="s">
        <v>25</v>
      </c>
      <c r="B623" s="57">
        <v>2.9745370370370368E-3</v>
      </c>
      <c r="C623" s="58">
        <v>2</v>
      </c>
      <c r="D623" s="18" t="s">
        <v>2228</v>
      </c>
      <c r="E623" s="18" t="s">
        <v>2153</v>
      </c>
      <c r="F623" s="18" t="s">
        <v>1621</v>
      </c>
      <c r="G623" s="59">
        <v>73.5</v>
      </c>
      <c r="H623" s="59">
        <v>147</v>
      </c>
      <c r="I623" s="18" t="s">
        <v>1665</v>
      </c>
      <c r="J623" s="18" t="s">
        <v>512</v>
      </c>
      <c r="K623" s="18" t="s">
        <v>2388</v>
      </c>
      <c r="L623" s="30" t="s">
        <v>1612</v>
      </c>
    </row>
    <row r="624" spans="1:12" hidden="1" x14ac:dyDescent="0.25">
      <c r="A624" s="18" t="s">
        <v>25</v>
      </c>
      <c r="B624" s="57">
        <v>5.0000000000000001E-3</v>
      </c>
      <c r="C624" s="58">
        <v>11</v>
      </c>
      <c r="D624" s="18" t="s">
        <v>2083</v>
      </c>
      <c r="E624" s="18" t="s">
        <v>2084</v>
      </c>
      <c r="F624" s="18" t="s">
        <v>1621</v>
      </c>
      <c r="G624" s="59">
        <v>3.37</v>
      </c>
      <c r="H624" s="59">
        <v>37.07</v>
      </c>
      <c r="I624" s="18" t="s">
        <v>65</v>
      </c>
      <c r="J624" s="18" t="s">
        <v>65</v>
      </c>
      <c r="K624" s="18" t="s">
        <v>2388</v>
      </c>
      <c r="L624" s="30" t="s">
        <v>1612</v>
      </c>
    </row>
    <row r="625" spans="1:12" hidden="1" x14ac:dyDescent="0.25">
      <c r="A625" s="18" t="s">
        <v>25</v>
      </c>
      <c r="B625" s="57">
        <v>1.1111111111111111E-3</v>
      </c>
      <c r="C625" s="58">
        <v>1</v>
      </c>
      <c r="D625" s="18" t="s">
        <v>2389</v>
      </c>
      <c r="E625" s="18" t="s">
        <v>2165</v>
      </c>
      <c r="F625" s="18" t="s">
        <v>1621</v>
      </c>
      <c r="G625" s="59">
        <v>30.8</v>
      </c>
      <c r="H625" s="59">
        <v>30.8</v>
      </c>
      <c r="I625" s="18" t="s">
        <v>65</v>
      </c>
      <c r="J625" s="18" t="s">
        <v>368</v>
      </c>
      <c r="K625" s="18" t="s">
        <v>2388</v>
      </c>
      <c r="L625" s="30" t="s">
        <v>1612</v>
      </c>
    </row>
    <row r="626" spans="1:12" hidden="1" x14ac:dyDescent="0.25">
      <c r="A626" s="18" t="s">
        <v>25</v>
      </c>
      <c r="B626" s="57">
        <v>6.8287037037037036E-4</v>
      </c>
      <c r="C626" s="58">
        <v>1</v>
      </c>
      <c r="D626" s="18" t="s">
        <v>2390</v>
      </c>
      <c r="E626" s="18" t="s">
        <v>2391</v>
      </c>
      <c r="F626" s="18" t="s">
        <v>1621</v>
      </c>
      <c r="G626" s="59">
        <v>15.38</v>
      </c>
      <c r="H626" s="59">
        <v>15.38</v>
      </c>
      <c r="I626" s="18" t="s">
        <v>65</v>
      </c>
      <c r="J626" s="18" t="s">
        <v>1590</v>
      </c>
      <c r="K626" s="18" t="s">
        <v>2388</v>
      </c>
      <c r="L626" s="30" t="s">
        <v>1612</v>
      </c>
    </row>
    <row r="627" spans="1:12" hidden="1" x14ac:dyDescent="0.25">
      <c r="A627" s="18" t="s">
        <v>25</v>
      </c>
      <c r="B627" s="57">
        <v>6.9444444444444436E-4</v>
      </c>
      <c r="C627" s="58">
        <v>1</v>
      </c>
      <c r="D627" s="18" t="s">
        <v>2392</v>
      </c>
      <c r="E627" s="18" t="s">
        <v>2391</v>
      </c>
      <c r="F627" s="18" t="s">
        <v>1621</v>
      </c>
      <c r="G627" s="59">
        <v>15.42</v>
      </c>
      <c r="H627" s="59">
        <v>15.42</v>
      </c>
      <c r="I627" s="18" t="s">
        <v>65</v>
      </c>
      <c r="J627" s="18" t="s">
        <v>1590</v>
      </c>
      <c r="K627" s="18" t="s">
        <v>2388</v>
      </c>
      <c r="L627" s="30" t="s">
        <v>1612</v>
      </c>
    </row>
    <row r="628" spans="1:12" hidden="1" x14ac:dyDescent="0.25">
      <c r="A628" s="18" t="s">
        <v>25</v>
      </c>
      <c r="B628" s="57">
        <v>1.4814814814814814E-3</v>
      </c>
      <c r="C628" s="58">
        <v>1</v>
      </c>
      <c r="D628" s="18" t="s">
        <v>2393</v>
      </c>
      <c r="E628" s="18" t="s">
        <v>2321</v>
      </c>
      <c r="F628" s="18" t="s">
        <v>1621</v>
      </c>
      <c r="G628" s="59">
        <v>63.19</v>
      </c>
      <c r="H628" s="59">
        <v>63.19</v>
      </c>
      <c r="I628" s="18" t="s">
        <v>131</v>
      </c>
      <c r="J628" s="18" t="s">
        <v>512</v>
      </c>
      <c r="K628" s="18" t="s">
        <v>2388</v>
      </c>
      <c r="L628" s="30" t="s">
        <v>1612</v>
      </c>
    </row>
    <row r="629" spans="1:12" hidden="1" x14ac:dyDescent="0.25">
      <c r="A629" s="18" t="s">
        <v>25</v>
      </c>
      <c r="B629" s="57">
        <v>7.858796296296296E-3</v>
      </c>
      <c r="C629" s="58">
        <v>5</v>
      </c>
      <c r="D629" s="18" t="s">
        <v>2394</v>
      </c>
      <c r="E629" s="18" t="s">
        <v>2161</v>
      </c>
      <c r="F629" s="18" t="s">
        <v>1621</v>
      </c>
      <c r="G629" s="59">
        <v>79.45</v>
      </c>
      <c r="H629" s="59">
        <v>397.25</v>
      </c>
      <c r="I629" s="18" t="s">
        <v>114</v>
      </c>
      <c r="J629" s="18" t="s">
        <v>512</v>
      </c>
      <c r="K629" s="18" t="s">
        <v>2388</v>
      </c>
      <c r="L629" s="30" t="s">
        <v>1612</v>
      </c>
    </row>
    <row r="630" spans="1:12" hidden="1" x14ac:dyDescent="0.25">
      <c r="A630" s="18" t="s">
        <v>25</v>
      </c>
      <c r="B630" s="57">
        <v>1.3078703703703703E-3</v>
      </c>
      <c r="C630" s="58">
        <v>1</v>
      </c>
      <c r="D630" s="18" t="s">
        <v>48</v>
      </c>
      <c r="E630" s="18" t="s">
        <v>1119</v>
      </c>
      <c r="F630" s="18" t="s">
        <v>1621</v>
      </c>
      <c r="G630" s="59">
        <v>59.87</v>
      </c>
      <c r="H630" s="59">
        <v>59.87</v>
      </c>
      <c r="I630" s="18" t="s">
        <v>2395</v>
      </c>
      <c r="J630" s="18" t="s">
        <v>44</v>
      </c>
      <c r="K630" s="18" t="s">
        <v>2388</v>
      </c>
      <c r="L630" s="30" t="s">
        <v>1612</v>
      </c>
    </row>
    <row r="631" spans="1:12" x14ac:dyDescent="0.25">
      <c r="A631" s="18" t="s">
        <v>25</v>
      </c>
      <c r="B631" s="57">
        <v>7.7546296296296295E-3</v>
      </c>
      <c r="C631" s="58">
        <v>1</v>
      </c>
      <c r="D631" s="18" t="s">
        <v>87</v>
      </c>
      <c r="E631" s="18" t="s">
        <v>116</v>
      </c>
      <c r="F631" s="18" t="s">
        <v>1621</v>
      </c>
      <c r="G631" s="59">
        <v>1331.41</v>
      </c>
      <c r="H631" s="59">
        <v>1331.41</v>
      </c>
      <c r="I631" s="18" t="s">
        <v>150</v>
      </c>
      <c r="J631" s="18" t="s">
        <v>115</v>
      </c>
      <c r="K631" s="18" t="s">
        <v>2396</v>
      </c>
      <c r="L631" s="30" t="s">
        <v>1612</v>
      </c>
    </row>
    <row r="632" spans="1:12" hidden="1" x14ac:dyDescent="0.25">
      <c r="A632" s="18" t="s">
        <v>25</v>
      </c>
      <c r="B632" s="57">
        <v>1.3229166666666667E-2</v>
      </c>
      <c r="C632" s="58">
        <v>10</v>
      </c>
      <c r="D632" s="18" t="s">
        <v>48</v>
      </c>
      <c r="E632" s="18" t="s">
        <v>1119</v>
      </c>
      <c r="F632" s="18" t="s">
        <v>1621</v>
      </c>
      <c r="G632" s="59">
        <v>59.87</v>
      </c>
      <c r="H632" s="59">
        <v>598.70000000000005</v>
      </c>
      <c r="I632" s="18" t="s">
        <v>2397</v>
      </c>
      <c r="J632" s="18" t="s">
        <v>44</v>
      </c>
      <c r="K632" s="18" t="s">
        <v>2398</v>
      </c>
      <c r="L632" s="30" t="s">
        <v>1612</v>
      </c>
    </row>
    <row r="633" spans="1:12" hidden="1" x14ac:dyDescent="0.25">
      <c r="A633" s="18" t="s">
        <v>25</v>
      </c>
      <c r="B633" s="57">
        <v>1.6736111111111111E-2</v>
      </c>
      <c r="C633" s="58">
        <v>13</v>
      </c>
      <c r="D633" s="18" t="s">
        <v>45</v>
      </c>
      <c r="E633" s="18" t="s">
        <v>1119</v>
      </c>
      <c r="F633" s="18" t="s">
        <v>1621</v>
      </c>
      <c r="G633" s="59">
        <v>59.25</v>
      </c>
      <c r="H633" s="59">
        <v>770.25</v>
      </c>
      <c r="I633" s="18" t="s">
        <v>2399</v>
      </c>
      <c r="J633" s="18" t="s">
        <v>44</v>
      </c>
      <c r="K633" s="18" t="s">
        <v>2398</v>
      </c>
      <c r="L633" s="30" t="s">
        <v>1612</v>
      </c>
    </row>
    <row r="634" spans="1:12" hidden="1" x14ac:dyDescent="0.25">
      <c r="A634" s="18" t="s">
        <v>25</v>
      </c>
      <c r="B634" s="57">
        <v>2.8969907407407406E-2</v>
      </c>
      <c r="C634" s="58">
        <v>23</v>
      </c>
      <c r="D634" s="18" t="s">
        <v>45</v>
      </c>
      <c r="E634" s="18" t="s">
        <v>1119</v>
      </c>
      <c r="F634" s="18" t="s">
        <v>1621</v>
      </c>
      <c r="G634" s="59">
        <v>59.25</v>
      </c>
      <c r="H634" s="59">
        <v>1362.75</v>
      </c>
      <c r="I634" s="18" t="s">
        <v>46</v>
      </c>
      <c r="J634" s="18" t="s">
        <v>44</v>
      </c>
      <c r="K634" s="18" t="s">
        <v>2400</v>
      </c>
      <c r="L634" s="30" t="s">
        <v>1612</v>
      </c>
    </row>
    <row r="635" spans="1:12" hidden="1" x14ac:dyDescent="0.25">
      <c r="A635" s="18" t="s">
        <v>25</v>
      </c>
      <c r="B635" s="57">
        <v>2.8287037037037034E-2</v>
      </c>
      <c r="C635" s="58">
        <v>23</v>
      </c>
      <c r="D635" s="18" t="s">
        <v>48</v>
      </c>
      <c r="E635" s="18" t="s">
        <v>1119</v>
      </c>
      <c r="F635" s="18" t="s">
        <v>1621</v>
      </c>
      <c r="G635" s="59">
        <v>59.87</v>
      </c>
      <c r="H635" s="59">
        <v>1377.01</v>
      </c>
      <c r="I635" s="18" t="s">
        <v>49</v>
      </c>
      <c r="J635" s="18" t="s">
        <v>44</v>
      </c>
      <c r="K635" s="18" t="s">
        <v>2401</v>
      </c>
      <c r="L635" s="30" t="s">
        <v>1612</v>
      </c>
    </row>
    <row r="636" spans="1:12" hidden="1" x14ac:dyDescent="0.25">
      <c r="A636" s="18" t="s">
        <v>25</v>
      </c>
      <c r="B636" s="57">
        <v>2.8287037037037034E-2</v>
      </c>
      <c r="C636" s="58">
        <v>23</v>
      </c>
      <c r="D636" s="18" t="s">
        <v>48</v>
      </c>
      <c r="E636" s="18" t="s">
        <v>1119</v>
      </c>
      <c r="F636" s="18" t="s">
        <v>1621</v>
      </c>
      <c r="G636" s="59">
        <v>59.87</v>
      </c>
      <c r="H636" s="59">
        <v>1377.01</v>
      </c>
      <c r="I636" s="18" t="s">
        <v>49</v>
      </c>
      <c r="J636" s="18" t="s">
        <v>44</v>
      </c>
      <c r="K636" s="18" t="s">
        <v>2402</v>
      </c>
      <c r="L636" s="30" t="s">
        <v>1612</v>
      </c>
    </row>
    <row r="637" spans="1:12" hidden="1" x14ac:dyDescent="0.25">
      <c r="A637" s="18" t="s">
        <v>25</v>
      </c>
      <c r="B637" s="57">
        <v>2.8287037037037034E-2</v>
      </c>
      <c r="C637" s="58">
        <v>23</v>
      </c>
      <c r="D637" s="18" t="s">
        <v>48</v>
      </c>
      <c r="E637" s="18" t="s">
        <v>1119</v>
      </c>
      <c r="F637" s="18" t="s">
        <v>1621</v>
      </c>
      <c r="G637" s="59">
        <v>59.87</v>
      </c>
      <c r="H637" s="59">
        <v>1377.01</v>
      </c>
      <c r="I637" s="18" t="s">
        <v>49</v>
      </c>
      <c r="J637" s="18" t="s">
        <v>44</v>
      </c>
      <c r="K637" s="18" t="s">
        <v>2403</v>
      </c>
      <c r="L637" s="30" t="s">
        <v>1612</v>
      </c>
    </row>
    <row r="638" spans="1:12" hidden="1" x14ac:dyDescent="0.25">
      <c r="A638" s="18" t="s">
        <v>25</v>
      </c>
      <c r="B638" s="57">
        <v>4.5138888888888887E-4</v>
      </c>
      <c r="C638" s="58">
        <v>1</v>
      </c>
      <c r="D638" s="18" t="s">
        <v>2083</v>
      </c>
      <c r="E638" s="18" t="s">
        <v>2084</v>
      </c>
      <c r="F638" s="18" t="s">
        <v>1621</v>
      </c>
      <c r="G638" s="59">
        <v>3.37</v>
      </c>
      <c r="H638" s="59">
        <v>3.37</v>
      </c>
      <c r="I638" s="18" t="s">
        <v>65</v>
      </c>
      <c r="J638" s="18" t="s">
        <v>65</v>
      </c>
      <c r="K638" s="18" t="s">
        <v>2404</v>
      </c>
      <c r="L638" s="30" t="s">
        <v>1612</v>
      </c>
    </row>
    <row r="639" spans="1:12" hidden="1" x14ac:dyDescent="0.25">
      <c r="A639" s="18" t="s">
        <v>25</v>
      </c>
      <c r="B639" s="57">
        <v>5.2083333333333333E-4</v>
      </c>
      <c r="C639" s="58">
        <v>1</v>
      </c>
      <c r="D639" s="18" t="s">
        <v>2405</v>
      </c>
      <c r="E639" s="18" t="s">
        <v>2406</v>
      </c>
      <c r="F639" s="18" t="s">
        <v>1621</v>
      </c>
      <c r="G639" s="59">
        <v>2.87</v>
      </c>
      <c r="H639" s="59">
        <v>2.87</v>
      </c>
      <c r="I639" s="18" t="s">
        <v>65</v>
      </c>
      <c r="J639" s="18" t="s">
        <v>368</v>
      </c>
      <c r="K639" s="18" t="s">
        <v>2404</v>
      </c>
      <c r="L639" s="30" t="s">
        <v>1612</v>
      </c>
    </row>
    <row r="640" spans="1:12" x14ac:dyDescent="0.25">
      <c r="A640" s="18" t="s">
        <v>25</v>
      </c>
      <c r="B640" s="57">
        <v>6.4004629629629628E-3</v>
      </c>
      <c r="C640" s="58">
        <v>1</v>
      </c>
      <c r="D640" s="18" t="s">
        <v>2407</v>
      </c>
      <c r="E640" s="18" t="s">
        <v>2408</v>
      </c>
      <c r="F640" s="18" t="s">
        <v>1621</v>
      </c>
      <c r="G640" s="59">
        <v>1385.3</v>
      </c>
      <c r="H640" s="59">
        <v>1385.3</v>
      </c>
      <c r="I640" s="18" t="s">
        <v>65</v>
      </c>
      <c r="J640" s="18" t="s">
        <v>368</v>
      </c>
      <c r="K640" s="18" t="s">
        <v>2404</v>
      </c>
      <c r="L640" s="30" t="s">
        <v>1612</v>
      </c>
    </row>
    <row r="641" spans="1:12" hidden="1" x14ac:dyDescent="0.25">
      <c r="A641" s="18" t="s">
        <v>25</v>
      </c>
      <c r="B641" s="57">
        <v>6.8287037037037036E-4</v>
      </c>
      <c r="C641" s="58">
        <v>1</v>
      </c>
      <c r="D641" s="18" t="s">
        <v>2168</v>
      </c>
      <c r="E641" s="18" t="s">
        <v>1634</v>
      </c>
      <c r="F641" s="18" t="s">
        <v>1621</v>
      </c>
      <c r="G641" s="59">
        <v>19.12</v>
      </c>
      <c r="H641" s="59">
        <v>19.12</v>
      </c>
      <c r="I641" s="18" t="s">
        <v>367</v>
      </c>
      <c r="J641" s="18" t="s">
        <v>1598</v>
      </c>
      <c r="K641" s="18" t="s">
        <v>2409</v>
      </c>
      <c r="L641" s="30" t="s">
        <v>1612</v>
      </c>
    </row>
    <row r="642" spans="1:12" hidden="1" x14ac:dyDescent="0.25">
      <c r="A642" s="18" t="s">
        <v>25</v>
      </c>
      <c r="B642" s="57">
        <v>5.6712962962962956E-4</v>
      </c>
      <c r="C642" s="58">
        <v>1</v>
      </c>
      <c r="D642" s="18" t="s">
        <v>2046</v>
      </c>
      <c r="E642" s="18" t="s">
        <v>2047</v>
      </c>
      <c r="F642" s="18" t="s">
        <v>1621</v>
      </c>
      <c r="G642" s="59">
        <v>8.7799999999999994</v>
      </c>
      <c r="H642" s="59">
        <v>8.7799999999999994</v>
      </c>
      <c r="I642" s="18" t="s">
        <v>367</v>
      </c>
      <c r="J642" s="18" t="s">
        <v>1593</v>
      </c>
      <c r="K642" s="18" t="s">
        <v>2409</v>
      </c>
      <c r="L642" s="30" t="s">
        <v>1612</v>
      </c>
    </row>
    <row r="643" spans="1:12" hidden="1" x14ac:dyDescent="0.25">
      <c r="A643" s="18" t="s">
        <v>25</v>
      </c>
      <c r="B643" s="57">
        <v>3.8194444444444441E-4</v>
      </c>
      <c r="C643" s="58">
        <v>1</v>
      </c>
      <c r="D643" s="18" t="s">
        <v>2060</v>
      </c>
      <c r="E643" s="18" t="s">
        <v>2061</v>
      </c>
      <c r="F643" s="18" t="s">
        <v>1621</v>
      </c>
      <c r="G643" s="59">
        <v>1.4</v>
      </c>
      <c r="H643" s="59">
        <v>1.4</v>
      </c>
      <c r="I643" s="18" t="s">
        <v>367</v>
      </c>
      <c r="J643" s="18" t="s">
        <v>1593</v>
      </c>
      <c r="K643" s="18" t="s">
        <v>2409</v>
      </c>
      <c r="L643" s="30" t="s">
        <v>1612</v>
      </c>
    </row>
    <row r="644" spans="1:12" hidden="1" x14ac:dyDescent="0.25">
      <c r="A644" s="18" t="s">
        <v>25</v>
      </c>
      <c r="B644" s="57">
        <v>8.4490740740740739E-4</v>
      </c>
      <c r="C644" s="58">
        <v>2</v>
      </c>
      <c r="D644" s="18" t="s">
        <v>2062</v>
      </c>
      <c r="E644" s="18" t="s">
        <v>2063</v>
      </c>
      <c r="F644" s="18" t="s">
        <v>1621</v>
      </c>
      <c r="G644" s="59">
        <v>2.2799999999999998</v>
      </c>
      <c r="H644" s="59">
        <v>4.5599999999999996</v>
      </c>
      <c r="I644" s="18" t="s">
        <v>367</v>
      </c>
      <c r="J644" s="18" t="s">
        <v>1592</v>
      </c>
      <c r="K644" s="18" t="s">
        <v>2409</v>
      </c>
      <c r="L644" s="30" t="s">
        <v>1612</v>
      </c>
    </row>
    <row r="645" spans="1:12" x14ac:dyDescent="0.25">
      <c r="A645" s="18" t="s">
        <v>25</v>
      </c>
      <c r="B645" s="57">
        <v>6.192129629629629E-3</v>
      </c>
      <c r="C645" s="58">
        <v>1</v>
      </c>
      <c r="D645" s="18" t="s">
        <v>2410</v>
      </c>
      <c r="E645" s="18" t="s">
        <v>494</v>
      </c>
      <c r="F645" s="18" t="s">
        <v>1621</v>
      </c>
      <c r="G645" s="59">
        <v>1275.19</v>
      </c>
      <c r="H645" s="59">
        <v>1275.19</v>
      </c>
      <c r="I645" s="18" t="s">
        <v>367</v>
      </c>
      <c r="J645" s="18" t="s">
        <v>1594</v>
      </c>
      <c r="K645" s="18" t="s">
        <v>2409</v>
      </c>
      <c r="L645" s="30" t="s">
        <v>1612</v>
      </c>
    </row>
    <row r="646" spans="1:12" hidden="1" x14ac:dyDescent="0.25">
      <c r="A646" s="18" t="s">
        <v>25</v>
      </c>
      <c r="B646" s="57">
        <v>6.7129629629629625E-4</v>
      </c>
      <c r="C646" s="58">
        <v>1</v>
      </c>
      <c r="D646" s="18" t="s">
        <v>2066</v>
      </c>
      <c r="E646" s="18" t="s">
        <v>2067</v>
      </c>
      <c r="F646" s="18" t="s">
        <v>1621</v>
      </c>
      <c r="G646" s="59">
        <v>16.8</v>
      </c>
      <c r="H646" s="59">
        <v>16.8</v>
      </c>
      <c r="I646" s="18" t="s">
        <v>65</v>
      </c>
      <c r="J646" s="18" t="s">
        <v>65</v>
      </c>
      <c r="K646" s="18" t="s">
        <v>2409</v>
      </c>
      <c r="L646" s="30" t="s">
        <v>1612</v>
      </c>
    </row>
    <row r="647" spans="1:12" hidden="1" x14ac:dyDescent="0.25">
      <c r="A647" s="18" t="s">
        <v>25</v>
      </c>
      <c r="B647" s="57">
        <v>6.2500000000000001E-4</v>
      </c>
      <c r="C647" s="58">
        <v>1</v>
      </c>
      <c r="D647" s="18" t="s">
        <v>2220</v>
      </c>
      <c r="E647" s="18" t="s">
        <v>2221</v>
      </c>
      <c r="F647" s="18" t="s">
        <v>1621</v>
      </c>
      <c r="G647" s="59">
        <v>5.28</v>
      </c>
      <c r="H647" s="59">
        <v>5.28</v>
      </c>
      <c r="I647" s="18" t="s">
        <v>65</v>
      </c>
      <c r="J647" s="18" t="s">
        <v>368</v>
      </c>
      <c r="K647" s="18" t="s">
        <v>2409</v>
      </c>
      <c r="L647" s="30" t="s">
        <v>1612</v>
      </c>
    </row>
    <row r="648" spans="1:12" hidden="1" x14ac:dyDescent="0.25">
      <c r="A648" s="18" t="s">
        <v>25</v>
      </c>
      <c r="B648" s="57">
        <v>8.9120370370370362E-4</v>
      </c>
      <c r="C648" s="58">
        <v>1</v>
      </c>
      <c r="D648" s="18" t="s">
        <v>2411</v>
      </c>
      <c r="E648" s="18" t="s">
        <v>2412</v>
      </c>
      <c r="F648" s="18" t="s">
        <v>1621</v>
      </c>
      <c r="G648" s="59">
        <v>18.27</v>
      </c>
      <c r="H648" s="59">
        <v>18.27</v>
      </c>
      <c r="I648" s="18" t="s">
        <v>65</v>
      </c>
      <c r="J648" s="18" t="s">
        <v>1590</v>
      </c>
      <c r="K648" s="18" t="s">
        <v>2409</v>
      </c>
      <c r="L648" s="30" t="s">
        <v>1612</v>
      </c>
    </row>
    <row r="649" spans="1:12" hidden="1" x14ac:dyDescent="0.25">
      <c r="A649" s="18" t="s">
        <v>25</v>
      </c>
      <c r="B649" s="57">
        <v>5.3240740740740744E-4</v>
      </c>
      <c r="C649" s="58">
        <v>1</v>
      </c>
      <c r="D649" s="18" t="s">
        <v>2413</v>
      </c>
      <c r="E649" s="18" t="s">
        <v>2414</v>
      </c>
      <c r="F649" s="18" t="s">
        <v>1621</v>
      </c>
      <c r="G649" s="59">
        <v>3.3</v>
      </c>
      <c r="H649" s="59">
        <v>3.3</v>
      </c>
      <c r="I649" s="18" t="s">
        <v>1588</v>
      </c>
      <c r="J649" s="18" t="s">
        <v>512</v>
      </c>
      <c r="K649" s="18" t="s">
        <v>2415</v>
      </c>
      <c r="L649" s="30" t="s">
        <v>1612</v>
      </c>
    </row>
    <row r="650" spans="1:12" hidden="1" x14ac:dyDescent="0.25">
      <c r="A650" s="18" t="s">
        <v>25</v>
      </c>
      <c r="B650" s="57">
        <v>6.9444444444444436E-4</v>
      </c>
      <c r="C650" s="58">
        <v>1</v>
      </c>
      <c r="D650" s="18" t="s">
        <v>2416</v>
      </c>
      <c r="E650" s="18" t="s">
        <v>2329</v>
      </c>
      <c r="F650" s="18" t="s">
        <v>1621</v>
      </c>
      <c r="G650" s="59">
        <v>14.31</v>
      </c>
      <c r="H650" s="59">
        <v>14.31</v>
      </c>
      <c r="I650" s="18" t="s">
        <v>367</v>
      </c>
      <c r="J650" s="18" t="s">
        <v>367</v>
      </c>
      <c r="K650" s="18" t="s">
        <v>2415</v>
      </c>
      <c r="L650" s="30" t="s">
        <v>1612</v>
      </c>
    </row>
    <row r="651" spans="1:12" hidden="1" x14ac:dyDescent="0.25">
      <c r="A651" s="18" t="s">
        <v>25</v>
      </c>
      <c r="B651" s="57">
        <v>6.8287037037037036E-4</v>
      </c>
      <c r="C651" s="58">
        <v>1</v>
      </c>
      <c r="D651" s="18" t="s">
        <v>2328</v>
      </c>
      <c r="E651" s="18" t="s">
        <v>2329</v>
      </c>
      <c r="F651" s="18" t="s">
        <v>1621</v>
      </c>
      <c r="G651" s="59">
        <v>14.31</v>
      </c>
      <c r="H651" s="59">
        <v>14.31</v>
      </c>
      <c r="I651" s="18" t="s">
        <v>367</v>
      </c>
      <c r="J651" s="18" t="s">
        <v>367</v>
      </c>
      <c r="K651" s="18" t="s">
        <v>2415</v>
      </c>
      <c r="L651" s="30" t="s">
        <v>1612</v>
      </c>
    </row>
    <row r="652" spans="1:12" hidden="1" x14ac:dyDescent="0.25">
      <c r="A652" s="18" t="s">
        <v>25</v>
      </c>
      <c r="B652" s="57">
        <v>1.9675925925925924E-3</v>
      </c>
      <c r="C652" s="58">
        <v>1</v>
      </c>
      <c r="D652" s="18" t="s">
        <v>2417</v>
      </c>
      <c r="E652" s="18" t="s">
        <v>2418</v>
      </c>
      <c r="F652" s="18" t="s">
        <v>1621</v>
      </c>
      <c r="G652" s="59">
        <v>187.46</v>
      </c>
      <c r="H652" s="59">
        <v>187.46</v>
      </c>
      <c r="I652" s="18" t="s">
        <v>367</v>
      </c>
      <c r="J652" s="18" t="s">
        <v>427</v>
      </c>
      <c r="K652" s="18" t="s">
        <v>2415</v>
      </c>
      <c r="L652" s="30" t="s">
        <v>1612</v>
      </c>
    </row>
    <row r="653" spans="1:12" hidden="1" x14ac:dyDescent="0.25">
      <c r="A653" s="18" t="s">
        <v>25</v>
      </c>
      <c r="B653" s="57">
        <v>1.2268518518518518E-3</v>
      </c>
      <c r="C653" s="58">
        <v>2</v>
      </c>
      <c r="D653" s="18" t="s">
        <v>2178</v>
      </c>
      <c r="E653" s="18" t="s">
        <v>2179</v>
      </c>
      <c r="F653" s="18" t="s">
        <v>1621</v>
      </c>
      <c r="G653" s="59">
        <v>4.58</v>
      </c>
      <c r="H653" s="59">
        <v>9.16</v>
      </c>
      <c r="I653" s="18" t="s">
        <v>65</v>
      </c>
      <c r="J653" s="18" t="s">
        <v>66</v>
      </c>
      <c r="K653" s="18" t="s">
        <v>2415</v>
      </c>
      <c r="L653" s="30" t="s">
        <v>1612</v>
      </c>
    </row>
    <row r="654" spans="1:12" hidden="1" x14ac:dyDescent="0.25">
      <c r="A654" s="18" t="s">
        <v>25</v>
      </c>
      <c r="B654" s="57">
        <v>2.5000000000000001E-3</v>
      </c>
      <c r="C654" s="58">
        <v>4</v>
      </c>
      <c r="D654" s="18" t="s">
        <v>2180</v>
      </c>
      <c r="E654" s="18" t="s">
        <v>2181</v>
      </c>
      <c r="F654" s="18" t="s">
        <v>1621</v>
      </c>
      <c r="G654" s="59">
        <v>4.6900000000000004</v>
      </c>
      <c r="H654" s="59">
        <v>18.760000000000002</v>
      </c>
      <c r="I654" s="18" t="s">
        <v>65</v>
      </c>
      <c r="J654" s="18" t="s">
        <v>66</v>
      </c>
      <c r="K654" s="18" t="s">
        <v>2415</v>
      </c>
      <c r="L654" s="30" t="s">
        <v>1612</v>
      </c>
    </row>
    <row r="655" spans="1:12" hidden="1" x14ac:dyDescent="0.25">
      <c r="A655" s="18" t="s">
        <v>25</v>
      </c>
      <c r="B655" s="57">
        <v>1.5046296296296296E-3</v>
      </c>
      <c r="C655" s="58">
        <v>1</v>
      </c>
      <c r="D655" s="18" t="s">
        <v>2419</v>
      </c>
      <c r="E655" s="18" t="s">
        <v>2420</v>
      </c>
      <c r="F655" s="18" t="s">
        <v>1621</v>
      </c>
      <c r="G655" s="59">
        <v>77.790000000000006</v>
      </c>
      <c r="H655" s="59">
        <v>77.790000000000006</v>
      </c>
      <c r="I655" s="18" t="s">
        <v>65</v>
      </c>
      <c r="J655" s="18" t="s">
        <v>492</v>
      </c>
      <c r="K655" s="18" t="s">
        <v>2415</v>
      </c>
      <c r="L655" s="30" t="s">
        <v>1612</v>
      </c>
    </row>
    <row r="656" spans="1:12" hidden="1" x14ac:dyDescent="0.25">
      <c r="A656" s="18" t="s">
        <v>25</v>
      </c>
      <c r="B656" s="57">
        <v>1.5046296296296296E-3</v>
      </c>
      <c r="C656" s="58">
        <v>1</v>
      </c>
      <c r="D656" s="18" t="s">
        <v>2421</v>
      </c>
      <c r="E656" s="18" t="s">
        <v>2422</v>
      </c>
      <c r="F656" s="18" t="s">
        <v>1621</v>
      </c>
      <c r="G656" s="59">
        <v>77.75</v>
      </c>
      <c r="H656" s="59">
        <v>77.75</v>
      </c>
      <c r="I656" s="18" t="s">
        <v>65</v>
      </c>
      <c r="J656" s="18" t="s">
        <v>492</v>
      </c>
      <c r="K656" s="18" t="s">
        <v>2415</v>
      </c>
      <c r="L656" s="30" t="s">
        <v>1612</v>
      </c>
    </row>
    <row r="657" spans="1:12" hidden="1" x14ac:dyDescent="0.25">
      <c r="A657" s="18" t="s">
        <v>25</v>
      </c>
      <c r="B657" s="57">
        <v>3.5532407407407405E-3</v>
      </c>
      <c r="C657" s="58">
        <v>1</v>
      </c>
      <c r="D657" s="18" t="s">
        <v>2423</v>
      </c>
      <c r="E657" s="18" t="s">
        <v>2424</v>
      </c>
      <c r="F657" s="18" t="s">
        <v>1621</v>
      </c>
      <c r="G657" s="59">
        <v>461.67</v>
      </c>
      <c r="H657" s="59">
        <v>461.67</v>
      </c>
      <c r="I657" s="18" t="s">
        <v>65</v>
      </c>
      <c r="J657" s="18" t="s">
        <v>1599</v>
      </c>
      <c r="K657" s="18" t="s">
        <v>2415</v>
      </c>
      <c r="L657" s="30" t="s">
        <v>1612</v>
      </c>
    </row>
    <row r="658" spans="1:12" hidden="1" x14ac:dyDescent="0.25">
      <c r="A658" s="18" t="s">
        <v>25</v>
      </c>
      <c r="B658" s="57">
        <v>3.5648148148148145E-3</v>
      </c>
      <c r="C658" s="58">
        <v>1</v>
      </c>
      <c r="D658" s="18" t="s">
        <v>2425</v>
      </c>
      <c r="E658" s="18" t="s">
        <v>2426</v>
      </c>
      <c r="F658" s="18" t="s">
        <v>1621</v>
      </c>
      <c r="G658" s="59">
        <v>464.39</v>
      </c>
      <c r="H658" s="59">
        <v>464.39</v>
      </c>
      <c r="I658" s="18" t="s">
        <v>65</v>
      </c>
      <c r="J658" s="18" t="s">
        <v>1598</v>
      </c>
      <c r="K658" s="18" t="s">
        <v>2415</v>
      </c>
      <c r="L658" s="30" t="s">
        <v>1612</v>
      </c>
    </row>
    <row r="659" spans="1:12" hidden="1" x14ac:dyDescent="0.25">
      <c r="A659" s="18" t="s">
        <v>25</v>
      </c>
      <c r="B659" s="57">
        <v>1.261574074074074E-3</v>
      </c>
      <c r="C659" s="58">
        <v>2</v>
      </c>
      <c r="D659" s="18" t="s">
        <v>2110</v>
      </c>
      <c r="E659" s="18" t="s">
        <v>2111</v>
      </c>
      <c r="F659" s="18" t="s">
        <v>1621</v>
      </c>
      <c r="G659" s="59">
        <v>8.3699999999999992</v>
      </c>
      <c r="H659" s="59">
        <v>16.739999999999998</v>
      </c>
      <c r="I659" s="18" t="s">
        <v>1665</v>
      </c>
      <c r="J659" s="18" t="s">
        <v>498</v>
      </c>
      <c r="K659" s="18" t="s">
        <v>2427</v>
      </c>
      <c r="L659" s="30" t="s">
        <v>1612</v>
      </c>
    </row>
    <row r="660" spans="1:12" hidden="1" x14ac:dyDescent="0.25">
      <c r="A660" s="18" t="s">
        <v>25</v>
      </c>
      <c r="B660" s="57">
        <v>9.1435185185185185E-4</v>
      </c>
      <c r="C660" s="58">
        <v>1</v>
      </c>
      <c r="D660" s="18" t="s">
        <v>2055</v>
      </c>
      <c r="E660" s="18" t="s">
        <v>2056</v>
      </c>
      <c r="F660" s="18" t="s">
        <v>1621</v>
      </c>
      <c r="G660" s="59">
        <v>18.61</v>
      </c>
      <c r="H660" s="59">
        <v>18.61</v>
      </c>
      <c r="I660" s="18" t="s">
        <v>1672</v>
      </c>
      <c r="J660" s="18" t="s">
        <v>498</v>
      </c>
      <c r="K660" s="18" t="s">
        <v>2427</v>
      </c>
      <c r="L660" s="30" t="s">
        <v>1612</v>
      </c>
    </row>
    <row r="661" spans="1:12" hidden="1" x14ac:dyDescent="0.25">
      <c r="A661" s="18" t="s">
        <v>25</v>
      </c>
      <c r="B661" s="57">
        <v>7.2916666666666659E-4</v>
      </c>
      <c r="C661" s="58">
        <v>1</v>
      </c>
      <c r="D661" s="18" t="s">
        <v>2328</v>
      </c>
      <c r="E661" s="18" t="s">
        <v>2329</v>
      </c>
      <c r="F661" s="18" t="s">
        <v>1621</v>
      </c>
      <c r="G661" s="59">
        <v>14.31</v>
      </c>
      <c r="H661" s="59">
        <v>14.31</v>
      </c>
      <c r="I661" s="18" t="s">
        <v>367</v>
      </c>
      <c r="J661" s="18" t="s">
        <v>367</v>
      </c>
      <c r="K661" s="18" t="s">
        <v>2427</v>
      </c>
      <c r="L661" s="30" t="s">
        <v>1612</v>
      </c>
    </row>
    <row r="662" spans="1:12" hidden="1" x14ac:dyDescent="0.25">
      <c r="A662" s="18" t="s">
        <v>25</v>
      </c>
      <c r="B662" s="57">
        <v>8.5648148148148139E-4</v>
      </c>
      <c r="C662" s="58">
        <v>1</v>
      </c>
      <c r="D662" s="18" t="s">
        <v>2428</v>
      </c>
      <c r="E662" s="18" t="s">
        <v>2191</v>
      </c>
      <c r="F662" s="18" t="s">
        <v>1621</v>
      </c>
      <c r="G662" s="59">
        <v>19.690000000000001</v>
      </c>
      <c r="H662" s="59">
        <v>19.690000000000001</v>
      </c>
      <c r="I662" s="18" t="s">
        <v>65</v>
      </c>
      <c r="J662" s="18" t="s">
        <v>1591</v>
      </c>
      <c r="K662" s="18" t="s">
        <v>2427</v>
      </c>
      <c r="L662" s="30" t="s">
        <v>1612</v>
      </c>
    </row>
    <row r="663" spans="1:12" hidden="1" x14ac:dyDescent="0.25">
      <c r="A663" s="18" t="s">
        <v>25</v>
      </c>
      <c r="B663" s="57">
        <v>8.5648148148148139E-4</v>
      </c>
      <c r="C663" s="58">
        <v>1</v>
      </c>
      <c r="D663" s="18" t="s">
        <v>2429</v>
      </c>
      <c r="E663" s="18" t="s">
        <v>2306</v>
      </c>
      <c r="F663" s="18" t="s">
        <v>1621</v>
      </c>
      <c r="G663" s="59">
        <v>19.61</v>
      </c>
      <c r="H663" s="59">
        <v>19.61</v>
      </c>
      <c r="I663" s="18" t="s">
        <v>65</v>
      </c>
      <c r="J663" s="18" t="s">
        <v>1598</v>
      </c>
      <c r="K663" s="18" t="s">
        <v>2427</v>
      </c>
      <c r="L663" s="30" t="s">
        <v>1612</v>
      </c>
    </row>
    <row r="664" spans="1:12" hidden="1" x14ac:dyDescent="0.25">
      <c r="A664" s="18" t="s">
        <v>25</v>
      </c>
      <c r="B664" s="57">
        <v>1.3310185185185185E-3</v>
      </c>
      <c r="C664" s="58">
        <v>1</v>
      </c>
      <c r="D664" s="18" t="s">
        <v>54</v>
      </c>
      <c r="E664" s="18" t="s">
        <v>1119</v>
      </c>
      <c r="F664" s="18" t="s">
        <v>1621</v>
      </c>
      <c r="G664" s="59">
        <v>59.25</v>
      </c>
      <c r="H664" s="59">
        <v>59.25</v>
      </c>
      <c r="I664" s="18" t="s">
        <v>2430</v>
      </c>
      <c r="J664" s="18" t="s">
        <v>44</v>
      </c>
      <c r="K664" s="18" t="s">
        <v>2427</v>
      </c>
      <c r="L664" s="30" t="s">
        <v>1612</v>
      </c>
    </row>
    <row r="665" spans="1:12" x14ac:dyDescent="0.25">
      <c r="A665" s="18" t="s">
        <v>25</v>
      </c>
      <c r="B665" s="57">
        <v>6.8634259259259256E-3</v>
      </c>
      <c r="C665" s="58">
        <v>1</v>
      </c>
      <c r="D665" s="18" t="s">
        <v>2431</v>
      </c>
      <c r="E665" s="18" t="s">
        <v>2278</v>
      </c>
      <c r="F665" s="18" t="s">
        <v>1621</v>
      </c>
      <c r="G665" s="59">
        <v>1153.71</v>
      </c>
      <c r="H665" s="59">
        <v>1153.71</v>
      </c>
      <c r="I665" s="18" t="s">
        <v>1665</v>
      </c>
      <c r="J665" s="18" t="s">
        <v>115</v>
      </c>
      <c r="K665" s="18" t="s">
        <v>2427</v>
      </c>
      <c r="L665" s="30" t="s">
        <v>1612</v>
      </c>
    </row>
    <row r="666" spans="1:12" hidden="1" x14ac:dyDescent="0.25">
      <c r="A666" s="18" t="s">
        <v>25</v>
      </c>
      <c r="B666" s="57">
        <v>3.7615740740740739E-3</v>
      </c>
      <c r="C666" s="58">
        <v>7</v>
      </c>
      <c r="D666" s="18" t="s">
        <v>2110</v>
      </c>
      <c r="E666" s="18" t="s">
        <v>2111</v>
      </c>
      <c r="F666" s="18" t="s">
        <v>1621</v>
      </c>
      <c r="G666" s="59">
        <v>8.3699999999999992</v>
      </c>
      <c r="H666" s="59">
        <v>58.59</v>
      </c>
      <c r="I666" s="18" t="s">
        <v>1665</v>
      </c>
      <c r="J666" s="18" t="s">
        <v>498</v>
      </c>
      <c r="K666" s="18" t="s">
        <v>2432</v>
      </c>
      <c r="L666" s="30" t="s">
        <v>1612</v>
      </c>
    </row>
    <row r="667" spans="1:12" hidden="1" x14ac:dyDescent="0.25">
      <c r="A667" s="18" t="s">
        <v>25</v>
      </c>
      <c r="B667" s="57">
        <v>1.0995370370370369E-3</v>
      </c>
      <c r="C667" s="58">
        <v>2</v>
      </c>
      <c r="D667" s="18" t="s">
        <v>2046</v>
      </c>
      <c r="E667" s="18" t="s">
        <v>2047</v>
      </c>
      <c r="F667" s="18" t="s">
        <v>1621</v>
      </c>
      <c r="G667" s="59">
        <v>8.7799999999999994</v>
      </c>
      <c r="H667" s="59">
        <v>17.559999999999999</v>
      </c>
      <c r="I667" s="18" t="s">
        <v>367</v>
      </c>
      <c r="J667" s="18" t="s">
        <v>1593</v>
      </c>
      <c r="K667" s="18" t="s">
        <v>2432</v>
      </c>
      <c r="L667" s="30" t="s">
        <v>1612</v>
      </c>
    </row>
    <row r="668" spans="1:12" hidden="1" x14ac:dyDescent="0.25">
      <c r="A668" s="18" t="s">
        <v>25</v>
      </c>
      <c r="B668" s="57">
        <v>3.1828703703703702E-3</v>
      </c>
      <c r="C668" s="58">
        <v>1</v>
      </c>
      <c r="D668" s="18" t="s">
        <v>2433</v>
      </c>
      <c r="E668" s="18" t="s">
        <v>2434</v>
      </c>
      <c r="F668" s="18" t="s">
        <v>1621</v>
      </c>
      <c r="G668" s="59">
        <v>437.53</v>
      </c>
      <c r="H668" s="59">
        <v>437.53</v>
      </c>
      <c r="I668" s="18" t="s">
        <v>367</v>
      </c>
      <c r="J668" s="18" t="s">
        <v>1594</v>
      </c>
      <c r="K668" s="18" t="s">
        <v>2432</v>
      </c>
      <c r="L668" s="30" t="s">
        <v>1612</v>
      </c>
    </row>
    <row r="669" spans="1:12" hidden="1" x14ac:dyDescent="0.25">
      <c r="A669" s="18" t="s">
        <v>25</v>
      </c>
      <c r="B669" s="57">
        <v>1.5393518518518519E-3</v>
      </c>
      <c r="C669" s="58">
        <v>1</v>
      </c>
      <c r="D669" s="18" t="s">
        <v>2435</v>
      </c>
      <c r="E669" s="18" t="s">
        <v>2436</v>
      </c>
      <c r="F669" s="18" t="s">
        <v>1621</v>
      </c>
      <c r="G669" s="59">
        <v>65.66</v>
      </c>
      <c r="H669" s="59">
        <v>65.66</v>
      </c>
      <c r="I669" s="18" t="s">
        <v>65</v>
      </c>
      <c r="J669" s="18" t="s">
        <v>1589</v>
      </c>
      <c r="K669" s="18" t="s">
        <v>2432</v>
      </c>
      <c r="L669" s="30" t="s">
        <v>1612</v>
      </c>
    </row>
    <row r="670" spans="1:12" hidden="1" x14ac:dyDescent="0.25">
      <c r="A670" s="18" t="s">
        <v>25</v>
      </c>
      <c r="B670" s="57">
        <v>3.2291666666666666E-3</v>
      </c>
      <c r="C670" s="58">
        <v>1</v>
      </c>
      <c r="D670" s="18" t="s">
        <v>2437</v>
      </c>
      <c r="E670" s="18" t="s">
        <v>2262</v>
      </c>
      <c r="F670" s="18" t="s">
        <v>1621</v>
      </c>
      <c r="G670" s="59">
        <v>494.64</v>
      </c>
      <c r="H670" s="59">
        <v>494.64</v>
      </c>
      <c r="I670" s="18" t="s">
        <v>65</v>
      </c>
      <c r="J670" s="18" t="s">
        <v>1591</v>
      </c>
      <c r="K670" s="18" t="s">
        <v>2432</v>
      </c>
      <c r="L670" s="30" t="s">
        <v>1612</v>
      </c>
    </row>
    <row r="671" spans="1:12" hidden="1" x14ac:dyDescent="0.25">
      <c r="A671" s="18" t="s">
        <v>25</v>
      </c>
      <c r="B671" s="57">
        <v>2.3032407407407407E-3</v>
      </c>
      <c r="C671" s="58">
        <v>1</v>
      </c>
      <c r="D671" s="18" t="s">
        <v>2438</v>
      </c>
      <c r="E671" s="18" t="s">
        <v>2319</v>
      </c>
      <c r="F671" s="18" t="s">
        <v>1621</v>
      </c>
      <c r="G671" s="59">
        <v>224.79</v>
      </c>
      <c r="H671" s="59">
        <v>224.79</v>
      </c>
      <c r="I671" s="18" t="s">
        <v>65</v>
      </c>
      <c r="J671" s="18" t="s">
        <v>1597</v>
      </c>
      <c r="K671" s="18" t="s">
        <v>2432</v>
      </c>
      <c r="L671" s="30" t="s">
        <v>1612</v>
      </c>
    </row>
    <row r="672" spans="1:12" hidden="1" x14ac:dyDescent="0.25">
      <c r="A672" s="18" t="s">
        <v>25</v>
      </c>
      <c r="B672" s="57">
        <v>1.3541666666666667E-3</v>
      </c>
      <c r="C672" s="58">
        <v>2</v>
      </c>
      <c r="D672" s="18" t="s">
        <v>2416</v>
      </c>
      <c r="E672" s="18" t="s">
        <v>2329</v>
      </c>
      <c r="F672" s="18" t="s">
        <v>1621</v>
      </c>
      <c r="G672" s="59">
        <v>14.31</v>
      </c>
      <c r="H672" s="59">
        <v>28.62</v>
      </c>
      <c r="I672" s="18" t="s">
        <v>367</v>
      </c>
      <c r="J672" s="18" t="s">
        <v>367</v>
      </c>
      <c r="K672" s="18" t="s">
        <v>2439</v>
      </c>
      <c r="L672" s="30" t="s">
        <v>1612</v>
      </c>
    </row>
    <row r="673" spans="1:12" hidden="1" x14ac:dyDescent="0.25">
      <c r="A673" s="18" t="s">
        <v>25</v>
      </c>
      <c r="B673" s="57">
        <v>3.4259259259259256E-3</v>
      </c>
      <c r="C673" s="58">
        <v>6</v>
      </c>
      <c r="D673" s="18" t="s">
        <v>2113</v>
      </c>
      <c r="E673" s="18" t="s">
        <v>2111</v>
      </c>
      <c r="F673" s="18" t="s">
        <v>1621</v>
      </c>
      <c r="G673" s="59">
        <v>8.3699999999999992</v>
      </c>
      <c r="H673" s="59">
        <v>50.22</v>
      </c>
      <c r="I673" s="18" t="s">
        <v>1665</v>
      </c>
      <c r="J673" s="18" t="s">
        <v>115</v>
      </c>
      <c r="K673" s="18" t="s">
        <v>2439</v>
      </c>
      <c r="L673" s="30" t="s">
        <v>1612</v>
      </c>
    </row>
    <row r="674" spans="1:12" hidden="1" x14ac:dyDescent="0.25">
      <c r="A674" s="18" t="s">
        <v>25</v>
      </c>
      <c r="B674" s="57">
        <v>1.8749999999999999E-3</v>
      </c>
      <c r="C674" s="58">
        <v>3</v>
      </c>
      <c r="D674" s="18" t="s">
        <v>2114</v>
      </c>
      <c r="E674" s="18" t="s">
        <v>2097</v>
      </c>
      <c r="F674" s="18" t="s">
        <v>1621</v>
      </c>
      <c r="G674" s="59">
        <v>12.44</v>
      </c>
      <c r="H674" s="59">
        <v>37.32</v>
      </c>
      <c r="I674" s="18" t="s">
        <v>367</v>
      </c>
      <c r="J674" s="18" t="s">
        <v>368</v>
      </c>
      <c r="K674" s="18" t="s">
        <v>2439</v>
      </c>
      <c r="L674" s="30" t="s">
        <v>1612</v>
      </c>
    </row>
    <row r="675" spans="1:12" hidden="1" x14ac:dyDescent="0.25">
      <c r="A675" s="18" t="s">
        <v>25</v>
      </c>
      <c r="B675" s="57">
        <v>1.3194444444444445E-3</v>
      </c>
      <c r="C675" s="58">
        <v>2</v>
      </c>
      <c r="D675" s="18" t="s">
        <v>2328</v>
      </c>
      <c r="E675" s="18" t="s">
        <v>2329</v>
      </c>
      <c r="F675" s="18" t="s">
        <v>1621</v>
      </c>
      <c r="G675" s="59">
        <v>14.31</v>
      </c>
      <c r="H675" s="59">
        <v>28.62</v>
      </c>
      <c r="I675" s="18" t="s">
        <v>367</v>
      </c>
      <c r="J675" s="18" t="s">
        <v>367</v>
      </c>
      <c r="K675" s="18" t="s">
        <v>2439</v>
      </c>
      <c r="L675" s="30" t="s">
        <v>1612</v>
      </c>
    </row>
    <row r="676" spans="1:12" hidden="1" x14ac:dyDescent="0.25">
      <c r="A676" s="18" t="s">
        <v>25</v>
      </c>
      <c r="B676" s="57">
        <v>6.134259259259259E-4</v>
      </c>
      <c r="C676" s="58">
        <v>1</v>
      </c>
      <c r="D676" s="18" t="s">
        <v>2092</v>
      </c>
      <c r="E676" s="18" t="s">
        <v>2093</v>
      </c>
      <c r="F676" s="18" t="s">
        <v>1621</v>
      </c>
      <c r="G676" s="59">
        <v>10.99</v>
      </c>
      <c r="H676" s="59">
        <v>10.99</v>
      </c>
      <c r="I676" s="18" t="s">
        <v>65</v>
      </c>
      <c r="J676" s="18" t="s">
        <v>65</v>
      </c>
      <c r="K676" s="18" t="s">
        <v>2439</v>
      </c>
      <c r="L676" s="30" t="s">
        <v>1612</v>
      </c>
    </row>
    <row r="677" spans="1:12" hidden="1" x14ac:dyDescent="0.25">
      <c r="A677" s="18" t="s">
        <v>25</v>
      </c>
      <c r="B677" s="57">
        <v>2.2222222222222222E-3</v>
      </c>
      <c r="C677" s="58">
        <v>1</v>
      </c>
      <c r="D677" s="18" t="s">
        <v>2115</v>
      </c>
      <c r="E677" s="18" t="s">
        <v>2116</v>
      </c>
      <c r="F677" s="18" t="s">
        <v>1621</v>
      </c>
      <c r="G677" s="59">
        <v>176.85</v>
      </c>
      <c r="H677" s="59">
        <v>176.85</v>
      </c>
      <c r="I677" s="18" t="s">
        <v>65</v>
      </c>
      <c r="J677" s="18" t="s">
        <v>368</v>
      </c>
      <c r="K677" s="18" t="s">
        <v>2439</v>
      </c>
      <c r="L677" s="30" t="s">
        <v>1612</v>
      </c>
    </row>
    <row r="678" spans="1:12" hidden="1" x14ac:dyDescent="0.25">
      <c r="A678" s="18" t="s">
        <v>25</v>
      </c>
      <c r="B678" s="57">
        <v>1.1064814814814814E-2</v>
      </c>
      <c r="C678" s="58">
        <v>5</v>
      </c>
      <c r="D678" s="18" t="s">
        <v>2349</v>
      </c>
      <c r="E678" s="18" t="s">
        <v>2116</v>
      </c>
      <c r="F678" s="18" t="s">
        <v>1621</v>
      </c>
      <c r="G678" s="59">
        <v>176.8</v>
      </c>
      <c r="H678" s="59">
        <v>884</v>
      </c>
      <c r="I678" s="18" t="s">
        <v>65</v>
      </c>
      <c r="J678" s="18" t="s">
        <v>368</v>
      </c>
      <c r="K678" s="18" t="s">
        <v>2439</v>
      </c>
      <c r="L678" s="30" t="s">
        <v>1612</v>
      </c>
    </row>
    <row r="679" spans="1:12" hidden="1" x14ac:dyDescent="0.25">
      <c r="A679" s="18" t="s">
        <v>25</v>
      </c>
      <c r="B679" s="57">
        <v>2.8425925925925924E-2</v>
      </c>
      <c r="C679" s="58">
        <v>23</v>
      </c>
      <c r="D679" s="18" t="s">
        <v>54</v>
      </c>
      <c r="E679" s="18" t="s">
        <v>1119</v>
      </c>
      <c r="F679" s="18" t="s">
        <v>1621</v>
      </c>
      <c r="G679" s="59">
        <v>59.25</v>
      </c>
      <c r="H679" s="59">
        <v>1362.75</v>
      </c>
      <c r="I679" s="18" t="s">
        <v>55</v>
      </c>
      <c r="J679" s="18" t="s">
        <v>44</v>
      </c>
      <c r="K679" s="18" t="s">
        <v>2440</v>
      </c>
      <c r="L679" s="30" t="s">
        <v>1612</v>
      </c>
    </row>
    <row r="680" spans="1:12" hidden="1" x14ac:dyDescent="0.25">
      <c r="A680" s="18" t="s">
        <v>25</v>
      </c>
      <c r="B680" s="57">
        <v>2.8425925925925924E-2</v>
      </c>
      <c r="C680" s="58">
        <v>23</v>
      </c>
      <c r="D680" s="18" t="s">
        <v>54</v>
      </c>
      <c r="E680" s="18" t="s">
        <v>1119</v>
      </c>
      <c r="F680" s="18" t="s">
        <v>1621</v>
      </c>
      <c r="G680" s="59">
        <v>59.25</v>
      </c>
      <c r="H680" s="59">
        <v>1362.75</v>
      </c>
      <c r="I680" s="18" t="s">
        <v>56</v>
      </c>
      <c r="J680" s="18" t="s">
        <v>44</v>
      </c>
      <c r="K680" s="18" t="s">
        <v>2441</v>
      </c>
      <c r="L680" s="30" t="s">
        <v>1612</v>
      </c>
    </row>
    <row r="681" spans="1:12" hidden="1" x14ac:dyDescent="0.25">
      <c r="A681" s="18" t="s">
        <v>25</v>
      </c>
      <c r="B681" s="57">
        <v>5.7870370370370367E-4</v>
      </c>
      <c r="C681" s="58">
        <v>1</v>
      </c>
      <c r="D681" s="18" t="s">
        <v>2113</v>
      </c>
      <c r="E681" s="18" t="s">
        <v>2111</v>
      </c>
      <c r="F681" s="18" t="s">
        <v>1621</v>
      </c>
      <c r="G681" s="59">
        <v>8.3699999999999992</v>
      </c>
      <c r="H681" s="59">
        <v>8.3699999999999992</v>
      </c>
      <c r="I681" s="18" t="s">
        <v>1665</v>
      </c>
      <c r="J681" s="18" t="s">
        <v>115</v>
      </c>
      <c r="K681" s="18" t="s">
        <v>2442</v>
      </c>
      <c r="L681" s="30" t="s">
        <v>1612</v>
      </c>
    </row>
    <row r="682" spans="1:12" hidden="1" x14ac:dyDescent="0.25">
      <c r="A682" s="18" t="s">
        <v>25</v>
      </c>
      <c r="B682" s="57">
        <v>1.5972222222222221E-3</v>
      </c>
      <c r="C682" s="58">
        <v>1</v>
      </c>
      <c r="D682" s="18" t="s">
        <v>2364</v>
      </c>
      <c r="E682" s="18" t="s">
        <v>2284</v>
      </c>
      <c r="F682" s="18" t="s">
        <v>1621</v>
      </c>
      <c r="G682" s="59">
        <v>72.37</v>
      </c>
      <c r="H682" s="59">
        <v>72.37</v>
      </c>
      <c r="I682" s="18" t="s">
        <v>530</v>
      </c>
      <c r="J682" s="18" t="s">
        <v>44</v>
      </c>
      <c r="K682" s="18" t="s">
        <v>2442</v>
      </c>
      <c r="L682" s="30" t="s">
        <v>1612</v>
      </c>
    </row>
    <row r="683" spans="1:12" hidden="1" x14ac:dyDescent="0.25">
      <c r="A683" s="18" t="s">
        <v>25</v>
      </c>
      <c r="B683" s="57">
        <v>1.4467592592592592E-3</v>
      </c>
      <c r="C683" s="58">
        <v>2</v>
      </c>
      <c r="D683" s="18" t="s">
        <v>1888</v>
      </c>
      <c r="E683" s="18" t="s">
        <v>1889</v>
      </c>
      <c r="F683" s="18" t="s">
        <v>1810</v>
      </c>
      <c r="G683" s="59">
        <v>66.22</v>
      </c>
      <c r="H683" s="59">
        <v>132.44</v>
      </c>
      <c r="I683" s="18" t="s">
        <v>1583</v>
      </c>
      <c r="J683" s="18" t="s">
        <v>1583</v>
      </c>
      <c r="K683" s="18" t="s">
        <v>2443</v>
      </c>
      <c r="L683" s="30" t="s">
        <v>1612</v>
      </c>
    </row>
    <row r="684" spans="1:12" hidden="1" x14ac:dyDescent="0.25">
      <c r="A684" s="18" t="s">
        <v>25</v>
      </c>
      <c r="B684" s="57">
        <v>9.0277777777777774E-4</v>
      </c>
      <c r="C684" s="58">
        <v>1</v>
      </c>
      <c r="D684" s="18" t="s">
        <v>2444</v>
      </c>
      <c r="E684" s="18" t="s">
        <v>2445</v>
      </c>
      <c r="F684" s="18" t="s">
        <v>1810</v>
      </c>
      <c r="G684" s="59">
        <v>37.04</v>
      </c>
      <c r="H684" s="59">
        <v>37.04</v>
      </c>
      <c r="I684" s="18" t="s">
        <v>65</v>
      </c>
      <c r="J684" s="18" t="s">
        <v>1596</v>
      </c>
      <c r="K684" s="18" t="s">
        <v>2443</v>
      </c>
      <c r="L684" s="30" t="s">
        <v>1612</v>
      </c>
    </row>
    <row r="685" spans="1:12" hidden="1" x14ac:dyDescent="0.25">
      <c r="A685" s="18" t="s">
        <v>25</v>
      </c>
      <c r="B685" s="57">
        <v>3.1249999999999997E-3</v>
      </c>
      <c r="C685" s="58">
        <v>1</v>
      </c>
      <c r="D685" s="18" t="s">
        <v>2446</v>
      </c>
      <c r="E685" s="18" t="s">
        <v>2447</v>
      </c>
      <c r="F685" s="18" t="s">
        <v>1810</v>
      </c>
      <c r="G685" s="59">
        <v>425.02</v>
      </c>
      <c r="H685" s="59">
        <v>425.02</v>
      </c>
      <c r="I685" s="18" t="s">
        <v>152</v>
      </c>
      <c r="J685" s="18" t="s">
        <v>152</v>
      </c>
      <c r="K685" s="18" t="s">
        <v>2443</v>
      </c>
      <c r="L685" s="30" t="s">
        <v>1612</v>
      </c>
    </row>
    <row r="686" spans="1:12" hidden="1" x14ac:dyDescent="0.25">
      <c r="A686" s="18" t="s">
        <v>25</v>
      </c>
      <c r="B686" s="57">
        <v>1.261574074074074E-3</v>
      </c>
      <c r="C686" s="58">
        <v>1</v>
      </c>
      <c r="D686" s="18" t="s">
        <v>2448</v>
      </c>
      <c r="E686" s="18" t="s">
        <v>2049</v>
      </c>
      <c r="F686" s="18" t="s">
        <v>1621</v>
      </c>
      <c r="G686" s="59">
        <v>63.24</v>
      </c>
      <c r="H686" s="59">
        <v>63.24</v>
      </c>
      <c r="I686" s="18" t="s">
        <v>530</v>
      </c>
      <c r="J686" s="18" t="s">
        <v>44</v>
      </c>
      <c r="K686" s="18" t="s">
        <v>2442</v>
      </c>
      <c r="L686" s="30" t="s">
        <v>1612</v>
      </c>
    </row>
    <row r="687" spans="1:12" x14ac:dyDescent="0.25">
      <c r="A687" s="18" t="s">
        <v>25</v>
      </c>
      <c r="B687" s="57">
        <v>7.3495370370370364E-3</v>
      </c>
      <c r="C687" s="58">
        <v>1</v>
      </c>
      <c r="D687" s="18" t="s">
        <v>2449</v>
      </c>
      <c r="E687" s="18" t="s">
        <v>116</v>
      </c>
      <c r="F687" s="18" t="s">
        <v>1621</v>
      </c>
      <c r="G687" s="59">
        <v>1150.99</v>
      </c>
      <c r="H687" s="59">
        <v>1150.99</v>
      </c>
      <c r="I687" s="18" t="s">
        <v>131</v>
      </c>
      <c r="J687" s="18" t="s">
        <v>115</v>
      </c>
      <c r="K687" s="18" t="s">
        <v>2442</v>
      </c>
      <c r="L687" s="30" t="s">
        <v>1612</v>
      </c>
    </row>
    <row r="688" spans="1:12" hidden="1" x14ac:dyDescent="0.25">
      <c r="A688" s="18" t="s">
        <v>25</v>
      </c>
      <c r="B688" s="57">
        <v>6.0185185185185179E-4</v>
      </c>
      <c r="C688" s="58">
        <v>1</v>
      </c>
      <c r="D688" s="18" t="s">
        <v>2113</v>
      </c>
      <c r="E688" s="18" t="s">
        <v>2111</v>
      </c>
      <c r="F688" s="18" t="s">
        <v>1621</v>
      </c>
      <c r="G688" s="59">
        <v>8.3699999999999992</v>
      </c>
      <c r="H688" s="59">
        <v>8.3699999999999992</v>
      </c>
      <c r="I688" s="18" t="s">
        <v>1665</v>
      </c>
      <c r="J688" s="18" t="s">
        <v>115</v>
      </c>
      <c r="K688" s="18" t="s">
        <v>2450</v>
      </c>
      <c r="L688" s="30" t="s">
        <v>1612</v>
      </c>
    </row>
    <row r="689" spans="1:12" hidden="1" x14ac:dyDescent="0.25">
      <c r="A689" s="18" t="s">
        <v>25</v>
      </c>
      <c r="B689" s="57">
        <v>1.1006944444444444E-2</v>
      </c>
      <c r="C689" s="58">
        <v>6</v>
      </c>
      <c r="D689" s="18" t="s">
        <v>2356</v>
      </c>
      <c r="E689" s="18" t="s">
        <v>2310</v>
      </c>
      <c r="F689" s="18" t="s">
        <v>1621</v>
      </c>
      <c r="G689" s="59">
        <v>58.91</v>
      </c>
      <c r="H689" s="59">
        <v>353.46</v>
      </c>
      <c r="I689" s="18" t="s">
        <v>1665</v>
      </c>
      <c r="J689" s="18" t="s">
        <v>115</v>
      </c>
      <c r="K689" s="18" t="s">
        <v>2450</v>
      </c>
      <c r="L689" s="30" t="s">
        <v>1612</v>
      </c>
    </row>
    <row r="690" spans="1:12" hidden="1" x14ac:dyDescent="0.25">
      <c r="A690" s="18" t="s">
        <v>25</v>
      </c>
      <c r="B690" s="57">
        <v>1.3310185185185185E-3</v>
      </c>
      <c r="C690" s="58">
        <v>2</v>
      </c>
      <c r="D690" s="18" t="s">
        <v>2114</v>
      </c>
      <c r="E690" s="18" t="s">
        <v>2097</v>
      </c>
      <c r="F690" s="18" t="s">
        <v>1621</v>
      </c>
      <c r="G690" s="59">
        <v>12.44</v>
      </c>
      <c r="H690" s="59">
        <v>24.88</v>
      </c>
      <c r="I690" s="18" t="s">
        <v>367</v>
      </c>
      <c r="J690" s="18" t="s">
        <v>368</v>
      </c>
      <c r="K690" s="18" t="s">
        <v>2450</v>
      </c>
      <c r="L690" s="30" t="s">
        <v>1612</v>
      </c>
    </row>
    <row r="691" spans="1:12" hidden="1" x14ac:dyDescent="0.25">
      <c r="A691" s="18" t="s">
        <v>25</v>
      </c>
      <c r="B691" s="57">
        <v>6.6550925925925927E-3</v>
      </c>
      <c r="C691" s="58">
        <v>1</v>
      </c>
      <c r="D691" s="18" t="s">
        <v>2451</v>
      </c>
      <c r="E691" s="18" t="s">
        <v>1620</v>
      </c>
      <c r="F691" s="18" t="s">
        <v>1621</v>
      </c>
      <c r="G691" s="59">
        <v>764.9</v>
      </c>
      <c r="H691" s="59">
        <v>764.9</v>
      </c>
      <c r="I691" s="18" t="s">
        <v>133</v>
      </c>
      <c r="J691" s="18" t="s">
        <v>512</v>
      </c>
      <c r="K691" s="18" t="s">
        <v>2450</v>
      </c>
      <c r="L691" s="30" t="s">
        <v>1612</v>
      </c>
    </row>
    <row r="692" spans="1:12" hidden="1" x14ac:dyDescent="0.25">
      <c r="A692" s="18" t="s">
        <v>25</v>
      </c>
      <c r="B692" s="57">
        <v>1.4351851851851852E-3</v>
      </c>
      <c r="C692" s="58">
        <v>1</v>
      </c>
      <c r="D692" s="18" t="s">
        <v>48</v>
      </c>
      <c r="E692" s="18" t="s">
        <v>1119</v>
      </c>
      <c r="F692" s="18" t="s">
        <v>1621</v>
      </c>
      <c r="G692" s="59">
        <v>59.87</v>
      </c>
      <c r="H692" s="59">
        <v>59.87</v>
      </c>
      <c r="I692" s="18" t="s">
        <v>2395</v>
      </c>
      <c r="J692" s="18" t="s">
        <v>44</v>
      </c>
      <c r="K692" s="18" t="s">
        <v>2450</v>
      </c>
      <c r="L692" s="30" t="s">
        <v>1612</v>
      </c>
    </row>
    <row r="693" spans="1:12" hidden="1" x14ac:dyDescent="0.25">
      <c r="A693" s="18" t="s">
        <v>25</v>
      </c>
      <c r="B693" s="57">
        <v>1.2037037037037036E-3</v>
      </c>
      <c r="C693" s="58">
        <v>2</v>
      </c>
      <c r="D693" s="18" t="s">
        <v>2110</v>
      </c>
      <c r="E693" s="18" t="s">
        <v>2111</v>
      </c>
      <c r="F693" s="18" t="s">
        <v>1621</v>
      </c>
      <c r="G693" s="59">
        <v>8.3699999999999992</v>
      </c>
      <c r="H693" s="59">
        <v>16.739999999999998</v>
      </c>
      <c r="I693" s="18" t="s">
        <v>1665</v>
      </c>
      <c r="J693" s="18" t="s">
        <v>498</v>
      </c>
      <c r="K693" s="18" t="s">
        <v>2452</v>
      </c>
      <c r="L693" s="30" t="s">
        <v>1612</v>
      </c>
    </row>
    <row r="694" spans="1:12" x14ac:dyDescent="0.25">
      <c r="A694" s="18" t="s">
        <v>25</v>
      </c>
      <c r="B694" s="57">
        <v>8.6921296296296295E-3</v>
      </c>
      <c r="C694" s="58">
        <v>1</v>
      </c>
      <c r="D694" s="18" t="s">
        <v>2453</v>
      </c>
      <c r="E694" s="18" t="s">
        <v>770</v>
      </c>
      <c r="F694" s="18" t="s">
        <v>1621</v>
      </c>
      <c r="G694" s="59">
        <v>1349.12</v>
      </c>
      <c r="H694" s="59">
        <v>1349.12</v>
      </c>
      <c r="I694" s="18" t="s">
        <v>129</v>
      </c>
      <c r="J694" s="18" t="s">
        <v>512</v>
      </c>
      <c r="K694" s="18" t="s">
        <v>2452</v>
      </c>
      <c r="L694" s="30" t="s">
        <v>1612</v>
      </c>
    </row>
    <row r="695" spans="1:12" hidden="1" x14ac:dyDescent="0.25">
      <c r="A695" s="18" t="s">
        <v>25</v>
      </c>
      <c r="B695" s="57">
        <v>6.3657407407407402E-4</v>
      </c>
      <c r="C695" s="58">
        <v>1</v>
      </c>
      <c r="D695" s="18" t="s">
        <v>2087</v>
      </c>
      <c r="E695" s="18" t="s">
        <v>2088</v>
      </c>
      <c r="F695" s="18" t="s">
        <v>1621</v>
      </c>
      <c r="G695" s="59">
        <v>18.63</v>
      </c>
      <c r="H695" s="59">
        <v>18.63</v>
      </c>
      <c r="I695" s="18" t="s">
        <v>1672</v>
      </c>
      <c r="J695" s="18" t="s">
        <v>115</v>
      </c>
      <c r="K695" s="18" t="s">
        <v>2454</v>
      </c>
      <c r="L695" s="30" t="s">
        <v>1612</v>
      </c>
    </row>
    <row r="696" spans="1:12" hidden="1" x14ac:dyDescent="0.25">
      <c r="A696" s="18" t="s">
        <v>25</v>
      </c>
      <c r="B696" s="57">
        <v>4.6296296296296293E-4</v>
      </c>
      <c r="C696" s="58">
        <v>1</v>
      </c>
      <c r="D696" s="18" t="s">
        <v>2046</v>
      </c>
      <c r="E696" s="18" t="s">
        <v>2047</v>
      </c>
      <c r="F696" s="18" t="s">
        <v>1621</v>
      </c>
      <c r="G696" s="59">
        <v>8.7799999999999994</v>
      </c>
      <c r="H696" s="59">
        <v>8.7799999999999994</v>
      </c>
      <c r="I696" s="18" t="s">
        <v>367</v>
      </c>
      <c r="J696" s="18" t="s">
        <v>1593</v>
      </c>
      <c r="K696" s="18" t="s">
        <v>2454</v>
      </c>
      <c r="L696" s="30" t="s">
        <v>1612</v>
      </c>
    </row>
    <row r="697" spans="1:12" hidden="1" x14ac:dyDescent="0.25">
      <c r="A697" s="18" t="s">
        <v>25</v>
      </c>
      <c r="B697" s="57">
        <v>9.4907407407407408E-4</v>
      </c>
      <c r="C697" s="58">
        <v>3</v>
      </c>
      <c r="D697" s="18" t="s">
        <v>2060</v>
      </c>
      <c r="E697" s="18" t="s">
        <v>2061</v>
      </c>
      <c r="F697" s="18" t="s">
        <v>1621</v>
      </c>
      <c r="G697" s="59">
        <v>1.4</v>
      </c>
      <c r="H697" s="59">
        <v>4.2</v>
      </c>
      <c r="I697" s="18" t="s">
        <v>367</v>
      </c>
      <c r="J697" s="18" t="s">
        <v>1593</v>
      </c>
      <c r="K697" s="18" t="s">
        <v>2454</v>
      </c>
      <c r="L697" s="30" t="s">
        <v>1612</v>
      </c>
    </row>
    <row r="698" spans="1:12" hidden="1" x14ac:dyDescent="0.25">
      <c r="A698" s="18" t="s">
        <v>25</v>
      </c>
      <c r="B698" s="57">
        <v>1.4004629629629629E-3</v>
      </c>
      <c r="C698" s="58">
        <v>4</v>
      </c>
      <c r="D698" s="18" t="s">
        <v>2062</v>
      </c>
      <c r="E698" s="18" t="s">
        <v>2063</v>
      </c>
      <c r="F698" s="18" t="s">
        <v>1621</v>
      </c>
      <c r="G698" s="59">
        <v>2.2799999999999998</v>
      </c>
      <c r="H698" s="59">
        <v>9.1199999999999992</v>
      </c>
      <c r="I698" s="18" t="s">
        <v>367</v>
      </c>
      <c r="J698" s="18" t="s">
        <v>1592</v>
      </c>
      <c r="K698" s="18" t="s">
        <v>2454</v>
      </c>
      <c r="L698" s="30" t="s">
        <v>1612</v>
      </c>
    </row>
    <row r="699" spans="1:12" hidden="1" x14ac:dyDescent="0.25">
      <c r="A699" s="18" t="s">
        <v>25</v>
      </c>
      <c r="B699" s="57">
        <v>3.3217592592592591E-3</v>
      </c>
      <c r="C699" s="58">
        <v>10</v>
      </c>
      <c r="D699" s="18" t="s">
        <v>2455</v>
      </c>
      <c r="E699" s="18" t="s">
        <v>2456</v>
      </c>
      <c r="F699" s="18" t="s">
        <v>1621</v>
      </c>
      <c r="G699" s="59">
        <v>1.88</v>
      </c>
      <c r="H699" s="59">
        <v>18.8</v>
      </c>
      <c r="I699" s="18" t="s">
        <v>367</v>
      </c>
      <c r="J699" s="18" t="s">
        <v>1592</v>
      </c>
      <c r="K699" s="18" t="s">
        <v>2454</v>
      </c>
      <c r="L699" s="30" t="s">
        <v>1612</v>
      </c>
    </row>
    <row r="700" spans="1:12" hidden="1" x14ac:dyDescent="0.25">
      <c r="A700" s="18" t="s">
        <v>25</v>
      </c>
      <c r="B700" s="57">
        <v>1.4004629629629629E-3</v>
      </c>
      <c r="C700" s="58">
        <v>1</v>
      </c>
      <c r="D700" s="18" t="s">
        <v>2457</v>
      </c>
      <c r="E700" s="18" t="s">
        <v>2458</v>
      </c>
      <c r="F700" s="18" t="s">
        <v>1621</v>
      </c>
      <c r="G700" s="59">
        <v>11.77</v>
      </c>
      <c r="H700" s="59">
        <v>11.77</v>
      </c>
      <c r="I700" s="18" t="s">
        <v>367</v>
      </c>
      <c r="J700" s="18" t="s">
        <v>368</v>
      </c>
      <c r="K700" s="18" t="s">
        <v>2454</v>
      </c>
      <c r="L700" s="30" t="s">
        <v>1612</v>
      </c>
    </row>
    <row r="701" spans="1:12" hidden="1" x14ac:dyDescent="0.25">
      <c r="A701" s="18" t="s">
        <v>25</v>
      </c>
      <c r="B701" s="57">
        <v>1.261574074074074E-3</v>
      </c>
      <c r="C701" s="58">
        <v>4</v>
      </c>
      <c r="D701" s="18" t="s">
        <v>2459</v>
      </c>
      <c r="E701" s="18" t="s">
        <v>2061</v>
      </c>
      <c r="F701" s="18" t="s">
        <v>1621</v>
      </c>
      <c r="G701" s="59">
        <v>1.4</v>
      </c>
      <c r="H701" s="59">
        <v>5.6</v>
      </c>
      <c r="I701" s="18" t="s">
        <v>65</v>
      </c>
      <c r="J701" s="18" t="s">
        <v>65</v>
      </c>
      <c r="K701" s="18" t="s">
        <v>2454</v>
      </c>
      <c r="L701" s="30" t="s">
        <v>1612</v>
      </c>
    </row>
    <row r="702" spans="1:12" hidden="1" x14ac:dyDescent="0.25">
      <c r="A702" s="18" t="s">
        <v>25</v>
      </c>
      <c r="B702" s="57">
        <v>5.4398148148148144E-4</v>
      </c>
      <c r="C702" s="58">
        <v>1</v>
      </c>
      <c r="D702" s="18" t="s">
        <v>2460</v>
      </c>
      <c r="E702" s="18" t="s">
        <v>2461</v>
      </c>
      <c r="F702" s="18" t="s">
        <v>1621</v>
      </c>
      <c r="G702" s="59">
        <v>16.07</v>
      </c>
      <c r="H702" s="59">
        <v>16.07</v>
      </c>
      <c r="I702" s="18" t="s">
        <v>65</v>
      </c>
      <c r="J702" s="18" t="s">
        <v>65</v>
      </c>
      <c r="K702" s="18" t="s">
        <v>2454</v>
      </c>
      <c r="L702" s="30" t="s">
        <v>1612</v>
      </c>
    </row>
    <row r="703" spans="1:12" hidden="1" x14ac:dyDescent="0.25">
      <c r="A703" s="18" t="s">
        <v>25</v>
      </c>
      <c r="B703" s="57">
        <v>4.5138888888888885E-3</v>
      </c>
      <c r="C703" s="58">
        <v>12</v>
      </c>
      <c r="D703" s="18" t="s">
        <v>2083</v>
      </c>
      <c r="E703" s="18" t="s">
        <v>2084</v>
      </c>
      <c r="F703" s="18" t="s">
        <v>1621</v>
      </c>
      <c r="G703" s="59">
        <v>3.37</v>
      </c>
      <c r="H703" s="59">
        <v>40.44</v>
      </c>
      <c r="I703" s="18" t="s">
        <v>65</v>
      </c>
      <c r="J703" s="18" t="s">
        <v>65</v>
      </c>
      <c r="K703" s="18" t="s">
        <v>2454</v>
      </c>
      <c r="L703" s="30" t="s">
        <v>1612</v>
      </c>
    </row>
    <row r="704" spans="1:12" hidden="1" x14ac:dyDescent="0.25">
      <c r="A704" s="18" t="s">
        <v>25</v>
      </c>
      <c r="B704" s="57">
        <v>4.2592592592592595E-3</v>
      </c>
      <c r="C704" s="58">
        <v>1</v>
      </c>
      <c r="D704" s="18" t="s">
        <v>2462</v>
      </c>
      <c r="E704" s="18" t="s">
        <v>2380</v>
      </c>
      <c r="F704" s="18" t="s">
        <v>1621</v>
      </c>
      <c r="G704" s="59">
        <v>752.77</v>
      </c>
      <c r="H704" s="59">
        <v>752.77</v>
      </c>
      <c r="I704" s="18" t="s">
        <v>131</v>
      </c>
      <c r="J704" s="18" t="s">
        <v>512</v>
      </c>
      <c r="K704" s="18" t="s">
        <v>2454</v>
      </c>
      <c r="L704" s="30" t="s">
        <v>1612</v>
      </c>
    </row>
    <row r="705" spans="1:12" hidden="1" x14ac:dyDescent="0.25">
      <c r="A705" s="18" t="s">
        <v>25</v>
      </c>
      <c r="B705" s="57">
        <v>1.9907407407407408E-3</v>
      </c>
      <c r="C705" s="58">
        <v>2</v>
      </c>
      <c r="D705" s="18" t="s">
        <v>2463</v>
      </c>
      <c r="E705" s="18" t="s">
        <v>2049</v>
      </c>
      <c r="F705" s="18" t="s">
        <v>1621</v>
      </c>
      <c r="G705" s="59">
        <v>63.24</v>
      </c>
      <c r="H705" s="59">
        <v>126.48</v>
      </c>
      <c r="I705" s="18" t="s">
        <v>530</v>
      </c>
      <c r="J705" s="18" t="s">
        <v>44</v>
      </c>
      <c r="K705" s="18" t="s">
        <v>2454</v>
      </c>
      <c r="L705" s="30" t="s">
        <v>1612</v>
      </c>
    </row>
    <row r="706" spans="1:12" hidden="1" x14ac:dyDescent="0.25">
      <c r="A706" s="18" t="s">
        <v>25</v>
      </c>
      <c r="B706" s="57">
        <v>2.3379629629629627E-3</v>
      </c>
      <c r="C706" s="58">
        <v>2</v>
      </c>
      <c r="D706" s="18" t="s">
        <v>2383</v>
      </c>
      <c r="E706" s="18" t="s">
        <v>2384</v>
      </c>
      <c r="F706" s="18" t="s">
        <v>1621</v>
      </c>
      <c r="G706" s="59">
        <v>79.819999999999993</v>
      </c>
      <c r="H706" s="59">
        <v>159.63999999999999</v>
      </c>
      <c r="I706" s="18" t="s">
        <v>530</v>
      </c>
      <c r="J706" s="18" t="s">
        <v>44</v>
      </c>
      <c r="K706" s="18" t="s">
        <v>2454</v>
      </c>
      <c r="L706" s="30" t="s">
        <v>1612</v>
      </c>
    </row>
    <row r="707" spans="1:12" hidden="1" x14ac:dyDescent="0.25">
      <c r="A707" s="18" t="s">
        <v>25</v>
      </c>
      <c r="B707" s="57">
        <v>9.9537037037037042E-4</v>
      </c>
      <c r="C707" s="58">
        <v>1</v>
      </c>
      <c r="D707" s="18" t="s">
        <v>2448</v>
      </c>
      <c r="E707" s="18" t="s">
        <v>2049</v>
      </c>
      <c r="F707" s="18" t="s">
        <v>1621</v>
      </c>
      <c r="G707" s="59">
        <v>63.24</v>
      </c>
      <c r="H707" s="59">
        <v>63.24</v>
      </c>
      <c r="I707" s="18" t="s">
        <v>530</v>
      </c>
      <c r="J707" s="18" t="s">
        <v>44</v>
      </c>
      <c r="K707" s="18" t="s">
        <v>2454</v>
      </c>
      <c r="L707" s="30" t="s">
        <v>1612</v>
      </c>
    </row>
    <row r="708" spans="1:12" hidden="1" x14ac:dyDescent="0.25">
      <c r="A708" s="18" t="s">
        <v>25</v>
      </c>
      <c r="B708" s="57">
        <v>2.8912037037037035E-2</v>
      </c>
      <c r="C708" s="58">
        <v>23</v>
      </c>
      <c r="D708" s="18" t="s">
        <v>45</v>
      </c>
      <c r="E708" s="18" t="s">
        <v>1119</v>
      </c>
      <c r="F708" s="18" t="s">
        <v>1621</v>
      </c>
      <c r="G708" s="59">
        <v>59.25</v>
      </c>
      <c r="H708" s="59">
        <v>1362.75</v>
      </c>
      <c r="I708" s="18" t="s">
        <v>47</v>
      </c>
      <c r="J708" s="18" t="s">
        <v>44</v>
      </c>
      <c r="K708" s="18" t="s">
        <v>2464</v>
      </c>
      <c r="L708" s="30" t="s">
        <v>1612</v>
      </c>
    </row>
    <row r="709" spans="1:12" hidden="1" x14ac:dyDescent="0.25">
      <c r="A709" s="18" t="s">
        <v>25</v>
      </c>
      <c r="B709" s="57">
        <v>2.685185185185185E-3</v>
      </c>
      <c r="C709" s="58">
        <v>3</v>
      </c>
      <c r="D709" s="18" t="s">
        <v>2087</v>
      </c>
      <c r="E709" s="18" t="s">
        <v>2088</v>
      </c>
      <c r="F709" s="18" t="s">
        <v>1621</v>
      </c>
      <c r="G709" s="59">
        <v>18.63</v>
      </c>
      <c r="H709" s="59">
        <v>55.89</v>
      </c>
      <c r="I709" s="18" t="s">
        <v>1672</v>
      </c>
      <c r="J709" s="18" t="s">
        <v>115</v>
      </c>
      <c r="K709" s="18" t="s">
        <v>2465</v>
      </c>
      <c r="L709" s="30" t="s">
        <v>1612</v>
      </c>
    </row>
    <row r="710" spans="1:12" hidden="1" x14ac:dyDescent="0.25">
      <c r="A710" s="18" t="s">
        <v>25</v>
      </c>
      <c r="B710" s="57">
        <v>6.168981481481481E-3</v>
      </c>
      <c r="C710" s="58">
        <v>1</v>
      </c>
      <c r="D710" s="18" t="s">
        <v>2466</v>
      </c>
      <c r="E710" s="18" t="s">
        <v>2138</v>
      </c>
      <c r="F710" s="18" t="s">
        <v>1621</v>
      </c>
      <c r="G710" s="59">
        <v>1046.44</v>
      </c>
      <c r="H710" s="59">
        <v>1046.44</v>
      </c>
      <c r="I710" s="18" t="s">
        <v>129</v>
      </c>
      <c r="J710" s="18" t="s">
        <v>115</v>
      </c>
      <c r="K710" s="18" t="s">
        <v>2465</v>
      </c>
      <c r="L710" s="30" t="s">
        <v>1612</v>
      </c>
    </row>
    <row r="711" spans="1:12" hidden="1" x14ac:dyDescent="0.25">
      <c r="A711" s="18" t="s">
        <v>25</v>
      </c>
      <c r="B711" s="57">
        <v>3.6226851851851849E-3</v>
      </c>
      <c r="C711" s="58">
        <v>2</v>
      </c>
      <c r="D711" s="18" t="s">
        <v>2394</v>
      </c>
      <c r="E711" s="18" t="s">
        <v>2161</v>
      </c>
      <c r="F711" s="18" t="s">
        <v>1621</v>
      </c>
      <c r="G711" s="59">
        <v>79.45</v>
      </c>
      <c r="H711" s="59">
        <v>158.9</v>
      </c>
      <c r="I711" s="18" t="s">
        <v>114</v>
      </c>
      <c r="J711" s="18" t="s">
        <v>512</v>
      </c>
      <c r="K711" s="18" t="s">
        <v>2465</v>
      </c>
      <c r="L711" s="30" t="s">
        <v>1612</v>
      </c>
    </row>
    <row r="712" spans="1:12" hidden="1" x14ac:dyDescent="0.25">
      <c r="A712" s="18" t="s">
        <v>25</v>
      </c>
      <c r="B712" s="57">
        <v>1.7129629629629628E-3</v>
      </c>
      <c r="C712" s="58">
        <v>1</v>
      </c>
      <c r="D712" s="18" t="s">
        <v>2467</v>
      </c>
      <c r="E712" s="18" t="s">
        <v>2371</v>
      </c>
      <c r="F712" s="18" t="s">
        <v>1621</v>
      </c>
      <c r="G712" s="59">
        <v>74.42</v>
      </c>
      <c r="H712" s="59">
        <v>74.42</v>
      </c>
      <c r="I712" s="18" t="s">
        <v>131</v>
      </c>
      <c r="J712" s="18" t="s">
        <v>512</v>
      </c>
      <c r="K712" s="18" t="s">
        <v>2465</v>
      </c>
      <c r="L712" s="30" t="s">
        <v>1612</v>
      </c>
    </row>
    <row r="713" spans="1:12" hidden="1" x14ac:dyDescent="0.25">
      <c r="A713" s="18" t="s">
        <v>25</v>
      </c>
      <c r="B713" s="57">
        <v>1.0555555555555556E-2</v>
      </c>
      <c r="C713" s="58">
        <v>9</v>
      </c>
      <c r="D713" s="18" t="s">
        <v>54</v>
      </c>
      <c r="E713" s="18" t="s">
        <v>1119</v>
      </c>
      <c r="F713" s="18" t="s">
        <v>1621</v>
      </c>
      <c r="G713" s="59">
        <v>59.25</v>
      </c>
      <c r="H713" s="59">
        <v>533.25</v>
      </c>
      <c r="I713" s="18" t="s">
        <v>2468</v>
      </c>
      <c r="J713" s="18" t="s">
        <v>44</v>
      </c>
      <c r="K713" s="18" t="s">
        <v>2469</v>
      </c>
      <c r="L713" s="30" t="s">
        <v>1612</v>
      </c>
    </row>
    <row r="714" spans="1:12" hidden="1" x14ac:dyDescent="0.25">
      <c r="A714" s="18" t="s">
        <v>25</v>
      </c>
      <c r="B714" s="57">
        <v>1.8564814814814815E-2</v>
      </c>
      <c r="C714" s="58">
        <v>14</v>
      </c>
      <c r="D714" s="18" t="s">
        <v>48</v>
      </c>
      <c r="E714" s="18" t="s">
        <v>1119</v>
      </c>
      <c r="F714" s="18" t="s">
        <v>1621</v>
      </c>
      <c r="G714" s="59">
        <v>59.87</v>
      </c>
      <c r="H714" s="59">
        <v>838.18</v>
      </c>
      <c r="I714" s="18" t="s">
        <v>2470</v>
      </c>
      <c r="J714" s="18" t="s">
        <v>44</v>
      </c>
      <c r="K714" s="18" t="s">
        <v>2469</v>
      </c>
      <c r="L714" s="30" t="s">
        <v>1612</v>
      </c>
    </row>
    <row r="715" spans="1:12" hidden="1" x14ac:dyDescent="0.25">
      <c r="A715" s="18" t="s">
        <v>25</v>
      </c>
      <c r="B715" s="57">
        <v>5.6481481481481478E-3</v>
      </c>
      <c r="C715" s="58">
        <v>1</v>
      </c>
      <c r="D715" s="18" t="s">
        <v>2471</v>
      </c>
      <c r="E715" s="18" t="s">
        <v>2472</v>
      </c>
      <c r="F715" s="18" t="s">
        <v>1621</v>
      </c>
      <c r="G715" s="59">
        <v>1226.8599999999999</v>
      </c>
      <c r="H715" s="59">
        <v>1226.8599999999999</v>
      </c>
      <c r="I715" s="18" t="s">
        <v>1672</v>
      </c>
      <c r="J715" s="18" t="s">
        <v>498</v>
      </c>
      <c r="K715" s="18" t="s">
        <v>2473</v>
      </c>
      <c r="L715" s="30" t="s">
        <v>1612</v>
      </c>
    </row>
    <row r="716" spans="1:12" hidden="1" x14ac:dyDescent="0.25">
      <c r="A716" s="18" t="s">
        <v>25</v>
      </c>
      <c r="B716" s="57">
        <v>9.0277777777777774E-4</v>
      </c>
      <c r="C716" s="58">
        <v>1</v>
      </c>
      <c r="D716" s="18" t="s">
        <v>2474</v>
      </c>
      <c r="E716" s="18" t="s">
        <v>2475</v>
      </c>
      <c r="F716" s="18" t="s">
        <v>1621</v>
      </c>
      <c r="G716" s="59">
        <v>24.71</v>
      </c>
      <c r="H716" s="59">
        <v>24.71</v>
      </c>
      <c r="I716" s="18" t="s">
        <v>367</v>
      </c>
      <c r="J716" s="18" t="s">
        <v>1594</v>
      </c>
      <c r="K716" s="18" t="s">
        <v>2473</v>
      </c>
      <c r="L716" s="30" t="s">
        <v>1612</v>
      </c>
    </row>
    <row r="717" spans="1:12" hidden="1" x14ac:dyDescent="0.25">
      <c r="A717" s="18" t="s">
        <v>25</v>
      </c>
      <c r="B717" s="57">
        <v>7.1759259259259259E-4</v>
      </c>
      <c r="C717" s="58">
        <v>1</v>
      </c>
      <c r="D717" s="18" t="s">
        <v>2476</v>
      </c>
      <c r="E717" s="18" t="s">
        <v>2477</v>
      </c>
      <c r="F717" s="18" t="s">
        <v>1621</v>
      </c>
      <c r="G717" s="59">
        <v>9.27</v>
      </c>
      <c r="H717" s="59">
        <v>9.27</v>
      </c>
      <c r="I717" s="18" t="s">
        <v>131</v>
      </c>
      <c r="J717" s="18" t="s">
        <v>512</v>
      </c>
      <c r="K717" s="18" t="s">
        <v>2473</v>
      </c>
      <c r="L717" s="30" t="s">
        <v>1612</v>
      </c>
    </row>
    <row r="718" spans="1:12" hidden="1" x14ac:dyDescent="0.25">
      <c r="A718" s="18" t="s">
        <v>25</v>
      </c>
      <c r="B718" s="57">
        <v>1.4583333333333332E-3</v>
      </c>
      <c r="C718" s="58">
        <v>1</v>
      </c>
      <c r="D718" s="18" t="s">
        <v>48</v>
      </c>
      <c r="E718" s="18" t="s">
        <v>1119</v>
      </c>
      <c r="F718" s="18" t="s">
        <v>1621</v>
      </c>
      <c r="G718" s="59">
        <v>59.87</v>
      </c>
      <c r="H718" s="59">
        <v>59.87</v>
      </c>
      <c r="I718" s="18" t="s">
        <v>2195</v>
      </c>
      <c r="J718" s="18" t="s">
        <v>44</v>
      </c>
      <c r="K718" s="18" t="s">
        <v>2473</v>
      </c>
      <c r="L718" s="30" t="s">
        <v>1612</v>
      </c>
    </row>
    <row r="719" spans="1:12" hidden="1" x14ac:dyDescent="0.25">
      <c r="A719" s="18" t="s">
        <v>25</v>
      </c>
      <c r="B719" s="57">
        <v>5.8912037037037032E-3</v>
      </c>
      <c r="C719" s="58">
        <v>1</v>
      </c>
      <c r="D719" s="18" t="s">
        <v>2478</v>
      </c>
      <c r="E719" s="18" t="s">
        <v>2472</v>
      </c>
      <c r="F719" s="18" t="s">
        <v>1621</v>
      </c>
      <c r="G719" s="59">
        <v>1226.8599999999999</v>
      </c>
      <c r="H719" s="59">
        <v>1226.8599999999999</v>
      </c>
      <c r="I719" s="18" t="s">
        <v>1665</v>
      </c>
      <c r="J719" s="18" t="s">
        <v>498</v>
      </c>
      <c r="K719" s="18" t="s">
        <v>2479</v>
      </c>
      <c r="L719" s="30" t="s">
        <v>1612</v>
      </c>
    </row>
    <row r="720" spans="1:12" hidden="1" x14ac:dyDescent="0.25">
      <c r="A720" s="18" t="s">
        <v>25</v>
      </c>
      <c r="B720" s="57">
        <v>1.2268518518518518E-3</v>
      </c>
      <c r="C720" s="58">
        <v>1</v>
      </c>
      <c r="D720" s="18" t="s">
        <v>2200</v>
      </c>
      <c r="E720" s="18" t="s">
        <v>2201</v>
      </c>
      <c r="F720" s="18" t="s">
        <v>1621</v>
      </c>
      <c r="G720" s="59">
        <v>36.53</v>
      </c>
      <c r="H720" s="59">
        <v>36.53</v>
      </c>
      <c r="I720" s="18" t="s">
        <v>367</v>
      </c>
      <c r="J720" s="18" t="s">
        <v>512</v>
      </c>
      <c r="K720" s="18" t="s">
        <v>2479</v>
      </c>
      <c r="L720" s="30" t="s">
        <v>1612</v>
      </c>
    </row>
    <row r="721" spans="1:12" hidden="1" x14ac:dyDescent="0.25">
      <c r="A721" s="18" t="s">
        <v>25</v>
      </c>
      <c r="B721" s="57">
        <v>1.5277777777777776E-3</v>
      </c>
      <c r="C721" s="58">
        <v>1</v>
      </c>
      <c r="D721" s="18" t="s">
        <v>48</v>
      </c>
      <c r="E721" s="18" t="s">
        <v>1119</v>
      </c>
      <c r="F721" s="18" t="s">
        <v>1621</v>
      </c>
      <c r="G721" s="59">
        <v>59.87</v>
      </c>
      <c r="H721" s="59">
        <v>59.87</v>
      </c>
      <c r="I721" s="18" t="s">
        <v>2195</v>
      </c>
      <c r="J721" s="18" t="s">
        <v>44</v>
      </c>
      <c r="K721" s="18" t="s">
        <v>2479</v>
      </c>
      <c r="L721" s="30" t="s">
        <v>1612</v>
      </c>
    </row>
    <row r="722" spans="1:12" hidden="1" x14ac:dyDescent="0.25">
      <c r="A722" s="18" t="s">
        <v>25</v>
      </c>
      <c r="B722" s="57">
        <v>5.6018518518518518E-3</v>
      </c>
      <c r="C722" s="58">
        <v>1</v>
      </c>
      <c r="D722" s="18" t="s">
        <v>2480</v>
      </c>
      <c r="E722" s="18" t="s">
        <v>2193</v>
      </c>
      <c r="F722" s="18" t="s">
        <v>1621</v>
      </c>
      <c r="G722" s="59">
        <v>1175.3499999999999</v>
      </c>
      <c r="H722" s="59">
        <v>1175.3499999999999</v>
      </c>
      <c r="I722" s="18" t="s">
        <v>1672</v>
      </c>
      <c r="J722" s="18" t="s">
        <v>498</v>
      </c>
      <c r="K722" s="18" t="s">
        <v>2481</v>
      </c>
      <c r="L722" s="30" t="s">
        <v>1612</v>
      </c>
    </row>
    <row r="723" spans="1:12" hidden="1" x14ac:dyDescent="0.25">
      <c r="A723" s="18" t="s">
        <v>25</v>
      </c>
      <c r="B723" s="57">
        <v>1.9560185185185184E-3</v>
      </c>
      <c r="C723" s="58">
        <v>3</v>
      </c>
      <c r="D723" s="18" t="s">
        <v>2092</v>
      </c>
      <c r="E723" s="18" t="s">
        <v>2093</v>
      </c>
      <c r="F723" s="18" t="s">
        <v>1621</v>
      </c>
      <c r="G723" s="59">
        <v>10.99</v>
      </c>
      <c r="H723" s="59">
        <v>32.97</v>
      </c>
      <c r="I723" s="18" t="s">
        <v>65</v>
      </c>
      <c r="J723" s="18" t="s">
        <v>65</v>
      </c>
      <c r="K723" s="18" t="s">
        <v>2481</v>
      </c>
      <c r="L723" s="30" t="s">
        <v>1612</v>
      </c>
    </row>
    <row r="724" spans="1:12" hidden="1" x14ac:dyDescent="0.25">
      <c r="A724" s="18" t="s">
        <v>25</v>
      </c>
      <c r="B724" s="57">
        <v>1.25E-3</v>
      </c>
      <c r="C724" s="58">
        <v>1</v>
      </c>
      <c r="D724" s="18" t="s">
        <v>54</v>
      </c>
      <c r="E724" s="18" t="s">
        <v>1119</v>
      </c>
      <c r="F724" s="18" t="s">
        <v>1621</v>
      </c>
      <c r="G724" s="59">
        <v>59.25</v>
      </c>
      <c r="H724" s="59">
        <v>59.25</v>
      </c>
      <c r="I724" s="18" t="s">
        <v>2195</v>
      </c>
      <c r="J724" s="18" t="s">
        <v>44</v>
      </c>
      <c r="K724" s="18" t="s">
        <v>2481</v>
      </c>
      <c r="L724" s="30" t="s">
        <v>1612</v>
      </c>
    </row>
    <row r="725" spans="1:12" hidden="1" x14ac:dyDescent="0.25">
      <c r="A725" s="18" t="s">
        <v>25</v>
      </c>
      <c r="B725" s="57">
        <v>5.5439814814814813E-3</v>
      </c>
      <c r="C725" s="58">
        <v>1</v>
      </c>
      <c r="D725" s="18" t="s">
        <v>2197</v>
      </c>
      <c r="E725" s="18" t="s">
        <v>2198</v>
      </c>
      <c r="F725" s="18" t="s">
        <v>1621</v>
      </c>
      <c r="G725" s="59">
        <v>1296.57</v>
      </c>
      <c r="H725" s="59">
        <v>1296.57</v>
      </c>
      <c r="I725" s="18" t="s">
        <v>1588</v>
      </c>
      <c r="J725" s="18" t="s">
        <v>512</v>
      </c>
      <c r="K725" s="18" t="s">
        <v>2482</v>
      </c>
      <c r="L725" s="30" t="s">
        <v>1612</v>
      </c>
    </row>
    <row r="726" spans="1:12" hidden="1" x14ac:dyDescent="0.25">
      <c r="A726" s="18" t="s">
        <v>25</v>
      </c>
      <c r="B726" s="57">
        <v>2.2569444444444442E-3</v>
      </c>
      <c r="C726" s="58">
        <v>4</v>
      </c>
      <c r="D726" s="18" t="s">
        <v>2483</v>
      </c>
      <c r="E726" s="18" t="s">
        <v>2484</v>
      </c>
      <c r="F726" s="18" t="s">
        <v>1621</v>
      </c>
      <c r="G726" s="59">
        <v>7.1</v>
      </c>
      <c r="H726" s="59">
        <v>28.4</v>
      </c>
      <c r="I726" s="18" t="s">
        <v>367</v>
      </c>
      <c r="J726" s="18" t="s">
        <v>367</v>
      </c>
      <c r="K726" s="18" t="s">
        <v>2482</v>
      </c>
      <c r="L726" s="30" t="s">
        <v>1612</v>
      </c>
    </row>
    <row r="727" spans="1:12" hidden="1" x14ac:dyDescent="0.25">
      <c r="A727" s="18" t="s">
        <v>25</v>
      </c>
      <c r="B727" s="57">
        <v>1.3425925925925925E-3</v>
      </c>
      <c r="C727" s="58">
        <v>1</v>
      </c>
      <c r="D727" s="18" t="s">
        <v>45</v>
      </c>
      <c r="E727" s="18" t="s">
        <v>1119</v>
      </c>
      <c r="F727" s="18" t="s">
        <v>1621</v>
      </c>
      <c r="G727" s="59">
        <v>59.25</v>
      </c>
      <c r="H727" s="59">
        <v>59.25</v>
      </c>
      <c r="I727" s="18" t="s">
        <v>2195</v>
      </c>
      <c r="J727" s="18" t="s">
        <v>44</v>
      </c>
      <c r="K727" s="18" t="s">
        <v>2482</v>
      </c>
      <c r="L727" s="30" t="s">
        <v>1612</v>
      </c>
    </row>
    <row r="728" spans="1:12" hidden="1" x14ac:dyDescent="0.25">
      <c r="A728" s="18" t="s">
        <v>25</v>
      </c>
      <c r="B728" s="57">
        <v>5.7407407407407407E-3</v>
      </c>
      <c r="C728" s="58">
        <v>1</v>
      </c>
      <c r="D728" s="18" t="s">
        <v>2197</v>
      </c>
      <c r="E728" s="18" t="s">
        <v>2198</v>
      </c>
      <c r="F728" s="18" t="s">
        <v>1621</v>
      </c>
      <c r="G728" s="59">
        <v>1296.57</v>
      </c>
      <c r="H728" s="59">
        <v>1296.57</v>
      </c>
      <c r="I728" s="18" t="s">
        <v>1588</v>
      </c>
      <c r="J728" s="18" t="s">
        <v>512</v>
      </c>
      <c r="K728" s="18" t="s">
        <v>2485</v>
      </c>
      <c r="L728" s="30" t="s">
        <v>1612</v>
      </c>
    </row>
    <row r="729" spans="1:12" hidden="1" x14ac:dyDescent="0.25">
      <c r="A729" s="18" t="s">
        <v>25</v>
      </c>
      <c r="B729" s="57">
        <v>5.7870370370370367E-4</v>
      </c>
      <c r="C729" s="58">
        <v>1</v>
      </c>
      <c r="D729" s="18" t="s">
        <v>2483</v>
      </c>
      <c r="E729" s="18" t="s">
        <v>2484</v>
      </c>
      <c r="F729" s="18" t="s">
        <v>1621</v>
      </c>
      <c r="G729" s="59">
        <v>7.1</v>
      </c>
      <c r="H729" s="59">
        <v>7.1</v>
      </c>
      <c r="I729" s="18" t="s">
        <v>367</v>
      </c>
      <c r="J729" s="18" t="s">
        <v>367</v>
      </c>
      <c r="K729" s="18" t="s">
        <v>2485</v>
      </c>
      <c r="L729" s="30" t="s">
        <v>1612</v>
      </c>
    </row>
    <row r="730" spans="1:12" hidden="1" x14ac:dyDescent="0.25">
      <c r="A730" s="18" t="s">
        <v>25</v>
      </c>
      <c r="B730" s="57">
        <v>1.0763888888888889E-3</v>
      </c>
      <c r="C730" s="58">
        <v>1</v>
      </c>
      <c r="D730" s="18" t="s">
        <v>2486</v>
      </c>
      <c r="E730" s="18" t="s">
        <v>2487</v>
      </c>
      <c r="F730" s="18" t="s">
        <v>1621</v>
      </c>
      <c r="G730" s="59">
        <v>25.59</v>
      </c>
      <c r="H730" s="59">
        <v>25.59</v>
      </c>
      <c r="I730" s="18" t="s">
        <v>367</v>
      </c>
      <c r="J730" s="18" t="s">
        <v>1594</v>
      </c>
      <c r="K730" s="18" t="s">
        <v>2485</v>
      </c>
      <c r="L730" s="30" t="s">
        <v>1612</v>
      </c>
    </row>
    <row r="731" spans="1:12" hidden="1" x14ac:dyDescent="0.25">
      <c r="A731" s="18" t="s">
        <v>25</v>
      </c>
      <c r="B731" s="57">
        <v>1.4004629629629629E-3</v>
      </c>
      <c r="C731" s="58">
        <v>1</v>
      </c>
      <c r="D731" s="18" t="s">
        <v>45</v>
      </c>
      <c r="E731" s="18" t="s">
        <v>1119</v>
      </c>
      <c r="F731" s="18" t="s">
        <v>1621</v>
      </c>
      <c r="G731" s="59">
        <v>59.25</v>
      </c>
      <c r="H731" s="59">
        <v>59.25</v>
      </c>
      <c r="I731" s="18" t="s">
        <v>2195</v>
      </c>
      <c r="J731" s="18" t="s">
        <v>44</v>
      </c>
      <c r="K731" s="18" t="s">
        <v>2485</v>
      </c>
      <c r="L731" s="30" t="s">
        <v>1612</v>
      </c>
    </row>
    <row r="732" spans="1:12" hidden="1" x14ac:dyDescent="0.25">
      <c r="A732" s="18" t="s">
        <v>25</v>
      </c>
      <c r="B732" s="57">
        <v>3.7615740740740739E-3</v>
      </c>
      <c r="C732" s="58">
        <v>2</v>
      </c>
      <c r="D732" s="18" t="s">
        <v>2311</v>
      </c>
      <c r="E732" s="18" t="s">
        <v>2300</v>
      </c>
      <c r="F732" s="18" t="s">
        <v>1621</v>
      </c>
      <c r="G732" s="59">
        <v>58.12</v>
      </c>
      <c r="H732" s="59">
        <v>116.24</v>
      </c>
      <c r="I732" s="18" t="s">
        <v>1665</v>
      </c>
      <c r="J732" s="18" t="s">
        <v>498</v>
      </c>
      <c r="K732" s="18" t="s">
        <v>2488</v>
      </c>
      <c r="L732" s="30" t="s">
        <v>1612</v>
      </c>
    </row>
    <row r="733" spans="1:12" hidden="1" x14ac:dyDescent="0.25">
      <c r="A733" s="18" t="s">
        <v>25</v>
      </c>
      <c r="B733" s="57">
        <v>5.6365740740740742E-3</v>
      </c>
      <c r="C733" s="58">
        <v>3</v>
      </c>
      <c r="D733" s="18" t="s">
        <v>2299</v>
      </c>
      <c r="E733" s="18" t="s">
        <v>2300</v>
      </c>
      <c r="F733" s="18" t="s">
        <v>1621</v>
      </c>
      <c r="G733" s="59">
        <v>58.12</v>
      </c>
      <c r="H733" s="59">
        <v>174.36</v>
      </c>
      <c r="I733" s="18" t="s">
        <v>1672</v>
      </c>
      <c r="J733" s="18" t="s">
        <v>498</v>
      </c>
      <c r="K733" s="18" t="s">
        <v>2488</v>
      </c>
      <c r="L733" s="30" t="s">
        <v>1612</v>
      </c>
    </row>
    <row r="734" spans="1:12" hidden="1" x14ac:dyDescent="0.25">
      <c r="A734" s="18" t="s">
        <v>25</v>
      </c>
      <c r="B734" s="57">
        <v>5.9375000000000001E-3</v>
      </c>
      <c r="C734" s="58">
        <v>1</v>
      </c>
      <c r="D734" s="18" t="s">
        <v>2489</v>
      </c>
      <c r="E734" s="18" t="s">
        <v>2258</v>
      </c>
      <c r="F734" s="18" t="s">
        <v>1621</v>
      </c>
      <c r="G734" s="59">
        <v>778.43</v>
      </c>
      <c r="H734" s="59">
        <v>778.43</v>
      </c>
      <c r="I734" s="18" t="s">
        <v>65</v>
      </c>
      <c r="J734" s="18" t="s">
        <v>1590</v>
      </c>
      <c r="K734" s="18" t="s">
        <v>2488</v>
      </c>
      <c r="L734" s="30" t="s">
        <v>1612</v>
      </c>
    </row>
    <row r="735" spans="1:12" hidden="1" x14ac:dyDescent="0.25">
      <c r="A735" s="18" t="s">
        <v>25</v>
      </c>
      <c r="B735" s="57">
        <v>4.1550925925925922E-3</v>
      </c>
      <c r="C735" s="58">
        <v>3</v>
      </c>
      <c r="D735" s="18" t="s">
        <v>45</v>
      </c>
      <c r="E735" s="18" t="s">
        <v>1119</v>
      </c>
      <c r="F735" s="18" t="s">
        <v>1621</v>
      </c>
      <c r="G735" s="59">
        <v>59.25</v>
      </c>
      <c r="H735" s="59">
        <v>177.75</v>
      </c>
      <c r="I735" s="18" t="s">
        <v>2094</v>
      </c>
      <c r="J735" s="18" t="s">
        <v>44</v>
      </c>
      <c r="K735" s="18" t="s">
        <v>2488</v>
      </c>
      <c r="L735" s="30" t="s">
        <v>1612</v>
      </c>
    </row>
    <row r="736" spans="1:12" hidden="1" x14ac:dyDescent="0.25">
      <c r="A736" s="18" t="s">
        <v>25</v>
      </c>
      <c r="B736" s="57">
        <v>9.0624999999999994E-3</v>
      </c>
      <c r="C736" s="58">
        <v>5</v>
      </c>
      <c r="D736" s="18" t="s">
        <v>2356</v>
      </c>
      <c r="E736" s="18" t="s">
        <v>2310</v>
      </c>
      <c r="F736" s="18" t="s">
        <v>1621</v>
      </c>
      <c r="G736" s="59">
        <v>58.91</v>
      </c>
      <c r="H736" s="59">
        <v>294.55</v>
      </c>
      <c r="I736" s="18" t="s">
        <v>1665</v>
      </c>
      <c r="J736" s="18" t="s">
        <v>115</v>
      </c>
      <c r="K736" s="18" t="s">
        <v>2490</v>
      </c>
      <c r="L736" s="30" t="s">
        <v>1612</v>
      </c>
    </row>
    <row r="737" spans="1:12" hidden="1" x14ac:dyDescent="0.25">
      <c r="A737" s="18" t="s">
        <v>25</v>
      </c>
      <c r="B737" s="57">
        <v>6.0532407407407401E-3</v>
      </c>
      <c r="C737" s="58">
        <v>1</v>
      </c>
      <c r="D737" s="18" t="s">
        <v>2491</v>
      </c>
      <c r="E737" s="18" t="s">
        <v>2258</v>
      </c>
      <c r="F737" s="18" t="s">
        <v>1621</v>
      </c>
      <c r="G737" s="59">
        <v>778.64</v>
      </c>
      <c r="H737" s="59">
        <v>778.64</v>
      </c>
      <c r="I737" s="18" t="s">
        <v>65</v>
      </c>
      <c r="J737" s="18" t="s">
        <v>1590</v>
      </c>
      <c r="K737" s="18" t="s">
        <v>2490</v>
      </c>
      <c r="L737" s="30" t="s">
        <v>1612</v>
      </c>
    </row>
    <row r="738" spans="1:12" hidden="1" x14ac:dyDescent="0.25">
      <c r="A738" s="18" t="s">
        <v>25</v>
      </c>
      <c r="B738" s="57">
        <v>4.1550925925925922E-3</v>
      </c>
      <c r="C738" s="58">
        <v>3</v>
      </c>
      <c r="D738" s="18" t="s">
        <v>45</v>
      </c>
      <c r="E738" s="18" t="s">
        <v>1119</v>
      </c>
      <c r="F738" s="18" t="s">
        <v>1621</v>
      </c>
      <c r="G738" s="59">
        <v>59.25</v>
      </c>
      <c r="H738" s="59">
        <v>177.75</v>
      </c>
      <c r="I738" s="18" t="s">
        <v>2094</v>
      </c>
      <c r="J738" s="18" t="s">
        <v>44</v>
      </c>
      <c r="K738" s="18" t="s">
        <v>2490</v>
      </c>
      <c r="L738" s="30" t="s">
        <v>1612</v>
      </c>
    </row>
    <row r="739" spans="1:12" x14ac:dyDescent="0.25">
      <c r="A739" s="18" t="s">
        <v>25</v>
      </c>
      <c r="B739" s="57">
        <v>7.2916666666666668E-3</v>
      </c>
      <c r="C739" s="58">
        <v>1</v>
      </c>
      <c r="D739" s="18" t="s">
        <v>91</v>
      </c>
      <c r="E739" s="18" t="s">
        <v>119</v>
      </c>
      <c r="F739" s="18" t="s">
        <v>1621</v>
      </c>
      <c r="G739" s="59">
        <v>1401.52</v>
      </c>
      <c r="H739" s="59">
        <v>1401.52</v>
      </c>
      <c r="I739" s="18" t="s">
        <v>133</v>
      </c>
      <c r="J739" s="18" t="s">
        <v>512</v>
      </c>
      <c r="K739" s="18" t="s">
        <v>2492</v>
      </c>
      <c r="L739" s="30" t="s">
        <v>1612</v>
      </c>
    </row>
    <row r="740" spans="1:12" x14ac:dyDescent="0.25">
      <c r="A740" s="18" t="s">
        <v>25</v>
      </c>
      <c r="B740" s="57">
        <v>6.9212962962962961E-3</v>
      </c>
      <c r="C740" s="58">
        <v>1</v>
      </c>
      <c r="D740" s="18" t="s">
        <v>551</v>
      </c>
      <c r="E740" s="18" t="s">
        <v>119</v>
      </c>
      <c r="F740" s="18" t="s">
        <v>1621</v>
      </c>
      <c r="G740" s="59">
        <v>1401.7</v>
      </c>
      <c r="H740" s="59">
        <v>1401.7</v>
      </c>
      <c r="I740" s="18" t="s">
        <v>550</v>
      </c>
      <c r="J740" s="18" t="s">
        <v>512</v>
      </c>
      <c r="K740" s="18" t="s">
        <v>2493</v>
      </c>
      <c r="L740" s="30" t="s">
        <v>1612</v>
      </c>
    </row>
    <row r="741" spans="1:12" x14ac:dyDescent="0.25">
      <c r="A741" s="18" t="s">
        <v>25</v>
      </c>
      <c r="B741" s="57">
        <v>6.9212962962962961E-3</v>
      </c>
      <c r="C741" s="58">
        <v>1</v>
      </c>
      <c r="D741" s="18" t="s">
        <v>551</v>
      </c>
      <c r="E741" s="18" t="s">
        <v>119</v>
      </c>
      <c r="F741" s="18" t="s">
        <v>1621</v>
      </c>
      <c r="G741" s="59">
        <v>1401.7</v>
      </c>
      <c r="H741" s="59">
        <v>1401.7</v>
      </c>
      <c r="I741" s="18" t="s">
        <v>550</v>
      </c>
      <c r="J741" s="18" t="s">
        <v>512</v>
      </c>
      <c r="K741" s="18" t="s">
        <v>2494</v>
      </c>
      <c r="L741" s="30" t="s">
        <v>1612</v>
      </c>
    </row>
    <row r="742" spans="1:12" x14ac:dyDescent="0.25">
      <c r="A742" s="18" t="s">
        <v>25</v>
      </c>
      <c r="B742" s="57">
        <v>6.9212962962962961E-3</v>
      </c>
      <c r="C742" s="58">
        <v>1</v>
      </c>
      <c r="D742" s="18" t="s">
        <v>551</v>
      </c>
      <c r="E742" s="18" t="s">
        <v>119</v>
      </c>
      <c r="F742" s="18" t="s">
        <v>1621</v>
      </c>
      <c r="G742" s="59">
        <v>1401.7</v>
      </c>
      <c r="H742" s="59">
        <v>1401.7</v>
      </c>
      <c r="I742" s="18" t="s">
        <v>550</v>
      </c>
      <c r="J742" s="18" t="s">
        <v>512</v>
      </c>
      <c r="K742" s="18" t="s">
        <v>2495</v>
      </c>
      <c r="L742" s="30" t="s">
        <v>1612</v>
      </c>
    </row>
    <row r="743" spans="1:12" x14ac:dyDescent="0.25">
      <c r="A743" s="18" t="s">
        <v>25</v>
      </c>
      <c r="B743" s="57">
        <v>6.9212962962962961E-3</v>
      </c>
      <c r="C743" s="58">
        <v>1</v>
      </c>
      <c r="D743" s="18" t="s">
        <v>551</v>
      </c>
      <c r="E743" s="18" t="s">
        <v>119</v>
      </c>
      <c r="F743" s="18" t="s">
        <v>1621</v>
      </c>
      <c r="G743" s="59">
        <v>1401.7</v>
      </c>
      <c r="H743" s="59">
        <v>1401.7</v>
      </c>
      <c r="I743" s="18" t="s">
        <v>550</v>
      </c>
      <c r="J743" s="18" t="s">
        <v>512</v>
      </c>
      <c r="K743" s="18" t="s">
        <v>2496</v>
      </c>
      <c r="L743" s="30" t="s">
        <v>1612</v>
      </c>
    </row>
    <row r="744" spans="1:12" x14ac:dyDescent="0.25">
      <c r="A744" s="18" t="s">
        <v>25</v>
      </c>
      <c r="B744" s="57">
        <v>6.9212962962962961E-3</v>
      </c>
      <c r="C744" s="58">
        <v>1</v>
      </c>
      <c r="D744" s="18" t="s">
        <v>551</v>
      </c>
      <c r="E744" s="18" t="s">
        <v>119</v>
      </c>
      <c r="F744" s="18" t="s">
        <v>1621</v>
      </c>
      <c r="G744" s="59">
        <v>1401.7</v>
      </c>
      <c r="H744" s="59">
        <v>1401.7</v>
      </c>
      <c r="I744" s="18" t="s">
        <v>550</v>
      </c>
      <c r="J744" s="18" t="s">
        <v>512</v>
      </c>
      <c r="K744" s="18" t="s">
        <v>2497</v>
      </c>
      <c r="L744" s="30" t="s">
        <v>1612</v>
      </c>
    </row>
    <row r="745" spans="1:12" hidden="1" x14ac:dyDescent="0.25">
      <c r="A745" s="18" t="s">
        <v>25</v>
      </c>
      <c r="B745" s="57">
        <v>9.7222222222222219E-4</v>
      </c>
      <c r="C745" s="58">
        <v>1</v>
      </c>
      <c r="D745" s="18" t="s">
        <v>2498</v>
      </c>
      <c r="E745" s="18" t="s">
        <v>1689</v>
      </c>
      <c r="F745" s="18" t="s">
        <v>1637</v>
      </c>
      <c r="G745" s="59">
        <v>106.36</v>
      </c>
      <c r="H745" s="59">
        <v>106.36</v>
      </c>
      <c r="I745" s="18" t="s">
        <v>367</v>
      </c>
      <c r="J745" s="18" t="s">
        <v>512</v>
      </c>
      <c r="K745" s="18" t="s">
        <v>2075</v>
      </c>
      <c r="L745" s="30" t="s">
        <v>1612</v>
      </c>
    </row>
    <row r="746" spans="1:12" hidden="1" x14ac:dyDescent="0.25">
      <c r="A746" s="18" t="s">
        <v>25</v>
      </c>
      <c r="B746" s="57">
        <v>1.1111111111111111E-3</v>
      </c>
      <c r="C746" s="58">
        <v>1</v>
      </c>
      <c r="D746" s="18" t="s">
        <v>2499</v>
      </c>
      <c r="E746" s="18" t="s">
        <v>2500</v>
      </c>
      <c r="F746" s="18" t="s">
        <v>1637</v>
      </c>
      <c r="G746" s="59">
        <v>80.62</v>
      </c>
      <c r="H746" s="59">
        <v>80.62</v>
      </c>
      <c r="I746" s="18" t="s">
        <v>367</v>
      </c>
      <c r="J746" s="18" t="s">
        <v>512</v>
      </c>
      <c r="K746" s="18" t="s">
        <v>2075</v>
      </c>
      <c r="L746" s="30" t="s">
        <v>1612</v>
      </c>
    </row>
    <row r="747" spans="1:12" hidden="1" x14ac:dyDescent="0.25">
      <c r="A747" s="18" t="s">
        <v>25</v>
      </c>
      <c r="B747" s="57">
        <v>7.0601851851851847E-4</v>
      </c>
      <c r="C747" s="58">
        <v>1</v>
      </c>
      <c r="D747" s="18" t="s">
        <v>1793</v>
      </c>
      <c r="E747" s="18" t="s">
        <v>1642</v>
      </c>
      <c r="F747" s="18" t="s">
        <v>1637</v>
      </c>
      <c r="G747" s="59">
        <v>24.4</v>
      </c>
      <c r="H747" s="59">
        <v>24.4</v>
      </c>
      <c r="I747" s="18" t="s">
        <v>367</v>
      </c>
      <c r="J747" s="18" t="s">
        <v>1594</v>
      </c>
      <c r="K747" s="18" t="s">
        <v>2075</v>
      </c>
      <c r="L747" s="30" t="s">
        <v>1612</v>
      </c>
    </row>
    <row r="748" spans="1:12" hidden="1" x14ac:dyDescent="0.25">
      <c r="A748" s="18" t="s">
        <v>25</v>
      </c>
      <c r="B748" s="57">
        <v>7.0601851851851847E-4</v>
      </c>
      <c r="C748" s="58">
        <v>1</v>
      </c>
      <c r="D748" s="18" t="s">
        <v>1692</v>
      </c>
      <c r="E748" s="18" t="s">
        <v>1693</v>
      </c>
      <c r="F748" s="18" t="s">
        <v>1637</v>
      </c>
      <c r="G748" s="59">
        <v>20.28</v>
      </c>
      <c r="H748" s="59">
        <v>20.28</v>
      </c>
      <c r="I748" s="18" t="s">
        <v>65</v>
      </c>
      <c r="J748" s="18" t="s">
        <v>512</v>
      </c>
      <c r="K748" s="18" t="s">
        <v>2075</v>
      </c>
      <c r="L748" s="30" t="s">
        <v>1612</v>
      </c>
    </row>
    <row r="749" spans="1:12" hidden="1" x14ac:dyDescent="0.25">
      <c r="A749" s="18" t="s">
        <v>25</v>
      </c>
      <c r="B749" s="57">
        <v>7.0601851851851847E-4</v>
      </c>
      <c r="C749" s="58">
        <v>1</v>
      </c>
      <c r="D749" s="18" t="s">
        <v>1694</v>
      </c>
      <c r="E749" s="18" t="s">
        <v>1693</v>
      </c>
      <c r="F749" s="18" t="s">
        <v>1637</v>
      </c>
      <c r="G749" s="59">
        <v>20.28</v>
      </c>
      <c r="H749" s="59">
        <v>20.28</v>
      </c>
      <c r="I749" s="18" t="s">
        <v>65</v>
      </c>
      <c r="J749" s="18" t="s">
        <v>512</v>
      </c>
      <c r="K749" s="18" t="s">
        <v>2075</v>
      </c>
      <c r="L749" s="30" t="s">
        <v>1612</v>
      </c>
    </row>
    <row r="750" spans="1:12" hidden="1" x14ac:dyDescent="0.25">
      <c r="A750" s="18" t="s">
        <v>25</v>
      </c>
      <c r="B750" s="57">
        <v>1.7939814814814815E-3</v>
      </c>
      <c r="C750" s="58">
        <v>1</v>
      </c>
      <c r="D750" s="18" t="s">
        <v>2501</v>
      </c>
      <c r="E750" s="18" t="s">
        <v>1807</v>
      </c>
      <c r="F750" s="18" t="s">
        <v>1637</v>
      </c>
      <c r="G750" s="59">
        <v>366.53</v>
      </c>
      <c r="H750" s="59">
        <v>366.53</v>
      </c>
      <c r="I750" s="18" t="s">
        <v>65</v>
      </c>
      <c r="J750" s="18" t="s">
        <v>1598</v>
      </c>
      <c r="K750" s="18" t="s">
        <v>2075</v>
      </c>
      <c r="L750" s="30" t="s">
        <v>1612</v>
      </c>
    </row>
    <row r="751" spans="1:12" hidden="1" x14ac:dyDescent="0.25">
      <c r="A751" s="18" t="s">
        <v>25</v>
      </c>
      <c r="B751" s="57">
        <v>1.6087962962962963E-3</v>
      </c>
      <c r="C751" s="58">
        <v>1</v>
      </c>
      <c r="D751" s="18" t="s">
        <v>2502</v>
      </c>
      <c r="E751" s="18" t="s">
        <v>2503</v>
      </c>
      <c r="F751" s="18" t="s">
        <v>1637</v>
      </c>
      <c r="G751" s="59">
        <v>293.99</v>
      </c>
      <c r="H751" s="59">
        <v>293.99</v>
      </c>
      <c r="I751" s="18" t="s">
        <v>367</v>
      </c>
      <c r="J751" s="18" t="s">
        <v>367</v>
      </c>
      <c r="K751" s="18" t="s">
        <v>2075</v>
      </c>
      <c r="L751" s="30" t="s">
        <v>1612</v>
      </c>
    </row>
    <row r="752" spans="1:12" hidden="1" x14ac:dyDescent="0.25">
      <c r="A752" s="18" t="s">
        <v>25</v>
      </c>
      <c r="B752" s="57">
        <v>1.6087962962962963E-3</v>
      </c>
      <c r="C752" s="58">
        <v>1</v>
      </c>
      <c r="D752" s="18" t="s">
        <v>2504</v>
      </c>
      <c r="E752" s="18" t="s">
        <v>2503</v>
      </c>
      <c r="F752" s="18" t="s">
        <v>1637</v>
      </c>
      <c r="G752" s="59">
        <v>293.98</v>
      </c>
      <c r="H752" s="59">
        <v>293.98</v>
      </c>
      <c r="I752" s="18" t="s">
        <v>367</v>
      </c>
      <c r="J752" s="18" t="s">
        <v>367</v>
      </c>
      <c r="K752" s="18" t="s">
        <v>2075</v>
      </c>
      <c r="L752" s="30" t="s">
        <v>1612</v>
      </c>
    </row>
    <row r="753" spans="1:12" hidden="1" x14ac:dyDescent="0.25">
      <c r="A753" s="18" t="s">
        <v>25</v>
      </c>
      <c r="B753" s="57">
        <v>1.4004629629629629E-3</v>
      </c>
      <c r="C753" s="58">
        <v>1</v>
      </c>
      <c r="D753" s="18" t="s">
        <v>2505</v>
      </c>
      <c r="E753" s="18" t="s">
        <v>2506</v>
      </c>
      <c r="F753" s="18" t="s">
        <v>1637</v>
      </c>
      <c r="G753" s="59">
        <v>82.29</v>
      </c>
      <c r="H753" s="59">
        <v>82.29</v>
      </c>
      <c r="I753" s="18" t="s">
        <v>65</v>
      </c>
      <c r="J753" s="18" t="s">
        <v>368</v>
      </c>
      <c r="K753" s="18" t="s">
        <v>2075</v>
      </c>
      <c r="L753" s="30" t="s">
        <v>1612</v>
      </c>
    </row>
    <row r="754" spans="1:12" hidden="1" x14ac:dyDescent="0.25">
      <c r="A754" s="18" t="s">
        <v>25</v>
      </c>
      <c r="B754" s="57">
        <v>1.4004629629629629E-3</v>
      </c>
      <c r="C754" s="58">
        <v>1</v>
      </c>
      <c r="D754" s="18" t="s">
        <v>2507</v>
      </c>
      <c r="E754" s="18" t="s">
        <v>2506</v>
      </c>
      <c r="F754" s="18" t="s">
        <v>1637</v>
      </c>
      <c r="G754" s="59">
        <v>82.29</v>
      </c>
      <c r="H754" s="59">
        <v>82.29</v>
      </c>
      <c r="I754" s="18" t="s">
        <v>65</v>
      </c>
      <c r="J754" s="18" t="s">
        <v>368</v>
      </c>
      <c r="K754" s="18" t="s">
        <v>2075</v>
      </c>
      <c r="L754" s="30" t="s">
        <v>1612</v>
      </c>
    </row>
    <row r="755" spans="1:12" hidden="1" x14ac:dyDescent="0.25">
      <c r="A755" s="18" t="s">
        <v>25</v>
      </c>
      <c r="B755" s="57">
        <v>6.3078703703703699E-3</v>
      </c>
      <c r="C755" s="58">
        <v>2</v>
      </c>
      <c r="D755" s="18" t="s">
        <v>939</v>
      </c>
      <c r="E755" s="18" t="s">
        <v>2508</v>
      </c>
      <c r="F755" s="18" t="s">
        <v>2509</v>
      </c>
      <c r="G755" s="59">
        <v>335.14</v>
      </c>
      <c r="H755" s="59">
        <v>670.28</v>
      </c>
      <c r="I755" s="18" t="s">
        <v>60</v>
      </c>
      <c r="J755" s="18" t="s">
        <v>60</v>
      </c>
      <c r="K755" s="18" t="s">
        <v>2510</v>
      </c>
      <c r="L755" s="30" t="s">
        <v>1612</v>
      </c>
    </row>
    <row r="756" spans="1:12" hidden="1" x14ac:dyDescent="0.25">
      <c r="A756" s="18" t="s">
        <v>25</v>
      </c>
      <c r="B756" s="57">
        <v>3.1481481481481482E-3</v>
      </c>
      <c r="C756" s="58">
        <v>1</v>
      </c>
      <c r="D756" s="18" t="s">
        <v>2511</v>
      </c>
      <c r="E756" s="18" t="s">
        <v>940</v>
      </c>
      <c r="F756" s="18" t="s">
        <v>2509</v>
      </c>
      <c r="G756" s="59">
        <v>334.98</v>
      </c>
      <c r="H756" s="59">
        <v>334.98</v>
      </c>
      <c r="I756" s="18" t="s">
        <v>60</v>
      </c>
      <c r="J756" s="18" t="s">
        <v>60</v>
      </c>
      <c r="K756" s="18" t="s">
        <v>2510</v>
      </c>
      <c r="L756" s="30" t="s">
        <v>1612</v>
      </c>
    </row>
    <row r="757" spans="1:12" hidden="1" x14ac:dyDescent="0.25">
      <c r="A757" s="18" t="s">
        <v>25</v>
      </c>
      <c r="B757" s="57">
        <v>3.1018518518518517E-3</v>
      </c>
      <c r="C757" s="58">
        <v>1</v>
      </c>
      <c r="D757" s="18" t="s">
        <v>939</v>
      </c>
      <c r="E757" s="18" t="s">
        <v>2508</v>
      </c>
      <c r="F757" s="18" t="s">
        <v>2509</v>
      </c>
      <c r="G757" s="59">
        <v>335.14</v>
      </c>
      <c r="H757" s="59">
        <v>335.14</v>
      </c>
      <c r="I757" s="18" t="s">
        <v>60</v>
      </c>
      <c r="J757" s="18" t="s">
        <v>60</v>
      </c>
      <c r="K757" s="18" t="s">
        <v>2512</v>
      </c>
      <c r="L757" s="30" t="s">
        <v>1612</v>
      </c>
    </row>
    <row r="758" spans="1:12" hidden="1" x14ac:dyDescent="0.25">
      <c r="A758" s="18" t="s">
        <v>25</v>
      </c>
      <c r="B758" s="57">
        <v>6.2037037037037035E-3</v>
      </c>
      <c r="C758" s="58">
        <v>2</v>
      </c>
      <c r="D758" s="18" t="s">
        <v>2511</v>
      </c>
      <c r="E758" s="18" t="s">
        <v>940</v>
      </c>
      <c r="F758" s="18" t="s">
        <v>2509</v>
      </c>
      <c r="G758" s="59">
        <v>334.98</v>
      </c>
      <c r="H758" s="59">
        <v>669.96</v>
      </c>
      <c r="I758" s="18" t="s">
        <v>60</v>
      </c>
      <c r="J758" s="18" t="s">
        <v>60</v>
      </c>
      <c r="K758" s="18" t="s">
        <v>2512</v>
      </c>
      <c r="L758" s="30" t="s">
        <v>1612</v>
      </c>
    </row>
    <row r="759" spans="1:12" hidden="1" x14ac:dyDescent="0.25">
      <c r="A759" s="18" t="s">
        <v>25</v>
      </c>
      <c r="B759" s="57">
        <v>5.2314814814814811E-3</v>
      </c>
      <c r="C759" s="58">
        <v>2</v>
      </c>
      <c r="D759" s="18" t="s">
        <v>2513</v>
      </c>
      <c r="E759" s="18" t="s">
        <v>2514</v>
      </c>
      <c r="F759" s="18" t="s">
        <v>2509</v>
      </c>
      <c r="G759" s="59">
        <v>204.58</v>
      </c>
      <c r="H759" s="59">
        <v>409.16</v>
      </c>
      <c r="I759" s="18" t="s">
        <v>60</v>
      </c>
      <c r="J759" s="18" t="s">
        <v>60</v>
      </c>
      <c r="K759" s="18" t="s">
        <v>2515</v>
      </c>
      <c r="L759" s="30" t="s">
        <v>1612</v>
      </c>
    </row>
    <row r="760" spans="1:12" hidden="1" x14ac:dyDescent="0.25">
      <c r="A760" s="18" t="s">
        <v>25</v>
      </c>
      <c r="B760" s="57">
        <v>2.6157407407407405E-3</v>
      </c>
      <c r="C760" s="58">
        <v>1</v>
      </c>
      <c r="D760" s="18" t="s">
        <v>2516</v>
      </c>
      <c r="E760" s="18" t="s">
        <v>2517</v>
      </c>
      <c r="F760" s="18" t="s">
        <v>2509</v>
      </c>
      <c r="G760" s="59">
        <v>204.44</v>
      </c>
      <c r="H760" s="59">
        <v>204.44</v>
      </c>
      <c r="I760" s="18" t="s">
        <v>60</v>
      </c>
      <c r="J760" s="18" t="s">
        <v>60</v>
      </c>
      <c r="K760" s="18" t="s">
        <v>2515</v>
      </c>
      <c r="L760" s="30" t="s">
        <v>1612</v>
      </c>
    </row>
    <row r="761" spans="1:12" hidden="1" x14ac:dyDescent="0.25">
      <c r="A761" s="18" t="s">
        <v>25</v>
      </c>
      <c r="B761" s="57">
        <v>2.3379629629629627E-3</v>
      </c>
      <c r="C761" s="58">
        <v>1</v>
      </c>
      <c r="D761" s="18" t="s">
        <v>2518</v>
      </c>
      <c r="E761" s="18" t="s">
        <v>2519</v>
      </c>
      <c r="F761" s="18" t="s">
        <v>2509</v>
      </c>
      <c r="G761" s="59">
        <v>100.88</v>
      </c>
      <c r="H761" s="59">
        <v>100.88</v>
      </c>
      <c r="I761" s="18" t="s">
        <v>60</v>
      </c>
      <c r="J761" s="18" t="s">
        <v>60</v>
      </c>
      <c r="K761" s="18" t="s">
        <v>2515</v>
      </c>
      <c r="L761" s="30" t="s">
        <v>1612</v>
      </c>
    </row>
    <row r="762" spans="1:12" hidden="1" x14ac:dyDescent="0.25">
      <c r="A762" s="18" t="s">
        <v>25</v>
      </c>
      <c r="B762" s="57">
        <v>4.2476851851851851E-3</v>
      </c>
      <c r="C762" s="58">
        <v>2</v>
      </c>
      <c r="D762" s="18" t="s">
        <v>2520</v>
      </c>
      <c r="E762" s="18" t="s">
        <v>2519</v>
      </c>
      <c r="F762" s="18" t="s">
        <v>2509</v>
      </c>
      <c r="G762" s="59">
        <v>103.67</v>
      </c>
      <c r="H762" s="59">
        <v>207.34</v>
      </c>
      <c r="I762" s="18" t="s">
        <v>60</v>
      </c>
      <c r="J762" s="18" t="s">
        <v>60</v>
      </c>
      <c r="K762" s="18" t="s">
        <v>2515</v>
      </c>
      <c r="L762" s="30" t="s">
        <v>1612</v>
      </c>
    </row>
    <row r="763" spans="1:12" hidden="1" x14ac:dyDescent="0.25">
      <c r="A763" s="18" t="s">
        <v>25</v>
      </c>
      <c r="B763" s="57">
        <v>2.6157407407407405E-3</v>
      </c>
      <c r="C763" s="58">
        <v>1</v>
      </c>
      <c r="D763" s="18" t="s">
        <v>2513</v>
      </c>
      <c r="E763" s="18" t="s">
        <v>2514</v>
      </c>
      <c r="F763" s="18" t="s">
        <v>2509</v>
      </c>
      <c r="G763" s="59">
        <v>204.58</v>
      </c>
      <c r="H763" s="59">
        <v>204.58</v>
      </c>
      <c r="I763" s="18" t="s">
        <v>60</v>
      </c>
      <c r="J763" s="18" t="s">
        <v>60</v>
      </c>
      <c r="K763" s="18" t="s">
        <v>2521</v>
      </c>
      <c r="L763" s="30" t="s">
        <v>1612</v>
      </c>
    </row>
    <row r="764" spans="1:12" hidden="1" x14ac:dyDescent="0.25">
      <c r="A764" s="18" t="s">
        <v>25</v>
      </c>
      <c r="B764" s="57">
        <v>2.6157407407407405E-3</v>
      </c>
      <c r="C764" s="58">
        <v>1</v>
      </c>
      <c r="D764" s="18" t="s">
        <v>2516</v>
      </c>
      <c r="E764" s="18" t="s">
        <v>2517</v>
      </c>
      <c r="F764" s="18" t="s">
        <v>2509</v>
      </c>
      <c r="G764" s="59">
        <v>204.44</v>
      </c>
      <c r="H764" s="59">
        <v>204.44</v>
      </c>
      <c r="I764" s="18" t="s">
        <v>60</v>
      </c>
      <c r="J764" s="18" t="s">
        <v>60</v>
      </c>
      <c r="K764" s="18" t="s">
        <v>2521</v>
      </c>
      <c r="L764" s="30" t="s">
        <v>1612</v>
      </c>
    </row>
    <row r="765" spans="1:12" hidden="1" x14ac:dyDescent="0.25">
      <c r="A765" s="18" t="s">
        <v>25</v>
      </c>
      <c r="B765" s="57">
        <v>4.6759259259259254E-3</v>
      </c>
      <c r="C765" s="58">
        <v>2</v>
      </c>
      <c r="D765" s="18" t="s">
        <v>2522</v>
      </c>
      <c r="E765" s="18" t="s">
        <v>2519</v>
      </c>
      <c r="F765" s="18" t="s">
        <v>2509</v>
      </c>
      <c r="G765" s="59">
        <v>100.88</v>
      </c>
      <c r="H765" s="59">
        <v>201.76</v>
      </c>
      <c r="I765" s="18" t="s">
        <v>60</v>
      </c>
      <c r="J765" s="18" t="s">
        <v>60</v>
      </c>
      <c r="K765" s="18" t="s">
        <v>2521</v>
      </c>
      <c r="L765" s="30" t="s">
        <v>1612</v>
      </c>
    </row>
    <row r="766" spans="1:12" hidden="1" x14ac:dyDescent="0.25">
      <c r="A766" s="18" t="s">
        <v>25</v>
      </c>
      <c r="B766" s="57">
        <v>2.1180555555555553E-3</v>
      </c>
      <c r="C766" s="58">
        <v>1</v>
      </c>
      <c r="D766" s="18" t="s">
        <v>2523</v>
      </c>
      <c r="E766" s="18" t="s">
        <v>2519</v>
      </c>
      <c r="F766" s="18" t="s">
        <v>2509</v>
      </c>
      <c r="G766" s="59">
        <v>103.67</v>
      </c>
      <c r="H766" s="59">
        <v>103.67</v>
      </c>
      <c r="I766" s="18" t="s">
        <v>60</v>
      </c>
      <c r="J766" s="18" t="s">
        <v>60</v>
      </c>
      <c r="K766" s="18" t="s">
        <v>2521</v>
      </c>
      <c r="L766" s="30" t="s">
        <v>1612</v>
      </c>
    </row>
    <row r="767" spans="1:12" hidden="1" x14ac:dyDescent="0.25">
      <c r="A767" s="18" t="s">
        <v>25</v>
      </c>
      <c r="B767" s="57">
        <v>2.6157407407407405E-3</v>
      </c>
      <c r="C767" s="58">
        <v>1</v>
      </c>
      <c r="D767" s="18" t="s">
        <v>2524</v>
      </c>
      <c r="E767" s="18" t="s">
        <v>2514</v>
      </c>
      <c r="F767" s="18" t="s">
        <v>2509</v>
      </c>
      <c r="G767" s="59">
        <v>204.58</v>
      </c>
      <c r="H767" s="59">
        <v>204.58</v>
      </c>
      <c r="I767" s="18" t="s">
        <v>60</v>
      </c>
      <c r="J767" s="18" t="s">
        <v>60</v>
      </c>
      <c r="K767" s="18" t="s">
        <v>2521</v>
      </c>
      <c r="L767" s="30" t="s">
        <v>1612</v>
      </c>
    </row>
    <row r="768" spans="1:12" hidden="1" x14ac:dyDescent="0.25">
      <c r="A768" s="18" t="s">
        <v>25</v>
      </c>
      <c r="B768" s="57">
        <v>3.0902777777777777E-3</v>
      </c>
      <c r="C768" s="58">
        <v>1</v>
      </c>
      <c r="D768" s="18" t="s">
        <v>939</v>
      </c>
      <c r="E768" s="18" t="s">
        <v>2508</v>
      </c>
      <c r="F768" s="18" t="s">
        <v>2509</v>
      </c>
      <c r="G768" s="59">
        <v>335.14</v>
      </c>
      <c r="H768" s="59">
        <v>335.14</v>
      </c>
      <c r="I768" s="18" t="s">
        <v>60</v>
      </c>
      <c r="J768" s="18" t="s">
        <v>60</v>
      </c>
      <c r="K768" s="18" t="s">
        <v>2525</v>
      </c>
      <c r="L768" s="30" t="s">
        <v>1612</v>
      </c>
    </row>
    <row r="769" spans="1:12" hidden="1" x14ac:dyDescent="0.25">
      <c r="A769" s="18" t="s">
        <v>25</v>
      </c>
      <c r="B769" s="57">
        <v>2.696759259259259E-3</v>
      </c>
      <c r="C769" s="58">
        <v>1</v>
      </c>
      <c r="D769" s="18" t="s">
        <v>2516</v>
      </c>
      <c r="E769" s="18" t="s">
        <v>2517</v>
      </c>
      <c r="F769" s="18" t="s">
        <v>2509</v>
      </c>
      <c r="G769" s="59">
        <v>204.44</v>
      </c>
      <c r="H769" s="59">
        <v>204.44</v>
      </c>
      <c r="I769" s="18" t="s">
        <v>60</v>
      </c>
      <c r="J769" s="18" t="s">
        <v>60</v>
      </c>
      <c r="K769" s="18" t="s">
        <v>2525</v>
      </c>
      <c r="L769" s="30" t="s">
        <v>1612</v>
      </c>
    </row>
    <row r="770" spans="1:12" hidden="1" x14ac:dyDescent="0.25">
      <c r="A770" s="18" t="s">
        <v>25</v>
      </c>
      <c r="B770" s="57">
        <v>3.0902777777777777E-3</v>
      </c>
      <c r="C770" s="58">
        <v>1</v>
      </c>
      <c r="D770" s="18" t="s">
        <v>2511</v>
      </c>
      <c r="E770" s="18" t="s">
        <v>940</v>
      </c>
      <c r="F770" s="18" t="s">
        <v>2509</v>
      </c>
      <c r="G770" s="59">
        <v>334.98</v>
      </c>
      <c r="H770" s="59">
        <v>334.98</v>
      </c>
      <c r="I770" s="18" t="s">
        <v>60</v>
      </c>
      <c r="J770" s="18" t="s">
        <v>60</v>
      </c>
      <c r="K770" s="18" t="s">
        <v>2525</v>
      </c>
      <c r="L770" s="30" t="s">
        <v>1612</v>
      </c>
    </row>
    <row r="771" spans="1:12" hidden="1" x14ac:dyDescent="0.25">
      <c r="A771" s="18" t="s">
        <v>25</v>
      </c>
      <c r="B771" s="57">
        <v>2.3958333333333331E-3</v>
      </c>
      <c r="C771" s="58">
        <v>1</v>
      </c>
      <c r="D771" s="18" t="s">
        <v>2518</v>
      </c>
      <c r="E771" s="18" t="s">
        <v>2519</v>
      </c>
      <c r="F771" s="18" t="s">
        <v>2509</v>
      </c>
      <c r="G771" s="59">
        <v>100.88</v>
      </c>
      <c r="H771" s="59">
        <v>100.88</v>
      </c>
      <c r="I771" s="18" t="s">
        <v>60</v>
      </c>
      <c r="J771" s="18" t="s">
        <v>60</v>
      </c>
      <c r="K771" s="18" t="s">
        <v>2525</v>
      </c>
      <c r="L771" s="30" t="s">
        <v>1612</v>
      </c>
    </row>
    <row r="772" spans="1:12" hidden="1" x14ac:dyDescent="0.25">
      <c r="A772" s="18" t="s">
        <v>25</v>
      </c>
      <c r="B772" s="57">
        <v>6.6203703703703702E-3</v>
      </c>
      <c r="C772" s="58">
        <v>2</v>
      </c>
      <c r="D772" s="18" t="s">
        <v>64</v>
      </c>
      <c r="E772" s="18" t="s">
        <v>2526</v>
      </c>
      <c r="F772" s="18" t="s">
        <v>2509</v>
      </c>
      <c r="G772" s="59">
        <v>388.65</v>
      </c>
      <c r="H772" s="59">
        <v>777.3</v>
      </c>
      <c r="I772" s="18" t="s">
        <v>65</v>
      </c>
      <c r="J772" s="18" t="s">
        <v>66</v>
      </c>
      <c r="K772" s="18" t="s">
        <v>2527</v>
      </c>
      <c r="L772" s="30" t="s">
        <v>1612</v>
      </c>
    </row>
    <row r="773" spans="1:12" hidden="1" x14ac:dyDescent="0.25">
      <c r="A773" s="18" t="s">
        <v>25</v>
      </c>
      <c r="B773" s="57">
        <v>5.0347222222222217E-3</v>
      </c>
      <c r="C773" s="58">
        <v>2</v>
      </c>
      <c r="D773" s="18" t="s">
        <v>2528</v>
      </c>
      <c r="E773" s="18" t="s">
        <v>1430</v>
      </c>
      <c r="F773" s="18" t="s">
        <v>2509</v>
      </c>
      <c r="G773" s="59">
        <v>193.08</v>
      </c>
      <c r="H773" s="59">
        <v>386.16</v>
      </c>
      <c r="I773" s="18" t="s">
        <v>65</v>
      </c>
      <c r="J773" s="18" t="s">
        <v>66</v>
      </c>
      <c r="K773" s="18" t="s">
        <v>2529</v>
      </c>
      <c r="L773" s="30" t="s">
        <v>1612</v>
      </c>
    </row>
    <row r="774" spans="1:12" hidden="1" x14ac:dyDescent="0.25">
      <c r="A774" s="18" t="s">
        <v>25</v>
      </c>
      <c r="B774" s="57">
        <v>5.0347222222222217E-3</v>
      </c>
      <c r="C774" s="58">
        <v>2</v>
      </c>
      <c r="D774" s="18" t="s">
        <v>2530</v>
      </c>
      <c r="E774" s="18" t="s">
        <v>1430</v>
      </c>
      <c r="F774" s="18" t="s">
        <v>2509</v>
      </c>
      <c r="G774" s="59">
        <v>193.08</v>
      </c>
      <c r="H774" s="59">
        <v>386.16</v>
      </c>
      <c r="I774" s="18" t="s">
        <v>65</v>
      </c>
      <c r="J774" s="18" t="s">
        <v>66</v>
      </c>
      <c r="K774" s="18" t="s">
        <v>2529</v>
      </c>
      <c r="L774" s="30" t="s">
        <v>1612</v>
      </c>
    </row>
    <row r="775" spans="1:12" hidden="1" x14ac:dyDescent="0.25">
      <c r="A775" s="18" t="s">
        <v>25</v>
      </c>
      <c r="B775" s="57">
        <v>1.4444444444444444E-2</v>
      </c>
      <c r="C775" s="58">
        <v>1</v>
      </c>
      <c r="D775" s="18" t="s">
        <v>1875</v>
      </c>
      <c r="E775" s="18" t="s">
        <v>1813</v>
      </c>
      <c r="F775" s="18" t="s">
        <v>1810</v>
      </c>
      <c r="G775" s="59">
        <v>1519.18</v>
      </c>
      <c r="H775" s="59">
        <v>1519.18</v>
      </c>
      <c r="I775" s="18" t="s">
        <v>511</v>
      </c>
      <c r="J775" s="18" t="s">
        <v>511</v>
      </c>
      <c r="K775" s="18" t="s">
        <v>2531</v>
      </c>
      <c r="L775" s="30" t="s">
        <v>1612</v>
      </c>
    </row>
    <row r="776" spans="1:12" hidden="1" x14ac:dyDescent="0.25">
      <c r="A776" s="18" t="s">
        <v>25</v>
      </c>
      <c r="B776" s="57">
        <v>1.7824074074074072E-3</v>
      </c>
      <c r="C776" s="58">
        <v>2</v>
      </c>
      <c r="D776" s="18" t="s">
        <v>1885</v>
      </c>
      <c r="E776" s="18" t="s">
        <v>1886</v>
      </c>
      <c r="F776" s="18" t="s">
        <v>1810</v>
      </c>
      <c r="G776" s="59">
        <v>37.49</v>
      </c>
      <c r="H776" s="59">
        <v>74.98</v>
      </c>
      <c r="I776" s="18" t="s">
        <v>1672</v>
      </c>
      <c r="J776" s="18" t="s">
        <v>115</v>
      </c>
      <c r="K776" s="18" t="s">
        <v>2531</v>
      </c>
      <c r="L776" s="30" t="s">
        <v>1612</v>
      </c>
    </row>
    <row r="777" spans="1:12" hidden="1" x14ac:dyDescent="0.25">
      <c r="A777" s="18" t="s">
        <v>25</v>
      </c>
      <c r="B777" s="57">
        <v>1.1689814814814813E-3</v>
      </c>
      <c r="C777" s="58">
        <v>1</v>
      </c>
      <c r="D777" s="18" t="s">
        <v>1808</v>
      </c>
      <c r="E777" s="18" t="s">
        <v>1809</v>
      </c>
      <c r="F777" s="18" t="s">
        <v>1810</v>
      </c>
      <c r="G777" s="59">
        <v>55.45</v>
      </c>
      <c r="H777" s="59">
        <v>55.45</v>
      </c>
      <c r="I777" s="18" t="s">
        <v>150</v>
      </c>
      <c r="J777" s="18" t="s">
        <v>115</v>
      </c>
      <c r="K777" s="18" t="s">
        <v>2531</v>
      </c>
      <c r="L777" s="30" t="s">
        <v>1612</v>
      </c>
    </row>
    <row r="778" spans="1:12" hidden="1" x14ac:dyDescent="0.25">
      <c r="A778" s="18" t="s">
        <v>25</v>
      </c>
      <c r="B778" s="57">
        <v>2.7777777777777775E-3</v>
      </c>
      <c r="C778" s="58">
        <v>4</v>
      </c>
      <c r="D778" s="18" t="s">
        <v>1888</v>
      </c>
      <c r="E778" s="18" t="s">
        <v>1889</v>
      </c>
      <c r="F778" s="18" t="s">
        <v>1810</v>
      </c>
      <c r="G778" s="59">
        <v>66.22</v>
      </c>
      <c r="H778" s="59">
        <v>264.88</v>
      </c>
      <c r="I778" s="18" t="s">
        <v>1583</v>
      </c>
      <c r="J778" s="18" t="s">
        <v>1583</v>
      </c>
      <c r="K778" s="18" t="s">
        <v>2531</v>
      </c>
      <c r="L778" s="30" t="s">
        <v>1612</v>
      </c>
    </row>
    <row r="779" spans="1:12" hidden="1" x14ac:dyDescent="0.25">
      <c r="A779" s="18" t="s">
        <v>25</v>
      </c>
      <c r="B779" s="57">
        <v>1.4444444444444444E-2</v>
      </c>
      <c r="C779" s="58">
        <v>1</v>
      </c>
      <c r="D779" s="18" t="s">
        <v>1875</v>
      </c>
      <c r="E779" s="18" t="s">
        <v>1813</v>
      </c>
      <c r="F779" s="18" t="s">
        <v>1810</v>
      </c>
      <c r="G779" s="59">
        <v>1519.18</v>
      </c>
      <c r="H779" s="59">
        <v>1519.18</v>
      </c>
      <c r="I779" s="18" t="s">
        <v>511</v>
      </c>
      <c r="J779" s="18" t="s">
        <v>511</v>
      </c>
      <c r="K779" s="18" t="s">
        <v>2532</v>
      </c>
      <c r="L779" s="30" t="s">
        <v>1612</v>
      </c>
    </row>
    <row r="780" spans="1:12" hidden="1" x14ac:dyDescent="0.25">
      <c r="A780" s="18" t="s">
        <v>25</v>
      </c>
      <c r="B780" s="57">
        <v>1.7824074074074072E-3</v>
      </c>
      <c r="C780" s="58">
        <v>2</v>
      </c>
      <c r="D780" s="18" t="s">
        <v>1885</v>
      </c>
      <c r="E780" s="18" t="s">
        <v>1886</v>
      </c>
      <c r="F780" s="18" t="s">
        <v>1810</v>
      </c>
      <c r="G780" s="59">
        <v>37.49</v>
      </c>
      <c r="H780" s="59">
        <v>74.98</v>
      </c>
      <c r="I780" s="18" t="s">
        <v>1672</v>
      </c>
      <c r="J780" s="18" t="s">
        <v>115</v>
      </c>
      <c r="K780" s="18" t="s">
        <v>2532</v>
      </c>
      <c r="L780" s="30" t="s">
        <v>1612</v>
      </c>
    </row>
    <row r="781" spans="1:12" hidden="1" x14ac:dyDescent="0.25">
      <c r="A781" s="18" t="s">
        <v>25</v>
      </c>
      <c r="B781" s="57">
        <v>1.1689814814814813E-3</v>
      </c>
      <c r="C781" s="58">
        <v>1</v>
      </c>
      <c r="D781" s="18" t="s">
        <v>1808</v>
      </c>
      <c r="E781" s="18" t="s">
        <v>1809</v>
      </c>
      <c r="F781" s="18" t="s">
        <v>1810</v>
      </c>
      <c r="G781" s="59">
        <v>55.45</v>
      </c>
      <c r="H781" s="59">
        <v>55.45</v>
      </c>
      <c r="I781" s="18" t="s">
        <v>150</v>
      </c>
      <c r="J781" s="18" t="s">
        <v>115</v>
      </c>
      <c r="K781" s="18" t="s">
        <v>2532</v>
      </c>
      <c r="L781" s="30" t="s">
        <v>1612</v>
      </c>
    </row>
    <row r="782" spans="1:12" hidden="1" x14ac:dyDescent="0.25">
      <c r="A782" s="18" t="s">
        <v>25</v>
      </c>
      <c r="B782" s="57">
        <v>2.7777777777777775E-3</v>
      </c>
      <c r="C782" s="58">
        <v>4</v>
      </c>
      <c r="D782" s="18" t="s">
        <v>1888</v>
      </c>
      <c r="E782" s="18" t="s">
        <v>1889</v>
      </c>
      <c r="F782" s="18" t="s">
        <v>1810</v>
      </c>
      <c r="G782" s="59">
        <v>66.22</v>
      </c>
      <c r="H782" s="59">
        <v>264.88</v>
      </c>
      <c r="I782" s="18" t="s">
        <v>1583</v>
      </c>
      <c r="J782" s="18" t="s">
        <v>1583</v>
      </c>
      <c r="K782" s="18" t="s">
        <v>2532</v>
      </c>
      <c r="L782" s="30" t="s">
        <v>1612</v>
      </c>
    </row>
    <row r="783" spans="1:12" hidden="1" x14ac:dyDescent="0.25">
      <c r="A783" s="18" t="s">
        <v>25</v>
      </c>
      <c r="B783" s="57">
        <v>1.398148148148148E-2</v>
      </c>
      <c r="C783" s="58">
        <v>1</v>
      </c>
      <c r="D783" s="18" t="s">
        <v>1875</v>
      </c>
      <c r="E783" s="18" t="s">
        <v>1813</v>
      </c>
      <c r="F783" s="18" t="s">
        <v>1810</v>
      </c>
      <c r="G783" s="59">
        <v>1519.18</v>
      </c>
      <c r="H783" s="59">
        <v>1519.18</v>
      </c>
      <c r="I783" s="18" t="s">
        <v>511</v>
      </c>
      <c r="J783" s="18" t="s">
        <v>511</v>
      </c>
      <c r="K783" s="18" t="s">
        <v>2533</v>
      </c>
      <c r="L783" s="30" t="s">
        <v>1612</v>
      </c>
    </row>
    <row r="784" spans="1:12" hidden="1" x14ac:dyDescent="0.25">
      <c r="A784" s="18" t="s">
        <v>25</v>
      </c>
      <c r="B784" s="57">
        <v>7.8703703703703705E-4</v>
      </c>
      <c r="C784" s="58">
        <v>1</v>
      </c>
      <c r="D784" s="18" t="s">
        <v>1940</v>
      </c>
      <c r="E784" s="18" t="s">
        <v>1886</v>
      </c>
      <c r="F784" s="18" t="s">
        <v>1810</v>
      </c>
      <c r="G784" s="59">
        <v>37.479999999999997</v>
      </c>
      <c r="H784" s="59">
        <v>37.479999999999997</v>
      </c>
      <c r="I784" s="18" t="s">
        <v>1665</v>
      </c>
      <c r="J784" s="18" t="s">
        <v>115</v>
      </c>
      <c r="K784" s="18" t="s">
        <v>2533</v>
      </c>
      <c r="L784" s="30" t="s">
        <v>1612</v>
      </c>
    </row>
    <row r="785" spans="1:12" hidden="1" x14ac:dyDescent="0.25">
      <c r="A785" s="18" t="s">
        <v>25</v>
      </c>
      <c r="B785" s="57">
        <v>4.5370370370370365E-3</v>
      </c>
      <c r="C785" s="58">
        <v>4</v>
      </c>
      <c r="D785" s="18" t="s">
        <v>1808</v>
      </c>
      <c r="E785" s="18" t="s">
        <v>1809</v>
      </c>
      <c r="F785" s="18" t="s">
        <v>1810</v>
      </c>
      <c r="G785" s="59">
        <v>55.45</v>
      </c>
      <c r="H785" s="59">
        <v>221.8</v>
      </c>
      <c r="I785" s="18" t="s">
        <v>150</v>
      </c>
      <c r="J785" s="18" t="s">
        <v>115</v>
      </c>
      <c r="K785" s="18" t="s">
        <v>2533</v>
      </c>
      <c r="L785" s="30" t="s">
        <v>1612</v>
      </c>
    </row>
    <row r="786" spans="1:12" hidden="1" x14ac:dyDescent="0.25">
      <c r="A786" s="18" t="s">
        <v>25</v>
      </c>
      <c r="B786" s="57">
        <v>1.3425925925925925E-3</v>
      </c>
      <c r="C786" s="58">
        <v>2</v>
      </c>
      <c r="D786" s="18" t="s">
        <v>1888</v>
      </c>
      <c r="E786" s="18" t="s">
        <v>1889</v>
      </c>
      <c r="F786" s="18" t="s">
        <v>1810</v>
      </c>
      <c r="G786" s="59">
        <v>66.22</v>
      </c>
      <c r="H786" s="59">
        <v>132.44</v>
      </c>
      <c r="I786" s="18" t="s">
        <v>1583</v>
      </c>
      <c r="J786" s="18" t="s">
        <v>1583</v>
      </c>
      <c r="K786" s="18" t="s">
        <v>2533</v>
      </c>
      <c r="L786" s="30" t="s">
        <v>1612</v>
      </c>
    </row>
    <row r="787" spans="1:12" hidden="1" x14ac:dyDescent="0.25">
      <c r="A787" s="18" t="s">
        <v>25</v>
      </c>
      <c r="B787" s="57">
        <v>1.4409722222222221E-2</v>
      </c>
      <c r="C787" s="58">
        <v>1</v>
      </c>
      <c r="D787" s="18" t="s">
        <v>1875</v>
      </c>
      <c r="E787" s="18" t="s">
        <v>1813</v>
      </c>
      <c r="F787" s="18" t="s">
        <v>1810</v>
      </c>
      <c r="G787" s="59">
        <v>1519.18</v>
      </c>
      <c r="H787" s="59">
        <v>1519.18</v>
      </c>
      <c r="I787" s="18" t="s">
        <v>511</v>
      </c>
      <c r="J787" s="18" t="s">
        <v>511</v>
      </c>
      <c r="K787" s="18" t="s">
        <v>2534</v>
      </c>
      <c r="L787" s="30" t="s">
        <v>1612</v>
      </c>
    </row>
    <row r="788" spans="1:12" hidden="1" x14ac:dyDescent="0.25">
      <c r="A788" s="18" t="s">
        <v>25</v>
      </c>
      <c r="B788" s="57">
        <v>3.4375E-3</v>
      </c>
      <c r="C788" s="58">
        <v>4</v>
      </c>
      <c r="D788" s="18" t="s">
        <v>1840</v>
      </c>
      <c r="E788" s="18" t="s">
        <v>1809</v>
      </c>
      <c r="F788" s="18" t="s">
        <v>1810</v>
      </c>
      <c r="G788" s="59">
        <v>55.45</v>
      </c>
      <c r="H788" s="59">
        <v>221.8</v>
      </c>
      <c r="I788" s="18" t="s">
        <v>147</v>
      </c>
      <c r="J788" s="18" t="s">
        <v>115</v>
      </c>
      <c r="K788" s="18" t="s">
        <v>2534</v>
      </c>
      <c r="L788" s="30" t="s">
        <v>1612</v>
      </c>
    </row>
    <row r="789" spans="1:12" hidden="1" x14ac:dyDescent="0.25">
      <c r="A789" s="18" t="s">
        <v>25</v>
      </c>
      <c r="B789" s="57">
        <v>1.6319444444444443E-3</v>
      </c>
      <c r="C789" s="58">
        <v>2</v>
      </c>
      <c r="D789" s="18" t="s">
        <v>1940</v>
      </c>
      <c r="E789" s="18" t="s">
        <v>1886</v>
      </c>
      <c r="F789" s="18" t="s">
        <v>1810</v>
      </c>
      <c r="G789" s="59">
        <v>37.479999999999997</v>
      </c>
      <c r="H789" s="59">
        <v>74.959999999999994</v>
      </c>
      <c r="I789" s="18" t="s">
        <v>1665</v>
      </c>
      <c r="J789" s="18" t="s">
        <v>115</v>
      </c>
      <c r="K789" s="18" t="s">
        <v>2534</v>
      </c>
      <c r="L789" s="30" t="s">
        <v>1612</v>
      </c>
    </row>
    <row r="790" spans="1:12" hidden="1" x14ac:dyDescent="0.25">
      <c r="A790" s="18" t="s">
        <v>25</v>
      </c>
      <c r="B790" s="57">
        <v>8.7962962962962962E-4</v>
      </c>
      <c r="C790" s="58">
        <v>1</v>
      </c>
      <c r="D790" s="18" t="s">
        <v>1885</v>
      </c>
      <c r="E790" s="18" t="s">
        <v>1886</v>
      </c>
      <c r="F790" s="18" t="s">
        <v>1810</v>
      </c>
      <c r="G790" s="59">
        <v>37.49</v>
      </c>
      <c r="H790" s="59">
        <v>37.49</v>
      </c>
      <c r="I790" s="18" t="s">
        <v>1672</v>
      </c>
      <c r="J790" s="18" t="s">
        <v>115</v>
      </c>
      <c r="K790" s="18" t="s">
        <v>2534</v>
      </c>
      <c r="L790" s="30" t="s">
        <v>1612</v>
      </c>
    </row>
    <row r="791" spans="1:12" hidden="1" x14ac:dyDescent="0.25">
      <c r="A791" s="18" t="s">
        <v>25</v>
      </c>
      <c r="B791" s="57">
        <v>1.0648148148148149E-3</v>
      </c>
      <c r="C791" s="58">
        <v>1</v>
      </c>
      <c r="D791" s="18" t="s">
        <v>1963</v>
      </c>
      <c r="E791" s="18" t="s">
        <v>1964</v>
      </c>
      <c r="F791" s="18" t="s">
        <v>1810</v>
      </c>
      <c r="G791" s="59">
        <v>39.83</v>
      </c>
      <c r="H791" s="59">
        <v>39.83</v>
      </c>
      <c r="I791" s="18" t="s">
        <v>65</v>
      </c>
      <c r="J791" s="18" t="s">
        <v>66</v>
      </c>
      <c r="K791" s="18" t="s">
        <v>2534</v>
      </c>
      <c r="L791" s="30" t="s">
        <v>1612</v>
      </c>
    </row>
    <row r="792" spans="1:12" hidden="1" x14ac:dyDescent="0.25">
      <c r="A792" s="18" t="s">
        <v>25</v>
      </c>
      <c r="B792" s="57">
        <v>1.4386574074074074E-2</v>
      </c>
      <c r="C792" s="58">
        <v>1</v>
      </c>
      <c r="D792" s="18" t="s">
        <v>1875</v>
      </c>
      <c r="E792" s="18" t="s">
        <v>1813</v>
      </c>
      <c r="F792" s="18" t="s">
        <v>1810</v>
      </c>
      <c r="G792" s="59">
        <v>1519.18</v>
      </c>
      <c r="H792" s="59">
        <v>1519.18</v>
      </c>
      <c r="I792" s="18" t="s">
        <v>511</v>
      </c>
      <c r="J792" s="18" t="s">
        <v>511</v>
      </c>
      <c r="K792" s="18" t="s">
        <v>2535</v>
      </c>
      <c r="L792" s="30" t="s">
        <v>1612</v>
      </c>
    </row>
    <row r="793" spans="1:12" hidden="1" x14ac:dyDescent="0.25">
      <c r="A793" s="18" t="s">
        <v>25</v>
      </c>
      <c r="B793" s="57">
        <v>3.4259259259259256E-3</v>
      </c>
      <c r="C793" s="58">
        <v>4</v>
      </c>
      <c r="D793" s="18" t="s">
        <v>1840</v>
      </c>
      <c r="E793" s="18" t="s">
        <v>1809</v>
      </c>
      <c r="F793" s="18" t="s">
        <v>1810</v>
      </c>
      <c r="G793" s="59">
        <v>55.45</v>
      </c>
      <c r="H793" s="59">
        <v>221.8</v>
      </c>
      <c r="I793" s="18" t="s">
        <v>147</v>
      </c>
      <c r="J793" s="18" t="s">
        <v>115</v>
      </c>
      <c r="K793" s="18" t="s">
        <v>2535</v>
      </c>
      <c r="L793" s="30" t="s">
        <v>1612</v>
      </c>
    </row>
    <row r="794" spans="1:12" hidden="1" x14ac:dyDescent="0.25">
      <c r="A794" s="18" t="s">
        <v>25</v>
      </c>
      <c r="B794" s="57">
        <v>3.2523148148148147E-3</v>
      </c>
      <c r="C794" s="58">
        <v>4</v>
      </c>
      <c r="D794" s="18" t="s">
        <v>1940</v>
      </c>
      <c r="E794" s="18" t="s">
        <v>1886</v>
      </c>
      <c r="F794" s="18" t="s">
        <v>1810</v>
      </c>
      <c r="G794" s="59">
        <v>37.479999999999997</v>
      </c>
      <c r="H794" s="59">
        <v>149.91999999999999</v>
      </c>
      <c r="I794" s="18" t="s">
        <v>1665</v>
      </c>
      <c r="J794" s="18" t="s">
        <v>115</v>
      </c>
      <c r="K794" s="18" t="s">
        <v>2535</v>
      </c>
      <c r="L794" s="30" t="s">
        <v>1612</v>
      </c>
    </row>
    <row r="795" spans="1:12" hidden="1" x14ac:dyDescent="0.25">
      <c r="A795" s="18" t="s">
        <v>25</v>
      </c>
      <c r="B795" s="57">
        <v>1.6087962962962963E-3</v>
      </c>
      <c r="C795" s="58">
        <v>2</v>
      </c>
      <c r="D795" s="18" t="s">
        <v>1840</v>
      </c>
      <c r="E795" s="18" t="s">
        <v>1809</v>
      </c>
      <c r="F795" s="18" t="s">
        <v>1810</v>
      </c>
      <c r="G795" s="59">
        <v>55.45</v>
      </c>
      <c r="H795" s="59">
        <v>110.9</v>
      </c>
      <c r="I795" s="18" t="s">
        <v>147</v>
      </c>
      <c r="J795" s="18" t="s">
        <v>115</v>
      </c>
      <c r="K795" s="18" t="s">
        <v>2536</v>
      </c>
      <c r="L795" s="30" t="s">
        <v>1612</v>
      </c>
    </row>
    <row r="796" spans="1:12" hidden="1" x14ac:dyDescent="0.25">
      <c r="A796" s="18" t="s">
        <v>25</v>
      </c>
      <c r="B796" s="57">
        <v>5.4861111111111109E-3</v>
      </c>
      <c r="C796" s="58">
        <v>5</v>
      </c>
      <c r="D796" s="18" t="s">
        <v>1808</v>
      </c>
      <c r="E796" s="18" t="s">
        <v>1809</v>
      </c>
      <c r="F796" s="18" t="s">
        <v>1810</v>
      </c>
      <c r="G796" s="59">
        <v>55.45</v>
      </c>
      <c r="H796" s="59">
        <v>277.25</v>
      </c>
      <c r="I796" s="18" t="s">
        <v>150</v>
      </c>
      <c r="J796" s="18" t="s">
        <v>115</v>
      </c>
      <c r="K796" s="18" t="s">
        <v>2536</v>
      </c>
      <c r="L796" s="30" t="s">
        <v>1612</v>
      </c>
    </row>
    <row r="797" spans="1:12" hidden="1" x14ac:dyDescent="0.25">
      <c r="A797" s="18" t="s">
        <v>25</v>
      </c>
      <c r="B797" s="57">
        <v>1.3449074074074073E-2</v>
      </c>
      <c r="C797" s="58">
        <v>1</v>
      </c>
      <c r="D797" s="18" t="s">
        <v>1846</v>
      </c>
      <c r="E797" s="18" t="s">
        <v>1813</v>
      </c>
      <c r="F797" s="18" t="s">
        <v>1810</v>
      </c>
      <c r="G797" s="59">
        <v>1502.31</v>
      </c>
      <c r="H797" s="59">
        <v>1502.31</v>
      </c>
      <c r="I797" s="18" t="s">
        <v>152</v>
      </c>
      <c r="J797" s="18" t="s">
        <v>152</v>
      </c>
      <c r="K797" s="18" t="s">
        <v>2536</v>
      </c>
      <c r="L797" s="30" t="s">
        <v>1612</v>
      </c>
    </row>
    <row r="798" spans="1:12" hidden="1" x14ac:dyDescent="0.25">
      <c r="A798" s="18" t="s">
        <v>25</v>
      </c>
      <c r="B798" s="57">
        <v>5.2083333333333333E-4</v>
      </c>
      <c r="C798" s="58">
        <v>1</v>
      </c>
      <c r="D798" s="18" t="s">
        <v>2537</v>
      </c>
      <c r="E798" s="18" t="s">
        <v>1893</v>
      </c>
      <c r="F798" s="18" t="s">
        <v>1810</v>
      </c>
      <c r="G798" s="59">
        <v>9.99</v>
      </c>
      <c r="H798" s="59">
        <v>9.99</v>
      </c>
      <c r="I798" s="18" t="s">
        <v>65</v>
      </c>
      <c r="J798" s="18" t="s">
        <v>1591</v>
      </c>
      <c r="K798" s="18" t="s">
        <v>2536</v>
      </c>
      <c r="L798" s="30" t="s">
        <v>1612</v>
      </c>
    </row>
    <row r="799" spans="1:12" hidden="1" x14ac:dyDescent="0.25">
      <c r="A799" s="18" t="s">
        <v>25</v>
      </c>
      <c r="B799" s="57">
        <v>4.9768518518518521E-4</v>
      </c>
      <c r="C799" s="58">
        <v>1</v>
      </c>
      <c r="D799" s="18" t="s">
        <v>2538</v>
      </c>
      <c r="E799" s="18" t="s">
        <v>1893</v>
      </c>
      <c r="F799" s="18" t="s">
        <v>1810</v>
      </c>
      <c r="G799" s="59">
        <v>9.99</v>
      </c>
      <c r="H799" s="59">
        <v>9.99</v>
      </c>
      <c r="I799" s="18" t="s">
        <v>65</v>
      </c>
      <c r="J799" s="18" t="s">
        <v>1591</v>
      </c>
      <c r="K799" s="18" t="s">
        <v>2536</v>
      </c>
      <c r="L799" s="30" t="s">
        <v>1612</v>
      </c>
    </row>
    <row r="800" spans="1:12" hidden="1" x14ac:dyDescent="0.25">
      <c r="A800" s="18" t="s">
        <v>25</v>
      </c>
      <c r="B800" s="57">
        <v>5.9953703703703705E-3</v>
      </c>
      <c r="C800" s="58">
        <v>4</v>
      </c>
      <c r="D800" s="18" t="s">
        <v>2033</v>
      </c>
      <c r="E800" s="18" t="s">
        <v>1962</v>
      </c>
      <c r="F800" s="18" t="s">
        <v>1810</v>
      </c>
      <c r="G800" s="59">
        <v>252.68</v>
      </c>
      <c r="H800" s="59">
        <v>1010.72</v>
      </c>
      <c r="I800" s="18" t="s">
        <v>511</v>
      </c>
      <c r="J800" s="18" t="s">
        <v>512</v>
      </c>
      <c r="K800" s="18" t="s">
        <v>2539</v>
      </c>
      <c r="L800" s="30" t="s">
        <v>1612</v>
      </c>
    </row>
    <row r="801" spans="1:12" hidden="1" x14ac:dyDescent="0.25">
      <c r="A801" s="18" t="s">
        <v>25</v>
      </c>
      <c r="B801" s="57">
        <v>1.1111111111111111E-3</v>
      </c>
      <c r="C801" s="58">
        <v>2</v>
      </c>
      <c r="D801" s="18" t="s">
        <v>2034</v>
      </c>
      <c r="E801" s="18" t="s">
        <v>1897</v>
      </c>
      <c r="F801" s="18" t="s">
        <v>1810</v>
      </c>
      <c r="G801" s="59">
        <v>10.71</v>
      </c>
      <c r="H801" s="59">
        <v>21.42</v>
      </c>
      <c r="I801" s="18" t="s">
        <v>1665</v>
      </c>
      <c r="J801" s="18" t="s">
        <v>512</v>
      </c>
      <c r="K801" s="18" t="s">
        <v>2539</v>
      </c>
      <c r="L801" s="30" t="s">
        <v>1612</v>
      </c>
    </row>
    <row r="802" spans="1:12" hidden="1" x14ac:dyDescent="0.25">
      <c r="A802" s="18" t="s">
        <v>25</v>
      </c>
      <c r="B802" s="57">
        <v>5.6249999999999998E-3</v>
      </c>
      <c r="C802" s="58">
        <v>7</v>
      </c>
      <c r="D802" s="18" t="s">
        <v>1900</v>
      </c>
      <c r="E802" s="18" t="s">
        <v>1899</v>
      </c>
      <c r="F802" s="18" t="s">
        <v>1810</v>
      </c>
      <c r="G802" s="59">
        <v>53.6</v>
      </c>
      <c r="H802" s="59">
        <v>375.2</v>
      </c>
      <c r="I802" s="18" t="s">
        <v>1672</v>
      </c>
      <c r="J802" s="18" t="s">
        <v>115</v>
      </c>
      <c r="K802" s="18" t="s">
        <v>2539</v>
      </c>
      <c r="L802" s="30" t="s">
        <v>1612</v>
      </c>
    </row>
    <row r="803" spans="1:12" hidden="1" x14ac:dyDescent="0.25">
      <c r="A803" s="18" t="s">
        <v>25</v>
      </c>
      <c r="B803" s="57">
        <v>3.3449074074074071E-3</v>
      </c>
      <c r="C803" s="58">
        <v>2</v>
      </c>
      <c r="D803" s="18" t="s">
        <v>1961</v>
      </c>
      <c r="E803" s="18" t="s">
        <v>1962</v>
      </c>
      <c r="F803" s="18" t="s">
        <v>1810</v>
      </c>
      <c r="G803" s="59">
        <v>252.68</v>
      </c>
      <c r="H803" s="59">
        <v>505.36</v>
      </c>
      <c r="I803" s="18" t="s">
        <v>511</v>
      </c>
      <c r="J803" s="18" t="s">
        <v>512</v>
      </c>
      <c r="K803" s="18" t="s">
        <v>2539</v>
      </c>
      <c r="L803" s="30" t="s">
        <v>1612</v>
      </c>
    </row>
    <row r="804" spans="1:12" hidden="1" x14ac:dyDescent="0.25">
      <c r="A804" s="18" t="s">
        <v>25</v>
      </c>
      <c r="B804" s="57">
        <v>2.0949074074074073E-3</v>
      </c>
      <c r="C804" s="58">
        <v>2</v>
      </c>
      <c r="D804" s="18" t="s">
        <v>1808</v>
      </c>
      <c r="E804" s="18" t="s">
        <v>1809</v>
      </c>
      <c r="F804" s="18" t="s">
        <v>1810</v>
      </c>
      <c r="G804" s="59">
        <v>55.45</v>
      </c>
      <c r="H804" s="59">
        <v>110.9</v>
      </c>
      <c r="I804" s="18" t="s">
        <v>150</v>
      </c>
      <c r="J804" s="18" t="s">
        <v>115</v>
      </c>
      <c r="K804" s="18" t="s">
        <v>2540</v>
      </c>
      <c r="L804" s="30" t="s">
        <v>1612</v>
      </c>
    </row>
    <row r="805" spans="1:12" hidden="1" x14ac:dyDescent="0.25">
      <c r="A805" s="18" t="s">
        <v>25</v>
      </c>
      <c r="B805" s="57">
        <v>1.4583333333333332E-3</v>
      </c>
      <c r="C805" s="58">
        <v>1</v>
      </c>
      <c r="D805" s="18" t="s">
        <v>2541</v>
      </c>
      <c r="E805" s="18" t="s">
        <v>2542</v>
      </c>
      <c r="F805" s="18" t="s">
        <v>1810</v>
      </c>
      <c r="G805" s="59">
        <v>248.93</v>
      </c>
      <c r="H805" s="59">
        <v>248.93</v>
      </c>
      <c r="I805" s="18" t="s">
        <v>367</v>
      </c>
      <c r="J805" s="18" t="s">
        <v>512</v>
      </c>
      <c r="K805" s="18" t="s">
        <v>2540</v>
      </c>
      <c r="L805" s="30" t="s">
        <v>1612</v>
      </c>
    </row>
    <row r="806" spans="1:12" hidden="1" x14ac:dyDescent="0.25">
      <c r="A806" s="18" t="s">
        <v>25</v>
      </c>
      <c r="B806" s="57">
        <v>1.4583333333333332E-3</v>
      </c>
      <c r="C806" s="58">
        <v>1</v>
      </c>
      <c r="D806" s="18" t="s">
        <v>2543</v>
      </c>
      <c r="E806" s="18" t="s">
        <v>2544</v>
      </c>
      <c r="F806" s="18" t="s">
        <v>1810</v>
      </c>
      <c r="G806" s="59">
        <v>249.11</v>
      </c>
      <c r="H806" s="59">
        <v>249.11</v>
      </c>
      <c r="I806" s="18" t="s">
        <v>367</v>
      </c>
      <c r="J806" s="18" t="s">
        <v>512</v>
      </c>
      <c r="K806" s="18" t="s">
        <v>2540</v>
      </c>
      <c r="L806" s="30" t="s">
        <v>1612</v>
      </c>
    </row>
    <row r="807" spans="1:12" hidden="1" x14ac:dyDescent="0.25">
      <c r="A807" s="18" t="s">
        <v>25</v>
      </c>
      <c r="B807" s="57">
        <v>1.4120370370370369E-3</v>
      </c>
      <c r="C807" s="58">
        <v>1</v>
      </c>
      <c r="D807" s="18" t="s">
        <v>2545</v>
      </c>
      <c r="E807" s="18" t="s">
        <v>1809</v>
      </c>
      <c r="F807" s="18" t="s">
        <v>1810</v>
      </c>
      <c r="G807" s="59">
        <v>49.42</v>
      </c>
      <c r="H807" s="59">
        <v>49.42</v>
      </c>
      <c r="I807" s="18" t="s">
        <v>65</v>
      </c>
      <c r="J807" s="18" t="s">
        <v>66</v>
      </c>
      <c r="K807" s="18" t="s">
        <v>2540</v>
      </c>
      <c r="L807" s="30" t="s">
        <v>1612</v>
      </c>
    </row>
    <row r="808" spans="1:12" hidden="1" x14ac:dyDescent="0.25">
      <c r="A808" s="18" t="s">
        <v>25</v>
      </c>
      <c r="B808" s="57">
        <v>3.4259259259259256E-3</v>
      </c>
      <c r="C808" s="58">
        <v>2</v>
      </c>
      <c r="D808" s="18" t="s">
        <v>1961</v>
      </c>
      <c r="E808" s="18" t="s">
        <v>1962</v>
      </c>
      <c r="F808" s="18" t="s">
        <v>1810</v>
      </c>
      <c r="G808" s="59">
        <v>252.68</v>
      </c>
      <c r="H808" s="59">
        <v>505.36</v>
      </c>
      <c r="I808" s="18" t="s">
        <v>511</v>
      </c>
      <c r="J808" s="18" t="s">
        <v>512</v>
      </c>
      <c r="K808" s="18" t="s">
        <v>2540</v>
      </c>
      <c r="L808" s="30" t="s">
        <v>1612</v>
      </c>
    </row>
    <row r="809" spans="1:12" hidden="1" x14ac:dyDescent="0.25">
      <c r="A809" s="18" t="s">
        <v>25</v>
      </c>
      <c r="B809" s="57">
        <v>1.4814814814814814E-3</v>
      </c>
      <c r="C809" s="58">
        <v>1</v>
      </c>
      <c r="D809" s="18" t="s">
        <v>2546</v>
      </c>
      <c r="E809" s="18" t="s">
        <v>2547</v>
      </c>
      <c r="F809" s="18" t="s">
        <v>1810</v>
      </c>
      <c r="G809" s="59">
        <v>257.08</v>
      </c>
      <c r="H809" s="59">
        <v>257.08</v>
      </c>
      <c r="I809" s="18" t="s">
        <v>367</v>
      </c>
      <c r="J809" s="18" t="s">
        <v>1598</v>
      </c>
      <c r="K809" s="18" t="s">
        <v>2540</v>
      </c>
      <c r="L809" s="30" t="s">
        <v>1612</v>
      </c>
    </row>
    <row r="810" spans="1:12" hidden="1" x14ac:dyDescent="0.25">
      <c r="A810" s="18" t="s">
        <v>25</v>
      </c>
      <c r="B810" s="57">
        <v>1.4814814814814814E-3</v>
      </c>
      <c r="C810" s="58">
        <v>1</v>
      </c>
      <c r="D810" s="18" t="s">
        <v>2548</v>
      </c>
      <c r="E810" s="18" t="s">
        <v>2547</v>
      </c>
      <c r="F810" s="18" t="s">
        <v>1810</v>
      </c>
      <c r="G810" s="59">
        <v>257.06</v>
      </c>
      <c r="H810" s="59">
        <v>257.06</v>
      </c>
      <c r="I810" s="18" t="s">
        <v>367</v>
      </c>
      <c r="J810" s="18" t="s">
        <v>1599</v>
      </c>
      <c r="K810" s="18" t="s">
        <v>2540</v>
      </c>
      <c r="L810" s="30" t="s">
        <v>1612</v>
      </c>
    </row>
    <row r="811" spans="1:12" hidden="1" x14ac:dyDescent="0.25">
      <c r="A811" s="18" t="s">
        <v>25</v>
      </c>
      <c r="B811" s="57">
        <v>9.6064814814814808E-4</v>
      </c>
      <c r="C811" s="58">
        <v>1</v>
      </c>
      <c r="D811" s="18" t="s">
        <v>1963</v>
      </c>
      <c r="E811" s="18" t="s">
        <v>1964</v>
      </c>
      <c r="F811" s="18" t="s">
        <v>1810</v>
      </c>
      <c r="G811" s="59">
        <v>39.83</v>
      </c>
      <c r="H811" s="59">
        <v>39.83</v>
      </c>
      <c r="I811" s="18" t="s">
        <v>65</v>
      </c>
      <c r="J811" s="18" t="s">
        <v>66</v>
      </c>
      <c r="K811" s="18" t="s">
        <v>2540</v>
      </c>
      <c r="L811" s="30" t="s">
        <v>1612</v>
      </c>
    </row>
    <row r="812" spans="1:12" hidden="1" x14ac:dyDescent="0.25">
      <c r="A812" s="18" t="s">
        <v>25</v>
      </c>
      <c r="B812" s="57">
        <v>1.9212962962962962E-3</v>
      </c>
      <c r="C812" s="58">
        <v>1</v>
      </c>
      <c r="D812" s="18" t="s">
        <v>1965</v>
      </c>
      <c r="E812" s="18" t="s">
        <v>1966</v>
      </c>
      <c r="F812" s="18" t="s">
        <v>1810</v>
      </c>
      <c r="G812" s="59">
        <v>128.51</v>
      </c>
      <c r="H812" s="59">
        <v>128.51</v>
      </c>
      <c r="I812" s="18" t="s">
        <v>152</v>
      </c>
      <c r="J812" s="18" t="s">
        <v>152</v>
      </c>
      <c r="K812" s="18" t="s">
        <v>2540</v>
      </c>
      <c r="L812" s="30" t="s">
        <v>1612</v>
      </c>
    </row>
    <row r="813" spans="1:12" hidden="1" x14ac:dyDescent="0.25">
      <c r="A813" s="18" t="s">
        <v>25</v>
      </c>
      <c r="B813" s="57">
        <v>3.3912037037037036E-3</v>
      </c>
      <c r="C813" s="58">
        <v>9</v>
      </c>
      <c r="D813" s="18" t="s">
        <v>1977</v>
      </c>
      <c r="E813" s="18" t="s">
        <v>1978</v>
      </c>
      <c r="F813" s="18" t="s">
        <v>1979</v>
      </c>
      <c r="G813" s="59">
        <v>25.64</v>
      </c>
      <c r="H813" s="59">
        <v>230.76</v>
      </c>
      <c r="I813" s="18" t="s">
        <v>1672</v>
      </c>
      <c r="J813" s="18" t="s">
        <v>498</v>
      </c>
      <c r="K813" s="18" t="s">
        <v>2549</v>
      </c>
      <c r="L813" s="30" t="s">
        <v>1612</v>
      </c>
    </row>
    <row r="814" spans="1:12" hidden="1" x14ac:dyDescent="0.25">
      <c r="A814" s="18" t="s">
        <v>25</v>
      </c>
      <c r="B814" s="57">
        <v>1.4826388888888889E-2</v>
      </c>
      <c r="C814" s="58">
        <v>29</v>
      </c>
      <c r="D814" s="18" t="s">
        <v>1981</v>
      </c>
      <c r="E814" s="18" t="s">
        <v>1978</v>
      </c>
      <c r="F814" s="18" t="s">
        <v>1979</v>
      </c>
      <c r="G814" s="59">
        <v>25.64</v>
      </c>
      <c r="H814" s="59">
        <v>743.56</v>
      </c>
      <c r="I814" s="18" t="s">
        <v>1665</v>
      </c>
      <c r="J814" s="18" t="s">
        <v>498</v>
      </c>
      <c r="K814" s="18" t="s">
        <v>2549</v>
      </c>
      <c r="L814" s="30" t="s">
        <v>1612</v>
      </c>
    </row>
    <row r="815" spans="1:12" hidden="1" x14ac:dyDescent="0.25">
      <c r="A815" s="18" t="s">
        <v>25</v>
      </c>
      <c r="B815" s="57">
        <v>1.0185185185185184E-3</v>
      </c>
      <c r="C815" s="58">
        <v>3</v>
      </c>
      <c r="D815" s="18" t="s">
        <v>1990</v>
      </c>
      <c r="E815" s="18" t="s">
        <v>1991</v>
      </c>
      <c r="F815" s="18" t="s">
        <v>1979</v>
      </c>
      <c r="G815" s="59">
        <v>4.57</v>
      </c>
      <c r="H815" s="59">
        <v>13.71</v>
      </c>
      <c r="I815" s="18" t="s">
        <v>65</v>
      </c>
      <c r="J815" s="18" t="s">
        <v>65</v>
      </c>
      <c r="K815" s="18" t="s">
        <v>2549</v>
      </c>
      <c r="L815" s="30" t="s">
        <v>1612</v>
      </c>
    </row>
    <row r="816" spans="1:12" hidden="1" x14ac:dyDescent="0.25">
      <c r="A816" s="18" t="s">
        <v>25</v>
      </c>
      <c r="B816" s="57">
        <v>3.3449074074074071E-3</v>
      </c>
      <c r="C816" s="58">
        <v>6</v>
      </c>
      <c r="D816" s="18" t="s">
        <v>1992</v>
      </c>
      <c r="E816" s="18" t="s">
        <v>1993</v>
      </c>
      <c r="F816" s="18" t="s">
        <v>1979</v>
      </c>
      <c r="G816" s="59">
        <v>32.619999999999997</v>
      </c>
      <c r="H816" s="59">
        <v>195.72</v>
      </c>
      <c r="I816" s="18" t="s">
        <v>65</v>
      </c>
      <c r="J816" s="18" t="s">
        <v>1590</v>
      </c>
      <c r="K816" s="18" t="s">
        <v>2549</v>
      </c>
      <c r="L816" s="30" t="s">
        <v>1612</v>
      </c>
    </row>
    <row r="817" spans="1:12" hidden="1" x14ac:dyDescent="0.25">
      <c r="A817" s="18" t="s">
        <v>25</v>
      </c>
      <c r="B817" s="57">
        <v>3.1249999999999997E-3</v>
      </c>
      <c r="C817" s="58">
        <v>4</v>
      </c>
      <c r="D817" s="18" t="s">
        <v>2014</v>
      </c>
      <c r="E817" s="18" t="s">
        <v>2015</v>
      </c>
      <c r="F817" s="18" t="s">
        <v>1979</v>
      </c>
      <c r="G817" s="59">
        <v>30.07</v>
      </c>
      <c r="H817" s="59">
        <v>120.28</v>
      </c>
      <c r="I817" s="18" t="s">
        <v>65</v>
      </c>
      <c r="J817" s="18" t="s">
        <v>368</v>
      </c>
      <c r="K817" s="18" t="s">
        <v>2549</v>
      </c>
      <c r="L817" s="30" t="s">
        <v>1612</v>
      </c>
    </row>
    <row r="818" spans="1:12" x14ac:dyDescent="0.25">
      <c r="A818" s="18" t="s">
        <v>25</v>
      </c>
      <c r="B818" s="57">
        <v>6.9212962962962961E-3</v>
      </c>
      <c r="C818" s="58">
        <v>1</v>
      </c>
      <c r="D818" s="18" t="s">
        <v>551</v>
      </c>
      <c r="E818" s="18" t="s">
        <v>119</v>
      </c>
      <c r="F818" s="18" t="s">
        <v>1621</v>
      </c>
      <c r="G818" s="59">
        <v>1401.7</v>
      </c>
      <c r="H818" s="59">
        <v>1401.7</v>
      </c>
      <c r="I818" s="18" t="s">
        <v>550</v>
      </c>
      <c r="J818" s="18" t="s">
        <v>512</v>
      </c>
      <c r="K818" s="18" t="s">
        <v>2550</v>
      </c>
      <c r="L818" s="30" t="s">
        <v>1612</v>
      </c>
    </row>
    <row r="819" spans="1:12" x14ac:dyDescent="0.25">
      <c r="A819" s="18" t="s">
        <v>25</v>
      </c>
      <c r="B819" s="57">
        <v>6.9212962962962961E-3</v>
      </c>
      <c r="C819" s="58">
        <v>1</v>
      </c>
      <c r="D819" s="18" t="s">
        <v>551</v>
      </c>
      <c r="E819" s="18" t="s">
        <v>119</v>
      </c>
      <c r="F819" s="18" t="s">
        <v>1621</v>
      </c>
      <c r="G819" s="59">
        <v>1401.7</v>
      </c>
      <c r="H819" s="59">
        <v>1401.7</v>
      </c>
      <c r="I819" s="18" t="s">
        <v>550</v>
      </c>
      <c r="J819" s="18" t="s">
        <v>512</v>
      </c>
      <c r="K819" s="18" t="s">
        <v>2551</v>
      </c>
      <c r="L819" s="30" t="s">
        <v>1612</v>
      </c>
    </row>
    <row r="820" spans="1:12" x14ac:dyDescent="0.25">
      <c r="A820" s="18" t="s">
        <v>25</v>
      </c>
      <c r="B820" s="57">
        <v>7.8819444444444449E-3</v>
      </c>
      <c r="C820" s="58">
        <v>1</v>
      </c>
      <c r="D820" s="18" t="s">
        <v>92</v>
      </c>
      <c r="E820" s="18" t="s">
        <v>116</v>
      </c>
      <c r="F820" s="18" t="s">
        <v>1621</v>
      </c>
      <c r="G820" s="59">
        <v>1331.42</v>
      </c>
      <c r="H820" s="59">
        <v>1331.42</v>
      </c>
      <c r="I820" s="18" t="s">
        <v>114</v>
      </c>
      <c r="J820" s="18" t="s">
        <v>115</v>
      </c>
      <c r="K820" s="18" t="s">
        <v>2552</v>
      </c>
      <c r="L820" s="30" t="s">
        <v>1612</v>
      </c>
    </row>
    <row r="821" spans="1:12" x14ac:dyDescent="0.25">
      <c r="A821" s="18" t="s">
        <v>25</v>
      </c>
      <c r="B821" s="57">
        <v>6.9212962962962961E-3</v>
      </c>
      <c r="C821" s="58">
        <v>1</v>
      </c>
      <c r="D821" s="18" t="s">
        <v>93</v>
      </c>
      <c r="E821" s="18" t="s">
        <v>119</v>
      </c>
      <c r="F821" s="18" t="s">
        <v>1621</v>
      </c>
      <c r="G821" s="59">
        <v>1401.7</v>
      </c>
      <c r="H821" s="59">
        <v>1401.7</v>
      </c>
      <c r="I821" s="18" t="s">
        <v>114</v>
      </c>
      <c r="J821" s="18" t="s">
        <v>115</v>
      </c>
      <c r="K821" s="18" t="s">
        <v>2553</v>
      </c>
      <c r="L821" s="30" t="s">
        <v>1612</v>
      </c>
    </row>
    <row r="822" spans="1:12" x14ac:dyDescent="0.25">
      <c r="A822" s="18" t="s">
        <v>25</v>
      </c>
      <c r="B822" s="57">
        <v>8.2638888888888883E-3</v>
      </c>
      <c r="C822" s="58">
        <v>1</v>
      </c>
      <c r="D822" s="18" t="s">
        <v>94</v>
      </c>
      <c r="E822" s="18" t="s">
        <v>119</v>
      </c>
      <c r="F822" s="18" t="s">
        <v>1621</v>
      </c>
      <c r="G822" s="59">
        <v>1387.73</v>
      </c>
      <c r="H822" s="59">
        <v>1387.73</v>
      </c>
      <c r="I822" s="18" t="s">
        <v>114</v>
      </c>
      <c r="J822" s="18" t="s">
        <v>512</v>
      </c>
      <c r="K822" s="18" t="s">
        <v>2554</v>
      </c>
      <c r="L822" s="30" t="s">
        <v>1612</v>
      </c>
    </row>
    <row r="823" spans="1:12" x14ac:dyDescent="0.25">
      <c r="A823" s="18" t="s">
        <v>25</v>
      </c>
      <c r="B823" s="57">
        <v>6.8402777777777776E-3</v>
      </c>
      <c r="C823" s="58">
        <v>1</v>
      </c>
      <c r="D823" s="18" t="s">
        <v>559</v>
      </c>
      <c r="E823" s="18" t="s">
        <v>560</v>
      </c>
      <c r="F823" s="18" t="s">
        <v>1621</v>
      </c>
      <c r="G823" s="59">
        <v>1270.6500000000001</v>
      </c>
      <c r="H823" s="59">
        <v>1270.6500000000001</v>
      </c>
      <c r="I823" s="18" t="s">
        <v>114</v>
      </c>
      <c r="J823" s="18" t="s">
        <v>498</v>
      </c>
      <c r="K823" s="18" t="s">
        <v>2555</v>
      </c>
      <c r="L823" s="30" t="s">
        <v>1612</v>
      </c>
    </row>
    <row r="824" spans="1:12" x14ac:dyDescent="0.25">
      <c r="A824" s="18" t="s">
        <v>25</v>
      </c>
      <c r="B824" s="57">
        <v>8.2291666666666659E-3</v>
      </c>
      <c r="C824" s="58">
        <v>1</v>
      </c>
      <c r="D824" s="18" t="s">
        <v>95</v>
      </c>
      <c r="E824" s="18" t="s">
        <v>119</v>
      </c>
      <c r="F824" s="18" t="s">
        <v>1621</v>
      </c>
      <c r="G824" s="59">
        <v>1387.58</v>
      </c>
      <c r="H824" s="59">
        <v>1387.58</v>
      </c>
      <c r="I824" s="18" t="s">
        <v>150</v>
      </c>
      <c r="J824" s="18" t="s">
        <v>512</v>
      </c>
      <c r="K824" s="18" t="s">
        <v>2556</v>
      </c>
      <c r="L824" s="30" t="s">
        <v>1612</v>
      </c>
    </row>
    <row r="825" spans="1:12" x14ac:dyDescent="0.25">
      <c r="A825" s="18" t="s">
        <v>25</v>
      </c>
      <c r="B825" s="57">
        <v>6.9212962962962961E-3</v>
      </c>
      <c r="C825" s="58">
        <v>1</v>
      </c>
      <c r="D825" s="18" t="s">
        <v>96</v>
      </c>
      <c r="E825" s="18" t="s">
        <v>119</v>
      </c>
      <c r="F825" s="18" t="s">
        <v>1621</v>
      </c>
      <c r="G825" s="59">
        <v>1401.7</v>
      </c>
      <c r="H825" s="59">
        <v>1401.7</v>
      </c>
      <c r="I825" s="18" t="s">
        <v>150</v>
      </c>
      <c r="J825" s="18" t="s">
        <v>115</v>
      </c>
      <c r="K825" s="18" t="s">
        <v>2557</v>
      </c>
      <c r="L825" s="30" t="s">
        <v>1612</v>
      </c>
    </row>
    <row r="826" spans="1:12" x14ac:dyDescent="0.25">
      <c r="A826" s="18" t="s">
        <v>25</v>
      </c>
      <c r="B826" s="57">
        <v>7.951388888888888E-3</v>
      </c>
      <c r="C826" s="58">
        <v>1</v>
      </c>
      <c r="D826" s="18" t="s">
        <v>97</v>
      </c>
      <c r="E826" s="18" t="s">
        <v>116</v>
      </c>
      <c r="F826" s="18" t="s">
        <v>1621</v>
      </c>
      <c r="G826" s="59">
        <v>1331.34</v>
      </c>
      <c r="H826" s="59">
        <v>1331.34</v>
      </c>
      <c r="I826" s="18" t="s">
        <v>133</v>
      </c>
      <c r="J826" s="18" t="s">
        <v>115</v>
      </c>
      <c r="K826" s="18" t="s">
        <v>2558</v>
      </c>
      <c r="L826" s="30" t="s">
        <v>1612</v>
      </c>
    </row>
    <row r="827" spans="1:12" hidden="1" x14ac:dyDescent="0.25">
      <c r="A827" s="18" t="s">
        <v>25</v>
      </c>
      <c r="B827" s="57">
        <v>6.8402777777777776E-3</v>
      </c>
      <c r="C827" s="58">
        <v>1</v>
      </c>
      <c r="D827" s="18" t="s">
        <v>562</v>
      </c>
      <c r="E827" s="18" t="s">
        <v>505</v>
      </c>
      <c r="F827" s="18" t="s">
        <v>1621</v>
      </c>
      <c r="G827" s="59">
        <v>1270.6500000000001</v>
      </c>
      <c r="H827" s="59">
        <v>1270.6500000000001</v>
      </c>
      <c r="I827" s="18" t="s">
        <v>150</v>
      </c>
      <c r="J827" s="18" t="s">
        <v>498</v>
      </c>
      <c r="K827" s="18" t="s">
        <v>2559</v>
      </c>
      <c r="L827" s="30" t="s">
        <v>1612</v>
      </c>
    </row>
    <row r="828" spans="1:12" x14ac:dyDescent="0.25">
      <c r="A828" s="18" t="s">
        <v>25</v>
      </c>
      <c r="B828" s="57">
        <v>6.875E-3</v>
      </c>
      <c r="C828" s="58">
        <v>1</v>
      </c>
      <c r="D828" s="18" t="s">
        <v>564</v>
      </c>
      <c r="E828" s="18" t="s">
        <v>500</v>
      </c>
      <c r="F828" s="18" t="s">
        <v>1621</v>
      </c>
      <c r="G828" s="59">
        <v>1326.34</v>
      </c>
      <c r="H828" s="59">
        <v>1326.34</v>
      </c>
      <c r="I828" s="18" t="s">
        <v>150</v>
      </c>
      <c r="J828" s="18" t="s">
        <v>498</v>
      </c>
      <c r="K828" s="18" t="s">
        <v>2560</v>
      </c>
      <c r="L828" s="30" t="s">
        <v>1612</v>
      </c>
    </row>
    <row r="829" spans="1:12" hidden="1" x14ac:dyDescent="0.25">
      <c r="A829" s="18" t="s">
        <v>25</v>
      </c>
      <c r="B829" s="57">
        <v>6.2615740740740739E-3</v>
      </c>
      <c r="C829" s="58">
        <v>1</v>
      </c>
      <c r="D829" s="18" t="s">
        <v>2561</v>
      </c>
      <c r="E829" s="18" t="s">
        <v>2198</v>
      </c>
      <c r="F829" s="18" t="s">
        <v>1621</v>
      </c>
      <c r="G829" s="59">
        <v>1281.3599999999999</v>
      </c>
      <c r="H829" s="59">
        <v>1281.3599999999999</v>
      </c>
      <c r="I829" s="18" t="s">
        <v>1665</v>
      </c>
      <c r="J829" s="18" t="s">
        <v>512</v>
      </c>
      <c r="K829" s="18" t="s">
        <v>2562</v>
      </c>
      <c r="L829" s="30" t="s">
        <v>1612</v>
      </c>
    </row>
    <row r="830" spans="1:12" hidden="1" x14ac:dyDescent="0.25">
      <c r="A830" s="18" t="s">
        <v>25</v>
      </c>
      <c r="B830" s="57">
        <v>1.2384259259259258E-3</v>
      </c>
      <c r="C830" s="58">
        <v>2</v>
      </c>
      <c r="D830" s="18" t="s">
        <v>2046</v>
      </c>
      <c r="E830" s="18" t="s">
        <v>2047</v>
      </c>
      <c r="F830" s="18" t="s">
        <v>1621</v>
      </c>
      <c r="G830" s="59">
        <v>8.7799999999999994</v>
      </c>
      <c r="H830" s="59">
        <v>17.559999999999999</v>
      </c>
      <c r="I830" s="18" t="s">
        <v>367</v>
      </c>
      <c r="J830" s="18" t="s">
        <v>1593</v>
      </c>
      <c r="K830" s="18" t="s">
        <v>2562</v>
      </c>
      <c r="L830" s="30" t="s">
        <v>1612</v>
      </c>
    </row>
    <row r="831" spans="1:12" hidden="1" x14ac:dyDescent="0.25">
      <c r="A831" s="18" t="s">
        <v>25</v>
      </c>
      <c r="B831" s="57">
        <v>1.2268518518518518E-3</v>
      </c>
      <c r="C831" s="58">
        <v>2</v>
      </c>
      <c r="D831" s="18" t="s">
        <v>2218</v>
      </c>
      <c r="E831" s="18" t="s">
        <v>2219</v>
      </c>
      <c r="F831" s="18" t="s">
        <v>1621</v>
      </c>
      <c r="G831" s="59">
        <v>6.89</v>
      </c>
      <c r="H831" s="59">
        <v>13.78</v>
      </c>
      <c r="I831" s="18" t="s">
        <v>65</v>
      </c>
      <c r="J831" s="18" t="s">
        <v>65</v>
      </c>
      <c r="K831" s="18" t="s">
        <v>2562</v>
      </c>
      <c r="L831" s="30" t="s">
        <v>1612</v>
      </c>
    </row>
    <row r="832" spans="1:12" hidden="1" x14ac:dyDescent="0.25">
      <c r="A832" s="18" t="s">
        <v>25</v>
      </c>
      <c r="B832" s="57">
        <v>1.423611111111111E-3</v>
      </c>
      <c r="C832" s="58">
        <v>1</v>
      </c>
      <c r="D832" s="18" t="s">
        <v>48</v>
      </c>
      <c r="E832" s="18" t="s">
        <v>1119</v>
      </c>
      <c r="F832" s="18" t="s">
        <v>1621</v>
      </c>
      <c r="G832" s="59">
        <v>59.87</v>
      </c>
      <c r="H832" s="59">
        <v>59.87</v>
      </c>
      <c r="I832" s="18" t="s">
        <v>2195</v>
      </c>
      <c r="J832" s="18" t="s">
        <v>44</v>
      </c>
      <c r="K832" s="18" t="s">
        <v>2562</v>
      </c>
      <c r="L832" s="30" t="s">
        <v>1612</v>
      </c>
    </row>
    <row r="833" spans="1:12" x14ac:dyDescent="0.25">
      <c r="A833" s="18" t="s">
        <v>25</v>
      </c>
      <c r="B833" s="57">
        <v>5.9606481481481481E-3</v>
      </c>
      <c r="C833" s="58">
        <v>1</v>
      </c>
      <c r="D833" s="18" t="s">
        <v>2563</v>
      </c>
      <c r="E833" s="18" t="s">
        <v>2091</v>
      </c>
      <c r="F833" s="18" t="s">
        <v>1621</v>
      </c>
      <c r="G833" s="59">
        <v>1354.97</v>
      </c>
      <c r="H833" s="59">
        <v>1354.97</v>
      </c>
      <c r="I833" s="18" t="s">
        <v>1665</v>
      </c>
      <c r="J833" s="18" t="s">
        <v>115</v>
      </c>
      <c r="K833" s="18" t="s">
        <v>2564</v>
      </c>
      <c r="L833" s="30" t="s">
        <v>1612</v>
      </c>
    </row>
    <row r="834" spans="1:12" hidden="1" x14ac:dyDescent="0.25">
      <c r="A834" s="18" t="s">
        <v>25</v>
      </c>
      <c r="B834" s="57">
        <v>1.1921296296296296E-3</v>
      </c>
      <c r="C834" s="58">
        <v>1</v>
      </c>
      <c r="D834" s="18" t="s">
        <v>2203</v>
      </c>
      <c r="E834" s="18" t="s">
        <v>2204</v>
      </c>
      <c r="F834" s="18" t="s">
        <v>1621</v>
      </c>
      <c r="G834" s="59">
        <v>36.56</v>
      </c>
      <c r="H834" s="59">
        <v>36.56</v>
      </c>
      <c r="I834" s="18" t="s">
        <v>367</v>
      </c>
      <c r="J834" s="18" t="s">
        <v>512</v>
      </c>
      <c r="K834" s="18" t="s">
        <v>2564</v>
      </c>
      <c r="L834" s="30" t="s">
        <v>1612</v>
      </c>
    </row>
    <row r="835" spans="1:12" hidden="1" x14ac:dyDescent="0.25">
      <c r="A835" s="18" t="s">
        <v>25</v>
      </c>
      <c r="B835" s="57">
        <v>7.407407407407407E-4</v>
      </c>
      <c r="C835" s="58">
        <v>2</v>
      </c>
      <c r="D835" s="18" t="s">
        <v>2156</v>
      </c>
      <c r="E835" s="18" t="s">
        <v>2157</v>
      </c>
      <c r="F835" s="18" t="s">
        <v>1621</v>
      </c>
      <c r="G835" s="59">
        <v>0.32</v>
      </c>
      <c r="H835" s="59">
        <v>0.64</v>
      </c>
      <c r="I835" s="18" t="s">
        <v>65</v>
      </c>
      <c r="J835" s="18" t="s">
        <v>368</v>
      </c>
      <c r="K835" s="18" t="s">
        <v>2564</v>
      </c>
      <c r="L835" s="30" t="s">
        <v>1612</v>
      </c>
    </row>
    <row r="836" spans="1:12" x14ac:dyDescent="0.25">
      <c r="A836" s="18" t="s">
        <v>25</v>
      </c>
      <c r="B836" s="57">
        <v>6.875E-3</v>
      </c>
      <c r="C836" s="58">
        <v>1</v>
      </c>
      <c r="D836" s="58" t="s">
        <v>566</v>
      </c>
      <c r="E836" s="58" t="s">
        <v>500</v>
      </c>
      <c r="F836" s="18" t="s">
        <v>1621</v>
      </c>
      <c r="G836" s="59">
        <v>1326.34</v>
      </c>
      <c r="H836" s="59">
        <v>1326.34</v>
      </c>
      <c r="I836" s="18" t="s">
        <v>133</v>
      </c>
      <c r="J836" s="22" t="s">
        <v>498</v>
      </c>
      <c r="K836" s="18" t="s">
        <v>2565</v>
      </c>
      <c r="L836" s="30" t="s">
        <v>1612</v>
      </c>
    </row>
    <row r="837" spans="1:12" x14ac:dyDescent="0.25">
      <c r="A837" s="18" t="s">
        <v>25</v>
      </c>
      <c r="B837" s="57">
        <v>8.0787037037037025E-3</v>
      </c>
      <c r="C837" s="58">
        <v>1</v>
      </c>
      <c r="D837" s="58" t="s">
        <v>100</v>
      </c>
      <c r="E837" s="58" t="s">
        <v>119</v>
      </c>
      <c r="F837" s="18" t="s">
        <v>1621</v>
      </c>
      <c r="G837" s="59">
        <v>1387.56</v>
      </c>
      <c r="H837" s="59">
        <v>1387.56</v>
      </c>
      <c r="I837" s="18" t="s">
        <v>147</v>
      </c>
      <c r="J837" s="22" t="s">
        <v>512</v>
      </c>
      <c r="K837" s="18" t="s">
        <v>2566</v>
      </c>
      <c r="L837" s="30" t="s">
        <v>1612</v>
      </c>
    </row>
    <row r="838" spans="1:12" x14ac:dyDescent="0.25">
      <c r="A838" s="18" t="s">
        <v>25</v>
      </c>
      <c r="B838" s="57">
        <v>7.7546296296296295E-3</v>
      </c>
      <c r="C838" s="58">
        <v>1</v>
      </c>
      <c r="D838" s="58" t="s">
        <v>101</v>
      </c>
      <c r="E838" s="58" t="s">
        <v>116</v>
      </c>
      <c r="F838" s="18" t="s">
        <v>1621</v>
      </c>
      <c r="G838" s="59">
        <v>1331.41</v>
      </c>
      <c r="H838" s="59">
        <v>1331.41</v>
      </c>
      <c r="I838" s="18" t="s">
        <v>147</v>
      </c>
      <c r="J838" s="22" t="s">
        <v>115</v>
      </c>
      <c r="K838" s="18" t="s">
        <v>2567</v>
      </c>
      <c r="L838" s="30" t="s">
        <v>1612</v>
      </c>
    </row>
    <row r="839" spans="1:12" x14ac:dyDescent="0.25">
      <c r="A839" s="18" t="s">
        <v>25</v>
      </c>
      <c r="B839" s="57">
        <v>6.9212962962962961E-3</v>
      </c>
      <c r="C839" s="58">
        <v>1</v>
      </c>
      <c r="D839" s="58" t="s">
        <v>102</v>
      </c>
      <c r="E839" s="58" t="s">
        <v>119</v>
      </c>
      <c r="F839" s="18" t="s">
        <v>1621</v>
      </c>
      <c r="G839" s="59">
        <v>1401.7</v>
      </c>
      <c r="H839" s="59">
        <v>1401.7</v>
      </c>
      <c r="I839" s="18" t="s">
        <v>147</v>
      </c>
      <c r="J839" s="22" t="s">
        <v>115</v>
      </c>
      <c r="K839" s="18" t="s">
        <v>2568</v>
      </c>
      <c r="L839" s="30" t="s">
        <v>1612</v>
      </c>
    </row>
    <row r="840" spans="1:12" hidden="1" x14ac:dyDescent="0.25">
      <c r="A840" s="18" t="s">
        <v>25</v>
      </c>
      <c r="B840" s="57">
        <v>6.8402777777777776E-3</v>
      </c>
      <c r="C840" s="58">
        <v>1</v>
      </c>
      <c r="D840" s="18" t="s">
        <v>568</v>
      </c>
      <c r="E840" s="18" t="s">
        <v>505</v>
      </c>
      <c r="F840" s="18" t="s">
        <v>1621</v>
      </c>
      <c r="G840" s="59">
        <v>1270.6500000000001</v>
      </c>
      <c r="H840" s="59">
        <v>1270.6500000000001</v>
      </c>
      <c r="I840" s="18" t="s">
        <v>147</v>
      </c>
      <c r="J840" s="18" t="s">
        <v>498</v>
      </c>
      <c r="K840" s="18" t="s">
        <v>2569</v>
      </c>
      <c r="L840" s="30" t="s">
        <v>1612</v>
      </c>
    </row>
    <row r="841" spans="1:12" x14ac:dyDescent="0.25">
      <c r="A841" s="18" t="s">
        <v>25</v>
      </c>
      <c r="B841" s="57">
        <v>6.875E-3</v>
      </c>
      <c r="C841" s="58">
        <v>1</v>
      </c>
      <c r="D841" s="18" t="s">
        <v>570</v>
      </c>
      <c r="E841" s="18" t="s">
        <v>500</v>
      </c>
      <c r="F841" s="18" t="s">
        <v>1621</v>
      </c>
      <c r="G841" s="59">
        <v>1326.34</v>
      </c>
      <c r="H841" s="59">
        <v>1326.34</v>
      </c>
      <c r="I841" s="18" t="s">
        <v>147</v>
      </c>
      <c r="J841" s="18" t="s">
        <v>498</v>
      </c>
      <c r="K841" s="18" t="s">
        <v>2570</v>
      </c>
      <c r="L841" s="30" t="s">
        <v>1612</v>
      </c>
    </row>
    <row r="842" spans="1:12" hidden="1" x14ac:dyDescent="0.25">
      <c r="A842" s="18" t="s">
        <v>25</v>
      </c>
      <c r="B842" s="57">
        <v>7.4074074074074068E-3</v>
      </c>
      <c r="C842" s="58">
        <v>1</v>
      </c>
      <c r="D842" s="18" t="s">
        <v>2571</v>
      </c>
      <c r="E842" s="18" t="s">
        <v>2198</v>
      </c>
      <c r="F842" s="18" t="s">
        <v>1621</v>
      </c>
      <c r="G842" s="59">
        <v>1268.47</v>
      </c>
      <c r="H842" s="59">
        <v>1268.47</v>
      </c>
      <c r="I842" s="18" t="s">
        <v>1672</v>
      </c>
      <c r="J842" s="18" t="s">
        <v>512</v>
      </c>
      <c r="K842" s="18" t="s">
        <v>2572</v>
      </c>
      <c r="L842" s="30" t="s">
        <v>1612</v>
      </c>
    </row>
    <row r="843" spans="1:12" hidden="1" x14ac:dyDescent="0.25">
      <c r="A843" s="18" t="s">
        <v>25</v>
      </c>
      <c r="B843" s="57">
        <v>2.1412037037037038E-3</v>
      </c>
      <c r="C843" s="58">
        <v>3</v>
      </c>
      <c r="D843" s="18" t="s">
        <v>2092</v>
      </c>
      <c r="E843" s="18" t="s">
        <v>2093</v>
      </c>
      <c r="F843" s="18" t="s">
        <v>1621</v>
      </c>
      <c r="G843" s="59">
        <v>10.99</v>
      </c>
      <c r="H843" s="59">
        <v>32.97</v>
      </c>
      <c r="I843" s="18" t="s">
        <v>65</v>
      </c>
      <c r="J843" s="18" t="s">
        <v>65</v>
      </c>
      <c r="K843" s="18" t="s">
        <v>2572</v>
      </c>
      <c r="L843" s="30" t="s">
        <v>1612</v>
      </c>
    </row>
    <row r="844" spans="1:12" hidden="1" x14ac:dyDescent="0.25">
      <c r="A844" s="18" t="s">
        <v>25</v>
      </c>
      <c r="B844" s="57">
        <v>1.3773148148148147E-3</v>
      </c>
      <c r="C844" s="58">
        <v>1</v>
      </c>
      <c r="D844" s="18" t="s">
        <v>54</v>
      </c>
      <c r="E844" s="18" t="s">
        <v>1119</v>
      </c>
      <c r="F844" s="18" t="s">
        <v>1621</v>
      </c>
      <c r="G844" s="59">
        <v>59.25</v>
      </c>
      <c r="H844" s="59">
        <v>59.25</v>
      </c>
      <c r="I844" s="18" t="s">
        <v>2195</v>
      </c>
      <c r="J844" s="18" t="s">
        <v>44</v>
      </c>
      <c r="K844" s="18" t="s">
        <v>2572</v>
      </c>
      <c r="L844" s="30" t="s">
        <v>1612</v>
      </c>
    </row>
    <row r="845" spans="1:12" hidden="1" x14ac:dyDescent="0.25">
      <c r="A845" s="18" t="s">
        <v>25</v>
      </c>
      <c r="B845" s="57">
        <v>5.8333333333333327E-3</v>
      </c>
      <c r="C845" s="58">
        <v>1</v>
      </c>
      <c r="D845" s="18" t="s">
        <v>2197</v>
      </c>
      <c r="E845" s="18" t="s">
        <v>2198</v>
      </c>
      <c r="F845" s="18" t="s">
        <v>1621</v>
      </c>
      <c r="G845" s="59">
        <v>1296.57</v>
      </c>
      <c r="H845" s="59">
        <v>1296.57</v>
      </c>
      <c r="I845" s="18" t="s">
        <v>1588</v>
      </c>
      <c r="J845" s="18" t="s">
        <v>512</v>
      </c>
      <c r="K845" s="18" t="s">
        <v>2573</v>
      </c>
      <c r="L845" s="30" t="s">
        <v>1612</v>
      </c>
    </row>
    <row r="846" spans="1:12" hidden="1" x14ac:dyDescent="0.25">
      <c r="A846" s="18" t="s">
        <v>25</v>
      </c>
      <c r="B846" s="57">
        <v>5.9027777777777778E-4</v>
      </c>
      <c r="C846" s="58">
        <v>1</v>
      </c>
      <c r="D846" s="18" t="s">
        <v>2483</v>
      </c>
      <c r="E846" s="18" t="s">
        <v>2484</v>
      </c>
      <c r="F846" s="18" t="s">
        <v>1621</v>
      </c>
      <c r="G846" s="59">
        <v>7.1</v>
      </c>
      <c r="H846" s="59">
        <v>7.1</v>
      </c>
      <c r="I846" s="18" t="s">
        <v>367</v>
      </c>
      <c r="J846" s="18" t="s">
        <v>367</v>
      </c>
      <c r="K846" s="18" t="s">
        <v>2573</v>
      </c>
      <c r="L846" s="30" t="s">
        <v>1612</v>
      </c>
    </row>
    <row r="847" spans="1:12" hidden="1" x14ac:dyDescent="0.25">
      <c r="A847" s="18" t="s">
        <v>25</v>
      </c>
      <c r="B847" s="57">
        <v>9.4907407407407408E-4</v>
      </c>
      <c r="C847" s="58">
        <v>1</v>
      </c>
      <c r="D847" s="18" t="s">
        <v>2574</v>
      </c>
      <c r="E847" s="18" t="s">
        <v>2487</v>
      </c>
      <c r="F847" s="18" t="s">
        <v>1621</v>
      </c>
      <c r="G847" s="59">
        <v>25.59</v>
      </c>
      <c r="H847" s="59">
        <v>25.59</v>
      </c>
      <c r="I847" s="18" t="s">
        <v>367</v>
      </c>
      <c r="J847" s="18" t="s">
        <v>1594</v>
      </c>
      <c r="K847" s="18" t="s">
        <v>2573</v>
      </c>
      <c r="L847" s="30" t="s">
        <v>1612</v>
      </c>
    </row>
    <row r="848" spans="1:12" hidden="1" x14ac:dyDescent="0.25">
      <c r="A848" s="18" t="s">
        <v>25</v>
      </c>
      <c r="B848" s="57">
        <v>1.423611111111111E-3</v>
      </c>
      <c r="C848" s="58">
        <v>1</v>
      </c>
      <c r="D848" s="18" t="s">
        <v>45</v>
      </c>
      <c r="E848" s="18" t="s">
        <v>1119</v>
      </c>
      <c r="F848" s="18" t="s">
        <v>1621</v>
      </c>
      <c r="G848" s="59">
        <v>59.25</v>
      </c>
      <c r="H848" s="59">
        <v>59.25</v>
      </c>
      <c r="I848" s="18" t="s">
        <v>2195</v>
      </c>
      <c r="J848" s="18" t="s">
        <v>44</v>
      </c>
      <c r="K848" s="18" t="s">
        <v>2573</v>
      </c>
      <c r="L848" s="30" t="s">
        <v>1612</v>
      </c>
    </row>
    <row r="849" spans="1:12" hidden="1" x14ac:dyDescent="0.25">
      <c r="A849" s="18" t="s">
        <v>25</v>
      </c>
      <c r="B849" s="57">
        <v>5.7870370370370367E-3</v>
      </c>
      <c r="C849" s="58">
        <v>1</v>
      </c>
      <c r="D849" s="18" t="s">
        <v>2197</v>
      </c>
      <c r="E849" s="18" t="s">
        <v>2198</v>
      </c>
      <c r="F849" s="18" t="s">
        <v>1621</v>
      </c>
      <c r="G849" s="59">
        <v>1296.57</v>
      </c>
      <c r="H849" s="59">
        <v>1296.57</v>
      </c>
      <c r="I849" s="18" t="s">
        <v>1588</v>
      </c>
      <c r="J849" s="18" t="s">
        <v>512</v>
      </c>
      <c r="K849" s="18" t="s">
        <v>2575</v>
      </c>
      <c r="L849" s="30" t="s">
        <v>1612</v>
      </c>
    </row>
    <row r="850" spans="1:12" hidden="1" x14ac:dyDescent="0.25">
      <c r="A850" s="18" t="s">
        <v>25</v>
      </c>
      <c r="B850" s="57">
        <v>9.1435185185185185E-4</v>
      </c>
      <c r="C850" s="58">
        <v>1</v>
      </c>
      <c r="D850" s="18" t="s">
        <v>2576</v>
      </c>
      <c r="E850" s="18" t="s">
        <v>2475</v>
      </c>
      <c r="F850" s="18" t="s">
        <v>1621</v>
      </c>
      <c r="G850" s="59">
        <v>24.71</v>
      </c>
      <c r="H850" s="59">
        <v>24.71</v>
      </c>
      <c r="I850" s="18" t="s">
        <v>367</v>
      </c>
      <c r="J850" s="18" t="s">
        <v>1594</v>
      </c>
      <c r="K850" s="18" t="s">
        <v>2575</v>
      </c>
      <c r="L850" s="30" t="s">
        <v>1612</v>
      </c>
    </row>
    <row r="851" spans="1:12" hidden="1" x14ac:dyDescent="0.25">
      <c r="A851" s="18" t="s">
        <v>25</v>
      </c>
      <c r="B851" s="57">
        <v>6.3657407407407402E-4</v>
      </c>
      <c r="C851" s="58">
        <v>1</v>
      </c>
      <c r="D851" s="18" t="s">
        <v>2577</v>
      </c>
      <c r="E851" s="18" t="s">
        <v>2477</v>
      </c>
      <c r="F851" s="18" t="s">
        <v>1621</v>
      </c>
      <c r="G851" s="59">
        <v>9.27</v>
      </c>
      <c r="H851" s="59">
        <v>9.27</v>
      </c>
      <c r="I851" s="18" t="s">
        <v>129</v>
      </c>
      <c r="J851" s="18" t="s">
        <v>512</v>
      </c>
      <c r="K851" s="18" t="s">
        <v>2575</v>
      </c>
      <c r="L851" s="30" t="s">
        <v>1612</v>
      </c>
    </row>
    <row r="852" spans="1:12" hidden="1" x14ac:dyDescent="0.25">
      <c r="A852" s="18" t="s">
        <v>25</v>
      </c>
      <c r="B852" s="57">
        <v>1.4467592592592592E-3</v>
      </c>
      <c r="C852" s="58">
        <v>1</v>
      </c>
      <c r="D852" s="18" t="s">
        <v>48</v>
      </c>
      <c r="E852" s="18" t="s">
        <v>1119</v>
      </c>
      <c r="F852" s="18" t="s">
        <v>1621</v>
      </c>
      <c r="G852" s="59">
        <v>59.87</v>
      </c>
      <c r="H852" s="59">
        <v>59.87</v>
      </c>
      <c r="I852" s="18" t="s">
        <v>2195</v>
      </c>
      <c r="J852" s="18" t="s">
        <v>44</v>
      </c>
      <c r="K852" s="18" t="s">
        <v>2575</v>
      </c>
      <c r="L852" s="30" t="s">
        <v>1612</v>
      </c>
    </row>
    <row r="853" spans="1:12" hidden="1" x14ac:dyDescent="0.25">
      <c r="A853" s="18" t="s">
        <v>25</v>
      </c>
      <c r="B853" s="57">
        <v>1.2268518518518518E-3</v>
      </c>
      <c r="C853" s="58">
        <v>2</v>
      </c>
      <c r="D853" s="18" t="s">
        <v>2113</v>
      </c>
      <c r="E853" s="18" t="s">
        <v>2111</v>
      </c>
      <c r="F853" s="18" t="s">
        <v>1621</v>
      </c>
      <c r="G853" s="59">
        <v>8.3699999999999992</v>
      </c>
      <c r="H853" s="59">
        <v>16.739999999999998</v>
      </c>
      <c r="I853" s="18" t="s">
        <v>1665</v>
      </c>
      <c r="J853" s="18" t="s">
        <v>115</v>
      </c>
      <c r="K853" s="18" t="s">
        <v>2578</v>
      </c>
      <c r="L853" s="30" t="s">
        <v>1612</v>
      </c>
    </row>
    <row r="854" spans="1:12" hidden="1" x14ac:dyDescent="0.25">
      <c r="A854" s="18" t="s">
        <v>25</v>
      </c>
      <c r="B854" s="57">
        <v>8.9120370370370362E-4</v>
      </c>
      <c r="C854" s="58">
        <v>1</v>
      </c>
      <c r="D854" s="18" t="s">
        <v>2055</v>
      </c>
      <c r="E854" s="18" t="s">
        <v>2056</v>
      </c>
      <c r="F854" s="18" t="s">
        <v>1621</v>
      </c>
      <c r="G854" s="59">
        <v>18.61</v>
      </c>
      <c r="H854" s="59">
        <v>18.61</v>
      </c>
      <c r="I854" s="18" t="s">
        <v>1672</v>
      </c>
      <c r="J854" s="18" t="s">
        <v>498</v>
      </c>
      <c r="K854" s="18" t="s">
        <v>2578</v>
      </c>
      <c r="L854" s="30" t="s">
        <v>1612</v>
      </c>
    </row>
    <row r="855" spans="1:12" hidden="1" x14ac:dyDescent="0.25">
      <c r="A855" s="18" t="s">
        <v>25</v>
      </c>
      <c r="B855" s="57">
        <v>5.5555555555555556E-4</v>
      </c>
      <c r="C855" s="58">
        <v>1</v>
      </c>
      <c r="D855" s="18" t="s">
        <v>2413</v>
      </c>
      <c r="E855" s="18" t="s">
        <v>2414</v>
      </c>
      <c r="F855" s="18" t="s">
        <v>1621</v>
      </c>
      <c r="G855" s="59">
        <v>3.3</v>
      </c>
      <c r="H855" s="59">
        <v>3.3</v>
      </c>
      <c r="I855" s="18" t="s">
        <v>1588</v>
      </c>
      <c r="J855" s="18" t="s">
        <v>512</v>
      </c>
      <c r="K855" s="18" t="s">
        <v>2578</v>
      </c>
      <c r="L855" s="30" t="s">
        <v>1612</v>
      </c>
    </row>
    <row r="856" spans="1:12" hidden="1" x14ac:dyDescent="0.25">
      <c r="A856" s="18" t="s">
        <v>25</v>
      </c>
      <c r="B856" s="57">
        <v>4.7453703703703704E-4</v>
      </c>
      <c r="C856" s="58">
        <v>1</v>
      </c>
      <c r="D856" s="18" t="s">
        <v>2062</v>
      </c>
      <c r="E856" s="18" t="s">
        <v>2063</v>
      </c>
      <c r="F856" s="18" t="s">
        <v>1621</v>
      </c>
      <c r="G856" s="59">
        <v>2.2799999999999998</v>
      </c>
      <c r="H856" s="59">
        <v>2.2799999999999998</v>
      </c>
      <c r="I856" s="18" t="s">
        <v>367</v>
      </c>
      <c r="J856" s="18" t="s">
        <v>1592</v>
      </c>
      <c r="K856" s="18" t="s">
        <v>2578</v>
      </c>
      <c r="L856" s="30" t="s">
        <v>1612</v>
      </c>
    </row>
    <row r="857" spans="1:12" hidden="1" x14ac:dyDescent="0.25">
      <c r="A857" s="18" t="s">
        <v>25</v>
      </c>
      <c r="B857" s="57">
        <v>5.7175925925925927E-3</v>
      </c>
      <c r="C857" s="58">
        <v>1</v>
      </c>
      <c r="D857" s="18" t="s">
        <v>2579</v>
      </c>
      <c r="E857" s="18" t="s">
        <v>2580</v>
      </c>
      <c r="F857" s="18" t="s">
        <v>1621</v>
      </c>
      <c r="G857" s="59">
        <v>904.86</v>
      </c>
      <c r="H857" s="59">
        <v>904.86</v>
      </c>
      <c r="I857" s="18" t="s">
        <v>367</v>
      </c>
      <c r="J857" s="18" t="s">
        <v>367</v>
      </c>
      <c r="K857" s="18" t="s">
        <v>2578</v>
      </c>
      <c r="L857" s="30" t="s">
        <v>1612</v>
      </c>
    </row>
    <row r="858" spans="1:12" hidden="1" x14ac:dyDescent="0.25">
      <c r="A858" s="18" t="s">
        <v>25</v>
      </c>
      <c r="B858" s="57">
        <v>2.3842592592592591E-3</v>
      </c>
      <c r="C858" s="58">
        <v>1</v>
      </c>
      <c r="D858" s="18" t="s">
        <v>2581</v>
      </c>
      <c r="E858" s="18" t="s">
        <v>2582</v>
      </c>
      <c r="F858" s="18" t="s">
        <v>1621</v>
      </c>
      <c r="G858" s="59">
        <v>354.59</v>
      </c>
      <c r="H858" s="59">
        <v>354.59</v>
      </c>
      <c r="I858" s="18" t="s">
        <v>367</v>
      </c>
      <c r="J858" s="18" t="s">
        <v>1594</v>
      </c>
      <c r="K858" s="18" t="s">
        <v>2578</v>
      </c>
      <c r="L858" s="30" t="s">
        <v>1612</v>
      </c>
    </row>
    <row r="859" spans="1:12" hidden="1" x14ac:dyDescent="0.25">
      <c r="A859" s="18" t="s">
        <v>25</v>
      </c>
      <c r="B859" s="57">
        <v>1.8518518518518517E-3</v>
      </c>
      <c r="C859" s="58">
        <v>3</v>
      </c>
      <c r="D859" s="18" t="s">
        <v>2171</v>
      </c>
      <c r="E859" s="18" t="s">
        <v>2172</v>
      </c>
      <c r="F859" s="18" t="s">
        <v>1621</v>
      </c>
      <c r="G859" s="59">
        <v>3.26</v>
      </c>
      <c r="H859" s="59">
        <v>9.7799999999999994</v>
      </c>
      <c r="I859" s="18" t="s">
        <v>65</v>
      </c>
      <c r="J859" s="18" t="s">
        <v>368</v>
      </c>
      <c r="K859" s="18" t="s">
        <v>2578</v>
      </c>
      <c r="L859" s="30" t="s">
        <v>1612</v>
      </c>
    </row>
    <row r="860" spans="1:12" hidden="1" x14ac:dyDescent="0.25">
      <c r="A860" s="18" t="s">
        <v>25</v>
      </c>
      <c r="B860" s="57">
        <v>1.4699074074074074E-3</v>
      </c>
      <c r="C860" s="58">
        <v>1</v>
      </c>
      <c r="D860" s="18" t="s">
        <v>48</v>
      </c>
      <c r="E860" s="18" t="s">
        <v>1119</v>
      </c>
      <c r="F860" s="18" t="s">
        <v>1621</v>
      </c>
      <c r="G860" s="59">
        <v>59.87</v>
      </c>
      <c r="H860" s="59">
        <v>59.87</v>
      </c>
      <c r="I860" s="18" t="s">
        <v>2195</v>
      </c>
      <c r="J860" s="18" t="s">
        <v>44</v>
      </c>
      <c r="K860" s="18" t="s">
        <v>2578</v>
      </c>
      <c r="L860" s="30" t="s">
        <v>1612</v>
      </c>
    </row>
    <row r="861" spans="1:12" hidden="1" x14ac:dyDescent="0.25">
      <c r="A861" s="18" t="s">
        <v>25</v>
      </c>
      <c r="B861" s="57">
        <v>5.7870370370370367E-4</v>
      </c>
      <c r="C861" s="58">
        <v>1</v>
      </c>
      <c r="D861" s="18" t="s">
        <v>2113</v>
      </c>
      <c r="E861" s="18" t="s">
        <v>2111</v>
      </c>
      <c r="F861" s="18" t="s">
        <v>1621</v>
      </c>
      <c r="G861" s="59">
        <v>8.3699999999999992</v>
      </c>
      <c r="H861" s="59">
        <v>8.3699999999999992</v>
      </c>
      <c r="I861" s="18" t="s">
        <v>1665</v>
      </c>
      <c r="J861" s="18" t="s">
        <v>115</v>
      </c>
      <c r="K861" s="18" t="s">
        <v>2583</v>
      </c>
      <c r="L861" s="30" t="s">
        <v>1612</v>
      </c>
    </row>
    <row r="862" spans="1:12" hidden="1" x14ac:dyDescent="0.25">
      <c r="A862" s="18" t="s">
        <v>25</v>
      </c>
      <c r="B862" s="57">
        <v>5.185185185185185E-3</v>
      </c>
      <c r="C862" s="58">
        <v>1</v>
      </c>
      <c r="D862" s="18" t="s">
        <v>2584</v>
      </c>
      <c r="E862" s="18" t="s">
        <v>2585</v>
      </c>
      <c r="F862" s="18" t="s">
        <v>1621</v>
      </c>
      <c r="G862" s="59">
        <v>707.52</v>
      </c>
      <c r="H862" s="59">
        <v>707.52</v>
      </c>
      <c r="I862" s="18" t="s">
        <v>1672</v>
      </c>
      <c r="J862" s="18" t="s">
        <v>512</v>
      </c>
      <c r="K862" s="18" t="s">
        <v>2583</v>
      </c>
      <c r="L862" s="30" t="s">
        <v>1612</v>
      </c>
    </row>
    <row r="863" spans="1:12" hidden="1" x14ac:dyDescent="0.25">
      <c r="A863" s="18" t="s">
        <v>25</v>
      </c>
      <c r="B863" s="57">
        <v>4.7453703703703704E-4</v>
      </c>
      <c r="C863" s="58">
        <v>1</v>
      </c>
      <c r="D863" s="18" t="s">
        <v>2083</v>
      </c>
      <c r="E863" s="18" t="s">
        <v>2084</v>
      </c>
      <c r="F863" s="18" t="s">
        <v>1621</v>
      </c>
      <c r="G863" s="59">
        <v>3.37</v>
      </c>
      <c r="H863" s="59">
        <v>3.37</v>
      </c>
      <c r="I863" s="18" t="s">
        <v>65</v>
      </c>
      <c r="J863" s="18" t="s">
        <v>65</v>
      </c>
      <c r="K863" s="18" t="s">
        <v>2583</v>
      </c>
      <c r="L863" s="30" t="s">
        <v>1612</v>
      </c>
    </row>
    <row r="864" spans="1:12" hidden="1" x14ac:dyDescent="0.25">
      <c r="A864" s="18" t="s">
        <v>25</v>
      </c>
      <c r="B864" s="57">
        <v>4.0393518518518513E-3</v>
      </c>
      <c r="C864" s="58">
        <v>3</v>
      </c>
      <c r="D864" s="18" t="s">
        <v>45</v>
      </c>
      <c r="E864" s="18" t="s">
        <v>1119</v>
      </c>
      <c r="F864" s="18" t="s">
        <v>1621</v>
      </c>
      <c r="G864" s="59">
        <v>59.25</v>
      </c>
      <c r="H864" s="59">
        <v>177.75</v>
      </c>
      <c r="I864" s="18" t="s">
        <v>2094</v>
      </c>
      <c r="J864" s="18" t="s">
        <v>44</v>
      </c>
      <c r="K864" s="18" t="s">
        <v>2583</v>
      </c>
      <c r="L864" s="30" t="s">
        <v>1612</v>
      </c>
    </row>
    <row r="865" spans="1:12" hidden="1" x14ac:dyDescent="0.25">
      <c r="A865" s="18" t="s">
        <v>25</v>
      </c>
      <c r="B865" s="57">
        <v>3.6805555555555554E-3</v>
      </c>
      <c r="C865" s="58">
        <v>3</v>
      </c>
      <c r="D865" s="18" t="s">
        <v>54</v>
      </c>
      <c r="E865" s="18" t="s">
        <v>1119</v>
      </c>
      <c r="F865" s="18" t="s">
        <v>1621</v>
      </c>
      <c r="G865" s="59">
        <v>59.25</v>
      </c>
      <c r="H865" s="59">
        <v>177.75</v>
      </c>
      <c r="I865" s="18" t="s">
        <v>2094</v>
      </c>
      <c r="J865" s="18" t="s">
        <v>44</v>
      </c>
      <c r="K865" s="18" t="s">
        <v>2583</v>
      </c>
      <c r="L865" s="30" t="s">
        <v>1612</v>
      </c>
    </row>
    <row r="866" spans="1:12" hidden="1" x14ac:dyDescent="0.25">
      <c r="A866" s="18" t="s">
        <v>25</v>
      </c>
      <c r="B866" s="57">
        <v>1.3773148148148147E-3</v>
      </c>
      <c r="C866" s="58">
        <v>1</v>
      </c>
      <c r="D866" s="18" t="s">
        <v>48</v>
      </c>
      <c r="E866" s="18" t="s">
        <v>1119</v>
      </c>
      <c r="F866" s="18" t="s">
        <v>1621</v>
      </c>
      <c r="G866" s="59">
        <v>59.87</v>
      </c>
      <c r="H866" s="59">
        <v>59.87</v>
      </c>
      <c r="I866" s="18" t="s">
        <v>2195</v>
      </c>
      <c r="J866" s="18" t="s">
        <v>44</v>
      </c>
      <c r="K866" s="18" t="s">
        <v>2583</v>
      </c>
      <c r="L866" s="30" t="s">
        <v>1612</v>
      </c>
    </row>
    <row r="867" spans="1:12" hidden="1" x14ac:dyDescent="0.25">
      <c r="A867" s="18" t="s">
        <v>25</v>
      </c>
      <c r="B867" s="57">
        <v>8.4490740740740739E-4</v>
      </c>
      <c r="C867" s="58">
        <v>2</v>
      </c>
      <c r="D867" s="18" t="s">
        <v>2455</v>
      </c>
      <c r="E867" s="18" t="s">
        <v>2456</v>
      </c>
      <c r="F867" s="18" t="s">
        <v>1621</v>
      </c>
      <c r="G867" s="59">
        <v>1.88</v>
      </c>
      <c r="H867" s="59">
        <v>3.76</v>
      </c>
      <c r="I867" s="18" t="s">
        <v>367</v>
      </c>
      <c r="J867" s="18" t="s">
        <v>1592</v>
      </c>
      <c r="K867" s="18" t="s">
        <v>2586</v>
      </c>
      <c r="L867" s="30" t="s">
        <v>1612</v>
      </c>
    </row>
    <row r="868" spans="1:12" hidden="1" x14ac:dyDescent="0.25">
      <c r="A868" s="18" t="s">
        <v>25</v>
      </c>
      <c r="B868" s="57">
        <v>1.3888888888888887E-3</v>
      </c>
      <c r="C868" s="58">
        <v>2</v>
      </c>
      <c r="D868" s="18" t="s">
        <v>2102</v>
      </c>
      <c r="E868" s="18" t="s">
        <v>2103</v>
      </c>
      <c r="F868" s="18" t="s">
        <v>1621</v>
      </c>
      <c r="G868" s="59">
        <v>9.4</v>
      </c>
      <c r="H868" s="59">
        <v>18.8</v>
      </c>
      <c r="I868" s="18" t="s">
        <v>65</v>
      </c>
      <c r="J868" s="18" t="s">
        <v>1590</v>
      </c>
      <c r="K868" s="18" t="s">
        <v>2586</v>
      </c>
      <c r="L868" s="30" t="s">
        <v>1612</v>
      </c>
    </row>
    <row r="869" spans="1:12" hidden="1" x14ac:dyDescent="0.25">
      <c r="A869" s="18" t="s">
        <v>25</v>
      </c>
      <c r="B869" s="57">
        <v>2.3148148148148147E-3</v>
      </c>
      <c r="C869" s="58">
        <v>1</v>
      </c>
      <c r="D869" s="18" t="s">
        <v>2587</v>
      </c>
      <c r="E869" s="18" t="s">
        <v>2582</v>
      </c>
      <c r="F869" s="18" t="s">
        <v>1621</v>
      </c>
      <c r="G869" s="59">
        <v>360.12</v>
      </c>
      <c r="H869" s="59">
        <v>360.12</v>
      </c>
      <c r="I869" s="18" t="s">
        <v>65</v>
      </c>
      <c r="J869" s="18" t="s">
        <v>492</v>
      </c>
      <c r="K869" s="18" t="s">
        <v>2586</v>
      </c>
      <c r="L869" s="30" t="s">
        <v>1612</v>
      </c>
    </row>
    <row r="870" spans="1:12" hidden="1" x14ac:dyDescent="0.25">
      <c r="A870" s="18" t="s">
        <v>25</v>
      </c>
      <c r="B870" s="57">
        <v>2.5231481481481481E-3</v>
      </c>
      <c r="C870" s="58">
        <v>1</v>
      </c>
      <c r="D870" s="18" t="s">
        <v>2588</v>
      </c>
      <c r="E870" s="18" t="s">
        <v>2255</v>
      </c>
      <c r="F870" s="18" t="s">
        <v>1621</v>
      </c>
      <c r="G870" s="59">
        <v>451.11</v>
      </c>
      <c r="H870" s="59">
        <v>451.11</v>
      </c>
      <c r="I870" s="18" t="s">
        <v>65</v>
      </c>
      <c r="J870" s="18" t="s">
        <v>1596</v>
      </c>
      <c r="K870" s="18" t="s">
        <v>2586</v>
      </c>
      <c r="L870" s="30" t="s">
        <v>1612</v>
      </c>
    </row>
    <row r="871" spans="1:12" hidden="1" x14ac:dyDescent="0.25">
      <c r="A871" s="18" t="s">
        <v>25</v>
      </c>
      <c r="B871" s="57">
        <v>2.3726851851851851E-3</v>
      </c>
      <c r="C871" s="58">
        <v>1</v>
      </c>
      <c r="D871" s="18" t="s">
        <v>2589</v>
      </c>
      <c r="E871" s="18" t="s">
        <v>2582</v>
      </c>
      <c r="F871" s="18" t="s">
        <v>1621</v>
      </c>
      <c r="G871" s="59">
        <v>359.93</v>
      </c>
      <c r="H871" s="59">
        <v>359.93</v>
      </c>
      <c r="I871" s="18" t="s">
        <v>65</v>
      </c>
      <c r="J871" s="18" t="s">
        <v>492</v>
      </c>
      <c r="K871" s="18" t="s">
        <v>2586</v>
      </c>
      <c r="L871" s="30" t="s">
        <v>1612</v>
      </c>
    </row>
    <row r="872" spans="1:12" hidden="1" x14ac:dyDescent="0.25">
      <c r="A872" s="18" t="s">
        <v>25</v>
      </c>
      <c r="B872" s="57">
        <v>4.1550925925925922E-3</v>
      </c>
      <c r="C872" s="58">
        <v>3</v>
      </c>
      <c r="D872" s="18" t="s">
        <v>48</v>
      </c>
      <c r="E872" s="18" t="s">
        <v>1119</v>
      </c>
      <c r="F872" s="18" t="s">
        <v>1621</v>
      </c>
      <c r="G872" s="59">
        <v>59.87</v>
      </c>
      <c r="H872" s="59">
        <v>179.61</v>
      </c>
      <c r="I872" s="18" t="s">
        <v>2094</v>
      </c>
      <c r="J872" s="18" t="s">
        <v>44</v>
      </c>
      <c r="K872" s="18" t="s">
        <v>2586</v>
      </c>
      <c r="L872" s="30" t="s">
        <v>1612</v>
      </c>
    </row>
    <row r="873" spans="1:12" hidden="1" x14ac:dyDescent="0.25">
      <c r="A873" s="18" t="s">
        <v>25</v>
      </c>
      <c r="B873" s="57">
        <v>1.7824074074074072E-3</v>
      </c>
      <c r="C873" s="58">
        <v>3</v>
      </c>
      <c r="D873" s="18" t="s">
        <v>2058</v>
      </c>
      <c r="E873" s="18" t="s">
        <v>2059</v>
      </c>
      <c r="F873" s="18" t="s">
        <v>1621</v>
      </c>
      <c r="G873" s="59">
        <v>10.62</v>
      </c>
      <c r="H873" s="59">
        <v>31.86</v>
      </c>
      <c r="I873" s="18" t="s">
        <v>367</v>
      </c>
      <c r="J873" s="18" t="s">
        <v>367</v>
      </c>
      <c r="K873" s="18" t="s">
        <v>2590</v>
      </c>
      <c r="L873" s="30" t="s">
        <v>1612</v>
      </c>
    </row>
    <row r="874" spans="1:12" hidden="1" x14ac:dyDescent="0.25">
      <c r="A874" s="18" t="s">
        <v>25</v>
      </c>
      <c r="B874" s="57">
        <v>3.5879629629629629E-3</v>
      </c>
      <c r="C874" s="58">
        <v>1</v>
      </c>
      <c r="D874" s="18" t="s">
        <v>2591</v>
      </c>
      <c r="E874" s="18" t="s">
        <v>2592</v>
      </c>
      <c r="F874" s="18" t="s">
        <v>1621</v>
      </c>
      <c r="G874" s="59">
        <v>639.52</v>
      </c>
      <c r="H874" s="59">
        <v>639.52</v>
      </c>
      <c r="I874" s="18" t="s">
        <v>65</v>
      </c>
      <c r="J874" s="18" t="s">
        <v>66</v>
      </c>
      <c r="K874" s="18" t="s">
        <v>2590</v>
      </c>
      <c r="L874" s="30" t="s">
        <v>1612</v>
      </c>
    </row>
    <row r="875" spans="1:12" hidden="1" x14ac:dyDescent="0.25">
      <c r="A875" s="18" t="s">
        <v>25</v>
      </c>
      <c r="B875" s="57">
        <v>3.2638888888888887E-3</v>
      </c>
      <c r="C875" s="58">
        <v>1</v>
      </c>
      <c r="D875" s="18" t="s">
        <v>2593</v>
      </c>
      <c r="E875" s="18" t="s">
        <v>2594</v>
      </c>
      <c r="F875" s="18" t="s">
        <v>1621</v>
      </c>
      <c r="G875" s="59">
        <v>377.28</v>
      </c>
      <c r="H875" s="59">
        <v>377.28</v>
      </c>
      <c r="I875" s="18" t="s">
        <v>65</v>
      </c>
      <c r="J875" s="18" t="s">
        <v>66</v>
      </c>
      <c r="K875" s="18" t="s">
        <v>2590</v>
      </c>
      <c r="L875" s="30" t="s">
        <v>1612</v>
      </c>
    </row>
    <row r="876" spans="1:12" hidden="1" x14ac:dyDescent="0.25">
      <c r="A876" s="18" t="s">
        <v>25</v>
      </c>
      <c r="B876" s="57">
        <v>3.5300925925925925E-3</v>
      </c>
      <c r="C876" s="58">
        <v>3</v>
      </c>
      <c r="D876" s="18" t="s">
        <v>54</v>
      </c>
      <c r="E876" s="18" t="s">
        <v>1119</v>
      </c>
      <c r="F876" s="18" t="s">
        <v>1621</v>
      </c>
      <c r="G876" s="59">
        <v>59.25</v>
      </c>
      <c r="H876" s="59">
        <v>177.75</v>
      </c>
      <c r="I876" s="18" t="s">
        <v>2094</v>
      </c>
      <c r="J876" s="18" t="s">
        <v>44</v>
      </c>
      <c r="K876" s="18" t="s">
        <v>2590</v>
      </c>
      <c r="L876" s="30" t="s">
        <v>1612</v>
      </c>
    </row>
    <row r="877" spans="1:12" hidden="1" x14ac:dyDescent="0.25">
      <c r="A877" s="18" t="s">
        <v>25</v>
      </c>
      <c r="B877" s="57">
        <v>1.3194444444444445E-3</v>
      </c>
      <c r="C877" s="58">
        <v>1</v>
      </c>
      <c r="D877" s="18" t="s">
        <v>48</v>
      </c>
      <c r="E877" s="18" t="s">
        <v>1119</v>
      </c>
      <c r="F877" s="18" t="s">
        <v>1621</v>
      </c>
      <c r="G877" s="59">
        <v>59.87</v>
      </c>
      <c r="H877" s="59">
        <v>59.87</v>
      </c>
      <c r="I877" s="18" t="s">
        <v>2195</v>
      </c>
      <c r="J877" s="18" t="s">
        <v>44</v>
      </c>
      <c r="K877" s="18" t="s">
        <v>2590</v>
      </c>
      <c r="L877" s="30" t="s">
        <v>1612</v>
      </c>
    </row>
    <row r="878" spans="1:12" hidden="1" x14ac:dyDescent="0.25">
      <c r="A878" s="18" t="s">
        <v>25</v>
      </c>
      <c r="B878" s="57">
        <v>1.8749999999999999E-3</v>
      </c>
      <c r="C878" s="58">
        <v>1</v>
      </c>
      <c r="D878" s="18" t="s">
        <v>2299</v>
      </c>
      <c r="E878" s="18" t="s">
        <v>2300</v>
      </c>
      <c r="F878" s="18" t="s">
        <v>1621</v>
      </c>
      <c r="G878" s="59">
        <v>58.12</v>
      </c>
      <c r="H878" s="59">
        <v>58.12</v>
      </c>
      <c r="I878" s="18" t="s">
        <v>1672</v>
      </c>
      <c r="J878" s="18" t="s">
        <v>498</v>
      </c>
      <c r="K878" s="18" t="s">
        <v>2595</v>
      </c>
      <c r="L878" s="30" t="s">
        <v>1612</v>
      </c>
    </row>
    <row r="879" spans="1:12" hidden="1" x14ac:dyDescent="0.25">
      <c r="A879" s="18" t="s">
        <v>25</v>
      </c>
      <c r="B879" s="57">
        <v>5.3356481481481475E-3</v>
      </c>
      <c r="C879" s="58">
        <v>1</v>
      </c>
      <c r="D879" s="18" t="s">
        <v>2596</v>
      </c>
      <c r="E879" s="18" t="s">
        <v>2597</v>
      </c>
      <c r="F879" s="18" t="s">
        <v>1621</v>
      </c>
      <c r="G879" s="59">
        <v>724.96</v>
      </c>
      <c r="H879" s="59">
        <v>724.96</v>
      </c>
      <c r="I879" s="18" t="s">
        <v>1588</v>
      </c>
      <c r="J879" s="18" t="s">
        <v>512</v>
      </c>
      <c r="K879" s="18" t="s">
        <v>2595</v>
      </c>
      <c r="L879" s="30" t="s">
        <v>1612</v>
      </c>
    </row>
    <row r="880" spans="1:12" hidden="1" x14ac:dyDescent="0.25">
      <c r="A880" s="18" t="s">
        <v>25</v>
      </c>
      <c r="B880" s="57">
        <v>1.6203703703703703E-3</v>
      </c>
      <c r="C880" s="58">
        <v>1</v>
      </c>
      <c r="D880" s="18" t="s">
        <v>2229</v>
      </c>
      <c r="E880" s="18" t="s">
        <v>2230</v>
      </c>
      <c r="F880" s="18" t="s">
        <v>1621</v>
      </c>
      <c r="G880" s="59">
        <v>62.2</v>
      </c>
      <c r="H880" s="59">
        <v>62.2</v>
      </c>
      <c r="I880" s="18" t="s">
        <v>367</v>
      </c>
      <c r="J880" s="18" t="s">
        <v>512</v>
      </c>
      <c r="K880" s="18" t="s">
        <v>2595</v>
      </c>
      <c r="L880" s="30" t="s">
        <v>1612</v>
      </c>
    </row>
    <row r="881" spans="1:12" hidden="1" x14ac:dyDescent="0.25">
      <c r="A881" s="18" t="s">
        <v>25</v>
      </c>
      <c r="B881" s="57">
        <v>9.1435185185185185E-4</v>
      </c>
      <c r="C881" s="58">
        <v>1</v>
      </c>
      <c r="D881" s="18" t="s">
        <v>2598</v>
      </c>
      <c r="E881" s="18" t="s">
        <v>2599</v>
      </c>
      <c r="F881" s="18" t="s">
        <v>1621</v>
      </c>
      <c r="G881" s="59">
        <v>22.51</v>
      </c>
      <c r="H881" s="59">
        <v>22.51</v>
      </c>
      <c r="I881" s="18" t="s">
        <v>367</v>
      </c>
      <c r="J881" s="18" t="s">
        <v>512</v>
      </c>
      <c r="K881" s="18" t="s">
        <v>2595</v>
      </c>
      <c r="L881" s="30" t="s">
        <v>1612</v>
      </c>
    </row>
    <row r="882" spans="1:12" hidden="1" x14ac:dyDescent="0.25">
      <c r="A882" s="18" t="s">
        <v>25</v>
      </c>
      <c r="B882" s="57">
        <v>1.6666666666666666E-3</v>
      </c>
      <c r="C882" s="58">
        <v>1</v>
      </c>
      <c r="D882" s="18" t="s">
        <v>2600</v>
      </c>
      <c r="E882" s="18" t="s">
        <v>2226</v>
      </c>
      <c r="F882" s="18" t="s">
        <v>1621</v>
      </c>
      <c r="G882" s="59">
        <v>63.26</v>
      </c>
      <c r="H882" s="59">
        <v>63.26</v>
      </c>
      <c r="I882" s="18" t="s">
        <v>367</v>
      </c>
      <c r="J882" s="18" t="s">
        <v>1594</v>
      </c>
      <c r="K882" s="18" t="s">
        <v>2595</v>
      </c>
      <c r="L882" s="30" t="s">
        <v>1612</v>
      </c>
    </row>
    <row r="883" spans="1:12" hidden="1" x14ac:dyDescent="0.25">
      <c r="A883" s="18" t="s">
        <v>25</v>
      </c>
      <c r="B883" s="57">
        <v>1.6666666666666666E-3</v>
      </c>
      <c r="C883" s="58">
        <v>1</v>
      </c>
      <c r="D883" s="18" t="s">
        <v>2601</v>
      </c>
      <c r="E883" s="18" t="s">
        <v>2226</v>
      </c>
      <c r="F883" s="18" t="s">
        <v>1621</v>
      </c>
      <c r="G883" s="59">
        <v>63.26</v>
      </c>
      <c r="H883" s="59">
        <v>63.26</v>
      </c>
      <c r="I883" s="18" t="s">
        <v>367</v>
      </c>
      <c r="J883" s="18" t="s">
        <v>1594</v>
      </c>
      <c r="K883" s="18" t="s">
        <v>2595</v>
      </c>
      <c r="L883" s="30" t="s">
        <v>1612</v>
      </c>
    </row>
    <row r="884" spans="1:12" hidden="1" x14ac:dyDescent="0.25">
      <c r="A884" s="18" t="s">
        <v>25</v>
      </c>
      <c r="B884" s="57">
        <v>2.1990740740740738E-3</v>
      </c>
      <c r="C884" s="58">
        <v>1</v>
      </c>
      <c r="D884" s="18" t="s">
        <v>2602</v>
      </c>
      <c r="E884" s="18" t="s">
        <v>2224</v>
      </c>
      <c r="F884" s="18" t="s">
        <v>1621</v>
      </c>
      <c r="G884" s="59">
        <v>63.5</v>
      </c>
      <c r="H884" s="59">
        <v>63.5</v>
      </c>
      <c r="I884" s="18" t="s">
        <v>65</v>
      </c>
      <c r="J884" s="18" t="s">
        <v>368</v>
      </c>
      <c r="K884" s="18" t="s">
        <v>2595</v>
      </c>
      <c r="L884" s="30" t="s">
        <v>1612</v>
      </c>
    </row>
    <row r="885" spans="1:12" hidden="1" x14ac:dyDescent="0.25">
      <c r="A885" s="18" t="s">
        <v>25</v>
      </c>
      <c r="B885" s="57">
        <v>2.2222222222222222E-3</v>
      </c>
      <c r="C885" s="58">
        <v>1</v>
      </c>
      <c r="D885" s="18" t="s">
        <v>2603</v>
      </c>
      <c r="E885" s="18" t="s">
        <v>2604</v>
      </c>
      <c r="F885" s="18" t="s">
        <v>1621</v>
      </c>
      <c r="G885" s="59">
        <v>62.61</v>
      </c>
      <c r="H885" s="59">
        <v>62.61</v>
      </c>
      <c r="I885" s="18" t="s">
        <v>65</v>
      </c>
      <c r="J885" s="18" t="s">
        <v>368</v>
      </c>
      <c r="K885" s="18" t="s">
        <v>2595</v>
      </c>
      <c r="L885" s="30" t="s">
        <v>1612</v>
      </c>
    </row>
    <row r="886" spans="1:12" hidden="1" x14ac:dyDescent="0.25">
      <c r="A886" s="18" t="s">
        <v>25</v>
      </c>
      <c r="B886" s="57">
        <v>1.423611111111111E-3</v>
      </c>
      <c r="C886" s="58">
        <v>1</v>
      </c>
      <c r="D886" s="18" t="s">
        <v>48</v>
      </c>
      <c r="E886" s="18" t="s">
        <v>1119</v>
      </c>
      <c r="F886" s="18" t="s">
        <v>1621</v>
      </c>
      <c r="G886" s="59">
        <v>59.87</v>
      </c>
      <c r="H886" s="59">
        <v>59.87</v>
      </c>
      <c r="I886" s="18" t="s">
        <v>2195</v>
      </c>
      <c r="J886" s="18" t="s">
        <v>44</v>
      </c>
      <c r="K886" s="18" t="s">
        <v>2595</v>
      </c>
      <c r="L886" s="30" t="s">
        <v>1612</v>
      </c>
    </row>
    <row r="887" spans="1:12" hidden="1" x14ac:dyDescent="0.25">
      <c r="A887" s="18" t="s">
        <v>25</v>
      </c>
      <c r="B887" s="57">
        <v>1.6550925925925926E-3</v>
      </c>
      <c r="C887" s="58">
        <v>1</v>
      </c>
      <c r="D887" s="18" t="s">
        <v>2605</v>
      </c>
      <c r="E887" s="18" t="s">
        <v>2284</v>
      </c>
      <c r="F887" s="18" t="s">
        <v>1621</v>
      </c>
      <c r="G887" s="59">
        <v>72.37</v>
      </c>
      <c r="H887" s="59">
        <v>72.37</v>
      </c>
      <c r="I887" s="18" t="s">
        <v>65</v>
      </c>
      <c r="J887" s="18" t="s">
        <v>44</v>
      </c>
      <c r="K887" s="18" t="s">
        <v>2595</v>
      </c>
      <c r="L887" s="30" t="s">
        <v>1612</v>
      </c>
    </row>
    <row r="888" spans="1:12" hidden="1" x14ac:dyDescent="0.25">
      <c r="A888" s="18" t="s">
        <v>25</v>
      </c>
      <c r="B888" s="57">
        <v>1.0729166666666666E-2</v>
      </c>
      <c r="C888" s="58">
        <v>6</v>
      </c>
      <c r="D888" s="18" t="s">
        <v>2225</v>
      </c>
      <c r="E888" s="18" t="s">
        <v>2226</v>
      </c>
      <c r="F888" s="18" t="s">
        <v>1621</v>
      </c>
      <c r="G888" s="59">
        <v>59.77</v>
      </c>
      <c r="H888" s="59">
        <v>358.62</v>
      </c>
      <c r="I888" s="18" t="s">
        <v>1665</v>
      </c>
      <c r="J888" s="18" t="s">
        <v>512</v>
      </c>
      <c r="K888" s="18" t="s">
        <v>2606</v>
      </c>
      <c r="L888" s="30" t="s">
        <v>1612</v>
      </c>
    </row>
    <row r="889" spans="1:12" hidden="1" x14ac:dyDescent="0.25">
      <c r="A889" s="18" t="s">
        <v>25</v>
      </c>
      <c r="B889" s="57">
        <v>5.7523148148148143E-3</v>
      </c>
      <c r="C889" s="58">
        <v>1</v>
      </c>
      <c r="D889" s="18" t="s">
        <v>2607</v>
      </c>
      <c r="E889" s="18" t="s">
        <v>2585</v>
      </c>
      <c r="F889" s="18" t="s">
        <v>1621</v>
      </c>
      <c r="G889" s="59">
        <v>707.53</v>
      </c>
      <c r="H889" s="59">
        <v>707.53</v>
      </c>
      <c r="I889" s="18" t="s">
        <v>1665</v>
      </c>
      <c r="J889" s="18" t="s">
        <v>512</v>
      </c>
      <c r="K889" s="18" t="s">
        <v>2606</v>
      </c>
      <c r="L889" s="30" t="s">
        <v>1612</v>
      </c>
    </row>
    <row r="890" spans="1:12" hidden="1" x14ac:dyDescent="0.25">
      <c r="A890" s="18" t="s">
        <v>25</v>
      </c>
      <c r="B890" s="57">
        <v>1.6319444444444443E-3</v>
      </c>
      <c r="C890" s="58">
        <v>1</v>
      </c>
      <c r="D890" s="18" t="s">
        <v>2608</v>
      </c>
      <c r="E890" s="18" t="s">
        <v>2284</v>
      </c>
      <c r="F890" s="18" t="s">
        <v>1621</v>
      </c>
      <c r="G890" s="59">
        <v>72.37</v>
      </c>
      <c r="H890" s="59">
        <v>72.37</v>
      </c>
      <c r="I890" s="18" t="s">
        <v>65</v>
      </c>
      <c r="J890" s="18" t="s">
        <v>44</v>
      </c>
      <c r="K890" s="18" t="s">
        <v>2606</v>
      </c>
      <c r="L890" s="30" t="s">
        <v>1612</v>
      </c>
    </row>
    <row r="891" spans="1:12" hidden="1" x14ac:dyDescent="0.25">
      <c r="A891" s="18" t="s">
        <v>25</v>
      </c>
      <c r="B891" s="57">
        <v>2.8124999999999999E-3</v>
      </c>
      <c r="C891" s="58">
        <v>4</v>
      </c>
      <c r="D891" s="18" t="s">
        <v>2102</v>
      </c>
      <c r="E891" s="18" t="s">
        <v>2103</v>
      </c>
      <c r="F891" s="18" t="s">
        <v>1621</v>
      </c>
      <c r="G891" s="59">
        <v>9.4</v>
      </c>
      <c r="H891" s="59">
        <v>37.6</v>
      </c>
      <c r="I891" s="18" t="s">
        <v>65</v>
      </c>
      <c r="J891" s="18" t="s">
        <v>1590</v>
      </c>
      <c r="K891" s="18" t="s">
        <v>2606</v>
      </c>
      <c r="L891" s="30" t="s">
        <v>1612</v>
      </c>
    </row>
    <row r="892" spans="1:12" hidden="1" x14ac:dyDescent="0.25">
      <c r="A892" s="18" t="s">
        <v>25</v>
      </c>
      <c r="B892" s="57">
        <v>1.4004629629629629E-3</v>
      </c>
      <c r="C892" s="58">
        <v>1</v>
      </c>
      <c r="D892" s="18" t="s">
        <v>48</v>
      </c>
      <c r="E892" s="18" t="s">
        <v>1119</v>
      </c>
      <c r="F892" s="18" t="s">
        <v>1621</v>
      </c>
      <c r="G892" s="59">
        <v>59.87</v>
      </c>
      <c r="H892" s="59">
        <v>59.87</v>
      </c>
      <c r="I892" s="18" t="s">
        <v>2195</v>
      </c>
      <c r="J892" s="18" t="s">
        <v>44</v>
      </c>
      <c r="K892" s="18" t="s">
        <v>2606</v>
      </c>
      <c r="L892" s="30" t="s">
        <v>1612</v>
      </c>
    </row>
    <row r="893" spans="1:12" hidden="1" x14ac:dyDescent="0.25">
      <c r="A893" s="18" t="s">
        <v>25</v>
      </c>
      <c r="B893" s="57">
        <v>7.407407407407407E-4</v>
      </c>
      <c r="C893" s="58">
        <v>1</v>
      </c>
      <c r="D893" s="18" t="s">
        <v>2085</v>
      </c>
      <c r="E893" s="18" t="s">
        <v>2086</v>
      </c>
      <c r="F893" s="18" t="s">
        <v>1621</v>
      </c>
      <c r="G893" s="59">
        <v>17.170000000000002</v>
      </c>
      <c r="H893" s="59">
        <v>17.170000000000002</v>
      </c>
      <c r="I893" s="18" t="s">
        <v>65</v>
      </c>
      <c r="J893" s="18" t="s">
        <v>65</v>
      </c>
      <c r="K893" s="18" t="s">
        <v>2609</v>
      </c>
      <c r="L893" s="30" t="s">
        <v>1612</v>
      </c>
    </row>
    <row r="894" spans="1:12" hidden="1" x14ac:dyDescent="0.25">
      <c r="A894" s="18" t="s">
        <v>25</v>
      </c>
      <c r="B894" s="57">
        <v>1.2037037037037036E-3</v>
      </c>
      <c r="C894" s="58">
        <v>2</v>
      </c>
      <c r="D894" s="18" t="s">
        <v>2113</v>
      </c>
      <c r="E894" s="18" t="s">
        <v>2111</v>
      </c>
      <c r="F894" s="18" t="s">
        <v>1621</v>
      </c>
      <c r="G894" s="59">
        <v>8.3699999999999992</v>
      </c>
      <c r="H894" s="59">
        <v>16.739999999999998</v>
      </c>
      <c r="I894" s="18" t="s">
        <v>1665</v>
      </c>
      <c r="J894" s="18" t="s">
        <v>115</v>
      </c>
      <c r="K894" s="18" t="s">
        <v>2609</v>
      </c>
      <c r="L894" s="30" t="s">
        <v>1612</v>
      </c>
    </row>
    <row r="895" spans="1:12" hidden="1" x14ac:dyDescent="0.25">
      <c r="A895" s="18" t="s">
        <v>25</v>
      </c>
      <c r="B895" s="57">
        <v>3.6458333333333334E-3</v>
      </c>
      <c r="C895" s="58">
        <v>2</v>
      </c>
      <c r="D895" s="18" t="s">
        <v>2225</v>
      </c>
      <c r="E895" s="18" t="s">
        <v>2226</v>
      </c>
      <c r="F895" s="18" t="s">
        <v>1621</v>
      </c>
      <c r="G895" s="59">
        <v>59.77</v>
      </c>
      <c r="H895" s="59">
        <v>119.54</v>
      </c>
      <c r="I895" s="18" t="s">
        <v>1665</v>
      </c>
      <c r="J895" s="18" t="s">
        <v>512</v>
      </c>
      <c r="K895" s="18" t="s">
        <v>2609</v>
      </c>
      <c r="L895" s="30" t="s">
        <v>1612</v>
      </c>
    </row>
    <row r="896" spans="1:12" hidden="1" x14ac:dyDescent="0.25">
      <c r="A896" s="18" t="s">
        <v>25</v>
      </c>
      <c r="B896" s="57">
        <v>5.4629629629629629E-3</v>
      </c>
      <c r="C896" s="58">
        <v>3</v>
      </c>
      <c r="D896" s="18" t="s">
        <v>2297</v>
      </c>
      <c r="E896" s="18" t="s">
        <v>2226</v>
      </c>
      <c r="F896" s="18" t="s">
        <v>1621</v>
      </c>
      <c r="G896" s="59">
        <v>59.77</v>
      </c>
      <c r="H896" s="59">
        <v>179.31</v>
      </c>
      <c r="I896" s="18" t="s">
        <v>1672</v>
      </c>
      <c r="J896" s="18" t="s">
        <v>512</v>
      </c>
      <c r="K896" s="18" t="s">
        <v>2609</v>
      </c>
      <c r="L896" s="30" t="s">
        <v>1612</v>
      </c>
    </row>
    <row r="897" spans="1:12" hidden="1" x14ac:dyDescent="0.25">
      <c r="A897" s="18" t="s">
        <v>25</v>
      </c>
      <c r="B897" s="57">
        <v>4.3171296296296291E-3</v>
      </c>
      <c r="C897" s="58">
        <v>1</v>
      </c>
      <c r="D897" s="18" t="s">
        <v>2610</v>
      </c>
      <c r="E897" s="18" t="s">
        <v>2611</v>
      </c>
      <c r="F897" s="18" t="s">
        <v>1621</v>
      </c>
      <c r="G897" s="59">
        <v>685.92</v>
      </c>
      <c r="H897" s="59">
        <v>685.92</v>
      </c>
      <c r="I897" s="18" t="s">
        <v>367</v>
      </c>
      <c r="J897" s="18" t="s">
        <v>1594</v>
      </c>
      <c r="K897" s="18" t="s">
        <v>2609</v>
      </c>
      <c r="L897" s="30" t="s">
        <v>1612</v>
      </c>
    </row>
    <row r="898" spans="1:12" hidden="1" x14ac:dyDescent="0.25">
      <c r="A898" s="18" t="s">
        <v>25</v>
      </c>
      <c r="B898" s="57">
        <v>7.1759259259259259E-4</v>
      </c>
      <c r="C898" s="58">
        <v>1</v>
      </c>
      <c r="D898" s="18" t="s">
        <v>2460</v>
      </c>
      <c r="E898" s="18" t="s">
        <v>2461</v>
      </c>
      <c r="F898" s="18" t="s">
        <v>1621</v>
      </c>
      <c r="G898" s="59">
        <v>16.07</v>
      </c>
      <c r="H898" s="59">
        <v>16.07</v>
      </c>
      <c r="I898" s="18" t="s">
        <v>65</v>
      </c>
      <c r="J898" s="18" t="s">
        <v>65</v>
      </c>
      <c r="K898" s="18" t="s">
        <v>2609</v>
      </c>
      <c r="L898" s="30" t="s">
        <v>1612</v>
      </c>
    </row>
    <row r="899" spans="1:12" hidden="1" x14ac:dyDescent="0.25">
      <c r="A899" s="18" t="s">
        <v>25</v>
      </c>
      <c r="B899" s="57">
        <v>1.6550925925925926E-3</v>
      </c>
      <c r="C899" s="58">
        <v>1</v>
      </c>
      <c r="D899" s="18" t="s">
        <v>2612</v>
      </c>
      <c r="E899" s="18" t="s">
        <v>2286</v>
      </c>
      <c r="F899" s="18" t="s">
        <v>1621</v>
      </c>
      <c r="G899" s="59">
        <v>62.78</v>
      </c>
      <c r="H899" s="59">
        <v>62.78</v>
      </c>
      <c r="I899" s="18" t="s">
        <v>65</v>
      </c>
      <c r="J899" s="18" t="s">
        <v>1591</v>
      </c>
      <c r="K899" s="18" t="s">
        <v>2609</v>
      </c>
      <c r="L899" s="30" t="s">
        <v>1612</v>
      </c>
    </row>
    <row r="900" spans="1:12" hidden="1" x14ac:dyDescent="0.25">
      <c r="A900" s="18" t="s">
        <v>25</v>
      </c>
      <c r="B900" s="57">
        <v>2.8587962962962963E-3</v>
      </c>
      <c r="C900" s="58">
        <v>2</v>
      </c>
      <c r="D900" s="18" t="s">
        <v>48</v>
      </c>
      <c r="E900" s="18" t="s">
        <v>1119</v>
      </c>
      <c r="F900" s="18" t="s">
        <v>1621</v>
      </c>
      <c r="G900" s="59">
        <v>59.87</v>
      </c>
      <c r="H900" s="59">
        <v>119.74</v>
      </c>
      <c r="I900" s="18" t="s">
        <v>2259</v>
      </c>
      <c r="J900" s="18" t="s">
        <v>44</v>
      </c>
      <c r="K900" s="18" t="s">
        <v>2609</v>
      </c>
      <c r="L900" s="30" t="s">
        <v>1612</v>
      </c>
    </row>
    <row r="901" spans="1:12" hidden="1" x14ac:dyDescent="0.25">
      <c r="A901" s="18" t="s">
        <v>25</v>
      </c>
      <c r="B901" s="57">
        <v>7.5347222222222222E-3</v>
      </c>
      <c r="C901" s="58">
        <v>2</v>
      </c>
      <c r="D901" s="18" t="s">
        <v>2613</v>
      </c>
      <c r="E901" s="18" t="s">
        <v>1976</v>
      </c>
      <c r="F901" s="18" t="s">
        <v>1810</v>
      </c>
      <c r="G901" s="59">
        <v>503.87</v>
      </c>
      <c r="H901" s="59">
        <v>1007.74</v>
      </c>
      <c r="I901" s="18" t="s">
        <v>152</v>
      </c>
      <c r="J901" s="18" t="s">
        <v>152</v>
      </c>
      <c r="K901" s="18" t="s">
        <v>2443</v>
      </c>
      <c r="L901" s="30" t="s">
        <v>1612</v>
      </c>
    </row>
    <row r="902" spans="1:12" hidden="1" x14ac:dyDescent="0.25">
      <c r="A902" s="18" t="s">
        <v>25</v>
      </c>
      <c r="B902" s="57">
        <v>5.3240740740740744E-4</v>
      </c>
      <c r="C902" s="58">
        <v>1</v>
      </c>
      <c r="D902" s="18" t="s">
        <v>2034</v>
      </c>
      <c r="E902" s="18" t="s">
        <v>1897</v>
      </c>
      <c r="F902" s="18" t="s">
        <v>1810</v>
      </c>
      <c r="G902" s="59">
        <v>10.71</v>
      </c>
      <c r="H902" s="59">
        <v>10.71</v>
      </c>
      <c r="I902" s="18" t="s">
        <v>1665</v>
      </c>
      <c r="J902" s="18" t="s">
        <v>512</v>
      </c>
      <c r="K902" s="18" t="s">
        <v>2614</v>
      </c>
      <c r="L902" s="30" t="s">
        <v>1612</v>
      </c>
    </row>
    <row r="903" spans="1:12" hidden="1" x14ac:dyDescent="0.25">
      <c r="A903" s="18" t="s">
        <v>25</v>
      </c>
      <c r="B903" s="57">
        <v>5.3240740740740744E-4</v>
      </c>
      <c r="C903" s="58">
        <v>1</v>
      </c>
      <c r="D903" s="18" t="s">
        <v>1896</v>
      </c>
      <c r="E903" s="18" t="s">
        <v>1897</v>
      </c>
      <c r="F903" s="18" t="s">
        <v>1810</v>
      </c>
      <c r="G903" s="59">
        <v>10.71</v>
      </c>
      <c r="H903" s="59">
        <v>10.71</v>
      </c>
      <c r="I903" s="18" t="s">
        <v>1665</v>
      </c>
      <c r="J903" s="18" t="s">
        <v>512</v>
      </c>
      <c r="K903" s="18" t="s">
        <v>2614</v>
      </c>
      <c r="L903" s="30" t="s">
        <v>1612</v>
      </c>
    </row>
    <row r="904" spans="1:12" hidden="1" x14ac:dyDescent="0.25">
      <c r="A904" s="18" t="s">
        <v>25</v>
      </c>
      <c r="B904" s="57">
        <v>6.8055555555555551E-3</v>
      </c>
      <c r="C904" s="58">
        <v>7</v>
      </c>
      <c r="D904" s="18" t="s">
        <v>1898</v>
      </c>
      <c r="E904" s="18" t="s">
        <v>1899</v>
      </c>
      <c r="F904" s="18" t="s">
        <v>1810</v>
      </c>
      <c r="G904" s="59">
        <v>53.6</v>
      </c>
      <c r="H904" s="59">
        <v>375.2</v>
      </c>
      <c r="I904" s="18" t="s">
        <v>1665</v>
      </c>
      <c r="J904" s="18" t="s">
        <v>115</v>
      </c>
      <c r="K904" s="18" t="s">
        <v>2614</v>
      </c>
      <c r="L904" s="30" t="s">
        <v>1612</v>
      </c>
    </row>
    <row r="905" spans="1:12" hidden="1" x14ac:dyDescent="0.25">
      <c r="A905" s="18" t="s">
        <v>25</v>
      </c>
      <c r="B905" s="57">
        <v>3.0324074074074073E-3</v>
      </c>
      <c r="C905" s="58">
        <v>1</v>
      </c>
      <c r="D905" s="18" t="s">
        <v>2613</v>
      </c>
      <c r="E905" s="18" t="s">
        <v>1976</v>
      </c>
      <c r="F905" s="18" t="s">
        <v>1810</v>
      </c>
      <c r="G905" s="59">
        <v>503.87</v>
      </c>
      <c r="H905" s="59">
        <v>503.87</v>
      </c>
      <c r="I905" s="18" t="s">
        <v>152</v>
      </c>
      <c r="J905" s="18" t="s">
        <v>152</v>
      </c>
      <c r="K905" s="18" t="s">
        <v>2614</v>
      </c>
      <c r="L905" s="30" t="s">
        <v>1612</v>
      </c>
    </row>
    <row r="906" spans="1:12" hidden="1" x14ac:dyDescent="0.25">
      <c r="A906" s="18" t="s">
        <v>25</v>
      </c>
      <c r="B906" s="57">
        <v>6.7939814814814816E-3</v>
      </c>
      <c r="C906" s="58">
        <v>2</v>
      </c>
      <c r="D906" s="18" t="s">
        <v>2615</v>
      </c>
      <c r="E906" s="18" t="s">
        <v>2616</v>
      </c>
      <c r="F906" s="18" t="s">
        <v>1810</v>
      </c>
      <c r="G906" s="59">
        <v>512.41</v>
      </c>
      <c r="H906" s="59">
        <v>1024.82</v>
      </c>
      <c r="I906" s="18" t="s">
        <v>152</v>
      </c>
      <c r="J906" s="18" t="s">
        <v>152</v>
      </c>
      <c r="K906" s="18" t="s">
        <v>2614</v>
      </c>
      <c r="L906" s="30" t="s">
        <v>1612</v>
      </c>
    </row>
    <row r="907" spans="1:12" hidden="1" x14ac:dyDescent="0.25">
      <c r="A907" s="18" t="s">
        <v>25</v>
      </c>
      <c r="B907" s="57">
        <v>5.4282407407407404E-3</v>
      </c>
      <c r="C907" s="58">
        <v>1</v>
      </c>
      <c r="D907" s="18" t="s">
        <v>629</v>
      </c>
      <c r="E907" s="18" t="s">
        <v>630</v>
      </c>
      <c r="F907" s="18" t="s">
        <v>1810</v>
      </c>
      <c r="G907" s="59">
        <v>469.18</v>
      </c>
      <c r="H907" s="59">
        <v>469.18</v>
      </c>
      <c r="I907" s="18" t="s">
        <v>152</v>
      </c>
      <c r="J907" s="18" t="s">
        <v>152</v>
      </c>
      <c r="K907" s="18" t="s">
        <v>2617</v>
      </c>
      <c r="L907" s="30" t="s">
        <v>1612</v>
      </c>
    </row>
    <row r="908" spans="1:12" hidden="1" x14ac:dyDescent="0.25">
      <c r="A908" s="18" t="s">
        <v>25</v>
      </c>
      <c r="B908" s="57">
        <v>5.4398148148148149E-3</v>
      </c>
      <c r="C908" s="58">
        <v>1</v>
      </c>
      <c r="D908" s="18" t="s">
        <v>634</v>
      </c>
      <c r="E908" s="18" t="s">
        <v>630</v>
      </c>
      <c r="F908" s="18" t="s">
        <v>1810</v>
      </c>
      <c r="G908" s="59">
        <v>469.18</v>
      </c>
      <c r="H908" s="59">
        <v>469.18</v>
      </c>
      <c r="I908" s="18" t="s">
        <v>152</v>
      </c>
      <c r="J908" s="18" t="s">
        <v>152</v>
      </c>
      <c r="K908" s="18" t="s">
        <v>2618</v>
      </c>
      <c r="L908" s="30" t="s">
        <v>1612</v>
      </c>
    </row>
    <row r="909" spans="1:12" hidden="1" x14ac:dyDescent="0.25">
      <c r="A909" s="18" t="s">
        <v>25</v>
      </c>
      <c r="B909" s="57">
        <v>5.4398148148148149E-3</v>
      </c>
      <c r="C909" s="58">
        <v>1</v>
      </c>
      <c r="D909" s="18" t="s">
        <v>634</v>
      </c>
      <c r="E909" s="18" t="s">
        <v>630</v>
      </c>
      <c r="F909" s="18" t="s">
        <v>1810</v>
      </c>
      <c r="G909" s="59">
        <v>469.18</v>
      </c>
      <c r="H909" s="59">
        <v>469.18</v>
      </c>
      <c r="I909" s="18" t="s">
        <v>152</v>
      </c>
      <c r="J909" s="18" t="s">
        <v>152</v>
      </c>
      <c r="K909" s="18" t="s">
        <v>2619</v>
      </c>
      <c r="L909" s="30" t="s">
        <v>1612</v>
      </c>
    </row>
    <row r="910" spans="1:12" hidden="1" x14ac:dyDescent="0.25">
      <c r="A910" s="18" t="s">
        <v>25</v>
      </c>
      <c r="B910" s="57">
        <v>5.4398148148148149E-3</v>
      </c>
      <c r="C910" s="58">
        <v>1</v>
      </c>
      <c r="D910" s="18" t="s">
        <v>629</v>
      </c>
      <c r="E910" s="18" t="s">
        <v>630</v>
      </c>
      <c r="F910" s="18" t="s">
        <v>1810</v>
      </c>
      <c r="G910" s="59">
        <v>469.18</v>
      </c>
      <c r="H910" s="59">
        <v>469.18</v>
      </c>
      <c r="I910" s="18" t="s">
        <v>152</v>
      </c>
      <c r="J910" s="18" t="s">
        <v>152</v>
      </c>
      <c r="K910" s="18" t="s">
        <v>2620</v>
      </c>
      <c r="L910" s="30" t="s">
        <v>1612</v>
      </c>
    </row>
    <row r="911" spans="1:12" hidden="1" x14ac:dyDescent="0.25">
      <c r="A911" s="18" t="s">
        <v>25</v>
      </c>
      <c r="B911" s="57">
        <v>5.4398148148148149E-3</v>
      </c>
      <c r="C911" s="58">
        <v>1</v>
      </c>
      <c r="D911" s="18" t="s">
        <v>634</v>
      </c>
      <c r="E911" s="18" t="s">
        <v>630</v>
      </c>
      <c r="F911" s="18" t="s">
        <v>1810</v>
      </c>
      <c r="G911" s="59">
        <v>469.18</v>
      </c>
      <c r="H911" s="59">
        <v>469.18</v>
      </c>
      <c r="I911" s="18" t="s">
        <v>152</v>
      </c>
      <c r="J911" s="18" t="s">
        <v>152</v>
      </c>
      <c r="K911" s="18" t="s">
        <v>2621</v>
      </c>
      <c r="L911" s="30" t="s">
        <v>1612</v>
      </c>
    </row>
    <row r="912" spans="1:12" hidden="1" x14ac:dyDescent="0.25">
      <c r="A912" s="18" t="s">
        <v>25</v>
      </c>
      <c r="B912" s="57">
        <v>5.4398148148148149E-3</v>
      </c>
      <c r="C912" s="58">
        <v>1</v>
      </c>
      <c r="D912" s="18" t="s">
        <v>629</v>
      </c>
      <c r="E912" s="18" t="s">
        <v>630</v>
      </c>
      <c r="F912" s="18" t="s">
        <v>1810</v>
      </c>
      <c r="G912" s="59">
        <v>469.18</v>
      </c>
      <c r="H912" s="59">
        <v>469.18</v>
      </c>
      <c r="I912" s="18" t="s">
        <v>152</v>
      </c>
      <c r="J912" s="18" t="s">
        <v>152</v>
      </c>
      <c r="K912" s="18" t="s">
        <v>2622</v>
      </c>
      <c r="L912" s="30" t="s">
        <v>1612</v>
      </c>
    </row>
    <row r="913" spans="1:12" hidden="1" x14ac:dyDescent="0.25">
      <c r="A913" s="18" t="s">
        <v>25</v>
      </c>
      <c r="B913" s="57">
        <v>5.4050925925925924E-3</v>
      </c>
      <c r="C913" s="58">
        <v>1</v>
      </c>
      <c r="D913" s="18" t="s">
        <v>643</v>
      </c>
      <c r="E913" s="18" t="s">
        <v>644</v>
      </c>
      <c r="F913" s="18" t="s">
        <v>1810</v>
      </c>
      <c r="G913" s="59">
        <v>452.32</v>
      </c>
      <c r="H913" s="59">
        <v>452.32</v>
      </c>
      <c r="I913" s="18" t="s">
        <v>152</v>
      </c>
      <c r="J913" s="18" t="s">
        <v>152</v>
      </c>
      <c r="K913" s="18" t="s">
        <v>2623</v>
      </c>
      <c r="L913" s="30" t="s">
        <v>1612</v>
      </c>
    </row>
    <row r="914" spans="1:12" hidden="1" x14ac:dyDescent="0.25">
      <c r="A914" s="18" t="s">
        <v>25</v>
      </c>
      <c r="B914" s="57">
        <v>5.4050925925925924E-3</v>
      </c>
      <c r="C914" s="58">
        <v>1</v>
      </c>
      <c r="D914" s="18" t="s">
        <v>643</v>
      </c>
      <c r="E914" s="18" t="s">
        <v>644</v>
      </c>
      <c r="F914" s="18" t="s">
        <v>1810</v>
      </c>
      <c r="G914" s="59">
        <v>452.32</v>
      </c>
      <c r="H914" s="59">
        <v>452.32</v>
      </c>
      <c r="I914" s="18" t="s">
        <v>152</v>
      </c>
      <c r="J914" s="18" t="s">
        <v>152</v>
      </c>
      <c r="K914" s="18" t="s">
        <v>2624</v>
      </c>
      <c r="L914" s="30" t="s">
        <v>1612</v>
      </c>
    </row>
    <row r="915" spans="1:12" hidden="1" x14ac:dyDescent="0.25">
      <c r="A915" s="18" t="s">
        <v>25</v>
      </c>
      <c r="B915" s="57">
        <v>5.4050925925925924E-3</v>
      </c>
      <c r="C915" s="58">
        <v>1</v>
      </c>
      <c r="D915" s="18" t="s">
        <v>643</v>
      </c>
      <c r="E915" s="18" t="s">
        <v>644</v>
      </c>
      <c r="F915" s="18" t="s">
        <v>1810</v>
      </c>
      <c r="G915" s="59">
        <v>452.32</v>
      </c>
      <c r="H915" s="59">
        <v>452.32</v>
      </c>
      <c r="I915" s="18" t="s">
        <v>152</v>
      </c>
      <c r="J915" s="18" t="s">
        <v>152</v>
      </c>
      <c r="K915" s="18" t="s">
        <v>2625</v>
      </c>
      <c r="L915" s="30" t="s">
        <v>1612</v>
      </c>
    </row>
    <row r="916" spans="1:12" hidden="1" x14ac:dyDescent="0.25">
      <c r="A916" s="18" t="s">
        <v>25</v>
      </c>
      <c r="B916" s="57">
        <v>1.1226851851851851E-3</v>
      </c>
      <c r="C916" s="58">
        <v>1</v>
      </c>
      <c r="D916" s="18" t="s">
        <v>1635</v>
      </c>
      <c r="E916" s="18" t="s">
        <v>1636</v>
      </c>
      <c r="F916" s="18" t="s">
        <v>1637</v>
      </c>
      <c r="G916" s="59">
        <v>34.479999999999997</v>
      </c>
      <c r="H916" s="59">
        <v>34.479999999999997</v>
      </c>
      <c r="I916" s="18" t="s">
        <v>1585</v>
      </c>
      <c r="J916" s="18" t="s">
        <v>1585</v>
      </c>
      <c r="K916" s="18" t="s">
        <v>2626</v>
      </c>
      <c r="L916" s="30" t="s">
        <v>1612</v>
      </c>
    </row>
    <row r="917" spans="1:12" hidden="1" x14ac:dyDescent="0.25">
      <c r="A917" s="18" t="s">
        <v>25</v>
      </c>
      <c r="B917" s="57">
        <v>9.9537037037037042E-4</v>
      </c>
      <c r="C917" s="58">
        <v>1</v>
      </c>
      <c r="D917" s="18" t="s">
        <v>2078</v>
      </c>
      <c r="E917" s="18" t="s">
        <v>2079</v>
      </c>
      <c r="F917" s="18" t="s">
        <v>1637</v>
      </c>
      <c r="G917" s="59">
        <v>95.32</v>
      </c>
      <c r="H917" s="59">
        <v>95.32</v>
      </c>
      <c r="I917" s="18" t="s">
        <v>530</v>
      </c>
      <c r="J917" s="18" t="s">
        <v>512</v>
      </c>
      <c r="K917" s="18" t="s">
        <v>2626</v>
      </c>
      <c r="L917" s="30" t="s">
        <v>1612</v>
      </c>
    </row>
    <row r="918" spans="1:12" hidden="1" x14ac:dyDescent="0.25">
      <c r="A918" s="18" t="s">
        <v>25</v>
      </c>
      <c r="B918" s="57">
        <v>2.4305555555555556E-3</v>
      </c>
      <c r="C918" s="58">
        <v>2</v>
      </c>
      <c r="D918" s="18" t="s">
        <v>2627</v>
      </c>
      <c r="E918" s="18" t="s">
        <v>2628</v>
      </c>
      <c r="F918" s="18" t="s">
        <v>1637</v>
      </c>
      <c r="G918" s="59">
        <v>80.069999999999993</v>
      </c>
      <c r="H918" s="59">
        <v>160.13999999999999</v>
      </c>
      <c r="I918" s="18" t="s">
        <v>1588</v>
      </c>
      <c r="J918" s="18" t="s">
        <v>512</v>
      </c>
      <c r="K918" s="18" t="s">
        <v>2626</v>
      </c>
      <c r="L918" s="30" t="s">
        <v>1612</v>
      </c>
    </row>
    <row r="919" spans="1:12" hidden="1" x14ac:dyDescent="0.25">
      <c r="A919" s="18" t="s">
        <v>25</v>
      </c>
      <c r="B919" s="57">
        <v>1.2962962962962963E-3</v>
      </c>
      <c r="C919" s="58">
        <v>1</v>
      </c>
      <c r="D919" s="18" t="s">
        <v>2629</v>
      </c>
      <c r="E919" s="18" t="s">
        <v>2630</v>
      </c>
      <c r="F919" s="18" t="s">
        <v>1637</v>
      </c>
      <c r="G919" s="59">
        <v>195.94</v>
      </c>
      <c r="H919" s="59">
        <v>195.94</v>
      </c>
      <c r="I919" s="18" t="s">
        <v>367</v>
      </c>
      <c r="J919" s="18" t="s">
        <v>427</v>
      </c>
      <c r="K919" s="18" t="s">
        <v>2626</v>
      </c>
      <c r="L919" s="30" t="s">
        <v>1612</v>
      </c>
    </row>
    <row r="920" spans="1:12" hidden="1" x14ac:dyDescent="0.25">
      <c r="A920" s="18" t="s">
        <v>25</v>
      </c>
      <c r="B920" s="57">
        <v>1.0532407407407407E-3</v>
      </c>
      <c r="C920" s="58">
        <v>1</v>
      </c>
      <c r="D920" s="18" t="s">
        <v>2631</v>
      </c>
      <c r="E920" s="18" t="s">
        <v>2632</v>
      </c>
      <c r="F920" s="18" t="s">
        <v>1637</v>
      </c>
      <c r="G920" s="59">
        <v>193.89</v>
      </c>
      <c r="H920" s="59">
        <v>193.89</v>
      </c>
      <c r="I920" s="18" t="s">
        <v>367</v>
      </c>
      <c r="J920" s="18" t="s">
        <v>1595</v>
      </c>
      <c r="K920" s="18" t="s">
        <v>2626</v>
      </c>
      <c r="L920" s="30" t="s">
        <v>1612</v>
      </c>
    </row>
    <row r="921" spans="1:12" hidden="1" x14ac:dyDescent="0.25">
      <c r="A921" s="18" t="s">
        <v>25</v>
      </c>
      <c r="B921" s="57">
        <v>7.9861111111111105E-4</v>
      </c>
      <c r="C921" s="58">
        <v>1</v>
      </c>
      <c r="D921" s="18" t="s">
        <v>1792</v>
      </c>
      <c r="E921" s="18" t="s">
        <v>1752</v>
      </c>
      <c r="F921" s="18" t="s">
        <v>1637</v>
      </c>
      <c r="G921" s="59">
        <v>43.53</v>
      </c>
      <c r="H921" s="59">
        <v>43.53</v>
      </c>
      <c r="I921" s="18" t="s">
        <v>367</v>
      </c>
      <c r="J921" s="18" t="s">
        <v>512</v>
      </c>
      <c r="K921" s="18" t="s">
        <v>2626</v>
      </c>
      <c r="L921" s="30" t="s">
        <v>1612</v>
      </c>
    </row>
    <row r="922" spans="1:12" hidden="1" x14ac:dyDescent="0.25">
      <c r="A922" s="18" t="s">
        <v>25</v>
      </c>
      <c r="B922" s="57">
        <v>8.9120370370370362E-4</v>
      </c>
      <c r="C922" s="58">
        <v>1</v>
      </c>
      <c r="D922" s="18" t="s">
        <v>1725</v>
      </c>
      <c r="E922" s="18" t="s">
        <v>1726</v>
      </c>
      <c r="F922" s="18" t="s">
        <v>1637</v>
      </c>
      <c r="G922" s="59">
        <v>43.7</v>
      </c>
      <c r="H922" s="59">
        <v>43.7</v>
      </c>
      <c r="I922" s="18" t="s">
        <v>367</v>
      </c>
      <c r="J922" s="18" t="s">
        <v>512</v>
      </c>
      <c r="K922" s="18" t="s">
        <v>2626</v>
      </c>
      <c r="L922" s="30" t="s">
        <v>1612</v>
      </c>
    </row>
    <row r="923" spans="1:12" hidden="1" x14ac:dyDescent="0.25">
      <c r="A923" s="18" t="s">
        <v>25</v>
      </c>
      <c r="B923" s="57">
        <v>1.0763888888888889E-3</v>
      </c>
      <c r="C923" s="58">
        <v>1</v>
      </c>
      <c r="D923" s="18" t="s">
        <v>1727</v>
      </c>
      <c r="E923" s="18" t="s">
        <v>1726</v>
      </c>
      <c r="F923" s="18" t="s">
        <v>1637</v>
      </c>
      <c r="G923" s="59">
        <v>43.7</v>
      </c>
      <c r="H923" s="59">
        <v>43.7</v>
      </c>
      <c r="I923" s="18" t="s">
        <v>367</v>
      </c>
      <c r="J923" s="18" t="s">
        <v>512</v>
      </c>
      <c r="K923" s="18" t="s">
        <v>2626</v>
      </c>
      <c r="L923" s="30" t="s">
        <v>1612</v>
      </c>
    </row>
    <row r="924" spans="1:12" hidden="1" x14ac:dyDescent="0.25">
      <c r="A924" s="18" t="s">
        <v>25</v>
      </c>
      <c r="B924" s="57">
        <v>7.5231481481481482E-4</v>
      </c>
      <c r="C924" s="58">
        <v>1</v>
      </c>
      <c r="D924" s="18" t="s">
        <v>2633</v>
      </c>
      <c r="E924" s="18" t="s">
        <v>2634</v>
      </c>
      <c r="F924" s="18" t="s">
        <v>1637</v>
      </c>
      <c r="G924" s="59">
        <v>45.07</v>
      </c>
      <c r="H924" s="59">
        <v>45.07</v>
      </c>
      <c r="I924" s="18" t="s">
        <v>65</v>
      </c>
      <c r="J924" s="18" t="s">
        <v>512</v>
      </c>
      <c r="K924" s="18" t="s">
        <v>2626</v>
      </c>
      <c r="L924" s="30" t="s">
        <v>1612</v>
      </c>
    </row>
    <row r="925" spans="1:12" hidden="1" x14ac:dyDescent="0.25">
      <c r="A925" s="18" t="s">
        <v>25</v>
      </c>
      <c r="B925" s="57">
        <v>7.5231481481481482E-4</v>
      </c>
      <c r="C925" s="58">
        <v>1</v>
      </c>
      <c r="D925" s="18" t="s">
        <v>2635</v>
      </c>
      <c r="E925" s="18" t="s">
        <v>2634</v>
      </c>
      <c r="F925" s="18" t="s">
        <v>1637</v>
      </c>
      <c r="G925" s="59">
        <v>45.07</v>
      </c>
      <c r="H925" s="59">
        <v>45.07</v>
      </c>
      <c r="I925" s="18" t="s">
        <v>65</v>
      </c>
      <c r="J925" s="18" t="s">
        <v>512</v>
      </c>
      <c r="K925" s="18" t="s">
        <v>2626</v>
      </c>
      <c r="L925" s="30" t="s">
        <v>1612</v>
      </c>
    </row>
    <row r="926" spans="1:12" hidden="1" x14ac:dyDescent="0.25">
      <c r="A926" s="18" t="s">
        <v>25</v>
      </c>
      <c r="B926" s="57">
        <v>3.460648148148148E-3</v>
      </c>
      <c r="C926" s="58">
        <v>5</v>
      </c>
      <c r="D926" s="18" t="s">
        <v>1738</v>
      </c>
      <c r="E926" s="18" t="s">
        <v>1739</v>
      </c>
      <c r="F926" s="18" t="s">
        <v>1637</v>
      </c>
      <c r="G926" s="59">
        <v>33.229999999999997</v>
      </c>
      <c r="H926" s="59">
        <v>166.15</v>
      </c>
      <c r="I926" s="18" t="s">
        <v>65</v>
      </c>
      <c r="J926" s="18" t="s">
        <v>368</v>
      </c>
      <c r="K926" s="18" t="s">
        <v>2626</v>
      </c>
      <c r="L926" s="30" t="s">
        <v>1612</v>
      </c>
    </row>
    <row r="927" spans="1:12" hidden="1" x14ac:dyDescent="0.25">
      <c r="A927" s="18" t="s">
        <v>25</v>
      </c>
      <c r="B927" s="57">
        <v>1.3773148148148147E-3</v>
      </c>
      <c r="C927" s="58">
        <v>1</v>
      </c>
      <c r="D927" s="18" t="s">
        <v>1805</v>
      </c>
      <c r="E927" s="18" t="s">
        <v>1662</v>
      </c>
      <c r="F927" s="18" t="s">
        <v>1637</v>
      </c>
      <c r="G927" s="59">
        <v>35.79</v>
      </c>
      <c r="H927" s="59">
        <v>35.79</v>
      </c>
      <c r="I927" s="18" t="s">
        <v>65</v>
      </c>
      <c r="J927" s="18" t="s">
        <v>1599</v>
      </c>
      <c r="K927" s="18" t="s">
        <v>2626</v>
      </c>
      <c r="L927" s="30" t="s">
        <v>1612</v>
      </c>
    </row>
    <row r="928" spans="1:12" hidden="1" x14ac:dyDescent="0.25">
      <c r="A928" s="18" t="s">
        <v>25</v>
      </c>
      <c r="B928" s="57">
        <v>6.7129629629629625E-4</v>
      </c>
      <c r="C928" s="58">
        <v>1</v>
      </c>
      <c r="D928" s="18" t="s">
        <v>1769</v>
      </c>
      <c r="E928" s="18" t="s">
        <v>1741</v>
      </c>
      <c r="F928" s="18" t="s">
        <v>1637</v>
      </c>
      <c r="G928" s="59">
        <v>27.13</v>
      </c>
      <c r="H928" s="59">
        <v>27.13</v>
      </c>
      <c r="I928" s="18" t="s">
        <v>65</v>
      </c>
      <c r="J928" s="18" t="s">
        <v>512</v>
      </c>
      <c r="K928" s="18" t="s">
        <v>2626</v>
      </c>
      <c r="L928" s="30" t="s">
        <v>1612</v>
      </c>
    </row>
    <row r="929" spans="1:12" hidden="1" x14ac:dyDescent="0.25">
      <c r="A929" s="18" t="s">
        <v>25</v>
      </c>
      <c r="B929" s="57">
        <v>1.1689814814814813E-3</v>
      </c>
      <c r="C929" s="58">
        <v>1</v>
      </c>
      <c r="D929" s="18" t="s">
        <v>2636</v>
      </c>
      <c r="E929" s="18" t="s">
        <v>2637</v>
      </c>
      <c r="F929" s="18" t="s">
        <v>1637</v>
      </c>
      <c r="G929" s="59">
        <v>519.73</v>
      </c>
      <c r="H929" s="59">
        <v>519.73</v>
      </c>
      <c r="I929" s="18" t="s">
        <v>65</v>
      </c>
      <c r="J929" s="18" t="s">
        <v>512</v>
      </c>
      <c r="K929" s="18" t="s">
        <v>2626</v>
      </c>
      <c r="L929" s="30" t="s">
        <v>1612</v>
      </c>
    </row>
    <row r="930" spans="1:12" hidden="1" x14ac:dyDescent="0.25">
      <c r="A930" s="18" t="s">
        <v>25</v>
      </c>
      <c r="B930" s="57">
        <v>2.5578703703703701E-3</v>
      </c>
      <c r="C930" s="58">
        <v>3</v>
      </c>
      <c r="D930" s="18" t="s">
        <v>2638</v>
      </c>
      <c r="E930" s="18" t="s">
        <v>1780</v>
      </c>
      <c r="F930" s="18" t="s">
        <v>1637</v>
      </c>
      <c r="G930" s="59">
        <v>39.36</v>
      </c>
      <c r="H930" s="59">
        <v>118.08</v>
      </c>
      <c r="I930" s="18" t="s">
        <v>367</v>
      </c>
      <c r="J930" s="18" t="s">
        <v>512</v>
      </c>
      <c r="K930" s="18" t="s">
        <v>2626</v>
      </c>
      <c r="L930" s="30" t="s">
        <v>1612</v>
      </c>
    </row>
    <row r="931" spans="1:12" hidden="1" x14ac:dyDescent="0.25">
      <c r="A931" s="18" t="s">
        <v>25</v>
      </c>
      <c r="B931" s="57">
        <v>8.4490740740740739E-4</v>
      </c>
      <c r="C931" s="58">
        <v>1</v>
      </c>
      <c r="D931" s="18" t="s">
        <v>1779</v>
      </c>
      <c r="E931" s="18" t="s">
        <v>1780</v>
      </c>
      <c r="F931" s="18" t="s">
        <v>1637</v>
      </c>
      <c r="G931" s="59">
        <v>39.36</v>
      </c>
      <c r="H931" s="59">
        <v>39.36</v>
      </c>
      <c r="I931" s="18" t="s">
        <v>367</v>
      </c>
      <c r="J931" s="18" t="s">
        <v>512</v>
      </c>
      <c r="K931" s="18" t="s">
        <v>2626</v>
      </c>
      <c r="L931" s="30" t="s">
        <v>1612</v>
      </c>
    </row>
    <row r="932" spans="1:12" hidden="1" x14ac:dyDescent="0.25">
      <c r="A932" s="18" t="s">
        <v>25</v>
      </c>
      <c r="B932" s="57">
        <v>2.673611111111111E-3</v>
      </c>
      <c r="C932" s="58">
        <v>3</v>
      </c>
      <c r="D932" s="18" t="s">
        <v>2639</v>
      </c>
      <c r="E932" s="18" t="s">
        <v>1752</v>
      </c>
      <c r="F932" s="18" t="s">
        <v>1637</v>
      </c>
      <c r="G932" s="59">
        <v>43.8</v>
      </c>
      <c r="H932" s="59">
        <v>131.4</v>
      </c>
      <c r="I932" s="18" t="s">
        <v>367</v>
      </c>
      <c r="J932" s="18" t="s">
        <v>512</v>
      </c>
      <c r="K932" s="18" t="s">
        <v>2626</v>
      </c>
      <c r="L932" s="30" t="s">
        <v>1612</v>
      </c>
    </row>
    <row r="933" spans="1:12" hidden="1" x14ac:dyDescent="0.25">
      <c r="A933" s="18" t="s">
        <v>27</v>
      </c>
      <c r="B933" s="57">
        <v>6.9212962962962961E-3</v>
      </c>
      <c r="C933" s="58">
        <v>1</v>
      </c>
      <c r="D933" s="18" t="s">
        <v>1162</v>
      </c>
      <c r="E933" s="18" t="s">
        <v>119</v>
      </c>
      <c r="F933" s="18" t="s">
        <v>1621</v>
      </c>
      <c r="G933" s="59">
        <v>1401.7</v>
      </c>
      <c r="H933" s="59">
        <v>1401.7</v>
      </c>
      <c r="I933" s="18" t="s">
        <v>129</v>
      </c>
      <c r="J933" s="18" t="s">
        <v>115</v>
      </c>
      <c r="K933" s="18" t="s">
        <v>2640</v>
      </c>
      <c r="L933" s="30"/>
    </row>
    <row r="934" spans="1:12" hidden="1" x14ac:dyDescent="0.25">
      <c r="A934" s="18" t="s">
        <v>27</v>
      </c>
      <c r="B934" s="57">
        <v>1.9907407407407408E-3</v>
      </c>
      <c r="C934" s="58">
        <v>1</v>
      </c>
      <c r="D934" s="18" t="s">
        <v>2356</v>
      </c>
      <c r="E934" s="18" t="s">
        <v>2310</v>
      </c>
      <c r="F934" s="18" t="s">
        <v>1621</v>
      </c>
      <c r="G934" s="59">
        <v>58.91</v>
      </c>
      <c r="H934" s="59">
        <v>58.91</v>
      </c>
      <c r="I934" s="18" t="s">
        <v>1665</v>
      </c>
      <c r="J934" s="18" t="s">
        <v>115</v>
      </c>
      <c r="K934" s="18" t="s">
        <v>2641</v>
      </c>
      <c r="L934" s="30"/>
    </row>
    <row r="935" spans="1:12" hidden="1" x14ac:dyDescent="0.25">
      <c r="A935" s="18" t="s">
        <v>27</v>
      </c>
      <c r="B935" s="57">
        <v>1.9907407407407408E-3</v>
      </c>
      <c r="C935" s="58">
        <v>1</v>
      </c>
      <c r="D935" s="18" t="s">
        <v>2309</v>
      </c>
      <c r="E935" s="18" t="s">
        <v>2310</v>
      </c>
      <c r="F935" s="18" t="s">
        <v>1621</v>
      </c>
      <c r="G935" s="59">
        <v>58.91</v>
      </c>
      <c r="H935" s="59">
        <v>58.91</v>
      </c>
      <c r="I935" s="18" t="s">
        <v>1672</v>
      </c>
      <c r="J935" s="18" t="s">
        <v>115</v>
      </c>
      <c r="K935" s="18" t="s">
        <v>2641</v>
      </c>
      <c r="L935" s="30"/>
    </row>
    <row r="936" spans="1:12" hidden="1" x14ac:dyDescent="0.25">
      <c r="A936" s="18" t="s">
        <v>27</v>
      </c>
      <c r="B936" s="57">
        <v>2.0254629629629629E-3</v>
      </c>
      <c r="C936" s="58">
        <v>1</v>
      </c>
      <c r="D936" s="18" t="s">
        <v>2299</v>
      </c>
      <c r="E936" s="18" t="s">
        <v>2300</v>
      </c>
      <c r="F936" s="18" t="s">
        <v>1621</v>
      </c>
      <c r="G936" s="59">
        <v>58.12</v>
      </c>
      <c r="H936" s="59">
        <v>58.12</v>
      </c>
      <c r="I936" s="18" t="s">
        <v>1672</v>
      </c>
      <c r="J936" s="18" t="s">
        <v>498</v>
      </c>
      <c r="K936" s="18" t="s">
        <v>2641</v>
      </c>
      <c r="L936" s="30"/>
    </row>
    <row r="937" spans="1:12" hidden="1" x14ac:dyDescent="0.25">
      <c r="A937" s="18" t="s">
        <v>27</v>
      </c>
      <c r="B937" s="57">
        <v>1.736111111111111E-3</v>
      </c>
      <c r="C937" s="58">
        <v>1</v>
      </c>
      <c r="D937" s="18" t="s">
        <v>2228</v>
      </c>
      <c r="E937" s="18" t="s">
        <v>2153</v>
      </c>
      <c r="F937" s="18" t="s">
        <v>1621</v>
      </c>
      <c r="G937" s="59">
        <v>73.5</v>
      </c>
      <c r="H937" s="59">
        <v>73.5</v>
      </c>
      <c r="I937" s="18" t="s">
        <v>1665</v>
      </c>
      <c r="J937" s="18" t="s">
        <v>512</v>
      </c>
      <c r="K937" s="18" t="s">
        <v>2641</v>
      </c>
      <c r="L937" s="30"/>
    </row>
    <row r="938" spans="1:12" hidden="1" x14ac:dyDescent="0.25">
      <c r="A938" s="18" t="s">
        <v>27</v>
      </c>
      <c r="B938" s="57">
        <v>6.2962962962962964E-3</v>
      </c>
      <c r="C938" s="58">
        <v>1</v>
      </c>
      <c r="D938" s="18" t="s">
        <v>2642</v>
      </c>
      <c r="E938" s="18" t="s">
        <v>2643</v>
      </c>
      <c r="F938" s="18" t="s">
        <v>1621</v>
      </c>
      <c r="G938" s="59">
        <v>1046.44</v>
      </c>
      <c r="H938" s="59">
        <v>1046.44</v>
      </c>
      <c r="I938" s="18" t="s">
        <v>150</v>
      </c>
      <c r="J938" s="18" t="s">
        <v>115</v>
      </c>
      <c r="K938" s="18" t="s">
        <v>2641</v>
      </c>
      <c r="L938" s="30"/>
    </row>
    <row r="939" spans="1:12" hidden="1" x14ac:dyDescent="0.25">
      <c r="A939" s="18" t="s">
        <v>27</v>
      </c>
      <c r="B939" s="57">
        <v>6.9212962962962961E-3</v>
      </c>
      <c r="C939" s="58">
        <v>1</v>
      </c>
      <c r="D939" s="18" t="s">
        <v>1164</v>
      </c>
      <c r="E939" s="18" t="s">
        <v>119</v>
      </c>
      <c r="F939" s="18" t="s">
        <v>1621</v>
      </c>
      <c r="G939" s="59">
        <v>1401.7</v>
      </c>
      <c r="H939" s="59">
        <v>1401.7</v>
      </c>
      <c r="I939" s="18" t="s">
        <v>131</v>
      </c>
      <c r="J939" s="18" t="s">
        <v>115</v>
      </c>
      <c r="K939" s="18" t="s">
        <v>2644</v>
      </c>
      <c r="L939" s="30"/>
    </row>
    <row r="940" spans="1:12" hidden="1" x14ac:dyDescent="0.25">
      <c r="A940" s="18" t="s">
        <v>27</v>
      </c>
      <c r="B940" s="57">
        <v>3.9120370370370368E-3</v>
      </c>
      <c r="C940" s="58">
        <v>2</v>
      </c>
      <c r="D940" s="18" t="s">
        <v>2356</v>
      </c>
      <c r="E940" s="18" t="s">
        <v>2310</v>
      </c>
      <c r="F940" s="18" t="s">
        <v>1621</v>
      </c>
      <c r="G940" s="59">
        <v>58.91</v>
      </c>
      <c r="H940" s="59">
        <v>117.82</v>
      </c>
      <c r="I940" s="18" t="s">
        <v>1665</v>
      </c>
      <c r="J940" s="18" t="s">
        <v>115</v>
      </c>
      <c r="K940" s="18" t="s">
        <v>2645</v>
      </c>
      <c r="L940" s="30"/>
    </row>
    <row r="941" spans="1:12" hidden="1" x14ac:dyDescent="0.25">
      <c r="A941" s="18" t="s">
        <v>27</v>
      </c>
      <c r="B941" s="57">
        <v>6.1805555555555555E-3</v>
      </c>
      <c r="C941" s="58">
        <v>1</v>
      </c>
      <c r="D941" s="18" t="s">
        <v>2646</v>
      </c>
      <c r="E941" s="18" t="s">
        <v>2138</v>
      </c>
      <c r="F941" s="18" t="s">
        <v>1621</v>
      </c>
      <c r="G941" s="59">
        <v>1046.44</v>
      </c>
      <c r="H941" s="59">
        <v>1046.44</v>
      </c>
      <c r="I941" s="18" t="s">
        <v>129</v>
      </c>
      <c r="J941" s="18" t="s">
        <v>115</v>
      </c>
      <c r="K941" s="18" t="s">
        <v>2645</v>
      </c>
      <c r="L941" s="30"/>
    </row>
    <row r="942" spans="1:12" hidden="1" x14ac:dyDescent="0.25">
      <c r="A942" s="18" t="s">
        <v>27</v>
      </c>
      <c r="B942" s="57">
        <v>1.9444444444444444E-3</v>
      </c>
      <c r="C942" s="58">
        <v>1</v>
      </c>
      <c r="D942" s="18" t="s">
        <v>2457</v>
      </c>
      <c r="E942" s="18" t="s">
        <v>2458</v>
      </c>
      <c r="F942" s="18" t="s">
        <v>1621</v>
      </c>
      <c r="G942" s="59">
        <v>11.77</v>
      </c>
      <c r="H942" s="59">
        <v>11.77</v>
      </c>
      <c r="I942" s="18" t="s">
        <v>367</v>
      </c>
      <c r="J942" s="18" t="s">
        <v>368</v>
      </c>
      <c r="K942" s="18" t="s">
        <v>2645</v>
      </c>
      <c r="L942" s="30"/>
    </row>
    <row r="943" spans="1:12" hidden="1" x14ac:dyDescent="0.25">
      <c r="A943" s="18" t="s">
        <v>27</v>
      </c>
      <c r="B943" s="57">
        <v>1.9444444444444444E-3</v>
      </c>
      <c r="C943" s="58">
        <v>1</v>
      </c>
      <c r="D943" s="18" t="s">
        <v>2375</v>
      </c>
      <c r="E943" s="18" t="s">
        <v>2376</v>
      </c>
      <c r="F943" s="18" t="s">
        <v>1621</v>
      </c>
      <c r="G943" s="59">
        <v>11.72</v>
      </c>
      <c r="H943" s="59">
        <v>11.72</v>
      </c>
      <c r="I943" s="18" t="s">
        <v>367</v>
      </c>
      <c r="J943" s="18" t="s">
        <v>368</v>
      </c>
      <c r="K943" s="18" t="s">
        <v>2645</v>
      </c>
      <c r="L943" s="30"/>
    </row>
    <row r="944" spans="1:12" hidden="1" x14ac:dyDescent="0.25">
      <c r="A944" s="18" t="s">
        <v>27</v>
      </c>
      <c r="B944" s="57">
        <v>1.724537037037037E-3</v>
      </c>
      <c r="C944" s="58">
        <v>1</v>
      </c>
      <c r="D944" s="18" t="s">
        <v>2276</v>
      </c>
      <c r="E944" s="18" t="s">
        <v>2270</v>
      </c>
      <c r="F944" s="18" t="s">
        <v>1621</v>
      </c>
      <c r="G944" s="59">
        <v>57.73</v>
      </c>
      <c r="H944" s="59">
        <v>57.73</v>
      </c>
      <c r="I944" s="18" t="s">
        <v>367</v>
      </c>
      <c r="J944" s="18" t="s">
        <v>427</v>
      </c>
      <c r="K944" s="18" t="s">
        <v>2645</v>
      </c>
      <c r="L944" s="30"/>
    </row>
    <row r="945" spans="1:12" hidden="1" x14ac:dyDescent="0.25">
      <c r="A945" s="18" t="s">
        <v>27</v>
      </c>
      <c r="B945" s="57">
        <v>1.8634259259259259E-3</v>
      </c>
      <c r="C945" s="58">
        <v>1</v>
      </c>
      <c r="D945" s="18" t="s">
        <v>2269</v>
      </c>
      <c r="E945" s="18" t="s">
        <v>2270</v>
      </c>
      <c r="F945" s="18" t="s">
        <v>1621</v>
      </c>
      <c r="G945" s="59">
        <v>55.27</v>
      </c>
      <c r="H945" s="59">
        <v>55.27</v>
      </c>
      <c r="I945" s="18" t="s">
        <v>367</v>
      </c>
      <c r="J945" s="18" t="s">
        <v>427</v>
      </c>
      <c r="K945" s="18" t="s">
        <v>2645</v>
      </c>
      <c r="L945" s="30"/>
    </row>
    <row r="946" spans="1:12" hidden="1" x14ac:dyDescent="0.25">
      <c r="A946" s="18" t="s">
        <v>27</v>
      </c>
      <c r="B946" s="57">
        <v>6.9212962962962961E-3</v>
      </c>
      <c r="C946" s="58">
        <v>1</v>
      </c>
      <c r="D946" s="18" t="s">
        <v>428</v>
      </c>
      <c r="E946" s="18" t="s">
        <v>429</v>
      </c>
      <c r="F946" s="18" t="s">
        <v>1621</v>
      </c>
      <c r="G946" s="59">
        <v>1407.72</v>
      </c>
      <c r="H946" s="59">
        <v>1407.72</v>
      </c>
      <c r="I946" s="18" t="s">
        <v>367</v>
      </c>
      <c r="J946" s="18" t="s">
        <v>427</v>
      </c>
      <c r="K946" s="18" t="s">
        <v>2647</v>
      </c>
      <c r="L946" s="30"/>
    </row>
    <row r="947" spans="1:12" hidden="1" x14ac:dyDescent="0.25">
      <c r="A947" s="18" t="s">
        <v>27</v>
      </c>
      <c r="B947" s="57">
        <v>3.9814814814814817E-3</v>
      </c>
      <c r="C947" s="58">
        <v>2</v>
      </c>
      <c r="D947" s="18" t="s">
        <v>2309</v>
      </c>
      <c r="E947" s="18" t="s">
        <v>2310</v>
      </c>
      <c r="F947" s="18" t="s">
        <v>1621</v>
      </c>
      <c r="G947" s="59">
        <v>58.91</v>
      </c>
      <c r="H947" s="59">
        <v>117.82</v>
      </c>
      <c r="I947" s="18" t="s">
        <v>1672</v>
      </c>
      <c r="J947" s="18" t="s">
        <v>115</v>
      </c>
      <c r="K947" s="18" t="s">
        <v>2648</v>
      </c>
      <c r="L947" s="30"/>
    </row>
    <row r="948" spans="1:12" hidden="1" x14ac:dyDescent="0.25">
      <c r="A948" s="18" t="s">
        <v>27</v>
      </c>
      <c r="B948" s="57">
        <v>6.2847222222222219E-3</v>
      </c>
      <c r="C948" s="58">
        <v>1</v>
      </c>
      <c r="D948" s="18" t="s">
        <v>2649</v>
      </c>
      <c r="E948" s="18" t="s">
        <v>2138</v>
      </c>
      <c r="F948" s="18" t="s">
        <v>1621</v>
      </c>
      <c r="G948" s="59">
        <v>1046.44</v>
      </c>
      <c r="H948" s="59">
        <v>1046.44</v>
      </c>
      <c r="I948" s="18" t="s">
        <v>131</v>
      </c>
      <c r="J948" s="18" t="s">
        <v>115</v>
      </c>
      <c r="K948" s="18" t="s">
        <v>2648</v>
      </c>
      <c r="L948" s="30"/>
    </row>
    <row r="949" spans="1:12" hidden="1" x14ac:dyDescent="0.25">
      <c r="A949" s="18" t="s">
        <v>27</v>
      </c>
      <c r="B949" s="57">
        <v>1.8981481481481482E-3</v>
      </c>
      <c r="C949" s="58">
        <v>1</v>
      </c>
      <c r="D949" s="18" t="s">
        <v>2271</v>
      </c>
      <c r="E949" s="18" t="s">
        <v>2270</v>
      </c>
      <c r="F949" s="18" t="s">
        <v>1621</v>
      </c>
      <c r="G949" s="59">
        <v>55.28</v>
      </c>
      <c r="H949" s="59">
        <v>55.28</v>
      </c>
      <c r="I949" s="18" t="s">
        <v>367</v>
      </c>
      <c r="J949" s="18" t="s">
        <v>427</v>
      </c>
      <c r="K949" s="18" t="s">
        <v>2648</v>
      </c>
      <c r="L949" s="30"/>
    </row>
    <row r="950" spans="1:12" hidden="1" x14ac:dyDescent="0.25">
      <c r="A950" s="18" t="s">
        <v>27</v>
      </c>
      <c r="B950" s="57">
        <v>1.7592592592592592E-3</v>
      </c>
      <c r="C950" s="58">
        <v>1</v>
      </c>
      <c r="D950" s="18" t="s">
        <v>2312</v>
      </c>
      <c r="E950" s="18" t="s">
        <v>2270</v>
      </c>
      <c r="F950" s="18" t="s">
        <v>1621</v>
      </c>
      <c r="G950" s="59">
        <v>57.73</v>
      </c>
      <c r="H950" s="59">
        <v>57.73</v>
      </c>
      <c r="I950" s="18" t="s">
        <v>367</v>
      </c>
      <c r="J950" s="18" t="s">
        <v>427</v>
      </c>
      <c r="K950" s="18" t="s">
        <v>2648</v>
      </c>
      <c r="L950" s="30"/>
    </row>
    <row r="951" spans="1:12" hidden="1" x14ac:dyDescent="0.25">
      <c r="A951" s="18" t="s">
        <v>27</v>
      </c>
      <c r="B951" s="57">
        <v>7.0601851851851847E-4</v>
      </c>
      <c r="C951" s="58">
        <v>1</v>
      </c>
      <c r="D951" s="18" t="s">
        <v>2416</v>
      </c>
      <c r="E951" s="18" t="s">
        <v>2329</v>
      </c>
      <c r="F951" s="18" t="s">
        <v>1621</v>
      </c>
      <c r="G951" s="59">
        <v>14.31</v>
      </c>
      <c r="H951" s="59">
        <v>14.31</v>
      </c>
      <c r="I951" s="18" t="s">
        <v>367</v>
      </c>
      <c r="J951" s="18" t="s">
        <v>367</v>
      </c>
      <c r="K951" s="18" t="s">
        <v>2650</v>
      </c>
      <c r="L951" s="30"/>
    </row>
    <row r="952" spans="1:12" hidden="1" x14ac:dyDescent="0.25">
      <c r="A952" s="18" t="s">
        <v>27</v>
      </c>
      <c r="B952" s="57">
        <v>1.423611111111111E-3</v>
      </c>
      <c r="C952" s="58">
        <v>2</v>
      </c>
      <c r="D952" s="18" t="s">
        <v>2328</v>
      </c>
      <c r="E952" s="18" t="s">
        <v>2329</v>
      </c>
      <c r="F952" s="18" t="s">
        <v>1621</v>
      </c>
      <c r="G952" s="59">
        <v>14.31</v>
      </c>
      <c r="H952" s="59">
        <v>28.62</v>
      </c>
      <c r="I952" s="18" t="s">
        <v>367</v>
      </c>
      <c r="J952" s="18" t="s">
        <v>367</v>
      </c>
      <c r="K952" s="18" t="s">
        <v>2650</v>
      </c>
      <c r="L952" s="30"/>
    </row>
    <row r="953" spans="1:12" hidden="1" x14ac:dyDescent="0.25">
      <c r="A953" s="18" t="s">
        <v>27</v>
      </c>
      <c r="B953" s="57">
        <v>7.407407407407407E-4</v>
      </c>
      <c r="C953" s="58">
        <v>1</v>
      </c>
      <c r="D953" s="18" t="s">
        <v>1633</v>
      </c>
      <c r="E953" s="18" t="s">
        <v>1634</v>
      </c>
      <c r="F953" s="18" t="s">
        <v>1621</v>
      </c>
      <c r="G953" s="59">
        <v>19.12</v>
      </c>
      <c r="H953" s="59">
        <v>19.12</v>
      </c>
      <c r="I953" s="18" t="s">
        <v>367</v>
      </c>
      <c r="J953" s="18" t="s">
        <v>1599</v>
      </c>
      <c r="K953" s="18" t="s">
        <v>2650</v>
      </c>
      <c r="L953" s="30"/>
    </row>
    <row r="954" spans="1:12" hidden="1" x14ac:dyDescent="0.25">
      <c r="A954" s="18" t="s">
        <v>27</v>
      </c>
      <c r="B954" s="57">
        <v>6.7013888888888887E-3</v>
      </c>
      <c r="C954" s="58">
        <v>1</v>
      </c>
      <c r="D954" s="18" t="s">
        <v>2410</v>
      </c>
      <c r="E954" s="18" t="s">
        <v>494</v>
      </c>
      <c r="F954" s="18" t="s">
        <v>1621</v>
      </c>
      <c r="G954" s="59">
        <v>1275.19</v>
      </c>
      <c r="H954" s="59">
        <v>1275.19</v>
      </c>
      <c r="I954" s="18" t="s">
        <v>1141</v>
      </c>
      <c r="J954" s="18" t="s">
        <v>1594</v>
      </c>
      <c r="K954" s="18" t="s">
        <v>2650</v>
      </c>
      <c r="L954" s="30"/>
    </row>
    <row r="955" spans="1:12" hidden="1" x14ac:dyDescent="0.25">
      <c r="A955" s="18" t="s">
        <v>27</v>
      </c>
      <c r="B955" s="57">
        <v>6.898148148148148E-3</v>
      </c>
      <c r="C955" s="58">
        <v>1</v>
      </c>
      <c r="D955" s="18" t="s">
        <v>369</v>
      </c>
      <c r="E955" s="18" t="s">
        <v>370</v>
      </c>
      <c r="F955" s="18" t="s">
        <v>1621</v>
      </c>
      <c r="G955" s="59">
        <v>1369.44</v>
      </c>
      <c r="H955" s="59">
        <v>1369.44</v>
      </c>
      <c r="I955" s="18" t="s">
        <v>829</v>
      </c>
      <c r="J955" s="18" t="s">
        <v>368</v>
      </c>
      <c r="K955" s="18" t="s">
        <v>2651</v>
      </c>
      <c r="L955" s="30"/>
    </row>
    <row r="956" spans="1:12" hidden="1" x14ac:dyDescent="0.25">
      <c r="A956" s="18" t="s">
        <v>27</v>
      </c>
      <c r="B956" s="57">
        <v>4.7685185185185183E-3</v>
      </c>
      <c r="C956" s="58">
        <v>3</v>
      </c>
      <c r="D956" s="18" t="s">
        <v>2311</v>
      </c>
      <c r="E956" s="18" t="s">
        <v>2300</v>
      </c>
      <c r="F956" s="18" t="s">
        <v>1621</v>
      </c>
      <c r="G956" s="59">
        <v>58.12</v>
      </c>
      <c r="H956" s="59">
        <v>174.36</v>
      </c>
      <c r="I956" s="18" t="s">
        <v>1665</v>
      </c>
      <c r="J956" s="18" t="s">
        <v>498</v>
      </c>
      <c r="K956" s="18" t="s">
        <v>2652</v>
      </c>
      <c r="L956" s="30"/>
    </row>
    <row r="957" spans="1:12" hidden="1" x14ac:dyDescent="0.25">
      <c r="A957" s="18" t="s">
        <v>27</v>
      </c>
      <c r="B957" s="57">
        <v>1.261574074074074E-3</v>
      </c>
      <c r="C957" s="58">
        <v>1</v>
      </c>
      <c r="D957" s="18" t="s">
        <v>1623</v>
      </c>
      <c r="E957" s="18" t="s">
        <v>1624</v>
      </c>
      <c r="F957" s="18" t="s">
        <v>1621</v>
      </c>
      <c r="G957" s="59">
        <v>76.63</v>
      </c>
      <c r="H957" s="59">
        <v>76.63</v>
      </c>
      <c r="I957" s="18" t="s">
        <v>1588</v>
      </c>
      <c r="J957" s="18" t="s">
        <v>44</v>
      </c>
      <c r="K957" s="18" t="s">
        <v>2652</v>
      </c>
      <c r="L957" s="30"/>
    </row>
    <row r="958" spans="1:12" hidden="1" x14ac:dyDescent="0.25">
      <c r="A958" s="18" t="s">
        <v>27</v>
      </c>
      <c r="B958" s="57">
        <v>2.8240740740740739E-3</v>
      </c>
      <c r="C958" s="58">
        <v>8</v>
      </c>
      <c r="D958" s="18" t="s">
        <v>2060</v>
      </c>
      <c r="E958" s="18" t="s">
        <v>2061</v>
      </c>
      <c r="F958" s="18" t="s">
        <v>1621</v>
      </c>
      <c r="G958" s="59">
        <v>1.4</v>
      </c>
      <c r="H958" s="59">
        <v>11.2</v>
      </c>
      <c r="I958" s="18" t="s">
        <v>367</v>
      </c>
      <c r="J958" s="18" t="s">
        <v>1593</v>
      </c>
      <c r="K958" s="18" t="s">
        <v>2652</v>
      </c>
      <c r="L958" s="30"/>
    </row>
    <row r="959" spans="1:12" hidden="1" x14ac:dyDescent="0.25">
      <c r="A959" s="18" t="s">
        <v>27</v>
      </c>
      <c r="B959" s="57">
        <v>4.9768518518518521E-4</v>
      </c>
      <c r="C959" s="58">
        <v>1</v>
      </c>
      <c r="D959" s="18" t="s">
        <v>2483</v>
      </c>
      <c r="E959" s="18" t="s">
        <v>2484</v>
      </c>
      <c r="F959" s="18" t="s">
        <v>1621</v>
      </c>
      <c r="G959" s="59">
        <v>7.1</v>
      </c>
      <c r="H959" s="59">
        <v>7.1</v>
      </c>
      <c r="I959" s="18" t="s">
        <v>367</v>
      </c>
      <c r="J959" s="18" t="s">
        <v>367</v>
      </c>
      <c r="K959" s="18" t="s">
        <v>2652</v>
      </c>
      <c r="L959" s="30"/>
    </row>
    <row r="960" spans="1:12" hidden="1" x14ac:dyDescent="0.25">
      <c r="A960" s="18" t="s">
        <v>27</v>
      </c>
      <c r="B960" s="57">
        <v>1.7013888888888888E-3</v>
      </c>
      <c r="C960" s="58">
        <v>3</v>
      </c>
      <c r="D960" s="18" t="s">
        <v>2096</v>
      </c>
      <c r="E960" s="18" t="s">
        <v>2097</v>
      </c>
      <c r="F960" s="18" t="s">
        <v>1621</v>
      </c>
      <c r="G960" s="59">
        <v>12.44</v>
      </c>
      <c r="H960" s="59">
        <v>37.32</v>
      </c>
      <c r="I960" s="18" t="s">
        <v>367</v>
      </c>
      <c r="J960" s="18" t="s">
        <v>368</v>
      </c>
      <c r="K960" s="18" t="s">
        <v>2652</v>
      </c>
      <c r="L960" s="30"/>
    </row>
    <row r="961" spans="1:12" hidden="1" x14ac:dyDescent="0.25">
      <c r="A961" s="18" t="s">
        <v>27</v>
      </c>
      <c r="B961" s="57">
        <v>1.9444444444444444E-3</v>
      </c>
      <c r="C961" s="58">
        <v>5</v>
      </c>
      <c r="D961" s="18" t="s">
        <v>2062</v>
      </c>
      <c r="E961" s="18" t="s">
        <v>2063</v>
      </c>
      <c r="F961" s="18" t="s">
        <v>1621</v>
      </c>
      <c r="G961" s="59">
        <v>2.2799999999999998</v>
      </c>
      <c r="H961" s="59">
        <v>11.4</v>
      </c>
      <c r="I961" s="18" t="s">
        <v>367</v>
      </c>
      <c r="J961" s="18" t="s">
        <v>1592</v>
      </c>
      <c r="K961" s="18" t="s">
        <v>2652</v>
      </c>
      <c r="L961" s="30"/>
    </row>
    <row r="962" spans="1:12" hidden="1" x14ac:dyDescent="0.25">
      <c r="A962" s="18" t="s">
        <v>27</v>
      </c>
      <c r="B962" s="57">
        <v>4.8263888888888887E-3</v>
      </c>
      <c r="C962" s="58">
        <v>1</v>
      </c>
      <c r="D962" s="18" t="s">
        <v>2331</v>
      </c>
      <c r="E962" s="18" t="s">
        <v>2653</v>
      </c>
      <c r="F962" s="18" t="s">
        <v>1621</v>
      </c>
      <c r="G962" s="59">
        <v>754.56</v>
      </c>
      <c r="H962" s="59">
        <v>754.56</v>
      </c>
      <c r="I962" s="18" t="s">
        <v>829</v>
      </c>
      <c r="J962" s="18" t="s">
        <v>368</v>
      </c>
      <c r="K962" s="18" t="s">
        <v>2652</v>
      </c>
      <c r="L962" s="30"/>
    </row>
    <row r="963" spans="1:12" hidden="1" x14ac:dyDescent="0.25">
      <c r="A963" s="18" t="s">
        <v>27</v>
      </c>
      <c r="B963" s="57">
        <v>6.5972222222222224E-4</v>
      </c>
      <c r="C963" s="58">
        <v>1</v>
      </c>
      <c r="D963" s="18" t="s">
        <v>2373</v>
      </c>
      <c r="E963" s="18" t="s">
        <v>2155</v>
      </c>
      <c r="F963" s="18" t="s">
        <v>1621</v>
      </c>
      <c r="G963" s="59">
        <v>16.7</v>
      </c>
      <c r="H963" s="59">
        <v>16.7</v>
      </c>
      <c r="I963" s="18" t="s">
        <v>367</v>
      </c>
      <c r="J963" s="18" t="s">
        <v>367</v>
      </c>
      <c r="K963" s="18" t="s">
        <v>2652</v>
      </c>
      <c r="L963" s="30"/>
    </row>
    <row r="964" spans="1:12" hidden="1" x14ac:dyDescent="0.25">
      <c r="A964" s="18" t="s">
        <v>27</v>
      </c>
      <c r="B964" s="57">
        <v>6.5972222222222224E-4</v>
      </c>
      <c r="C964" s="58">
        <v>1</v>
      </c>
      <c r="D964" s="18" t="s">
        <v>2154</v>
      </c>
      <c r="E964" s="18" t="s">
        <v>2155</v>
      </c>
      <c r="F964" s="18" t="s">
        <v>1621</v>
      </c>
      <c r="G964" s="59">
        <v>16.7</v>
      </c>
      <c r="H964" s="59">
        <v>16.7</v>
      </c>
      <c r="I964" s="18" t="s">
        <v>367</v>
      </c>
      <c r="J964" s="18" t="s">
        <v>367</v>
      </c>
      <c r="K964" s="18" t="s">
        <v>2652</v>
      </c>
      <c r="L964" s="30"/>
    </row>
    <row r="965" spans="1:12" hidden="1" x14ac:dyDescent="0.25">
      <c r="A965" s="18" t="s">
        <v>27</v>
      </c>
      <c r="B965" s="57">
        <v>1.5509259259259259E-3</v>
      </c>
      <c r="C965" s="58">
        <v>2</v>
      </c>
      <c r="D965" s="18" t="s">
        <v>2598</v>
      </c>
      <c r="E965" s="18" t="s">
        <v>2599</v>
      </c>
      <c r="F965" s="18" t="s">
        <v>1621</v>
      </c>
      <c r="G965" s="59">
        <v>22.51</v>
      </c>
      <c r="H965" s="59">
        <v>45.02</v>
      </c>
      <c r="I965" s="18" t="s">
        <v>367</v>
      </c>
      <c r="J965" s="18" t="s">
        <v>512</v>
      </c>
      <c r="K965" s="18" t="s">
        <v>2652</v>
      </c>
      <c r="L965" s="30"/>
    </row>
    <row r="966" spans="1:12" hidden="1" x14ac:dyDescent="0.25">
      <c r="A966" s="18" t="s">
        <v>27</v>
      </c>
      <c r="B966" s="57">
        <v>1.4004629629629629E-3</v>
      </c>
      <c r="C966" s="58">
        <v>1</v>
      </c>
      <c r="D966" s="18" t="s">
        <v>2601</v>
      </c>
      <c r="E966" s="18" t="s">
        <v>2226</v>
      </c>
      <c r="F966" s="18" t="s">
        <v>1621</v>
      </c>
      <c r="G966" s="59">
        <v>63.26</v>
      </c>
      <c r="H966" s="59">
        <v>63.26</v>
      </c>
      <c r="I966" s="18" t="s">
        <v>367</v>
      </c>
      <c r="J966" s="18" t="s">
        <v>1594</v>
      </c>
      <c r="K966" s="18" t="s">
        <v>2652</v>
      </c>
      <c r="L966" s="30"/>
    </row>
    <row r="967" spans="1:12" hidden="1" x14ac:dyDescent="0.25">
      <c r="A967" s="18" t="s">
        <v>27</v>
      </c>
      <c r="B967" s="57">
        <v>5.8101851851851847E-3</v>
      </c>
      <c r="C967" s="58">
        <v>1</v>
      </c>
      <c r="D967" s="18" t="s">
        <v>2234</v>
      </c>
      <c r="E967" s="18" t="s">
        <v>2235</v>
      </c>
      <c r="F967" s="18" t="s">
        <v>1621</v>
      </c>
      <c r="G967" s="59">
        <v>689.95</v>
      </c>
      <c r="H967" s="59">
        <v>689.95</v>
      </c>
      <c r="I967" s="18" t="s">
        <v>367</v>
      </c>
      <c r="J967" s="18" t="s">
        <v>427</v>
      </c>
      <c r="K967" s="18" t="s">
        <v>2654</v>
      </c>
      <c r="L967" s="30"/>
    </row>
    <row r="968" spans="1:12" hidden="1" x14ac:dyDescent="0.25">
      <c r="A968" s="18" t="s">
        <v>27</v>
      </c>
      <c r="B968" s="57">
        <v>1.1805555555555556E-3</v>
      </c>
      <c r="C968" s="58">
        <v>1</v>
      </c>
      <c r="D968" s="18" t="s">
        <v>2203</v>
      </c>
      <c r="E968" s="18" t="s">
        <v>2204</v>
      </c>
      <c r="F968" s="18" t="s">
        <v>1621</v>
      </c>
      <c r="G968" s="59">
        <v>36.56</v>
      </c>
      <c r="H968" s="59">
        <v>36.56</v>
      </c>
      <c r="I968" s="18" t="s">
        <v>367</v>
      </c>
      <c r="J968" s="18" t="s">
        <v>512</v>
      </c>
      <c r="K968" s="18" t="s">
        <v>2654</v>
      </c>
      <c r="L968" s="30"/>
    </row>
    <row r="969" spans="1:12" hidden="1" x14ac:dyDescent="0.25">
      <c r="A969" s="18" t="s">
        <v>27</v>
      </c>
      <c r="B969" s="57">
        <v>6.1111111111111106E-3</v>
      </c>
      <c r="C969" s="58">
        <v>3</v>
      </c>
      <c r="D969" s="18" t="s">
        <v>2280</v>
      </c>
      <c r="E969" s="18" t="s">
        <v>2273</v>
      </c>
      <c r="F969" s="18" t="s">
        <v>1621</v>
      </c>
      <c r="G969" s="59">
        <v>64.28</v>
      </c>
      <c r="H969" s="59">
        <v>192.84</v>
      </c>
      <c r="I969" s="18" t="s">
        <v>367</v>
      </c>
      <c r="J969" s="18" t="s">
        <v>1594</v>
      </c>
      <c r="K969" s="18" t="s">
        <v>2654</v>
      </c>
      <c r="L969" s="30"/>
    </row>
    <row r="970" spans="1:12" hidden="1" x14ac:dyDescent="0.25">
      <c r="A970" s="18" t="s">
        <v>27</v>
      </c>
      <c r="B970" s="57">
        <v>8.5532407407407397E-3</v>
      </c>
      <c r="C970" s="58">
        <v>6</v>
      </c>
      <c r="D970" s="18" t="s">
        <v>48</v>
      </c>
      <c r="E970" s="18" t="s">
        <v>1119</v>
      </c>
      <c r="F970" s="18" t="s">
        <v>1621</v>
      </c>
      <c r="G970" s="59">
        <v>59.87</v>
      </c>
      <c r="H970" s="59">
        <v>359.22</v>
      </c>
      <c r="I970" s="18" t="s">
        <v>2296</v>
      </c>
      <c r="J970" s="18" t="s">
        <v>44</v>
      </c>
      <c r="K970" s="18" t="s">
        <v>2654</v>
      </c>
      <c r="L970" s="30"/>
    </row>
    <row r="971" spans="1:12" hidden="1" x14ac:dyDescent="0.25">
      <c r="A971" s="18" t="s">
        <v>27</v>
      </c>
      <c r="B971" s="57">
        <v>2.2106481481481482E-3</v>
      </c>
      <c r="C971" s="58">
        <v>1</v>
      </c>
      <c r="D971" s="18" t="s">
        <v>2064</v>
      </c>
      <c r="E971" s="18" t="s">
        <v>2065</v>
      </c>
      <c r="F971" s="18" t="s">
        <v>1621</v>
      </c>
      <c r="G971" s="59">
        <v>234.09</v>
      </c>
      <c r="H971" s="59">
        <v>234.09</v>
      </c>
      <c r="I971" s="18" t="s">
        <v>829</v>
      </c>
      <c r="J971" s="18" t="s">
        <v>368</v>
      </c>
      <c r="K971" s="18" t="s">
        <v>2655</v>
      </c>
      <c r="L971" s="30"/>
    </row>
    <row r="972" spans="1:12" hidden="1" x14ac:dyDescent="0.25">
      <c r="A972" s="18" t="s">
        <v>27</v>
      </c>
      <c r="B972" s="57">
        <v>6.4699074074074069E-3</v>
      </c>
      <c r="C972" s="58">
        <v>1</v>
      </c>
      <c r="D972" s="18" t="s">
        <v>2579</v>
      </c>
      <c r="E972" s="18" t="s">
        <v>2580</v>
      </c>
      <c r="F972" s="18" t="s">
        <v>1621</v>
      </c>
      <c r="G972" s="59">
        <v>904.86</v>
      </c>
      <c r="H972" s="59">
        <v>904.86</v>
      </c>
      <c r="I972" s="18" t="s">
        <v>829</v>
      </c>
      <c r="J972" s="18" t="s">
        <v>367</v>
      </c>
      <c r="K972" s="18" t="s">
        <v>2655</v>
      </c>
      <c r="L972" s="30"/>
    </row>
    <row r="973" spans="1:12" hidden="1" x14ac:dyDescent="0.25">
      <c r="A973" s="18" t="s">
        <v>27</v>
      </c>
      <c r="B973" s="57">
        <v>2.0023148148148148E-3</v>
      </c>
      <c r="C973" s="58">
        <v>1</v>
      </c>
      <c r="D973" s="18" t="s">
        <v>2417</v>
      </c>
      <c r="E973" s="18" t="s">
        <v>2418</v>
      </c>
      <c r="F973" s="18" t="s">
        <v>1621</v>
      </c>
      <c r="G973" s="59">
        <v>187.46</v>
      </c>
      <c r="H973" s="59">
        <v>187.46</v>
      </c>
      <c r="I973" s="18" t="s">
        <v>367</v>
      </c>
      <c r="J973" s="18" t="s">
        <v>427</v>
      </c>
      <c r="K973" s="18" t="s">
        <v>2655</v>
      </c>
      <c r="L973" s="30"/>
    </row>
    <row r="974" spans="1:12" hidden="1" x14ac:dyDescent="0.25">
      <c r="A974" s="18" t="s">
        <v>27</v>
      </c>
      <c r="B974" s="57">
        <v>6.134259259259259E-4</v>
      </c>
      <c r="C974" s="58">
        <v>1</v>
      </c>
      <c r="D974" s="18" t="s">
        <v>2110</v>
      </c>
      <c r="E974" s="18" t="s">
        <v>2111</v>
      </c>
      <c r="F974" s="18" t="s">
        <v>1621</v>
      </c>
      <c r="G974" s="59">
        <v>8.3699999999999992</v>
      </c>
      <c r="H974" s="59">
        <v>8.3699999999999992</v>
      </c>
      <c r="I974" s="18" t="s">
        <v>1665</v>
      </c>
      <c r="J974" s="18" t="s">
        <v>498</v>
      </c>
      <c r="K974" s="18" t="s">
        <v>2656</v>
      </c>
      <c r="L974" s="30"/>
    </row>
    <row r="975" spans="1:12" hidden="1" x14ac:dyDescent="0.25">
      <c r="A975" s="18" t="s">
        <v>27</v>
      </c>
      <c r="B975" s="57">
        <v>7.2916666666666659E-4</v>
      </c>
      <c r="C975" s="58">
        <v>1</v>
      </c>
      <c r="D975" s="18" t="s">
        <v>2328</v>
      </c>
      <c r="E975" s="18" t="s">
        <v>2329</v>
      </c>
      <c r="F975" s="18" t="s">
        <v>1621</v>
      </c>
      <c r="G975" s="59">
        <v>14.31</v>
      </c>
      <c r="H975" s="59">
        <v>14.31</v>
      </c>
      <c r="I975" s="18" t="s">
        <v>367</v>
      </c>
      <c r="J975" s="18" t="s">
        <v>367</v>
      </c>
      <c r="K975" s="18" t="s">
        <v>2656</v>
      </c>
      <c r="L975" s="30"/>
    </row>
    <row r="976" spans="1:12" hidden="1" x14ac:dyDescent="0.25">
      <c r="A976" s="18" t="s">
        <v>27</v>
      </c>
      <c r="B976" s="57">
        <v>6.8287037037037036E-4</v>
      </c>
      <c r="C976" s="58">
        <v>1</v>
      </c>
      <c r="D976" s="18" t="s">
        <v>2096</v>
      </c>
      <c r="E976" s="18" t="s">
        <v>2097</v>
      </c>
      <c r="F976" s="18" t="s">
        <v>1621</v>
      </c>
      <c r="G976" s="59">
        <v>12.44</v>
      </c>
      <c r="H976" s="59">
        <v>12.44</v>
      </c>
      <c r="I976" s="18" t="s">
        <v>367</v>
      </c>
      <c r="J976" s="18" t="s">
        <v>368</v>
      </c>
      <c r="K976" s="18" t="s">
        <v>2656</v>
      </c>
      <c r="L976" s="30"/>
    </row>
    <row r="977" spans="1:12" hidden="1" x14ac:dyDescent="0.25">
      <c r="A977" s="18" t="s">
        <v>27</v>
      </c>
      <c r="B977" s="57">
        <v>1.7708333333333332E-3</v>
      </c>
      <c r="C977" s="58">
        <v>1</v>
      </c>
      <c r="D977" s="18" t="s">
        <v>2417</v>
      </c>
      <c r="E977" s="18" t="s">
        <v>2418</v>
      </c>
      <c r="F977" s="18" t="s">
        <v>1621</v>
      </c>
      <c r="G977" s="59">
        <v>187.46</v>
      </c>
      <c r="H977" s="59">
        <v>187.46</v>
      </c>
      <c r="I977" s="18" t="s">
        <v>367</v>
      </c>
      <c r="J977" s="18" t="s">
        <v>427</v>
      </c>
      <c r="K977" s="18" t="s">
        <v>2656</v>
      </c>
      <c r="L977" s="30"/>
    </row>
    <row r="978" spans="1:12" hidden="1" x14ac:dyDescent="0.25">
      <c r="A978" s="18" t="s">
        <v>27</v>
      </c>
      <c r="B978" s="57">
        <v>2.3958333333333331E-3</v>
      </c>
      <c r="C978" s="58">
        <v>1</v>
      </c>
      <c r="D978" s="18" t="s">
        <v>2581</v>
      </c>
      <c r="E978" s="18" t="s">
        <v>2582</v>
      </c>
      <c r="F978" s="18" t="s">
        <v>1621</v>
      </c>
      <c r="G978" s="59">
        <v>354.59</v>
      </c>
      <c r="H978" s="59">
        <v>354.59</v>
      </c>
      <c r="I978" s="18" t="s">
        <v>1141</v>
      </c>
      <c r="J978" s="18" t="s">
        <v>1594</v>
      </c>
      <c r="K978" s="18" t="s">
        <v>2656</v>
      </c>
      <c r="L978" s="30"/>
    </row>
    <row r="979" spans="1:12" hidden="1" x14ac:dyDescent="0.25">
      <c r="A979" s="18" t="s">
        <v>27</v>
      </c>
      <c r="B979" s="57">
        <v>3.6921296296296294E-3</v>
      </c>
      <c r="C979" s="58">
        <v>1</v>
      </c>
      <c r="D979" s="18" t="s">
        <v>2326</v>
      </c>
      <c r="E979" s="18" t="s">
        <v>2327</v>
      </c>
      <c r="F979" s="18" t="s">
        <v>1621</v>
      </c>
      <c r="G979" s="59">
        <v>703.77</v>
      </c>
      <c r="H979" s="59">
        <v>703.77</v>
      </c>
      <c r="I979" s="18" t="s">
        <v>829</v>
      </c>
      <c r="J979" s="18" t="s">
        <v>1594</v>
      </c>
      <c r="K979" s="18" t="s">
        <v>2656</v>
      </c>
      <c r="L979" s="30"/>
    </row>
    <row r="980" spans="1:12" hidden="1" x14ac:dyDescent="0.25">
      <c r="A980" s="18" t="s">
        <v>27</v>
      </c>
      <c r="B980" s="57">
        <v>1.4351851851851852E-3</v>
      </c>
      <c r="C980" s="58">
        <v>1</v>
      </c>
      <c r="D980" s="18" t="s">
        <v>48</v>
      </c>
      <c r="E980" s="18" t="s">
        <v>1119</v>
      </c>
      <c r="F980" s="18" t="s">
        <v>1621</v>
      </c>
      <c r="G980" s="59">
        <v>59.87</v>
      </c>
      <c r="H980" s="59">
        <v>59.87</v>
      </c>
      <c r="I980" s="18" t="s">
        <v>2195</v>
      </c>
      <c r="J980" s="18" t="s">
        <v>44</v>
      </c>
      <c r="K980" s="18" t="s">
        <v>2656</v>
      </c>
      <c r="L980" s="30"/>
    </row>
    <row r="981" spans="1:12" hidden="1" x14ac:dyDescent="0.25">
      <c r="A981" s="18" t="s">
        <v>27</v>
      </c>
      <c r="B981" s="57">
        <v>3.2407407407407406E-4</v>
      </c>
      <c r="C981" s="58">
        <v>1</v>
      </c>
      <c r="D981" s="18" t="s">
        <v>2657</v>
      </c>
      <c r="E981" s="18" t="s">
        <v>2658</v>
      </c>
      <c r="F981" s="18" t="s">
        <v>1621</v>
      </c>
      <c r="G981" s="59">
        <v>0.08</v>
      </c>
      <c r="H981" s="59">
        <v>0.08</v>
      </c>
      <c r="I981" s="18" t="s">
        <v>147</v>
      </c>
      <c r="J981" s="18" t="s">
        <v>147</v>
      </c>
      <c r="K981" s="18" t="s">
        <v>2656</v>
      </c>
      <c r="L981" s="30"/>
    </row>
    <row r="982" spans="1:12" hidden="1" x14ac:dyDescent="0.25">
      <c r="A982" s="18" t="s">
        <v>27</v>
      </c>
      <c r="B982" s="57">
        <v>6.134259259259259E-4</v>
      </c>
      <c r="C982" s="58">
        <v>1</v>
      </c>
      <c r="D982" s="18" t="s">
        <v>2110</v>
      </c>
      <c r="E982" s="18" t="s">
        <v>2111</v>
      </c>
      <c r="F982" s="18" t="s">
        <v>1621</v>
      </c>
      <c r="G982" s="59">
        <v>8.3699999999999992</v>
      </c>
      <c r="H982" s="59">
        <v>8.3699999999999992</v>
      </c>
      <c r="I982" s="18" t="s">
        <v>1665</v>
      </c>
      <c r="J982" s="18" t="s">
        <v>498</v>
      </c>
      <c r="K982" s="18" t="s">
        <v>2659</v>
      </c>
      <c r="L982" s="30"/>
    </row>
    <row r="983" spans="1:12" hidden="1" x14ac:dyDescent="0.25">
      <c r="A983" s="18" t="s">
        <v>27</v>
      </c>
      <c r="B983" s="57">
        <v>6.134259259259259E-4</v>
      </c>
      <c r="C983" s="58">
        <v>1</v>
      </c>
      <c r="D983" s="18" t="s">
        <v>2113</v>
      </c>
      <c r="E983" s="18" t="s">
        <v>2111</v>
      </c>
      <c r="F983" s="18" t="s">
        <v>1621</v>
      </c>
      <c r="G983" s="59">
        <v>8.3699999999999992</v>
      </c>
      <c r="H983" s="59">
        <v>8.3699999999999992</v>
      </c>
      <c r="I983" s="18" t="s">
        <v>1665</v>
      </c>
      <c r="J983" s="18" t="s">
        <v>115</v>
      </c>
      <c r="K983" s="18" t="s">
        <v>2659</v>
      </c>
      <c r="L983" s="30"/>
    </row>
    <row r="984" spans="1:12" hidden="1" x14ac:dyDescent="0.25">
      <c r="A984" s="18" t="s">
        <v>27</v>
      </c>
      <c r="B984" s="57">
        <v>7.2916666666666659E-4</v>
      </c>
      <c r="C984" s="58">
        <v>1</v>
      </c>
      <c r="D984" s="18" t="s">
        <v>2328</v>
      </c>
      <c r="E984" s="18" t="s">
        <v>2329</v>
      </c>
      <c r="F984" s="18" t="s">
        <v>1621</v>
      </c>
      <c r="G984" s="59">
        <v>14.31</v>
      </c>
      <c r="H984" s="59">
        <v>14.31</v>
      </c>
      <c r="I984" s="18" t="s">
        <v>367</v>
      </c>
      <c r="J984" s="18" t="s">
        <v>367</v>
      </c>
      <c r="K984" s="18" t="s">
        <v>2659</v>
      </c>
      <c r="L984" s="30"/>
    </row>
    <row r="985" spans="1:12" hidden="1" x14ac:dyDescent="0.25">
      <c r="A985" s="18" t="s">
        <v>27</v>
      </c>
      <c r="B985" s="57">
        <v>6.9444444444444436E-4</v>
      </c>
      <c r="C985" s="58">
        <v>1</v>
      </c>
      <c r="D985" s="18" t="s">
        <v>2114</v>
      </c>
      <c r="E985" s="18" t="s">
        <v>2097</v>
      </c>
      <c r="F985" s="18" t="s">
        <v>1621</v>
      </c>
      <c r="G985" s="59">
        <v>12.44</v>
      </c>
      <c r="H985" s="59">
        <v>12.44</v>
      </c>
      <c r="I985" s="18" t="s">
        <v>367</v>
      </c>
      <c r="J985" s="18" t="s">
        <v>368</v>
      </c>
      <c r="K985" s="18" t="s">
        <v>2659</v>
      </c>
      <c r="L985" s="30"/>
    </row>
    <row r="986" spans="1:12" hidden="1" x14ac:dyDescent="0.25">
      <c r="A986" s="18" t="s">
        <v>27</v>
      </c>
      <c r="B986" s="57">
        <v>1.9097222222222222E-3</v>
      </c>
      <c r="C986" s="58">
        <v>1</v>
      </c>
      <c r="D986" s="18" t="s">
        <v>2457</v>
      </c>
      <c r="E986" s="18" t="s">
        <v>2458</v>
      </c>
      <c r="F986" s="18" t="s">
        <v>1621</v>
      </c>
      <c r="G986" s="59">
        <v>11.77</v>
      </c>
      <c r="H986" s="59">
        <v>11.77</v>
      </c>
      <c r="I986" s="18" t="s">
        <v>367</v>
      </c>
      <c r="J986" s="18" t="s">
        <v>368</v>
      </c>
      <c r="K986" s="18" t="s">
        <v>2659</v>
      </c>
      <c r="L986" s="30"/>
    </row>
    <row r="987" spans="1:12" hidden="1" x14ac:dyDescent="0.25">
      <c r="A987" s="18" t="s">
        <v>27</v>
      </c>
      <c r="B987" s="57">
        <v>1.8981481481481482E-3</v>
      </c>
      <c r="C987" s="58">
        <v>1</v>
      </c>
      <c r="D987" s="18" t="s">
        <v>2375</v>
      </c>
      <c r="E987" s="18" t="s">
        <v>2376</v>
      </c>
      <c r="F987" s="18" t="s">
        <v>1621</v>
      </c>
      <c r="G987" s="59">
        <v>11.72</v>
      </c>
      <c r="H987" s="59">
        <v>11.72</v>
      </c>
      <c r="I987" s="18" t="s">
        <v>367</v>
      </c>
      <c r="J987" s="18" t="s">
        <v>368</v>
      </c>
      <c r="K987" s="18" t="s">
        <v>2659</v>
      </c>
      <c r="L987" s="30"/>
    </row>
    <row r="988" spans="1:12" hidden="1" x14ac:dyDescent="0.25">
      <c r="A988" s="18" t="s">
        <v>27</v>
      </c>
      <c r="B988" s="57">
        <v>4.6180555555555549E-3</v>
      </c>
      <c r="C988" s="58">
        <v>1</v>
      </c>
      <c r="D988" s="18" t="s">
        <v>2610</v>
      </c>
      <c r="E988" s="18" t="s">
        <v>2611</v>
      </c>
      <c r="F988" s="18" t="s">
        <v>1621</v>
      </c>
      <c r="G988" s="59">
        <v>685.92</v>
      </c>
      <c r="H988" s="59">
        <v>685.92</v>
      </c>
      <c r="I988" s="18" t="s">
        <v>829</v>
      </c>
      <c r="J988" s="18" t="s">
        <v>1594</v>
      </c>
      <c r="K988" s="18" t="s">
        <v>2659</v>
      </c>
      <c r="L988" s="30"/>
    </row>
    <row r="989" spans="1:12" hidden="1" x14ac:dyDescent="0.25">
      <c r="A989" s="18" t="s">
        <v>27</v>
      </c>
      <c r="B989" s="57">
        <v>3.6458333333333334E-3</v>
      </c>
      <c r="C989" s="58">
        <v>1</v>
      </c>
      <c r="D989" s="18" t="s">
        <v>2433</v>
      </c>
      <c r="E989" s="18" t="s">
        <v>2434</v>
      </c>
      <c r="F989" s="18" t="s">
        <v>1621</v>
      </c>
      <c r="G989" s="59">
        <v>437.53</v>
      </c>
      <c r="H989" s="59">
        <v>437.53</v>
      </c>
      <c r="I989" s="18" t="s">
        <v>829</v>
      </c>
      <c r="J989" s="18" t="s">
        <v>1594</v>
      </c>
      <c r="K989" s="18" t="s">
        <v>2659</v>
      </c>
      <c r="L989" s="30"/>
    </row>
    <row r="990" spans="1:12" hidden="1" x14ac:dyDescent="0.25">
      <c r="A990" s="18" t="s">
        <v>27</v>
      </c>
      <c r="B990" s="57">
        <v>1.8171296296296295E-3</v>
      </c>
      <c r="C990" s="58">
        <v>1</v>
      </c>
      <c r="D990" s="18" t="s">
        <v>2271</v>
      </c>
      <c r="E990" s="18" t="s">
        <v>2270</v>
      </c>
      <c r="F990" s="18" t="s">
        <v>1621</v>
      </c>
      <c r="G990" s="59">
        <v>55.28</v>
      </c>
      <c r="H990" s="59">
        <v>55.28</v>
      </c>
      <c r="I990" s="18" t="s">
        <v>367</v>
      </c>
      <c r="J990" s="18" t="s">
        <v>427</v>
      </c>
      <c r="K990" s="18" t="s">
        <v>2659</v>
      </c>
      <c r="L990" s="30"/>
    </row>
    <row r="991" spans="1:12" hidden="1" x14ac:dyDescent="0.25">
      <c r="A991" s="18" t="s">
        <v>27</v>
      </c>
      <c r="B991" s="57">
        <v>1.7129629629629628E-3</v>
      </c>
      <c r="C991" s="58">
        <v>1</v>
      </c>
      <c r="D991" s="18" t="s">
        <v>2601</v>
      </c>
      <c r="E991" s="18" t="s">
        <v>2226</v>
      </c>
      <c r="F991" s="18" t="s">
        <v>1621</v>
      </c>
      <c r="G991" s="59">
        <v>63.26</v>
      </c>
      <c r="H991" s="59">
        <v>63.26</v>
      </c>
      <c r="I991" s="18" t="s">
        <v>367</v>
      </c>
      <c r="J991" s="18" t="s">
        <v>1594</v>
      </c>
      <c r="K991" s="18" t="s">
        <v>2659</v>
      </c>
      <c r="L991" s="30"/>
    </row>
    <row r="992" spans="1:12" hidden="1" x14ac:dyDescent="0.25">
      <c r="A992" s="18" t="s">
        <v>27</v>
      </c>
      <c r="B992" s="57">
        <v>6.9212962962962961E-3</v>
      </c>
      <c r="C992" s="58">
        <v>1</v>
      </c>
      <c r="D992" s="18" t="s">
        <v>551</v>
      </c>
      <c r="E992" s="18" t="s">
        <v>119</v>
      </c>
      <c r="F992" s="18" t="s">
        <v>1621</v>
      </c>
      <c r="G992" s="59">
        <v>1401.7</v>
      </c>
      <c r="H992" s="59">
        <v>1401.7</v>
      </c>
      <c r="I992" s="18" t="s">
        <v>550</v>
      </c>
      <c r="J992" s="18" t="s">
        <v>512</v>
      </c>
      <c r="K992" s="18" t="s">
        <v>2660</v>
      </c>
      <c r="L992" s="30"/>
    </row>
    <row r="993" spans="1:12" hidden="1" x14ac:dyDescent="0.25">
      <c r="A993" s="18" t="s">
        <v>27</v>
      </c>
      <c r="B993" s="57">
        <v>6.9212962962962961E-3</v>
      </c>
      <c r="C993" s="58">
        <v>1</v>
      </c>
      <c r="D993" s="18" t="s">
        <v>551</v>
      </c>
      <c r="E993" s="18" t="s">
        <v>119</v>
      </c>
      <c r="F993" s="18" t="s">
        <v>1621</v>
      </c>
      <c r="G993" s="59">
        <v>1401.7</v>
      </c>
      <c r="H993" s="59">
        <v>1401.7</v>
      </c>
      <c r="I993" s="18" t="s">
        <v>550</v>
      </c>
      <c r="J993" s="18" t="s">
        <v>512</v>
      </c>
      <c r="K993" s="18" t="s">
        <v>2661</v>
      </c>
      <c r="L993" s="30"/>
    </row>
    <row r="994" spans="1:12" hidden="1" x14ac:dyDescent="0.25">
      <c r="A994" s="18" t="s">
        <v>27</v>
      </c>
      <c r="B994" s="57">
        <v>6.9212962962962961E-3</v>
      </c>
      <c r="C994" s="58">
        <v>1</v>
      </c>
      <c r="D994" s="18" t="s">
        <v>551</v>
      </c>
      <c r="E994" s="18" t="s">
        <v>119</v>
      </c>
      <c r="F994" s="18" t="s">
        <v>1621</v>
      </c>
      <c r="G994" s="59">
        <v>1401.7</v>
      </c>
      <c r="H994" s="59">
        <v>1401.7</v>
      </c>
      <c r="I994" s="18" t="s">
        <v>550</v>
      </c>
      <c r="J994" s="18" t="s">
        <v>512</v>
      </c>
      <c r="K994" s="18" t="s">
        <v>2662</v>
      </c>
      <c r="L994" s="30"/>
    </row>
    <row r="995" spans="1:12" hidden="1" x14ac:dyDescent="0.25">
      <c r="A995" s="18" t="s">
        <v>27</v>
      </c>
      <c r="B995" s="57">
        <v>6.9212962962962961E-3</v>
      </c>
      <c r="C995" s="58">
        <v>1</v>
      </c>
      <c r="D995" s="18" t="s">
        <v>551</v>
      </c>
      <c r="E995" s="18" t="s">
        <v>119</v>
      </c>
      <c r="F995" s="18" t="s">
        <v>1621</v>
      </c>
      <c r="G995" s="59">
        <v>1401.7</v>
      </c>
      <c r="H995" s="59">
        <v>1401.7</v>
      </c>
      <c r="I995" s="18" t="s">
        <v>550</v>
      </c>
      <c r="J995" s="18" t="s">
        <v>512</v>
      </c>
      <c r="K995" s="18" t="s">
        <v>2663</v>
      </c>
      <c r="L995" s="30"/>
    </row>
    <row r="996" spans="1:12" hidden="1" x14ac:dyDescent="0.25">
      <c r="A996" s="18" t="s">
        <v>27</v>
      </c>
      <c r="B996" s="57">
        <v>6.9212962962962961E-3</v>
      </c>
      <c r="C996" s="58">
        <v>1</v>
      </c>
      <c r="D996" s="18" t="s">
        <v>551</v>
      </c>
      <c r="E996" s="18" t="s">
        <v>119</v>
      </c>
      <c r="F996" s="18" t="s">
        <v>1621</v>
      </c>
      <c r="G996" s="59">
        <v>1401.7</v>
      </c>
      <c r="H996" s="59">
        <v>1401.7</v>
      </c>
      <c r="I996" s="18" t="s">
        <v>550</v>
      </c>
      <c r="J996" s="18" t="s">
        <v>512</v>
      </c>
      <c r="K996" s="18" t="s">
        <v>2664</v>
      </c>
      <c r="L996" s="30"/>
    </row>
    <row r="997" spans="1:12" hidden="1" x14ac:dyDescent="0.25">
      <c r="A997" s="18" t="s">
        <v>27</v>
      </c>
      <c r="B997" s="57">
        <v>6.9212962962962961E-3</v>
      </c>
      <c r="C997" s="58">
        <v>1</v>
      </c>
      <c r="D997" s="18" t="s">
        <v>551</v>
      </c>
      <c r="E997" s="18" t="s">
        <v>119</v>
      </c>
      <c r="F997" s="18" t="s">
        <v>1621</v>
      </c>
      <c r="G997" s="59">
        <v>1401.7</v>
      </c>
      <c r="H997" s="59">
        <v>1401.7</v>
      </c>
      <c r="I997" s="18" t="s">
        <v>550</v>
      </c>
      <c r="J997" s="18" t="s">
        <v>512</v>
      </c>
      <c r="K997" s="18" t="s">
        <v>2665</v>
      </c>
      <c r="L997" s="30"/>
    </row>
    <row r="998" spans="1:12" hidden="1" x14ac:dyDescent="0.25">
      <c r="A998" s="18" t="s">
        <v>27</v>
      </c>
      <c r="B998" s="57">
        <v>1.6319444444444443E-3</v>
      </c>
      <c r="C998" s="58">
        <v>1</v>
      </c>
      <c r="D998" s="18" t="s">
        <v>2322</v>
      </c>
      <c r="E998" s="18" t="s">
        <v>2666</v>
      </c>
      <c r="F998" s="18" t="s">
        <v>1621</v>
      </c>
      <c r="G998" s="59">
        <v>129.21</v>
      </c>
      <c r="H998" s="59">
        <v>129.21</v>
      </c>
      <c r="I998" s="18" t="s">
        <v>829</v>
      </c>
      <c r="J998" s="18" t="s">
        <v>368</v>
      </c>
      <c r="K998" s="18" t="s">
        <v>2667</v>
      </c>
      <c r="L998" s="30"/>
    </row>
    <row r="999" spans="1:12" hidden="1" x14ac:dyDescent="0.25">
      <c r="A999" s="18" t="s">
        <v>27</v>
      </c>
      <c r="B999" s="57">
        <v>1.4120370370370369E-3</v>
      </c>
      <c r="C999" s="58">
        <v>1</v>
      </c>
      <c r="D999" s="18" t="s">
        <v>2324</v>
      </c>
      <c r="E999" s="18" t="s">
        <v>2325</v>
      </c>
      <c r="F999" s="18" t="s">
        <v>1621</v>
      </c>
      <c r="G999" s="59">
        <v>57.9</v>
      </c>
      <c r="H999" s="59">
        <v>57.9</v>
      </c>
      <c r="I999" s="18" t="s">
        <v>367</v>
      </c>
      <c r="J999" s="18" t="s">
        <v>367</v>
      </c>
      <c r="K999" s="18" t="s">
        <v>2667</v>
      </c>
      <c r="L999" s="30"/>
    </row>
    <row r="1000" spans="1:12" hidden="1" x14ac:dyDescent="0.25">
      <c r="A1000" s="18" t="s">
        <v>27</v>
      </c>
      <c r="B1000" s="57">
        <v>4.7337962962962958E-3</v>
      </c>
      <c r="C1000" s="58">
        <v>1</v>
      </c>
      <c r="D1000" s="18" t="s">
        <v>2236</v>
      </c>
      <c r="E1000" s="18" t="s">
        <v>2237</v>
      </c>
      <c r="F1000" s="18" t="s">
        <v>1621</v>
      </c>
      <c r="G1000" s="59">
        <v>966.59</v>
      </c>
      <c r="H1000" s="59">
        <v>966.59</v>
      </c>
      <c r="I1000" s="18" t="s">
        <v>829</v>
      </c>
      <c r="J1000" s="18" t="s">
        <v>1594</v>
      </c>
      <c r="K1000" s="18" t="s">
        <v>2667</v>
      </c>
      <c r="L1000" s="30"/>
    </row>
    <row r="1001" spans="1:12" hidden="1" x14ac:dyDescent="0.25">
      <c r="A1001" s="18" t="s">
        <v>27</v>
      </c>
      <c r="B1001" s="57">
        <v>1.2037037037037036E-3</v>
      </c>
      <c r="C1001" s="58">
        <v>1</v>
      </c>
      <c r="D1001" s="18" t="s">
        <v>2203</v>
      </c>
      <c r="E1001" s="18" t="s">
        <v>2204</v>
      </c>
      <c r="F1001" s="18" t="s">
        <v>1621</v>
      </c>
      <c r="G1001" s="59">
        <v>36.56</v>
      </c>
      <c r="H1001" s="59">
        <v>36.56</v>
      </c>
      <c r="I1001" s="18" t="s">
        <v>367</v>
      </c>
      <c r="J1001" s="18" t="s">
        <v>512</v>
      </c>
      <c r="K1001" s="18" t="s">
        <v>2667</v>
      </c>
      <c r="L1001" s="30"/>
    </row>
    <row r="1002" spans="1:12" hidden="1" x14ac:dyDescent="0.25">
      <c r="A1002" s="18" t="s">
        <v>27</v>
      </c>
      <c r="B1002" s="57">
        <v>4.386574074074074E-3</v>
      </c>
      <c r="C1002" s="58">
        <v>3</v>
      </c>
      <c r="D1002" s="18" t="s">
        <v>48</v>
      </c>
      <c r="E1002" s="18" t="s">
        <v>1119</v>
      </c>
      <c r="F1002" s="18" t="s">
        <v>1621</v>
      </c>
      <c r="G1002" s="59">
        <v>59.87</v>
      </c>
      <c r="H1002" s="59">
        <v>179.61</v>
      </c>
      <c r="I1002" s="18" t="s">
        <v>2094</v>
      </c>
      <c r="J1002" s="18" t="s">
        <v>44</v>
      </c>
      <c r="K1002" s="18" t="s">
        <v>2667</v>
      </c>
      <c r="L1002" s="30"/>
    </row>
    <row r="1003" spans="1:12" hidden="1" x14ac:dyDescent="0.25">
      <c r="A1003" s="18" t="s">
        <v>27</v>
      </c>
      <c r="B1003" s="57">
        <v>8.0092592592592594E-3</v>
      </c>
      <c r="C1003" s="58">
        <v>1</v>
      </c>
      <c r="D1003" s="18" t="s">
        <v>95</v>
      </c>
      <c r="E1003" s="18" t="s">
        <v>119</v>
      </c>
      <c r="F1003" s="18" t="s">
        <v>1621</v>
      </c>
      <c r="G1003" s="59">
        <v>1387.27</v>
      </c>
      <c r="H1003" s="59">
        <v>1387.27</v>
      </c>
      <c r="I1003" s="18" t="s">
        <v>150</v>
      </c>
      <c r="J1003" s="18" t="s">
        <v>512</v>
      </c>
      <c r="K1003" s="18" t="s">
        <v>2668</v>
      </c>
      <c r="L1003" s="30"/>
    </row>
    <row r="1004" spans="1:12" hidden="1" x14ac:dyDescent="0.25">
      <c r="A1004" s="18" t="s">
        <v>27</v>
      </c>
      <c r="B1004" s="57">
        <v>7.5231481481481477E-3</v>
      </c>
      <c r="C1004" s="58">
        <v>1</v>
      </c>
      <c r="D1004" s="18" t="s">
        <v>94</v>
      </c>
      <c r="E1004" s="18" t="s">
        <v>119</v>
      </c>
      <c r="F1004" s="18" t="s">
        <v>1621</v>
      </c>
      <c r="G1004" s="59">
        <v>1387.73</v>
      </c>
      <c r="H1004" s="59">
        <v>1387.73</v>
      </c>
      <c r="I1004" s="18" t="s">
        <v>114</v>
      </c>
      <c r="J1004" s="18" t="s">
        <v>512</v>
      </c>
      <c r="K1004" s="18" t="s">
        <v>2669</v>
      </c>
      <c r="L1004" s="30"/>
    </row>
    <row r="1005" spans="1:12" hidden="1" x14ac:dyDescent="0.25">
      <c r="A1005" s="18" t="s">
        <v>27</v>
      </c>
      <c r="B1005" s="57">
        <v>6.875E-3</v>
      </c>
      <c r="C1005" s="58">
        <v>1</v>
      </c>
      <c r="D1005" s="18" t="s">
        <v>502</v>
      </c>
      <c r="E1005" s="18" t="s">
        <v>500</v>
      </c>
      <c r="F1005" s="18" t="s">
        <v>1621</v>
      </c>
      <c r="G1005" s="59">
        <v>1326.34</v>
      </c>
      <c r="H1005" s="59">
        <v>1326.34</v>
      </c>
      <c r="I1005" s="18" t="s">
        <v>114</v>
      </c>
      <c r="J1005" s="18" t="s">
        <v>498</v>
      </c>
      <c r="K1005" s="18" t="s">
        <v>2670</v>
      </c>
      <c r="L1005" s="30"/>
    </row>
    <row r="1006" spans="1:12" hidden="1" x14ac:dyDescent="0.25">
      <c r="A1006" s="18" t="s">
        <v>27</v>
      </c>
      <c r="B1006" s="57">
        <v>6.4583333333333333E-3</v>
      </c>
      <c r="C1006" s="58">
        <v>1</v>
      </c>
      <c r="D1006" s="18" t="s">
        <v>2090</v>
      </c>
      <c r="E1006" s="18" t="s">
        <v>2091</v>
      </c>
      <c r="F1006" s="18" t="s">
        <v>1621</v>
      </c>
      <c r="G1006" s="59">
        <v>1354.97</v>
      </c>
      <c r="H1006" s="59">
        <v>1354.97</v>
      </c>
      <c r="I1006" s="18" t="s">
        <v>1672</v>
      </c>
      <c r="J1006" s="18" t="s">
        <v>115</v>
      </c>
      <c r="K1006" s="18" t="s">
        <v>2671</v>
      </c>
      <c r="L1006" s="30"/>
    </row>
    <row r="1007" spans="1:12" hidden="1" x14ac:dyDescent="0.25">
      <c r="A1007" s="18" t="s">
        <v>27</v>
      </c>
      <c r="B1007" s="57">
        <v>1.261574074074074E-3</v>
      </c>
      <c r="C1007" s="58">
        <v>1</v>
      </c>
      <c r="D1007" s="18" t="s">
        <v>2203</v>
      </c>
      <c r="E1007" s="18" t="s">
        <v>2204</v>
      </c>
      <c r="F1007" s="18" t="s">
        <v>1621</v>
      </c>
      <c r="G1007" s="59">
        <v>36.56</v>
      </c>
      <c r="H1007" s="59">
        <v>36.56</v>
      </c>
      <c r="I1007" s="18" t="s">
        <v>367</v>
      </c>
      <c r="J1007" s="18" t="s">
        <v>512</v>
      </c>
      <c r="K1007" s="18" t="s">
        <v>2671</v>
      </c>
      <c r="L1007" s="30"/>
    </row>
    <row r="1008" spans="1:12" hidden="1" x14ac:dyDescent="0.25">
      <c r="A1008" s="18" t="s">
        <v>27</v>
      </c>
      <c r="B1008" s="57">
        <v>6.9212962962962961E-3</v>
      </c>
      <c r="C1008" s="58">
        <v>1</v>
      </c>
      <c r="D1008" s="18" t="s">
        <v>153</v>
      </c>
      <c r="E1008" s="18" t="s">
        <v>119</v>
      </c>
      <c r="F1008" s="18" t="s">
        <v>1621</v>
      </c>
      <c r="G1008" s="59">
        <v>1401.7</v>
      </c>
      <c r="H1008" s="59">
        <v>1401.7</v>
      </c>
      <c r="I1008" s="18" t="s">
        <v>152</v>
      </c>
      <c r="J1008" s="18" t="s">
        <v>152</v>
      </c>
      <c r="K1008" s="18" t="s">
        <v>2672</v>
      </c>
      <c r="L1008" s="30"/>
    </row>
    <row r="1009" spans="1:12" hidden="1" x14ac:dyDescent="0.25">
      <c r="A1009" s="18" t="s">
        <v>27</v>
      </c>
      <c r="B1009" s="57">
        <v>7.951388888888888E-3</v>
      </c>
      <c r="C1009" s="58">
        <v>1</v>
      </c>
      <c r="D1009" s="18" t="s">
        <v>97</v>
      </c>
      <c r="E1009" s="18" t="s">
        <v>116</v>
      </c>
      <c r="F1009" s="18" t="s">
        <v>1621</v>
      </c>
      <c r="G1009" s="59">
        <v>1331.34</v>
      </c>
      <c r="H1009" s="59">
        <v>1331.34</v>
      </c>
      <c r="I1009" s="18" t="s">
        <v>133</v>
      </c>
      <c r="J1009" s="18" t="s">
        <v>115</v>
      </c>
      <c r="K1009" s="18" t="s">
        <v>2673</v>
      </c>
      <c r="L1009" s="30"/>
    </row>
    <row r="1010" spans="1:12" hidden="1" x14ac:dyDescent="0.25">
      <c r="A1010" s="18" t="s">
        <v>27</v>
      </c>
      <c r="B1010" s="57">
        <v>7.8819444444444449E-3</v>
      </c>
      <c r="C1010" s="58">
        <v>1</v>
      </c>
      <c r="D1010" s="18" t="s">
        <v>92</v>
      </c>
      <c r="E1010" s="18" t="s">
        <v>116</v>
      </c>
      <c r="F1010" s="18" t="s">
        <v>1621</v>
      </c>
      <c r="G1010" s="59">
        <v>1331.42</v>
      </c>
      <c r="H1010" s="59">
        <v>1331.42</v>
      </c>
      <c r="I1010" s="18" t="s">
        <v>114</v>
      </c>
      <c r="J1010" s="18" t="s">
        <v>115</v>
      </c>
      <c r="K1010" s="18" t="s">
        <v>2674</v>
      </c>
      <c r="L1010" s="30"/>
    </row>
    <row r="1011" spans="1:12" hidden="1" x14ac:dyDescent="0.25">
      <c r="A1011" s="18" t="s">
        <v>27</v>
      </c>
      <c r="B1011" s="57">
        <v>6.9097222222222216E-3</v>
      </c>
      <c r="C1011" s="58">
        <v>1</v>
      </c>
      <c r="D1011" s="18" t="s">
        <v>93</v>
      </c>
      <c r="E1011" s="18" t="s">
        <v>119</v>
      </c>
      <c r="F1011" s="18" t="s">
        <v>1621</v>
      </c>
      <c r="G1011" s="59">
        <v>1401.7</v>
      </c>
      <c r="H1011" s="59">
        <v>1401.7</v>
      </c>
      <c r="I1011" s="18" t="s">
        <v>114</v>
      </c>
      <c r="J1011" s="18" t="s">
        <v>115</v>
      </c>
      <c r="K1011" s="18" t="s">
        <v>2675</v>
      </c>
      <c r="L1011" s="30"/>
    </row>
    <row r="1012" spans="1:12" hidden="1" x14ac:dyDescent="0.25">
      <c r="A1012" s="18" t="s">
        <v>27</v>
      </c>
      <c r="B1012" s="57">
        <v>6.8402777777777776E-3</v>
      </c>
      <c r="C1012" s="58">
        <v>1</v>
      </c>
      <c r="D1012" s="18" t="s">
        <v>559</v>
      </c>
      <c r="E1012" s="18" t="s">
        <v>560</v>
      </c>
      <c r="F1012" s="18" t="s">
        <v>1621</v>
      </c>
      <c r="G1012" s="59">
        <v>1270.6500000000001</v>
      </c>
      <c r="H1012" s="59">
        <v>1270.6500000000001</v>
      </c>
      <c r="I1012" s="18" t="s">
        <v>114</v>
      </c>
      <c r="J1012" s="18" t="s">
        <v>498</v>
      </c>
      <c r="K1012" s="18" t="s">
        <v>2676</v>
      </c>
      <c r="L1012" s="30"/>
    </row>
    <row r="1013" spans="1:12" hidden="1" x14ac:dyDescent="0.25">
      <c r="A1013" s="18" t="s">
        <v>27</v>
      </c>
      <c r="B1013" s="57">
        <v>7.7546296296296295E-3</v>
      </c>
      <c r="C1013" s="58">
        <v>1</v>
      </c>
      <c r="D1013" s="18" t="s">
        <v>87</v>
      </c>
      <c r="E1013" s="18" t="s">
        <v>116</v>
      </c>
      <c r="F1013" s="18" t="s">
        <v>1621</v>
      </c>
      <c r="G1013" s="59">
        <v>1331.41</v>
      </c>
      <c r="H1013" s="59">
        <v>1331.41</v>
      </c>
      <c r="I1013" s="18" t="s">
        <v>150</v>
      </c>
      <c r="J1013" s="18" t="s">
        <v>115</v>
      </c>
      <c r="K1013" s="18" t="s">
        <v>2677</v>
      </c>
      <c r="L1013" s="30"/>
    </row>
    <row r="1014" spans="1:12" hidden="1" x14ac:dyDescent="0.25">
      <c r="A1014" s="18" t="s">
        <v>27</v>
      </c>
      <c r="B1014" s="57">
        <v>6.0300925925925921E-3</v>
      </c>
      <c r="C1014" s="58">
        <v>1</v>
      </c>
      <c r="D1014" s="18" t="s">
        <v>2184</v>
      </c>
      <c r="E1014" s="18" t="s">
        <v>2138</v>
      </c>
      <c r="F1014" s="18" t="s">
        <v>1621</v>
      </c>
      <c r="G1014" s="59">
        <v>1046.44</v>
      </c>
      <c r="H1014" s="59">
        <v>1046.44</v>
      </c>
      <c r="I1014" s="18" t="s">
        <v>114</v>
      </c>
      <c r="J1014" s="18" t="s">
        <v>115</v>
      </c>
      <c r="K1014" s="18" t="s">
        <v>2678</v>
      </c>
      <c r="L1014" s="30"/>
    </row>
    <row r="1015" spans="1:12" hidden="1" x14ac:dyDescent="0.25">
      <c r="A1015" s="18" t="s">
        <v>27</v>
      </c>
      <c r="B1015" s="57">
        <v>3.3449074074074071E-3</v>
      </c>
      <c r="C1015" s="58">
        <v>2</v>
      </c>
      <c r="D1015" s="18" t="s">
        <v>2152</v>
      </c>
      <c r="E1015" s="18" t="s">
        <v>2153</v>
      </c>
      <c r="F1015" s="18" t="s">
        <v>1621</v>
      </c>
      <c r="G1015" s="59">
        <v>73.5</v>
      </c>
      <c r="H1015" s="59">
        <v>147</v>
      </c>
      <c r="I1015" s="18" t="s">
        <v>1672</v>
      </c>
      <c r="J1015" s="18" t="s">
        <v>512</v>
      </c>
      <c r="K1015" s="18" t="s">
        <v>2678</v>
      </c>
      <c r="L1015" s="30"/>
    </row>
    <row r="1016" spans="1:12" hidden="1" x14ac:dyDescent="0.25">
      <c r="A1016" s="18" t="s">
        <v>27</v>
      </c>
      <c r="B1016" s="57">
        <v>2.0717592592592593E-3</v>
      </c>
      <c r="C1016" s="58">
        <v>3</v>
      </c>
      <c r="D1016" s="18" t="s">
        <v>2096</v>
      </c>
      <c r="E1016" s="18" t="s">
        <v>2097</v>
      </c>
      <c r="F1016" s="18" t="s">
        <v>1621</v>
      </c>
      <c r="G1016" s="59">
        <v>12.44</v>
      </c>
      <c r="H1016" s="59">
        <v>37.32</v>
      </c>
      <c r="I1016" s="18" t="s">
        <v>367</v>
      </c>
      <c r="J1016" s="18" t="s">
        <v>368</v>
      </c>
      <c r="K1016" s="18" t="s">
        <v>2678</v>
      </c>
      <c r="L1016" s="30"/>
    </row>
    <row r="1017" spans="1:12" hidden="1" x14ac:dyDescent="0.25">
      <c r="A1017" s="18" t="s">
        <v>27</v>
      </c>
      <c r="B1017" s="57">
        <v>2.3495370370370371E-3</v>
      </c>
      <c r="C1017" s="58">
        <v>1</v>
      </c>
      <c r="D1017" s="18" t="s">
        <v>2162</v>
      </c>
      <c r="E1017" s="18" t="s">
        <v>2163</v>
      </c>
      <c r="F1017" s="18" t="s">
        <v>1621</v>
      </c>
      <c r="G1017" s="59">
        <v>120.07</v>
      </c>
      <c r="H1017" s="59">
        <v>120.07</v>
      </c>
      <c r="I1017" s="18" t="s">
        <v>367</v>
      </c>
      <c r="J1017" s="18" t="s">
        <v>367</v>
      </c>
      <c r="K1017" s="18" t="s">
        <v>2678</v>
      </c>
      <c r="L1017" s="30"/>
    </row>
    <row r="1018" spans="1:12" hidden="1" x14ac:dyDescent="0.25">
      <c r="A1018" s="18" t="s">
        <v>27</v>
      </c>
      <c r="B1018" s="57">
        <v>6.875E-3</v>
      </c>
      <c r="C1018" s="58">
        <v>1</v>
      </c>
      <c r="D1018" s="18" t="s">
        <v>564</v>
      </c>
      <c r="E1018" s="18" t="s">
        <v>500</v>
      </c>
      <c r="F1018" s="18" t="s">
        <v>1621</v>
      </c>
      <c r="G1018" s="59">
        <v>1326.34</v>
      </c>
      <c r="H1018" s="59">
        <v>1326.34</v>
      </c>
      <c r="I1018" s="18" t="s">
        <v>150</v>
      </c>
      <c r="J1018" s="18" t="s">
        <v>498</v>
      </c>
      <c r="K1018" s="18" t="s">
        <v>2679</v>
      </c>
      <c r="L1018" s="30"/>
    </row>
    <row r="1019" spans="1:12" hidden="1" x14ac:dyDescent="0.25">
      <c r="A1019" s="18" t="s">
        <v>27</v>
      </c>
      <c r="B1019" s="57">
        <v>6.875E-3</v>
      </c>
      <c r="C1019" s="58">
        <v>1</v>
      </c>
      <c r="D1019" s="18" t="s">
        <v>539</v>
      </c>
      <c r="E1019" s="18" t="s">
        <v>500</v>
      </c>
      <c r="F1019" s="18" t="s">
        <v>1621</v>
      </c>
      <c r="G1019" s="59">
        <v>1326.34</v>
      </c>
      <c r="H1019" s="59">
        <v>1326.34</v>
      </c>
      <c r="I1019" s="18" t="s">
        <v>129</v>
      </c>
      <c r="J1019" s="18" t="s">
        <v>498</v>
      </c>
      <c r="K1019" s="18" t="s">
        <v>2680</v>
      </c>
      <c r="L1019" s="30"/>
    </row>
    <row r="1020" spans="1:12" hidden="1" x14ac:dyDescent="0.25">
      <c r="A1020" s="18" t="s">
        <v>27</v>
      </c>
      <c r="B1020" s="57">
        <v>6.875E-3</v>
      </c>
      <c r="C1020" s="58">
        <v>1</v>
      </c>
      <c r="D1020" s="18" t="s">
        <v>566</v>
      </c>
      <c r="E1020" s="18" t="s">
        <v>500</v>
      </c>
      <c r="F1020" s="18" t="s">
        <v>1621</v>
      </c>
      <c r="G1020" s="59">
        <v>1326.34</v>
      </c>
      <c r="H1020" s="59">
        <v>1326.34</v>
      </c>
      <c r="I1020" s="18" t="s">
        <v>133</v>
      </c>
      <c r="J1020" s="18" t="s">
        <v>498</v>
      </c>
      <c r="K1020" s="18" t="s">
        <v>2681</v>
      </c>
      <c r="L1020" s="30"/>
    </row>
    <row r="1021" spans="1:12" hidden="1" x14ac:dyDescent="0.25">
      <c r="A1021" s="18" t="s">
        <v>27</v>
      </c>
      <c r="B1021" s="57">
        <v>6.9212962962962961E-3</v>
      </c>
      <c r="C1021" s="58">
        <v>1</v>
      </c>
      <c r="D1021" s="18" t="s">
        <v>96</v>
      </c>
      <c r="E1021" s="18" t="s">
        <v>119</v>
      </c>
      <c r="F1021" s="18" t="s">
        <v>1621</v>
      </c>
      <c r="G1021" s="59">
        <v>1401.7</v>
      </c>
      <c r="H1021" s="59">
        <v>1401.7</v>
      </c>
      <c r="I1021" s="18" t="s">
        <v>150</v>
      </c>
      <c r="J1021" s="18" t="s">
        <v>115</v>
      </c>
      <c r="K1021" s="18" t="s">
        <v>2682</v>
      </c>
      <c r="L1021" s="30"/>
    </row>
    <row r="1022" spans="1:12" hidden="1" x14ac:dyDescent="0.25">
      <c r="A1022" s="18" t="s">
        <v>27</v>
      </c>
      <c r="B1022" s="57">
        <v>6.8402777777777776E-3</v>
      </c>
      <c r="C1022" s="58">
        <v>1</v>
      </c>
      <c r="D1022" s="18" t="s">
        <v>784</v>
      </c>
      <c r="E1022" s="18" t="s">
        <v>560</v>
      </c>
      <c r="F1022" s="18" t="s">
        <v>1621</v>
      </c>
      <c r="G1022" s="59">
        <v>1270.6500000000001</v>
      </c>
      <c r="H1022" s="59">
        <v>1270.6500000000001</v>
      </c>
      <c r="I1022" s="18" t="s">
        <v>133</v>
      </c>
      <c r="J1022" s="18" t="s">
        <v>498</v>
      </c>
      <c r="K1022" s="18" t="s">
        <v>2683</v>
      </c>
      <c r="L1022" s="30"/>
    </row>
    <row r="1023" spans="1:12" hidden="1" x14ac:dyDescent="0.25">
      <c r="A1023" s="18" t="s">
        <v>27</v>
      </c>
      <c r="B1023" s="57">
        <v>7.7546296296296295E-3</v>
      </c>
      <c r="C1023" s="58">
        <v>1</v>
      </c>
      <c r="D1023" s="18" t="s">
        <v>101</v>
      </c>
      <c r="E1023" s="18" t="s">
        <v>116</v>
      </c>
      <c r="F1023" s="18" t="s">
        <v>1621</v>
      </c>
      <c r="G1023" s="59">
        <v>1331.41</v>
      </c>
      <c r="H1023" s="59">
        <v>1331.41</v>
      </c>
      <c r="I1023" s="18" t="s">
        <v>147</v>
      </c>
      <c r="J1023" s="18" t="s">
        <v>115</v>
      </c>
      <c r="K1023" s="18" t="s">
        <v>2684</v>
      </c>
      <c r="L1023" s="30"/>
    </row>
    <row r="1024" spans="1:12" hidden="1" x14ac:dyDescent="0.25">
      <c r="A1024" s="18" t="s">
        <v>27</v>
      </c>
      <c r="B1024" s="57">
        <v>6.4467592592592588E-3</v>
      </c>
      <c r="C1024" s="58">
        <v>1</v>
      </c>
      <c r="D1024" s="18" t="s">
        <v>2563</v>
      </c>
      <c r="E1024" s="18" t="s">
        <v>2091</v>
      </c>
      <c r="F1024" s="18" t="s">
        <v>1621</v>
      </c>
      <c r="G1024" s="59">
        <v>1354.97</v>
      </c>
      <c r="H1024" s="59">
        <v>1354.97</v>
      </c>
      <c r="I1024" s="18" t="s">
        <v>1665</v>
      </c>
      <c r="J1024" s="18" t="s">
        <v>115</v>
      </c>
      <c r="K1024" s="18" t="s">
        <v>2685</v>
      </c>
      <c r="L1024" s="30"/>
    </row>
    <row r="1025" spans="1:12" hidden="1" x14ac:dyDescent="0.25">
      <c r="A1025" s="18" t="s">
        <v>27</v>
      </c>
      <c r="B1025" s="57">
        <v>1.261574074074074E-3</v>
      </c>
      <c r="C1025" s="58">
        <v>1</v>
      </c>
      <c r="D1025" s="18" t="s">
        <v>2203</v>
      </c>
      <c r="E1025" s="18" t="s">
        <v>2204</v>
      </c>
      <c r="F1025" s="18" t="s">
        <v>1621</v>
      </c>
      <c r="G1025" s="59">
        <v>36.56</v>
      </c>
      <c r="H1025" s="59">
        <v>36.56</v>
      </c>
      <c r="I1025" s="18" t="s">
        <v>367</v>
      </c>
      <c r="J1025" s="18" t="s">
        <v>512</v>
      </c>
      <c r="K1025" s="18" t="s">
        <v>2685</v>
      </c>
      <c r="L1025" s="30"/>
    </row>
    <row r="1026" spans="1:12" hidden="1" x14ac:dyDescent="0.25">
      <c r="A1026" s="18" t="s">
        <v>27</v>
      </c>
      <c r="B1026" s="57">
        <v>6.9212962962962961E-3</v>
      </c>
      <c r="C1026" s="58">
        <v>1</v>
      </c>
      <c r="D1026" s="18" t="s">
        <v>102</v>
      </c>
      <c r="E1026" s="18" t="s">
        <v>119</v>
      </c>
      <c r="F1026" s="18" t="s">
        <v>1621</v>
      </c>
      <c r="G1026" s="59">
        <v>1401.7</v>
      </c>
      <c r="H1026" s="59">
        <v>1401.7</v>
      </c>
      <c r="I1026" s="18" t="s">
        <v>147</v>
      </c>
      <c r="J1026" s="18" t="s">
        <v>115</v>
      </c>
      <c r="K1026" s="18" t="s">
        <v>2686</v>
      </c>
      <c r="L1026" s="30"/>
    </row>
    <row r="1027" spans="1:12" hidden="1" x14ac:dyDescent="0.25">
      <c r="A1027" s="18" t="s">
        <v>27</v>
      </c>
      <c r="B1027" s="57">
        <v>6.0300925925925921E-3</v>
      </c>
      <c r="C1027" s="58">
        <v>1</v>
      </c>
      <c r="D1027" s="18" t="s">
        <v>2471</v>
      </c>
      <c r="E1027" s="18" t="s">
        <v>2472</v>
      </c>
      <c r="F1027" s="18" t="s">
        <v>1621</v>
      </c>
      <c r="G1027" s="59">
        <v>1226.8599999999999</v>
      </c>
      <c r="H1027" s="59">
        <v>1226.8599999999999</v>
      </c>
      <c r="I1027" s="18" t="s">
        <v>1672</v>
      </c>
      <c r="J1027" s="18" t="s">
        <v>498</v>
      </c>
      <c r="K1027" s="18" t="s">
        <v>2687</v>
      </c>
      <c r="L1027" s="30"/>
    </row>
    <row r="1028" spans="1:12" hidden="1" x14ac:dyDescent="0.25">
      <c r="A1028" s="18" t="s">
        <v>27</v>
      </c>
      <c r="B1028" s="57">
        <v>1.2268518518518518E-3</v>
      </c>
      <c r="C1028" s="58">
        <v>1</v>
      </c>
      <c r="D1028" s="18" t="s">
        <v>2200</v>
      </c>
      <c r="E1028" s="18" t="s">
        <v>2201</v>
      </c>
      <c r="F1028" s="18" t="s">
        <v>1621</v>
      </c>
      <c r="G1028" s="59">
        <v>36.53</v>
      </c>
      <c r="H1028" s="59">
        <v>36.53</v>
      </c>
      <c r="I1028" s="18" t="s">
        <v>367</v>
      </c>
      <c r="J1028" s="18" t="s">
        <v>512</v>
      </c>
      <c r="K1028" s="18" t="s">
        <v>2687</v>
      </c>
      <c r="L1028" s="30"/>
    </row>
    <row r="1029" spans="1:12" hidden="1" x14ac:dyDescent="0.25">
      <c r="A1029" s="18" t="s">
        <v>27</v>
      </c>
      <c r="B1029" s="57">
        <v>1.4930555555555554E-3</v>
      </c>
      <c r="C1029" s="58">
        <v>1</v>
      </c>
      <c r="D1029" s="18" t="s">
        <v>48</v>
      </c>
      <c r="E1029" s="18" t="s">
        <v>1119</v>
      </c>
      <c r="F1029" s="18" t="s">
        <v>1621</v>
      </c>
      <c r="G1029" s="59">
        <v>59.87</v>
      </c>
      <c r="H1029" s="59">
        <v>59.87</v>
      </c>
      <c r="I1029" s="18" t="s">
        <v>2195</v>
      </c>
      <c r="J1029" s="18" t="s">
        <v>44</v>
      </c>
      <c r="K1029" s="18" t="s">
        <v>2687</v>
      </c>
      <c r="L1029" s="30"/>
    </row>
    <row r="1030" spans="1:12" hidden="1" x14ac:dyDescent="0.25">
      <c r="A1030" s="18" t="s">
        <v>27</v>
      </c>
      <c r="B1030" s="57">
        <v>6.875E-3</v>
      </c>
      <c r="C1030" s="58">
        <v>1</v>
      </c>
      <c r="D1030" s="18" t="s">
        <v>570</v>
      </c>
      <c r="E1030" s="18" t="s">
        <v>500</v>
      </c>
      <c r="F1030" s="18" t="s">
        <v>1621</v>
      </c>
      <c r="G1030" s="59">
        <v>1326.34</v>
      </c>
      <c r="H1030" s="59">
        <v>1326.34</v>
      </c>
      <c r="I1030" s="18" t="s">
        <v>147</v>
      </c>
      <c r="J1030" s="18" t="s">
        <v>498</v>
      </c>
      <c r="K1030" s="18" t="s">
        <v>2688</v>
      </c>
      <c r="L1030" s="30"/>
    </row>
    <row r="1031" spans="1:12" hidden="1" x14ac:dyDescent="0.25">
      <c r="A1031" s="18" t="s">
        <v>27</v>
      </c>
      <c r="B1031" s="57">
        <v>6.9212962962962961E-3</v>
      </c>
      <c r="C1031" s="58">
        <v>1</v>
      </c>
      <c r="D1031" s="18" t="s">
        <v>531</v>
      </c>
      <c r="E1031" s="18" t="s">
        <v>119</v>
      </c>
      <c r="F1031" s="18" t="s">
        <v>1621</v>
      </c>
      <c r="G1031" s="59">
        <v>1401.7</v>
      </c>
      <c r="H1031" s="59">
        <v>1401.7</v>
      </c>
      <c r="I1031" s="18" t="s">
        <v>530</v>
      </c>
      <c r="J1031" s="18" t="s">
        <v>368</v>
      </c>
      <c r="K1031" s="18" t="s">
        <v>2689</v>
      </c>
      <c r="L1031" s="30"/>
    </row>
    <row r="1032" spans="1:12" hidden="1" x14ac:dyDescent="0.25">
      <c r="A1032" s="18" t="s">
        <v>27</v>
      </c>
      <c r="B1032" s="57">
        <v>6.9212962962962961E-3</v>
      </c>
      <c r="C1032" s="58">
        <v>1</v>
      </c>
      <c r="D1032" s="18" t="s">
        <v>531</v>
      </c>
      <c r="E1032" s="18" t="s">
        <v>119</v>
      </c>
      <c r="F1032" s="18" t="s">
        <v>1621</v>
      </c>
      <c r="G1032" s="59">
        <v>1401.7</v>
      </c>
      <c r="H1032" s="59">
        <v>1401.7</v>
      </c>
      <c r="I1032" s="18" t="s">
        <v>530</v>
      </c>
      <c r="J1032" s="18" t="s">
        <v>368</v>
      </c>
      <c r="K1032" s="18" t="s">
        <v>2690</v>
      </c>
      <c r="L1032" s="30"/>
    </row>
    <row r="1033" spans="1:12" hidden="1" x14ac:dyDescent="0.25">
      <c r="A1033" s="18" t="s">
        <v>27</v>
      </c>
      <c r="B1033" s="57">
        <v>6.9097222222222216E-3</v>
      </c>
      <c r="C1033" s="58">
        <v>1</v>
      </c>
      <c r="D1033" s="18" t="s">
        <v>531</v>
      </c>
      <c r="E1033" s="18" t="s">
        <v>119</v>
      </c>
      <c r="F1033" s="18" t="s">
        <v>1621</v>
      </c>
      <c r="G1033" s="59">
        <v>1401.7</v>
      </c>
      <c r="H1033" s="59">
        <v>1401.7</v>
      </c>
      <c r="I1033" s="18" t="s">
        <v>530</v>
      </c>
      <c r="J1033" s="18" t="s">
        <v>368</v>
      </c>
      <c r="K1033" s="18" t="s">
        <v>2691</v>
      </c>
      <c r="L1033" s="30"/>
    </row>
    <row r="1034" spans="1:12" hidden="1" x14ac:dyDescent="0.25">
      <c r="A1034" s="18" t="s">
        <v>27</v>
      </c>
      <c r="B1034" s="57">
        <v>6.9097222222222216E-3</v>
      </c>
      <c r="C1034" s="58">
        <v>1</v>
      </c>
      <c r="D1034" s="18" t="s">
        <v>531</v>
      </c>
      <c r="E1034" s="18" t="s">
        <v>119</v>
      </c>
      <c r="F1034" s="18" t="s">
        <v>1621</v>
      </c>
      <c r="G1034" s="59">
        <v>1401.7</v>
      </c>
      <c r="H1034" s="59">
        <v>1401.7</v>
      </c>
      <c r="I1034" s="18" t="s">
        <v>530</v>
      </c>
      <c r="J1034" s="18" t="s">
        <v>368</v>
      </c>
      <c r="K1034" s="18" t="s">
        <v>2692</v>
      </c>
      <c r="L1034" s="30"/>
    </row>
    <row r="1035" spans="1:12" hidden="1" x14ac:dyDescent="0.25">
      <c r="A1035" s="18" t="s">
        <v>27</v>
      </c>
      <c r="B1035" s="57">
        <v>6.9097222222222216E-3</v>
      </c>
      <c r="C1035" s="58">
        <v>1</v>
      </c>
      <c r="D1035" s="18" t="s">
        <v>531</v>
      </c>
      <c r="E1035" s="18" t="s">
        <v>119</v>
      </c>
      <c r="F1035" s="18" t="s">
        <v>1621</v>
      </c>
      <c r="G1035" s="59">
        <v>1401.7</v>
      </c>
      <c r="H1035" s="59">
        <v>1401.7</v>
      </c>
      <c r="I1035" s="18" t="s">
        <v>530</v>
      </c>
      <c r="J1035" s="18" t="s">
        <v>368</v>
      </c>
      <c r="K1035" s="18" t="s">
        <v>2693</v>
      </c>
      <c r="L1035" s="30"/>
    </row>
    <row r="1036" spans="1:12" hidden="1" x14ac:dyDescent="0.25">
      <c r="A1036" s="18" t="s">
        <v>27</v>
      </c>
      <c r="B1036" s="57">
        <v>6.9097222222222216E-3</v>
      </c>
      <c r="C1036" s="58">
        <v>1</v>
      </c>
      <c r="D1036" s="18" t="s">
        <v>531</v>
      </c>
      <c r="E1036" s="18" t="s">
        <v>119</v>
      </c>
      <c r="F1036" s="18" t="s">
        <v>1621</v>
      </c>
      <c r="G1036" s="59">
        <v>1401.7</v>
      </c>
      <c r="H1036" s="59">
        <v>1401.7</v>
      </c>
      <c r="I1036" s="18" t="s">
        <v>530</v>
      </c>
      <c r="J1036" s="18" t="s">
        <v>368</v>
      </c>
      <c r="K1036" s="18" t="s">
        <v>2694</v>
      </c>
      <c r="L1036" s="30"/>
    </row>
    <row r="1037" spans="1:12" hidden="1" x14ac:dyDescent="0.25">
      <c r="A1037" s="18" t="s">
        <v>27</v>
      </c>
      <c r="B1037" s="57">
        <v>6.9212962962962961E-3</v>
      </c>
      <c r="C1037" s="58">
        <v>1</v>
      </c>
      <c r="D1037" s="18" t="s">
        <v>531</v>
      </c>
      <c r="E1037" s="18" t="s">
        <v>119</v>
      </c>
      <c r="F1037" s="18" t="s">
        <v>1621</v>
      </c>
      <c r="G1037" s="59">
        <v>1401.7</v>
      </c>
      <c r="H1037" s="59">
        <v>1401.7</v>
      </c>
      <c r="I1037" s="18" t="s">
        <v>530</v>
      </c>
      <c r="J1037" s="18" t="s">
        <v>368</v>
      </c>
      <c r="K1037" s="18" t="s">
        <v>2695</v>
      </c>
      <c r="L1037" s="30"/>
    </row>
    <row r="1038" spans="1:12" hidden="1" x14ac:dyDescent="0.25">
      <c r="A1038" s="18" t="s">
        <v>27</v>
      </c>
      <c r="B1038" s="57">
        <v>1.1655092592592592E-2</v>
      </c>
      <c r="C1038" s="58">
        <v>6</v>
      </c>
      <c r="D1038" s="18" t="s">
        <v>2309</v>
      </c>
      <c r="E1038" s="18" t="s">
        <v>2310</v>
      </c>
      <c r="F1038" s="18" t="s">
        <v>1621</v>
      </c>
      <c r="G1038" s="59">
        <v>58.91</v>
      </c>
      <c r="H1038" s="59">
        <v>353.46</v>
      </c>
      <c r="I1038" s="18" t="s">
        <v>1672</v>
      </c>
      <c r="J1038" s="18" t="s">
        <v>115</v>
      </c>
      <c r="K1038" s="18" t="s">
        <v>2696</v>
      </c>
      <c r="L1038" s="30"/>
    </row>
    <row r="1039" spans="1:12" hidden="1" x14ac:dyDescent="0.25">
      <c r="A1039" s="18" t="s">
        <v>27</v>
      </c>
      <c r="B1039" s="57">
        <v>5.9837962962962961E-3</v>
      </c>
      <c r="C1039" s="58">
        <v>1</v>
      </c>
      <c r="D1039" s="18" t="s">
        <v>2295</v>
      </c>
      <c r="E1039" s="18" t="s">
        <v>2183</v>
      </c>
      <c r="F1039" s="18" t="s">
        <v>1621</v>
      </c>
      <c r="G1039" s="59">
        <v>783.74</v>
      </c>
      <c r="H1039" s="59">
        <v>783.74</v>
      </c>
      <c r="I1039" s="18" t="s">
        <v>511</v>
      </c>
      <c r="J1039" s="18" t="s">
        <v>512</v>
      </c>
      <c r="K1039" s="18" t="s">
        <v>2696</v>
      </c>
      <c r="L1039" s="30"/>
    </row>
    <row r="1040" spans="1:12" hidden="1" x14ac:dyDescent="0.25">
      <c r="A1040" s="18" t="s">
        <v>27</v>
      </c>
      <c r="B1040" s="57">
        <v>1.7013888888888888E-3</v>
      </c>
      <c r="C1040" s="58">
        <v>1</v>
      </c>
      <c r="D1040" s="18" t="s">
        <v>2228</v>
      </c>
      <c r="E1040" s="18" t="s">
        <v>2153</v>
      </c>
      <c r="F1040" s="18" t="s">
        <v>1621</v>
      </c>
      <c r="G1040" s="59">
        <v>73.5</v>
      </c>
      <c r="H1040" s="59">
        <v>73.5</v>
      </c>
      <c r="I1040" s="18" t="s">
        <v>1665</v>
      </c>
      <c r="J1040" s="18" t="s">
        <v>512</v>
      </c>
      <c r="K1040" s="18" t="s">
        <v>2696</v>
      </c>
      <c r="L1040" s="30"/>
    </row>
    <row r="1041" spans="1:12" hidden="1" x14ac:dyDescent="0.25">
      <c r="A1041" s="18" t="s">
        <v>27</v>
      </c>
      <c r="B1041" s="57">
        <v>1.8402777777777777E-3</v>
      </c>
      <c r="C1041" s="58">
        <v>1</v>
      </c>
      <c r="D1041" s="18" t="s">
        <v>2271</v>
      </c>
      <c r="E1041" s="18" t="s">
        <v>2270</v>
      </c>
      <c r="F1041" s="18" t="s">
        <v>1621</v>
      </c>
      <c r="G1041" s="59">
        <v>55.28</v>
      </c>
      <c r="H1041" s="59">
        <v>55.28</v>
      </c>
      <c r="I1041" s="18" t="s">
        <v>367</v>
      </c>
      <c r="J1041" s="18" t="s">
        <v>427</v>
      </c>
      <c r="K1041" s="18" t="s">
        <v>2696</v>
      </c>
      <c r="L1041" s="30"/>
    </row>
    <row r="1042" spans="1:12" hidden="1" x14ac:dyDescent="0.25">
      <c r="A1042" s="18" t="s">
        <v>27</v>
      </c>
      <c r="B1042" s="57">
        <v>7.5462962962962957E-3</v>
      </c>
      <c r="C1042" s="58">
        <v>1</v>
      </c>
      <c r="D1042" s="18" t="s">
        <v>2561</v>
      </c>
      <c r="E1042" s="18" t="s">
        <v>2198</v>
      </c>
      <c r="F1042" s="18" t="s">
        <v>1621</v>
      </c>
      <c r="G1042" s="59">
        <v>1281.04</v>
      </c>
      <c r="H1042" s="59">
        <v>1281.04</v>
      </c>
      <c r="I1042" s="18" t="s">
        <v>1665</v>
      </c>
      <c r="J1042" s="18" t="s">
        <v>512</v>
      </c>
      <c r="K1042" s="18" t="s">
        <v>2697</v>
      </c>
      <c r="L1042" s="30"/>
    </row>
    <row r="1043" spans="1:12" hidden="1" x14ac:dyDescent="0.25">
      <c r="A1043" s="18" t="s">
        <v>27</v>
      </c>
      <c r="B1043" s="57">
        <v>1.6319444444444443E-3</v>
      </c>
      <c r="C1043" s="58">
        <v>1</v>
      </c>
      <c r="D1043" s="18" t="s">
        <v>48</v>
      </c>
      <c r="E1043" s="18" t="s">
        <v>1119</v>
      </c>
      <c r="F1043" s="18" t="s">
        <v>1621</v>
      </c>
      <c r="G1043" s="59">
        <v>59.87</v>
      </c>
      <c r="H1043" s="59">
        <v>59.87</v>
      </c>
      <c r="I1043" s="18" t="s">
        <v>2195</v>
      </c>
      <c r="J1043" s="18" t="s">
        <v>44</v>
      </c>
      <c r="K1043" s="18" t="s">
        <v>2697</v>
      </c>
      <c r="L1043" s="30"/>
    </row>
    <row r="1044" spans="1:12" hidden="1" x14ac:dyDescent="0.25">
      <c r="A1044" s="18" t="s">
        <v>27</v>
      </c>
      <c r="B1044" s="57">
        <v>6.9212962962962961E-3</v>
      </c>
      <c r="C1044" s="58">
        <v>1</v>
      </c>
      <c r="D1044" s="18" t="s">
        <v>428</v>
      </c>
      <c r="E1044" s="18" t="s">
        <v>429</v>
      </c>
      <c r="F1044" s="18" t="s">
        <v>1621</v>
      </c>
      <c r="G1044" s="59">
        <v>1407.72</v>
      </c>
      <c r="H1044" s="59">
        <v>1407.72</v>
      </c>
      <c r="I1044" s="18" t="s">
        <v>367</v>
      </c>
      <c r="J1044" s="18" t="s">
        <v>427</v>
      </c>
      <c r="K1044" s="18" t="s">
        <v>2698</v>
      </c>
      <c r="L1044" s="30"/>
    </row>
    <row r="1045" spans="1:12" hidden="1" x14ac:dyDescent="0.25">
      <c r="A1045" s="18" t="s">
        <v>27</v>
      </c>
      <c r="B1045" s="57">
        <v>8.0208333333333329E-3</v>
      </c>
      <c r="C1045" s="58">
        <v>1</v>
      </c>
      <c r="D1045" s="18" t="s">
        <v>100</v>
      </c>
      <c r="E1045" s="18" t="s">
        <v>119</v>
      </c>
      <c r="F1045" s="18" t="s">
        <v>1621</v>
      </c>
      <c r="G1045" s="59">
        <v>1387.24</v>
      </c>
      <c r="H1045" s="59">
        <v>1387.24</v>
      </c>
      <c r="I1045" s="18" t="s">
        <v>147</v>
      </c>
      <c r="J1045" s="18" t="s">
        <v>512</v>
      </c>
      <c r="K1045" s="18" t="s">
        <v>2699</v>
      </c>
      <c r="L1045" s="30"/>
    </row>
    <row r="1046" spans="1:12" hidden="1" x14ac:dyDescent="0.25">
      <c r="A1046" s="18" t="s">
        <v>27</v>
      </c>
      <c r="B1046" s="57">
        <v>6.9212962962962961E-3</v>
      </c>
      <c r="C1046" s="58">
        <v>1</v>
      </c>
      <c r="D1046" s="18" t="s">
        <v>513</v>
      </c>
      <c r="E1046" s="18" t="s">
        <v>119</v>
      </c>
      <c r="F1046" s="18" t="s">
        <v>1621</v>
      </c>
      <c r="G1046" s="59">
        <v>1401.7</v>
      </c>
      <c r="H1046" s="59">
        <v>1401.7</v>
      </c>
      <c r="I1046" s="18" t="s">
        <v>511</v>
      </c>
      <c r="J1046" s="18" t="s">
        <v>512</v>
      </c>
      <c r="K1046" s="18" t="s">
        <v>2700</v>
      </c>
      <c r="L1046" s="30"/>
    </row>
    <row r="1047" spans="1:12" hidden="1" x14ac:dyDescent="0.25">
      <c r="A1047" s="18" t="s">
        <v>27</v>
      </c>
      <c r="B1047" s="57">
        <v>6.9212962962962961E-3</v>
      </c>
      <c r="C1047" s="58">
        <v>1</v>
      </c>
      <c r="D1047" s="18" t="s">
        <v>513</v>
      </c>
      <c r="E1047" s="18" t="s">
        <v>119</v>
      </c>
      <c r="F1047" s="18" t="s">
        <v>1621</v>
      </c>
      <c r="G1047" s="59">
        <v>1401.7</v>
      </c>
      <c r="H1047" s="59">
        <v>1401.7</v>
      </c>
      <c r="I1047" s="18" t="s">
        <v>511</v>
      </c>
      <c r="J1047" s="18" t="s">
        <v>512</v>
      </c>
      <c r="K1047" s="18" t="s">
        <v>2701</v>
      </c>
      <c r="L1047" s="30"/>
    </row>
    <row r="1048" spans="1:12" hidden="1" x14ac:dyDescent="0.25">
      <c r="A1048" s="18" t="s">
        <v>27</v>
      </c>
      <c r="B1048" s="57">
        <v>6.8402777777777776E-3</v>
      </c>
      <c r="C1048" s="58">
        <v>1</v>
      </c>
      <c r="D1048" s="18" t="s">
        <v>562</v>
      </c>
      <c r="E1048" s="18" t="s">
        <v>505</v>
      </c>
      <c r="F1048" s="18" t="s">
        <v>1621</v>
      </c>
      <c r="G1048" s="59">
        <v>1270.6500000000001</v>
      </c>
      <c r="H1048" s="59">
        <v>1270.6500000000001</v>
      </c>
      <c r="I1048" s="18" t="s">
        <v>150</v>
      </c>
      <c r="J1048" s="18" t="s">
        <v>498</v>
      </c>
      <c r="K1048" s="18" t="s">
        <v>2702</v>
      </c>
      <c r="L1048" s="30"/>
    </row>
    <row r="1049" spans="1:12" hidden="1" x14ac:dyDescent="0.25">
      <c r="A1049" s="18" t="s">
        <v>27</v>
      </c>
      <c r="B1049" s="57">
        <v>6.9212962962962961E-3</v>
      </c>
      <c r="C1049" s="58">
        <v>1</v>
      </c>
      <c r="D1049" s="18" t="s">
        <v>513</v>
      </c>
      <c r="E1049" s="18" t="s">
        <v>119</v>
      </c>
      <c r="F1049" s="18" t="s">
        <v>1621</v>
      </c>
      <c r="G1049" s="59">
        <v>1401.7</v>
      </c>
      <c r="H1049" s="59">
        <v>1401.7</v>
      </c>
      <c r="I1049" s="18" t="s">
        <v>511</v>
      </c>
      <c r="J1049" s="18" t="s">
        <v>512</v>
      </c>
      <c r="K1049" s="18" t="s">
        <v>2703</v>
      </c>
      <c r="L1049" s="30"/>
    </row>
    <row r="1050" spans="1:12" hidden="1" x14ac:dyDescent="0.25">
      <c r="A1050" s="18" t="s">
        <v>27</v>
      </c>
      <c r="B1050" s="57">
        <v>6.9212962962962961E-3</v>
      </c>
      <c r="C1050" s="58">
        <v>1</v>
      </c>
      <c r="D1050" s="18" t="s">
        <v>513</v>
      </c>
      <c r="E1050" s="18" t="s">
        <v>119</v>
      </c>
      <c r="F1050" s="18" t="s">
        <v>1621</v>
      </c>
      <c r="G1050" s="59">
        <v>1401.7</v>
      </c>
      <c r="H1050" s="59">
        <v>1401.7</v>
      </c>
      <c r="I1050" s="18" t="s">
        <v>511</v>
      </c>
      <c r="J1050" s="18" t="s">
        <v>512</v>
      </c>
      <c r="K1050" s="18" t="s">
        <v>2704</v>
      </c>
      <c r="L1050" s="30"/>
    </row>
    <row r="1051" spans="1:12" hidden="1" x14ac:dyDescent="0.25">
      <c r="A1051" s="18" t="s">
        <v>27</v>
      </c>
      <c r="B1051" s="57">
        <v>6.8402777777777776E-3</v>
      </c>
      <c r="C1051" s="58">
        <v>1</v>
      </c>
      <c r="D1051" s="18" t="s">
        <v>568</v>
      </c>
      <c r="E1051" s="18" t="s">
        <v>505</v>
      </c>
      <c r="F1051" s="18" t="s">
        <v>1621</v>
      </c>
      <c r="G1051" s="59">
        <v>1270.6500000000001</v>
      </c>
      <c r="H1051" s="59">
        <v>1270.6500000000001</v>
      </c>
      <c r="I1051" s="18" t="s">
        <v>147</v>
      </c>
      <c r="J1051" s="18" t="s">
        <v>498</v>
      </c>
      <c r="K1051" s="18" t="s">
        <v>2705</v>
      </c>
      <c r="L1051" s="30"/>
    </row>
    <row r="1052" spans="1:12" hidden="1" x14ac:dyDescent="0.25">
      <c r="A1052" s="18" t="s">
        <v>27</v>
      </c>
      <c r="B1052" s="57">
        <v>8.067129629629629E-3</v>
      </c>
      <c r="C1052" s="58">
        <v>1</v>
      </c>
      <c r="D1052" s="18" t="s">
        <v>1176</v>
      </c>
      <c r="E1052" s="18" t="s">
        <v>119</v>
      </c>
      <c r="F1052" s="18" t="s">
        <v>1621</v>
      </c>
      <c r="G1052" s="59">
        <v>1386.17</v>
      </c>
      <c r="H1052" s="59">
        <v>1386.17</v>
      </c>
      <c r="I1052" s="18" t="s">
        <v>129</v>
      </c>
      <c r="J1052" s="18" t="s">
        <v>512</v>
      </c>
      <c r="K1052" s="18" t="s">
        <v>2706</v>
      </c>
      <c r="L1052" s="30"/>
    </row>
    <row r="1053" spans="1:12" hidden="1" x14ac:dyDescent="0.25">
      <c r="A1053" s="18" t="s">
        <v>27</v>
      </c>
      <c r="B1053" s="57">
        <v>6.9212962962962961E-3</v>
      </c>
      <c r="C1053" s="58">
        <v>1</v>
      </c>
      <c r="D1053" s="18" t="s">
        <v>513</v>
      </c>
      <c r="E1053" s="18" t="s">
        <v>119</v>
      </c>
      <c r="F1053" s="18" t="s">
        <v>1621</v>
      </c>
      <c r="G1053" s="59">
        <v>1401.7</v>
      </c>
      <c r="H1053" s="59">
        <v>1401.7</v>
      </c>
      <c r="I1053" s="18" t="s">
        <v>511</v>
      </c>
      <c r="J1053" s="18" t="s">
        <v>512</v>
      </c>
      <c r="K1053" s="18" t="s">
        <v>2707</v>
      </c>
      <c r="L1053" s="30"/>
    </row>
    <row r="1054" spans="1:12" hidden="1" x14ac:dyDescent="0.25">
      <c r="A1054" s="18" t="s">
        <v>27</v>
      </c>
      <c r="B1054" s="57">
        <v>6.9212962962962961E-3</v>
      </c>
      <c r="C1054" s="58">
        <v>1</v>
      </c>
      <c r="D1054" s="18" t="s">
        <v>513</v>
      </c>
      <c r="E1054" s="18" t="s">
        <v>119</v>
      </c>
      <c r="F1054" s="18" t="s">
        <v>1621</v>
      </c>
      <c r="G1054" s="59">
        <v>1401.7</v>
      </c>
      <c r="H1054" s="59">
        <v>1401.7</v>
      </c>
      <c r="I1054" s="18" t="s">
        <v>511</v>
      </c>
      <c r="J1054" s="18" t="s">
        <v>512</v>
      </c>
      <c r="K1054" s="18" t="s">
        <v>2708</v>
      </c>
      <c r="L1054" s="30"/>
    </row>
    <row r="1055" spans="1:12" hidden="1" x14ac:dyDescent="0.25">
      <c r="A1055" s="18" t="s">
        <v>27</v>
      </c>
      <c r="B1055" s="57">
        <v>6.9212962962962961E-3</v>
      </c>
      <c r="C1055" s="58">
        <v>1</v>
      </c>
      <c r="D1055" s="18" t="s">
        <v>513</v>
      </c>
      <c r="E1055" s="18" t="s">
        <v>119</v>
      </c>
      <c r="F1055" s="18" t="s">
        <v>1621</v>
      </c>
      <c r="G1055" s="59">
        <v>1401.7</v>
      </c>
      <c r="H1055" s="59">
        <v>1401.7</v>
      </c>
      <c r="I1055" s="18" t="s">
        <v>511</v>
      </c>
      <c r="J1055" s="18" t="s">
        <v>512</v>
      </c>
      <c r="K1055" s="18" t="s">
        <v>2709</v>
      </c>
      <c r="L1055" s="30"/>
    </row>
    <row r="1056" spans="1:12" hidden="1" x14ac:dyDescent="0.25">
      <c r="A1056" s="18" t="s">
        <v>27</v>
      </c>
      <c r="B1056" s="57">
        <v>6.8402777777777776E-3</v>
      </c>
      <c r="C1056" s="58">
        <v>1</v>
      </c>
      <c r="D1056" s="18" t="s">
        <v>541</v>
      </c>
      <c r="E1056" s="18" t="s">
        <v>505</v>
      </c>
      <c r="F1056" s="18" t="s">
        <v>1621</v>
      </c>
      <c r="G1056" s="59">
        <v>1270.6500000000001</v>
      </c>
      <c r="H1056" s="59">
        <v>1270.6500000000001</v>
      </c>
      <c r="I1056" s="18" t="s">
        <v>131</v>
      </c>
      <c r="J1056" s="18" t="s">
        <v>498</v>
      </c>
      <c r="K1056" s="18" t="s">
        <v>2710</v>
      </c>
      <c r="L1056" s="30"/>
    </row>
    <row r="1057" spans="1:12" hidden="1" x14ac:dyDescent="0.25">
      <c r="A1057" s="18" t="s">
        <v>27</v>
      </c>
      <c r="B1057" s="57">
        <v>6.875E-3</v>
      </c>
      <c r="C1057" s="58">
        <v>1</v>
      </c>
      <c r="D1057" s="18" t="s">
        <v>499</v>
      </c>
      <c r="E1057" s="18" t="s">
        <v>500</v>
      </c>
      <c r="F1057" s="18" t="s">
        <v>1621</v>
      </c>
      <c r="G1057" s="59">
        <v>1326.34</v>
      </c>
      <c r="H1057" s="59">
        <v>1326.34</v>
      </c>
      <c r="I1057" s="18" t="s">
        <v>131</v>
      </c>
      <c r="J1057" s="18" t="s">
        <v>498</v>
      </c>
      <c r="K1057" s="18" t="s">
        <v>2711</v>
      </c>
      <c r="L1057" s="30"/>
    </row>
    <row r="1058" spans="1:12" hidden="1" x14ac:dyDescent="0.25">
      <c r="A1058" s="18" t="s">
        <v>27</v>
      </c>
      <c r="B1058" s="57">
        <v>7.7546296296296293E-4</v>
      </c>
      <c r="C1058" s="58">
        <v>1</v>
      </c>
      <c r="D1058" s="18" t="s">
        <v>1633</v>
      </c>
      <c r="E1058" s="18" t="s">
        <v>1634</v>
      </c>
      <c r="F1058" s="18" t="s">
        <v>1621</v>
      </c>
      <c r="G1058" s="59">
        <v>19.12</v>
      </c>
      <c r="H1058" s="59">
        <v>19.12</v>
      </c>
      <c r="I1058" s="18" t="s">
        <v>367</v>
      </c>
      <c r="J1058" s="18" t="s">
        <v>1599</v>
      </c>
      <c r="K1058" s="18" t="s">
        <v>2712</v>
      </c>
      <c r="L1058" s="30"/>
    </row>
    <row r="1059" spans="1:12" hidden="1" x14ac:dyDescent="0.25">
      <c r="A1059" s="18" t="s">
        <v>27</v>
      </c>
      <c r="B1059" s="57">
        <v>9.7222222222222219E-4</v>
      </c>
      <c r="C1059" s="58">
        <v>1</v>
      </c>
      <c r="D1059" s="18" t="s">
        <v>2713</v>
      </c>
      <c r="E1059" s="18" t="s">
        <v>2599</v>
      </c>
      <c r="F1059" s="18" t="s">
        <v>1621</v>
      </c>
      <c r="G1059" s="59">
        <v>22.51</v>
      </c>
      <c r="H1059" s="59">
        <v>22.51</v>
      </c>
      <c r="I1059" s="18" t="s">
        <v>367</v>
      </c>
      <c r="J1059" s="18" t="s">
        <v>512</v>
      </c>
      <c r="K1059" s="18" t="s">
        <v>2712</v>
      </c>
      <c r="L1059" s="30"/>
    </row>
    <row r="1060" spans="1:12" hidden="1" x14ac:dyDescent="0.25">
      <c r="A1060" s="18" t="s">
        <v>27</v>
      </c>
      <c r="B1060" s="57">
        <v>9.837962962962962E-4</v>
      </c>
      <c r="C1060" s="58">
        <v>1</v>
      </c>
      <c r="D1060" s="18" t="s">
        <v>2486</v>
      </c>
      <c r="E1060" s="18" t="s">
        <v>2487</v>
      </c>
      <c r="F1060" s="18" t="s">
        <v>1621</v>
      </c>
      <c r="G1060" s="59">
        <v>25.59</v>
      </c>
      <c r="H1060" s="59">
        <v>25.59</v>
      </c>
      <c r="I1060" s="18" t="s">
        <v>367</v>
      </c>
      <c r="J1060" s="18" t="s">
        <v>1594</v>
      </c>
      <c r="K1060" s="18" t="s">
        <v>2712</v>
      </c>
      <c r="L1060" s="30"/>
    </row>
    <row r="1061" spans="1:12" hidden="1" x14ac:dyDescent="0.25">
      <c r="A1061" s="18" t="s">
        <v>27</v>
      </c>
      <c r="B1061" s="57">
        <v>1.4699074074074074E-3</v>
      </c>
      <c r="C1061" s="58">
        <v>1</v>
      </c>
      <c r="D1061" s="18" t="s">
        <v>48</v>
      </c>
      <c r="E1061" s="18" t="s">
        <v>1119</v>
      </c>
      <c r="F1061" s="18" t="s">
        <v>1621</v>
      </c>
      <c r="G1061" s="59">
        <v>59.87</v>
      </c>
      <c r="H1061" s="59">
        <v>59.87</v>
      </c>
      <c r="I1061" s="18" t="s">
        <v>2195</v>
      </c>
      <c r="J1061" s="18" t="s">
        <v>44</v>
      </c>
      <c r="K1061" s="18" t="s">
        <v>2712</v>
      </c>
      <c r="L1061" s="30"/>
    </row>
    <row r="1062" spans="1:12" hidden="1" x14ac:dyDescent="0.25">
      <c r="A1062" s="18" t="s">
        <v>27</v>
      </c>
      <c r="B1062" s="57">
        <v>6.8634259259259256E-3</v>
      </c>
      <c r="C1062" s="58">
        <v>1</v>
      </c>
      <c r="D1062" s="18" t="s">
        <v>2277</v>
      </c>
      <c r="E1062" s="18" t="s">
        <v>2278</v>
      </c>
      <c r="F1062" s="18" t="s">
        <v>1621</v>
      </c>
      <c r="G1062" s="59">
        <v>1153.19</v>
      </c>
      <c r="H1062" s="59">
        <v>1153.19</v>
      </c>
      <c r="I1062" s="18" t="s">
        <v>1672</v>
      </c>
      <c r="J1062" s="18" t="s">
        <v>115</v>
      </c>
      <c r="K1062" s="18" t="s">
        <v>2712</v>
      </c>
      <c r="L1062" s="30"/>
    </row>
    <row r="1063" spans="1:12" hidden="1" x14ac:dyDescent="0.25">
      <c r="A1063" s="18" t="s">
        <v>27</v>
      </c>
      <c r="B1063" s="57">
        <v>6.3541666666666668E-3</v>
      </c>
      <c r="C1063" s="58">
        <v>1</v>
      </c>
      <c r="D1063" s="18" t="s">
        <v>2369</v>
      </c>
      <c r="E1063" s="18" t="s">
        <v>2138</v>
      </c>
      <c r="F1063" s="18" t="s">
        <v>1621</v>
      </c>
      <c r="G1063" s="59">
        <v>1046.44</v>
      </c>
      <c r="H1063" s="59">
        <v>1046.44</v>
      </c>
      <c r="I1063" s="18" t="s">
        <v>133</v>
      </c>
      <c r="J1063" s="18" t="s">
        <v>115</v>
      </c>
      <c r="K1063" s="18" t="s">
        <v>2714</v>
      </c>
      <c r="L1063" s="30"/>
    </row>
    <row r="1064" spans="1:12" hidden="1" x14ac:dyDescent="0.25">
      <c r="A1064" s="18" t="s">
        <v>27</v>
      </c>
      <c r="B1064" s="57">
        <v>2.0254629629629629E-3</v>
      </c>
      <c r="C1064" s="58">
        <v>1</v>
      </c>
      <c r="D1064" s="18" t="s">
        <v>2311</v>
      </c>
      <c r="E1064" s="18" t="s">
        <v>2300</v>
      </c>
      <c r="F1064" s="18" t="s">
        <v>1621</v>
      </c>
      <c r="G1064" s="59">
        <v>58.12</v>
      </c>
      <c r="H1064" s="59">
        <v>58.12</v>
      </c>
      <c r="I1064" s="18" t="s">
        <v>1665</v>
      </c>
      <c r="J1064" s="18" t="s">
        <v>498</v>
      </c>
      <c r="K1064" s="18" t="s">
        <v>2714</v>
      </c>
      <c r="L1064" s="30"/>
    </row>
    <row r="1065" spans="1:12" hidden="1" x14ac:dyDescent="0.25">
      <c r="A1065" s="18" t="s">
        <v>27</v>
      </c>
      <c r="B1065" s="57">
        <v>2.0023148148148148E-3</v>
      </c>
      <c r="C1065" s="58">
        <v>1</v>
      </c>
      <c r="D1065" s="18" t="s">
        <v>2715</v>
      </c>
      <c r="E1065" s="18" t="s">
        <v>2310</v>
      </c>
      <c r="F1065" s="18" t="s">
        <v>1621</v>
      </c>
      <c r="G1065" s="59">
        <v>58.92</v>
      </c>
      <c r="H1065" s="59">
        <v>58.92</v>
      </c>
      <c r="I1065" s="18" t="s">
        <v>131</v>
      </c>
      <c r="J1065" s="18" t="s">
        <v>115</v>
      </c>
      <c r="K1065" s="18" t="s">
        <v>2714</v>
      </c>
      <c r="L1065" s="30"/>
    </row>
    <row r="1066" spans="1:12" hidden="1" x14ac:dyDescent="0.25">
      <c r="A1066" s="18" t="s">
        <v>27</v>
      </c>
      <c r="B1066" s="57">
        <v>3.49537037037037E-3</v>
      </c>
      <c r="C1066" s="58">
        <v>2</v>
      </c>
      <c r="D1066" s="18" t="s">
        <v>2228</v>
      </c>
      <c r="E1066" s="18" t="s">
        <v>2153</v>
      </c>
      <c r="F1066" s="18" t="s">
        <v>1621</v>
      </c>
      <c r="G1066" s="59">
        <v>73.5</v>
      </c>
      <c r="H1066" s="59">
        <v>147</v>
      </c>
      <c r="I1066" s="18" t="s">
        <v>1665</v>
      </c>
      <c r="J1066" s="18" t="s">
        <v>512</v>
      </c>
      <c r="K1066" s="18" t="s">
        <v>2714</v>
      </c>
      <c r="L1066" s="30"/>
    </row>
    <row r="1067" spans="1:12" hidden="1" x14ac:dyDescent="0.25">
      <c r="A1067" s="18" t="s">
        <v>27</v>
      </c>
      <c r="B1067" s="57">
        <v>1.9097222222222222E-3</v>
      </c>
      <c r="C1067" s="58">
        <v>1</v>
      </c>
      <c r="D1067" s="18" t="s">
        <v>2299</v>
      </c>
      <c r="E1067" s="18" t="s">
        <v>2300</v>
      </c>
      <c r="F1067" s="18" t="s">
        <v>1621</v>
      </c>
      <c r="G1067" s="59">
        <v>58.12</v>
      </c>
      <c r="H1067" s="59">
        <v>58.12</v>
      </c>
      <c r="I1067" s="18" t="s">
        <v>1672</v>
      </c>
      <c r="J1067" s="18" t="s">
        <v>498</v>
      </c>
      <c r="K1067" s="18" t="s">
        <v>2716</v>
      </c>
      <c r="L1067" s="30"/>
    </row>
    <row r="1068" spans="1:12" hidden="1" x14ac:dyDescent="0.25">
      <c r="A1068" s="18" t="s">
        <v>27</v>
      </c>
      <c r="B1068" s="57">
        <v>1.8749999999999999E-3</v>
      </c>
      <c r="C1068" s="58">
        <v>1</v>
      </c>
      <c r="D1068" s="18" t="s">
        <v>2715</v>
      </c>
      <c r="E1068" s="18" t="s">
        <v>2310</v>
      </c>
      <c r="F1068" s="18" t="s">
        <v>1621</v>
      </c>
      <c r="G1068" s="59">
        <v>58.92</v>
      </c>
      <c r="H1068" s="59">
        <v>58.92</v>
      </c>
      <c r="I1068" s="18" t="s">
        <v>131</v>
      </c>
      <c r="J1068" s="18" t="s">
        <v>115</v>
      </c>
      <c r="K1068" s="18" t="s">
        <v>2716</v>
      </c>
      <c r="L1068" s="30"/>
    </row>
    <row r="1069" spans="1:12" hidden="1" x14ac:dyDescent="0.25">
      <c r="A1069" s="18" t="s">
        <v>27</v>
      </c>
      <c r="B1069" s="57">
        <v>1.3194444444444445E-3</v>
      </c>
      <c r="C1069" s="58">
        <v>1</v>
      </c>
      <c r="D1069" s="18" t="s">
        <v>2057</v>
      </c>
      <c r="E1069" s="18" t="s">
        <v>2049</v>
      </c>
      <c r="F1069" s="18" t="s">
        <v>1621</v>
      </c>
      <c r="G1069" s="59">
        <v>63.24</v>
      </c>
      <c r="H1069" s="59">
        <v>63.24</v>
      </c>
      <c r="I1069" s="18" t="s">
        <v>1588</v>
      </c>
      <c r="J1069" s="18" t="s">
        <v>44</v>
      </c>
      <c r="K1069" s="18" t="s">
        <v>2716</v>
      </c>
      <c r="L1069" s="30"/>
    </row>
    <row r="1070" spans="1:12" hidden="1" x14ac:dyDescent="0.25">
      <c r="A1070" s="18" t="s">
        <v>27</v>
      </c>
      <c r="B1070" s="57">
        <v>6.7129629629629625E-4</v>
      </c>
      <c r="C1070" s="58">
        <v>1</v>
      </c>
      <c r="D1070" s="18" t="s">
        <v>2114</v>
      </c>
      <c r="E1070" s="18" t="s">
        <v>2097</v>
      </c>
      <c r="F1070" s="18" t="s">
        <v>1621</v>
      </c>
      <c r="G1070" s="59">
        <v>12.44</v>
      </c>
      <c r="H1070" s="59">
        <v>12.44</v>
      </c>
      <c r="I1070" s="18" t="s">
        <v>367</v>
      </c>
      <c r="J1070" s="18" t="s">
        <v>368</v>
      </c>
      <c r="K1070" s="18" t="s">
        <v>2716</v>
      </c>
      <c r="L1070" s="30"/>
    </row>
    <row r="1071" spans="1:12" hidden="1" x14ac:dyDescent="0.25">
      <c r="A1071" s="18" t="s">
        <v>27</v>
      </c>
      <c r="B1071" s="57">
        <v>5.7523148148148143E-3</v>
      </c>
      <c r="C1071" s="58">
        <v>1</v>
      </c>
      <c r="D1071" s="18" t="s">
        <v>2234</v>
      </c>
      <c r="E1071" s="18" t="s">
        <v>2235</v>
      </c>
      <c r="F1071" s="18" t="s">
        <v>1621</v>
      </c>
      <c r="G1071" s="59">
        <v>689.95</v>
      </c>
      <c r="H1071" s="59">
        <v>689.95</v>
      </c>
      <c r="I1071" s="18" t="s">
        <v>367</v>
      </c>
      <c r="J1071" s="18" t="s">
        <v>427</v>
      </c>
      <c r="K1071" s="18" t="s">
        <v>2716</v>
      </c>
      <c r="L1071" s="30"/>
    </row>
    <row r="1072" spans="1:12" hidden="1" x14ac:dyDescent="0.25">
      <c r="A1072" s="18" t="s">
        <v>27</v>
      </c>
      <c r="B1072" s="57">
        <v>7.0717592592592585E-3</v>
      </c>
      <c r="C1072" s="58">
        <v>5</v>
      </c>
      <c r="D1072" s="18" t="s">
        <v>48</v>
      </c>
      <c r="E1072" s="18" t="s">
        <v>1119</v>
      </c>
      <c r="F1072" s="18" t="s">
        <v>1621</v>
      </c>
      <c r="G1072" s="59">
        <v>59.87</v>
      </c>
      <c r="H1072" s="59">
        <v>299.35000000000002</v>
      </c>
      <c r="I1072" s="18" t="s">
        <v>2717</v>
      </c>
      <c r="J1072" s="18" t="s">
        <v>44</v>
      </c>
      <c r="K1072" s="18" t="s">
        <v>2716</v>
      </c>
      <c r="L1072" s="30"/>
    </row>
    <row r="1073" spans="1:12" hidden="1" x14ac:dyDescent="0.25">
      <c r="A1073" s="18" t="s">
        <v>27</v>
      </c>
      <c r="B1073" s="57">
        <v>2.0138888888888888E-3</v>
      </c>
      <c r="C1073" s="58">
        <v>1</v>
      </c>
      <c r="D1073" s="18" t="s">
        <v>2272</v>
      </c>
      <c r="E1073" s="18" t="s">
        <v>2273</v>
      </c>
      <c r="F1073" s="18" t="s">
        <v>1621</v>
      </c>
      <c r="G1073" s="59">
        <v>64.28</v>
      </c>
      <c r="H1073" s="59">
        <v>64.28</v>
      </c>
      <c r="I1073" s="18" t="s">
        <v>367</v>
      </c>
      <c r="J1073" s="18" t="s">
        <v>1594</v>
      </c>
      <c r="K1073" s="18" t="s">
        <v>2716</v>
      </c>
      <c r="L1073" s="30"/>
    </row>
    <row r="1074" spans="1:12" hidden="1" x14ac:dyDescent="0.25">
      <c r="A1074" s="18" t="s">
        <v>27</v>
      </c>
      <c r="B1074" s="57">
        <v>5.8680555555555552E-3</v>
      </c>
      <c r="C1074" s="58">
        <v>1</v>
      </c>
      <c r="D1074" s="18" t="s">
        <v>2307</v>
      </c>
      <c r="E1074" s="18" t="s">
        <v>1620</v>
      </c>
      <c r="F1074" s="18" t="s">
        <v>1621</v>
      </c>
      <c r="G1074" s="59">
        <v>764.9</v>
      </c>
      <c r="H1074" s="59">
        <v>764.9</v>
      </c>
      <c r="I1074" s="18" t="s">
        <v>114</v>
      </c>
      <c r="J1074" s="18" t="s">
        <v>512</v>
      </c>
      <c r="K1074" s="18" t="s">
        <v>2718</v>
      </c>
      <c r="L1074" s="30"/>
    </row>
    <row r="1075" spans="1:12" hidden="1" x14ac:dyDescent="0.25">
      <c r="A1075" s="18" t="s">
        <v>27</v>
      </c>
      <c r="B1075" s="57">
        <v>8.5763888888888886E-3</v>
      </c>
      <c r="C1075" s="58">
        <v>6</v>
      </c>
      <c r="D1075" s="18" t="s">
        <v>48</v>
      </c>
      <c r="E1075" s="18" t="s">
        <v>1119</v>
      </c>
      <c r="F1075" s="18" t="s">
        <v>1621</v>
      </c>
      <c r="G1075" s="59">
        <v>59.87</v>
      </c>
      <c r="H1075" s="59">
        <v>359.22</v>
      </c>
      <c r="I1075" s="18" t="s">
        <v>2296</v>
      </c>
      <c r="J1075" s="18" t="s">
        <v>44</v>
      </c>
      <c r="K1075" s="18" t="s">
        <v>2718</v>
      </c>
      <c r="L1075" s="30"/>
    </row>
    <row r="1076" spans="1:12" hidden="1" x14ac:dyDescent="0.25">
      <c r="A1076" s="18" t="s">
        <v>27</v>
      </c>
      <c r="B1076" s="57">
        <v>1.2037037037037036E-3</v>
      </c>
      <c r="C1076" s="58">
        <v>2</v>
      </c>
      <c r="D1076" s="18" t="s">
        <v>2110</v>
      </c>
      <c r="E1076" s="18" t="s">
        <v>2111</v>
      </c>
      <c r="F1076" s="18" t="s">
        <v>1621</v>
      </c>
      <c r="G1076" s="59">
        <v>8.3699999999999992</v>
      </c>
      <c r="H1076" s="59">
        <v>16.739999999999998</v>
      </c>
      <c r="I1076" s="18" t="s">
        <v>1665</v>
      </c>
      <c r="J1076" s="18" t="s">
        <v>498</v>
      </c>
      <c r="K1076" s="18" t="s">
        <v>2719</v>
      </c>
      <c r="L1076" s="30"/>
    </row>
    <row r="1077" spans="1:12" hidden="1" x14ac:dyDescent="0.25">
      <c r="A1077" s="18" t="s">
        <v>27</v>
      </c>
      <c r="B1077" s="57">
        <v>5.7986111111111112E-3</v>
      </c>
      <c r="C1077" s="58">
        <v>1</v>
      </c>
      <c r="D1077" s="18" t="s">
        <v>1619</v>
      </c>
      <c r="E1077" s="18" t="s">
        <v>1620</v>
      </c>
      <c r="F1077" s="18" t="s">
        <v>1621</v>
      </c>
      <c r="G1077" s="59">
        <v>764.9</v>
      </c>
      <c r="H1077" s="59">
        <v>764.9</v>
      </c>
      <c r="I1077" s="18" t="s">
        <v>150</v>
      </c>
      <c r="J1077" s="18" t="s">
        <v>512</v>
      </c>
      <c r="K1077" s="18" t="s">
        <v>2719</v>
      </c>
      <c r="L1077" s="30"/>
    </row>
    <row r="1078" spans="1:12" hidden="1" x14ac:dyDescent="0.25">
      <c r="A1078" s="18" t="s">
        <v>27</v>
      </c>
      <c r="B1078" s="57">
        <v>1.1446759259259259E-2</v>
      </c>
      <c r="C1078" s="58">
        <v>6</v>
      </c>
      <c r="D1078" s="18" t="s">
        <v>2299</v>
      </c>
      <c r="E1078" s="18" t="s">
        <v>2300</v>
      </c>
      <c r="F1078" s="18" t="s">
        <v>1621</v>
      </c>
      <c r="G1078" s="59">
        <v>58.12</v>
      </c>
      <c r="H1078" s="59">
        <v>348.72</v>
      </c>
      <c r="I1078" s="18" t="s">
        <v>1672</v>
      </c>
      <c r="J1078" s="18" t="s">
        <v>498</v>
      </c>
      <c r="K1078" s="18" t="s">
        <v>2719</v>
      </c>
      <c r="L1078" s="30"/>
    </row>
    <row r="1079" spans="1:12" hidden="1" x14ac:dyDescent="0.25">
      <c r="A1079" s="18" t="s">
        <v>27</v>
      </c>
      <c r="B1079" s="57">
        <v>7.5231481481481482E-4</v>
      </c>
      <c r="C1079" s="58">
        <v>1</v>
      </c>
      <c r="D1079" s="18" t="s">
        <v>1633</v>
      </c>
      <c r="E1079" s="18" t="s">
        <v>1634</v>
      </c>
      <c r="F1079" s="18" t="s">
        <v>1621</v>
      </c>
      <c r="G1079" s="59">
        <v>19.12</v>
      </c>
      <c r="H1079" s="59">
        <v>19.12</v>
      </c>
      <c r="I1079" s="18" t="s">
        <v>367</v>
      </c>
      <c r="J1079" s="18" t="s">
        <v>1599</v>
      </c>
      <c r="K1079" s="18" t="s">
        <v>2719</v>
      </c>
      <c r="L1079" s="30"/>
    </row>
    <row r="1080" spans="1:12" hidden="1" x14ac:dyDescent="0.25">
      <c r="A1080" s="18" t="s">
        <v>27</v>
      </c>
      <c r="B1080" s="57">
        <v>1.4120370370370369E-3</v>
      </c>
      <c r="C1080" s="58">
        <v>1</v>
      </c>
      <c r="D1080" s="18" t="s">
        <v>48</v>
      </c>
      <c r="E1080" s="18" t="s">
        <v>1119</v>
      </c>
      <c r="F1080" s="18" t="s">
        <v>1621</v>
      </c>
      <c r="G1080" s="59">
        <v>59.87</v>
      </c>
      <c r="H1080" s="59">
        <v>59.87</v>
      </c>
      <c r="I1080" s="18" t="s">
        <v>2195</v>
      </c>
      <c r="J1080" s="18" t="s">
        <v>44</v>
      </c>
      <c r="K1080" s="18" t="s">
        <v>2719</v>
      </c>
      <c r="L1080" s="30"/>
    </row>
    <row r="1081" spans="1:12" hidden="1" x14ac:dyDescent="0.25">
      <c r="A1081" s="18" t="s">
        <v>27</v>
      </c>
      <c r="B1081" s="57">
        <v>1.5787037037037037E-2</v>
      </c>
      <c r="C1081" s="58">
        <v>8</v>
      </c>
      <c r="D1081" s="18" t="s">
        <v>2311</v>
      </c>
      <c r="E1081" s="18" t="s">
        <v>2300</v>
      </c>
      <c r="F1081" s="18" t="s">
        <v>1621</v>
      </c>
      <c r="G1081" s="59">
        <v>58.12</v>
      </c>
      <c r="H1081" s="59">
        <v>464.96</v>
      </c>
      <c r="I1081" s="18" t="s">
        <v>1665</v>
      </c>
      <c r="J1081" s="18" t="s">
        <v>498</v>
      </c>
      <c r="K1081" s="18" t="s">
        <v>2720</v>
      </c>
      <c r="L1081" s="30"/>
    </row>
    <row r="1082" spans="1:12" hidden="1" x14ac:dyDescent="0.25">
      <c r="A1082" s="18" t="s">
        <v>27</v>
      </c>
      <c r="B1082" s="57">
        <v>5.9953703703703705E-3</v>
      </c>
      <c r="C1082" s="58">
        <v>1</v>
      </c>
      <c r="D1082" s="18" t="s">
        <v>2214</v>
      </c>
      <c r="E1082" s="18" t="s">
        <v>1620</v>
      </c>
      <c r="F1082" s="18" t="s">
        <v>1621</v>
      </c>
      <c r="G1082" s="59">
        <v>764.88</v>
      </c>
      <c r="H1082" s="59">
        <v>764.88</v>
      </c>
      <c r="I1082" s="18" t="s">
        <v>147</v>
      </c>
      <c r="J1082" s="18" t="s">
        <v>512</v>
      </c>
      <c r="K1082" s="18" t="s">
        <v>2720</v>
      </c>
      <c r="L1082" s="30"/>
    </row>
    <row r="1083" spans="1:12" hidden="1" x14ac:dyDescent="0.25">
      <c r="A1083" s="18" t="s">
        <v>27</v>
      </c>
      <c r="B1083" s="57">
        <v>8.1597222222222227E-3</v>
      </c>
      <c r="C1083" s="58">
        <v>1</v>
      </c>
      <c r="D1083" s="18" t="s">
        <v>2571</v>
      </c>
      <c r="E1083" s="18" t="s">
        <v>2198</v>
      </c>
      <c r="F1083" s="18" t="s">
        <v>1621</v>
      </c>
      <c r="G1083" s="59">
        <v>1268.1500000000001</v>
      </c>
      <c r="H1083" s="59">
        <v>1268.1500000000001</v>
      </c>
      <c r="I1083" s="18" t="s">
        <v>1672</v>
      </c>
      <c r="J1083" s="18" t="s">
        <v>512</v>
      </c>
      <c r="K1083" s="18" t="s">
        <v>2721</v>
      </c>
      <c r="L1083" s="30"/>
    </row>
    <row r="1084" spans="1:12" hidden="1" x14ac:dyDescent="0.25">
      <c r="A1084" s="18" t="s">
        <v>27</v>
      </c>
      <c r="B1084" s="57">
        <v>1.6203703703703703E-3</v>
      </c>
      <c r="C1084" s="58">
        <v>1</v>
      </c>
      <c r="D1084" s="18" t="s">
        <v>48</v>
      </c>
      <c r="E1084" s="18" t="s">
        <v>1119</v>
      </c>
      <c r="F1084" s="18" t="s">
        <v>1621</v>
      </c>
      <c r="G1084" s="59">
        <v>59.87</v>
      </c>
      <c r="H1084" s="59">
        <v>59.87</v>
      </c>
      <c r="I1084" s="18" t="s">
        <v>2195</v>
      </c>
      <c r="J1084" s="18" t="s">
        <v>44</v>
      </c>
      <c r="K1084" s="18" t="s">
        <v>2721</v>
      </c>
      <c r="L1084" s="30"/>
    </row>
    <row r="1085" spans="1:12" hidden="1" x14ac:dyDescent="0.25">
      <c r="A1085" s="18" t="s">
        <v>27</v>
      </c>
      <c r="B1085" s="57">
        <v>3.8773148148148148E-3</v>
      </c>
      <c r="C1085" s="58">
        <v>2</v>
      </c>
      <c r="D1085" s="18" t="s">
        <v>2297</v>
      </c>
      <c r="E1085" s="18" t="s">
        <v>2226</v>
      </c>
      <c r="F1085" s="18" t="s">
        <v>1621</v>
      </c>
      <c r="G1085" s="59">
        <v>59.77</v>
      </c>
      <c r="H1085" s="59">
        <v>119.54</v>
      </c>
      <c r="I1085" s="18" t="s">
        <v>1672</v>
      </c>
      <c r="J1085" s="18" t="s">
        <v>512</v>
      </c>
      <c r="K1085" s="18" t="s">
        <v>2722</v>
      </c>
      <c r="L1085" s="30"/>
    </row>
    <row r="1086" spans="1:12" hidden="1" x14ac:dyDescent="0.25">
      <c r="A1086" s="18" t="s">
        <v>27</v>
      </c>
      <c r="B1086" s="57">
        <v>1.9675925925925924E-3</v>
      </c>
      <c r="C1086" s="58">
        <v>1</v>
      </c>
      <c r="D1086" s="18" t="s">
        <v>2299</v>
      </c>
      <c r="E1086" s="18" t="s">
        <v>2300</v>
      </c>
      <c r="F1086" s="18" t="s">
        <v>1621</v>
      </c>
      <c r="G1086" s="59">
        <v>58.12</v>
      </c>
      <c r="H1086" s="59">
        <v>58.12</v>
      </c>
      <c r="I1086" s="18" t="s">
        <v>1672</v>
      </c>
      <c r="J1086" s="18" t="s">
        <v>498</v>
      </c>
      <c r="K1086" s="18" t="s">
        <v>2722</v>
      </c>
      <c r="L1086" s="30"/>
    </row>
    <row r="1087" spans="1:12" hidden="1" x14ac:dyDescent="0.25">
      <c r="A1087" s="18" t="s">
        <v>27</v>
      </c>
      <c r="B1087" s="57">
        <v>5.3819444444444444E-3</v>
      </c>
      <c r="C1087" s="58">
        <v>3</v>
      </c>
      <c r="D1087" s="18" t="s">
        <v>2394</v>
      </c>
      <c r="E1087" s="18" t="s">
        <v>2161</v>
      </c>
      <c r="F1087" s="18" t="s">
        <v>1621</v>
      </c>
      <c r="G1087" s="59">
        <v>79.45</v>
      </c>
      <c r="H1087" s="59">
        <v>238.35</v>
      </c>
      <c r="I1087" s="18" t="s">
        <v>114</v>
      </c>
      <c r="J1087" s="18" t="s">
        <v>512</v>
      </c>
      <c r="K1087" s="18" t="s">
        <v>2722</v>
      </c>
      <c r="L1087" s="30"/>
    </row>
    <row r="1088" spans="1:12" hidden="1" x14ac:dyDescent="0.25">
      <c r="A1088" s="18" t="s">
        <v>27</v>
      </c>
      <c r="B1088" s="57">
        <v>1.4583333333333332E-3</v>
      </c>
      <c r="C1088" s="58">
        <v>1</v>
      </c>
      <c r="D1088" s="18" t="s">
        <v>48</v>
      </c>
      <c r="E1088" s="18" t="s">
        <v>1119</v>
      </c>
      <c r="F1088" s="18" t="s">
        <v>1621</v>
      </c>
      <c r="G1088" s="59">
        <v>59.87</v>
      </c>
      <c r="H1088" s="59">
        <v>59.87</v>
      </c>
      <c r="I1088" s="18" t="s">
        <v>2195</v>
      </c>
      <c r="J1088" s="18" t="s">
        <v>44</v>
      </c>
      <c r="K1088" s="18" t="s">
        <v>2722</v>
      </c>
      <c r="L1088" s="30"/>
    </row>
    <row r="1089" spans="1:12" hidden="1" x14ac:dyDescent="0.25">
      <c r="A1089" s="18" t="s">
        <v>27</v>
      </c>
      <c r="B1089" s="57">
        <v>5.9953703703703705E-3</v>
      </c>
      <c r="C1089" s="58">
        <v>1</v>
      </c>
      <c r="D1089" s="18" t="s">
        <v>2182</v>
      </c>
      <c r="E1089" s="18" t="s">
        <v>2183</v>
      </c>
      <c r="F1089" s="18" t="s">
        <v>1621</v>
      </c>
      <c r="G1089" s="59">
        <v>783.74</v>
      </c>
      <c r="H1089" s="59">
        <v>783.74</v>
      </c>
      <c r="I1089" s="18" t="s">
        <v>550</v>
      </c>
      <c r="J1089" s="18" t="s">
        <v>512</v>
      </c>
      <c r="K1089" s="18" t="s">
        <v>2722</v>
      </c>
      <c r="L1089" s="30"/>
    </row>
    <row r="1090" spans="1:12" hidden="1" x14ac:dyDescent="0.25">
      <c r="A1090" s="18" t="s">
        <v>27</v>
      </c>
      <c r="B1090" s="57">
        <v>9.1435185185185185E-4</v>
      </c>
      <c r="C1090" s="58">
        <v>1</v>
      </c>
      <c r="D1090" s="18" t="s">
        <v>2055</v>
      </c>
      <c r="E1090" s="18" t="s">
        <v>2056</v>
      </c>
      <c r="F1090" s="18" t="s">
        <v>1621</v>
      </c>
      <c r="G1090" s="59">
        <v>18.61</v>
      </c>
      <c r="H1090" s="59">
        <v>18.61</v>
      </c>
      <c r="I1090" s="18" t="s">
        <v>1672</v>
      </c>
      <c r="J1090" s="18" t="s">
        <v>498</v>
      </c>
      <c r="K1090" s="18" t="s">
        <v>2723</v>
      </c>
      <c r="L1090" s="30"/>
    </row>
    <row r="1091" spans="1:12" hidden="1" x14ac:dyDescent="0.25">
      <c r="A1091" s="18" t="s">
        <v>27</v>
      </c>
      <c r="B1091" s="57">
        <v>5.9375000000000001E-3</v>
      </c>
      <c r="C1091" s="58">
        <v>1</v>
      </c>
      <c r="D1091" s="18" t="s">
        <v>2192</v>
      </c>
      <c r="E1091" s="18" t="s">
        <v>2193</v>
      </c>
      <c r="F1091" s="18" t="s">
        <v>1621</v>
      </c>
      <c r="G1091" s="59">
        <v>1175.3499999999999</v>
      </c>
      <c r="H1091" s="59">
        <v>1175.3499999999999</v>
      </c>
      <c r="I1091" s="18" t="s">
        <v>1665</v>
      </c>
      <c r="J1091" s="18" t="s">
        <v>498</v>
      </c>
      <c r="K1091" s="18" t="s">
        <v>2723</v>
      </c>
      <c r="L1091" s="30"/>
    </row>
    <row r="1092" spans="1:12" hidden="1" x14ac:dyDescent="0.25">
      <c r="A1092" s="18" t="s">
        <v>27</v>
      </c>
      <c r="B1092" s="57">
        <v>1.4699074074074074E-3</v>
      </c>
      <c r="C1092" s="58">
        <v>1</v>
      </c>
      <c r="D1092" s="18" t="s">
        <v>48</v>
      </c>
      <c r="E1092" s="18" t="s">
        <v>1119</v>
      </c>
      <c r="F1092" s="18" t="s">
        <v>1621</v>
      </c>
      <c r="G1092" s="59">
        <v>59.87</v>
      </c>
      <c r="H1092" s="59">
        <v>59.87</v>
      </c>
      <c r="I1092" s="18" t="s">
        <v>2195</v>
      </c>
      <c r="J1092" s="18" t="s">
        <v>44</v>
      </c>
      <c r="K1092" s="18" t="s">
        <v>2723</v>
      </c>
      <c r="L1092" s="30"/>
    </row>
    <row r="1093" spans="1:12" hidden="1" x14ac:dyDescent="0.25">
      <c r="A1093" s="18" t="s">
        <v>27</v>
      </c>
      <c r="B1093" s="57">
        <v>1.6319444444444443E-3</v>
      </c>
      <c r="C1093" s="58">
        <v>1</v>
      </c>
      <c r="D1093" s="18" t="s">
        <v>48</v>
      </c>
      <c r="E1093" s="18" t="s">
        <v>1119</v>
      </c>
      <c r="F1093" s="18" t="s">
        <v>1621</v>
      </c>
      <c r="G1093" s="59">
        <v>59.87</v>
      </c>
      <c r="H1093" s="59">
        <v>59.87</v>
      </c>
      <c r="I1093" s="18" t="s">
        <v>2195</v>
      </c>
      <c r="J1093" s="18" t="s">
        <v>44</v>
      </c>
      <c r="K1093" s="18" t="s">
        <v>2724</v>
      </c>
      <c r="L1093" s="30"/>
    </row>
    <row r="1094" spans="1:12" hidden="1" x14ac:dyDescent="0.25">
      <c r="A1094" s="18" t="s">
        <v>27</v>
      </c>
      <c r="B1094" s="57">
        <v>7.6273148148148142E-3</v>
      </c>
      <c r="C1094" s="58">
        <v>1</v>
      </c>
      <c r="D1094" s="18" t="s">
        <v>2431</v>
      </c>
      <c r="E1094" s="18" t="s">
        <v>2278</v>
      </c>
      <c r="F1094" s="18" t="s">
        <v>1621</v>
      </c>
      <c r="G1094" s="59">
        <v>1153.71</v>
      </c>
      <c r="H1094" s="59">
        <v>1153.71</v>
      </c>
      <c r="I1094" s="18" t="s">
        <v>1665</v>
      </c>
      <c r="J1094" s="18" t="s">
        <v>115</v>
      </c>
      <c r="K1094" s="18" t="s">
        <v>2724</v>
      </c>
      <c r="L1094" s="30"/>
    </row>
    <row r="1095" spans="1:12" hidden="1" x14ac:dyDescent="0.25">
      <c r="A1095" s="18" t="s">
        <v>27</v>
      </c>
      <c r="B1095" s="57">
        <v>1.5162037037037036E-2</v>
      </c>
      <c r="C1095" s="58">
        <v>8</v>
      </c>
      <c r="D1095" s="18" t="s">
        <v>2309</v>
      </c>
      <c r="E1095" s="18" t="s">
        <v>2310</v>
      </c>
      <c r="F1095" s="18" t="s">
        <v>1621</v>
      </c>
      <c r="G1095" s="59">
        <v>58.91</v>
      </c>
      <c r="H1095" s="59">
        <v>471.28</v>
      </c>
      <c r="I1095" s="18" t="s">
        <v>1672</v>
      </c>
      <c r="J1095" s="18" t="s">
        <v>115</v>
      </c>
      <c r="K1095" s="18" t="s">
        <v>2725</v>
      </c>
      <c r="L1095" s="30"/>
    </row>
    <row r="1096" spans="1:12" hidden="1" x14ac:dyDescent="0.25">
      <c r="A1096" s="18" t="s">
        <v>27</v>
      </c>
      <c r="B1096" s="57">
        <v>5.4629629629629629E-3</v>
      </c>
      <c r="C1096" s="58">
        <v>1</v>
      </c>
      <c r="D1096" s="18" t="s">
        <v>2607</v>
      </c>
      <c r="E1096" s="18" t="s">
        <v>2585</v>
      </c>
      <c r="F1096" s="18" t="s">
        <v>1621</v>
      </c>
      <c r="G1096" s="59">
        <v>707.53</v>
      </c>
      <c r="H1096" s="59">
        <v>707.53</v>
      </c>
      <c r="I1096" s="18" t="s">
        <v>1665</v>
      </c>
      <c r="J1096" s="18" t="s">
        <v>512</v>
      </c>
      <c r="K1096" s="18" t="s">
        <v>2725</v>
      </c>
      <c r="L1096" s="30"/>
    </row>
    <row r="1097" spans="1:12" hidden="1" x14ac:dyDescent="0.25">
      <c r="A1097" s="18" t="s">
        <v>27</v>
      </c>
      <c r="B1097" s="57">
        <v>1.3657407407407407E-3</v>
      </c>
      <c r="C1097" s="58">
        <v>2</v>
      </c>
      <c r="D1097" s="18" t="s">
        <v>2114</v>
      </c>
      <c r="E1097" s="18" t="s">
        <v>2097</v>
      </c>
      <c r="F1097" s="18" t="s">
        <v>1621</v>
      </c>
      <c r="G1097" s="59">
        <v>12.44</v>
      </c>
      <c r="H1097" s="59">
        <v>24.88</v>
      </c>
      <c r="I1097" s="18" t="s">
        <v>367</v>
      </c>
      <c r="J1097" s="18" t="s">
        <v>368</v>
      </c>
      <c r="K1097" s="18" t="s">
        <v>2725</v>
      </c>
      <c r="L1097" s="30"/>
    </row>
    <row r="1098" spans="1:12" hidden="1" x14ac:dyDescent="0.25">
      <c r="A1098" s="18" t="s">
        <v>27</v>
      </c>
      <c r="B1098" s="57">
        <v>6.8287037037037036E-4</v>
      </c>
      <c r="C1098" s="58">
        <v>1</v>
      </c>
      <c r="D1098" s="18" t="s">
        <v>2096</v>
      </c>
      <c r="E1098" s="18" t="s">
        <v>2097</v>
      </c>
      <c r="F1098" s="18" t="s">
        <v>1621</v>
      </c>
      <c r="G1098" s="59">
        <v>12.44</v>
      </c>
      <c r="H1098" s="59">
        <v>12.44</v>
      </c>
      <c r="I1098" s="18" t="s">
        <v>367</v>
      </c>
      <c r="J1098" s="18" t="s">
        <v>368</v>
      </c>
      <c r="K1098" s="18" t="s">
        <v>2725</v>
      </c>
      <c r="L1098" s="30"/>
    </row>
    <row r="1099" spans="1:12" hidden="1" x14ac:dyDescent="0.25">
      <c r="A1099" s="18" t="s">
        <v>27</v>
      </c>
      <c r="B1099" s="57">
        <v>8.4490740740740739E-4</v>
      </c>
      <c r="C1099" s="58">
        <v>1</v>
      </c>
      <c r="D1099" s="18" t="s">
        <v>2055</v>
      </c>
      <c r="E1099" s="18" t="s">
        <v>2056</v>
      </c>
      <c r="F1099" s="18" t="s">
        <v>1621</v>
      </c>
      <c r="G1099" s="59">
        <v>18.61</v>
      </c>
      <c r="H1099" s="59">
        <v>18.61</v>
      </c>
      <c r="I1099" s="18" t="s">
        <v>1672</v>
      </c>
      <c r="J1099" s="18" t="s">
        <v>498</v>
      </c>
      <c r="K1099" s="18" t="s">
        <v>2726</v>
      </c>
      <c r="L1099" s="30"/>
    </row>
    <row r="1100" spans="1:12" hidden="1" x14ac:dyDescent="0.25">
      <c r="A1100" s="18" t="s">
        <v>27</v>
      </c>
      <c r="B1100" s="57">
        <v>6.8287037037037036E-4</v>
      </c>
      <c r="C1100" s="58">
        <v>1</v>
      </c>
      <c r="D1100" s="18" t="s">
        <v>2416</v>
      </c>
      <c r="E1100" s="18" t="s">
        <v>2329</v>
      </c>
      <c r="F1100" s="18" t="s">
        <v>1621</v>
      </c>
      <c r="G1100" s="59">
        <v>14.31</v>
      </c>
      <c r="H1100" s="59">
        <v>14.31</v>
      </c>
      <c r="I1100" s="18" t="s">
        <v>367</v>
      </c>
      <c r="J1100" s="18" t="s">
        <v>367</v>
      </c>
      <c r="K1100" s="18" t="s">
        <v>2726</v>
      </c>
      <c r="L1100" s="30"/>
    </row>
    <row r="1101" spans="1:12" hidden="1" x14ac:dyDescent="0.25">
      <c r="A1101" s="18" t="s">
        <v>27</v>
      </c>
      <c r="B1101" s="57">
        <v>6.4814814814814813E-4</v>
      </c>
      <c r="C1101" s="58">
        <v>1</v>
      </c>
      <c r="D1101" s="18" t="s">
        <v>2114</v>
      </c>
      <c r="E1101" s="18" t="s">
        <v>2097</v>
      </c>
      <c r="F1101" s="18" t="s">
        <v>1621</v>
      </c>
      <c r="G1101" s="59">
        <v>12.44</v>
      </c>
      <c r="H1101" s="59">
        <v>12.44</v>
      </c>
      <c r="I1101" s="18" t="s">
        <v>367</v>
      </c>
      <c r="J1101" s="18" t="s">
        <v>368</v>
      </c>
      <c r="K1101" s="18" t="s">
        <v>2726</v>
      </c>
      <c r="L1101" s="30"/>
    </row>
    <row r="1102" spans="1:12" hidden="1" x14ac:dyDescent="0.25">
      <c r="A1102" s="18" t="s">
        <v>27</v>
      </c>
      <c r="B1102" s="57">
        <v>4.363425925925926E-3</v>
      </c>
      <c r="C1102" s="58">
        <v>1</v>
      </c>
      <c r="D1102" s="18" t="s">
        <v>2610</v>
      </c>
      <c r="E1102" s="18" t="s">
        <v>2611</v>
      </c>
      <c r="F1102" s="18" t="s">
        <v>1621</v>
      </c>
      <c r="G1102" s="59">
        <v>685.92</v>
      </c>
      <c r="H1102" s="59">
        <v>685.92</v>
      </c>
      <c r="I1102" s="18" t="s">
        <v>1141</v>
      </c>
      <c r="J1102" s="18" t="s">
        <v>1594</v>
      </c>
      <c r="K1102" s="18" t="s">
        <v>2726</v>
      </c>
      <c r="L1102" s="30"/>
    </row>
    <row r="1103" spans="1:12" hidden="1" x14ac:dyDescent="0.25">
      <c r="A1103" s="18" t="s">
        <v>27</v>
      </c>
      <c r="B1103" s="57">
        <v>1.9444444444444444E-3</v>
      </c>
      <c r="C1103" s="58">
        <v>1</v>
      </c>
      <c r="D1103" s="18" t="s">
        <v>2280</v>
      </c>
      <c r="E1103" s="18" t="s">
        <v>2273</v>
      </c>
      <c r="F1103" s="18" t="s">
        <v>1621</v>
      </c>
      <c r="G1103" s="59">
        <v>64.28</v>
      </c>
      <c r="H1103" s="59">
        <v>64.28</v>
      </c>
      <c r="I1103" s="18" t="s">
        <v>367</v>
      </c>
      <c r="J1103" s="18" t="s">
        <v>1594</v>
      </c>
      <c r="K1103" s="18" t="s">
        <v>2726</v>
      </c>
      <c r="L1103" s="30"/>
    </row>
    <row r="1104" spans="1:12" hidden="1" x14ac:dyDescent="0.25">
      <c r="A1104" s="18" t="s">
        <v>27</v>
      </c>
      <c r="B1104" s="57">
        <v>1.4120370370370369E-3</v>
      </c>
      <c r="C1104" s="58">
        <v>1</v>
      </c>
      <c r="D1104" s="18" t="s">
        <v>2727</v>
      </c>
      <c r="E1104" s="18" t="s">
        <v>2728</v>
      </c>
      <c r="F1104" s="18" t="s">
        <v>1621</v>
      </c>
      <c r="G1104" s="59">
        <v>62.68</v>
      </c>
      <c r="H1104" s="59">
        <v>62.68</v>
      </c>
      <c r="I1104" s="18" t="s">
        <v>2729</v>
      </c>
      <c r="J1104" s="18" t="s">
        <v>512</v>
      </c>
      <c r="K1104" s="18" t="s">
        <v>2726</v>
      </c>
      <c r="L1104" s="30"/>
    </row>
    <row r="1105" spans="1:12" hidden="1" x14ac:dyDescent="0.25">
      <c r="A1105" s="18" t="s">
        <v>27</v>
      </c>
      <c r="B1105" s="57">
        <v>9.525462962962963E-3</v>
      </c>
      <c r="C1105" s="58">
        <v>7</v>
      </c>
      <c r="D1105" s="18" t="s">
        <v>48</v>
      </c>
      <c r="E1105" s="18" t="s">
        <v>1119</v>
      </c>
      <c r="F1105" s="18" t="s">
        <v>1621</v>
      </c>
      <c r="G1105" s="59">
        <v>59.87</v>
      </c>
      <c r="H1105" s="59">
        <v>419.09</v>
      </c>
      <c r="I1105" s="18" t="s">
        <v>2730</v>
      </c>
      <c r="J1105" s="18" t="s">
        <v>44</v>
      </c>
      <c r="K1105" s="18" t="s">
        <v>2726</v>
      </c>
      <c r="L1105" s="30"/>
    </row>
    <row r="1106" spans="1:12" hidden="1" x14ac:dyDescent="0.25">
      <c r="A1106" s="18" t="s">
        <v>27</v>
      </c>
      <c r="B1106" s="57">
        <v>2.0370370370370369E-3</v>
      </c>
      <c r="C1106" s="58">
        <v>1</v>
      </c>
      <c r="D1106" s="18" t="s">
        <v>2309</v>
      </c>
      <c r="E1106" s="18" t="s">
        <v>2310</v>
      </c>
      <c r="F1106" s="18" t="s">
        <v>1621</v>
      </c>
      <c r="G1106" s="59">
        <v>58.91</v>
      </c>
      <c r="H1106" s="59">
        <v>58.91</v>
      </c>
      <c r="I1106" s="18" t="s">
        <v>1672</v>
      </c>
      <c r="J1106" s="18" t="s">
        <v>115</v>
      </c>
      <c r="K1106" s="18" t="s">
        <v>2731</v>
      </c>
      <c r="L1106" s="30"/>
    </row>
    <row r="1107" spans="1:12" hidden="1" x14ac:dyDescent="0.25">
      <c r="A1107" s="18" t="s">
        <v>27</v>
      </c>
      <c r="B1107" s="57">
        <v>6.3078703703703699E-3</v>
      </c>
      <c r="C1107" s="58">
        <v>1</v>
      </c>
      <c r="D1107" s="18" t="s">
        <v>2732</v>
      </c>
      <c r="E1107" s="18" t="s">
        <v>2267</v>
      </c>
      <c r="F1107" s="18" t="s">
        <v>1621</v>
      </c>
      <c r="G1107" s="59">
        <v>1011.56</v>
      </c>
      <c r="H1107" s="59">
        <v>1011.56</v>
      </c>
      <c r="I1107" s="18" t="s">
        <v>1665</v>
      </c>
      <c r="J1107" s="18" t="s">
        <v>115</v>
      </c>
      <c r="K1107" s="18" t="s">
        <v>2731</v>
      </c>
      <c r="L1107" s="30"/>
    </row>
    <row r="1108" spans="1:12" hidden="1" x14ac:dyDescent="0.25">
      <c r="A1108" s="18" t="s">
        <v>27</v>
      </c>
      <c r="B1108" s="57">
        <v>5.0925925925925921E-4</v>
      </c>
      <c r="C1108" s="58">
        <v>1</v>
      </c>
      <c r="D1108" s="18" t="s">
        <v>2062</v>
      </c>
      <c r="E1108" s="18" t="s">
        <v>2063</v>
      </c>
      <c r="F1108" s="18" t="s">
        <v>1621</v>
      </c>
      <c r="G1108" s="59">
        <v>2.2799999999999998</v>
      </c>
      <c r="H1108" s="59">
        <v>2.2799999999999998</v>
      </c>
      <c r="I1108" s="18" t="s">
        <v>367</v>
      </c>
      <c r="J1108" s="18" t="s">
        <v>1592</v>
      </c>
      <c r="K1108" s="18" t="s">
        <v>2731</v>
      </c>
      <c r="L1108" s="30"/>
    </row>
    <row r="1109" spans="1:12" hidden="1" x14ac:dyDescent="0.25">
      <c r="A1109" s="18" t="s">
        <v>27</v>
      </c>
      <c r="B1109" s="57">
        <v>1.0185185185185184E-3</v>
      </c>
      <c r="C1109" s="58">
        <v>1</v>
      </c>
      <c r="D1109" s="18" t="s">
        <v>2598</v>
      </c>
      <c r="E1109" s="18" t="s">
        <v>2599</v>
      </c>
      <c r="F1109" s="18" t="s">
        <v>1621</v>
      </c>
      <c r="G1109" s="59">
        <v>22.51</v>
      </c>
      <c r="H1109" s="59">
        <v>22.51</v>
      </c>
      <c r="I1109" s="18" t="s">
        <v>367</v>
      </c>
      <c r="J1109" s="18" t="s">
        <v>512</v>
      </c>
      <c r="K1109" s="18" t="s">
        <v>2731</v>
      </c>
      <c r="L1109" s="30"/>
    </row>
    <row r="1110" spans="1:12" hidden="1" x14ac:dyDescent="0.25">
      <c r="A1110" s="18" t="s">
        <v>27</v>
      </c>
      <c r="B1110" s="57">
        <v>4.3981481481481476E-3</v>
      </c>
      <c r="C1110" s="58">
        <v>2</v>
      </c>
      <c r="D1110" s="18" t="s">
        <v>2280</v>
      </c>
      <c r="E1110" s="18" t="s">
        <v>2273</v>
      </c>
      <c r="F1110" s="18" t="s">
        <v>1621</v>
      </c>
      <c r="G1110" s="59">
        <v>64.28</v>
      </c>
      <c r="H1110" s="59">
        <v>128.56</v>
      </c>
      <c r="I1110" s="18" t="s">
        <v>367</v>
      </c>
      <c r="J1110" s="18" t="s">
        <v>1594</v>
      </c>
      <c r="K1110" s="18" t="s">
        <v>2731</v>
      </c>
      <c r="L1110" s="30"/>
    </row>
    <row r="1111" spans="1:12" hidden="1" x14ac:dyDescent="0.25">
      <c r="A1111" s="18" t="s">
        <v>27</v>
      </c>
      <c r="B1111" s="57">
        <v>1.0300925925925926E-3</v>
      </c>
      <c r="C1111" s="58">
        <v>1</v>
      </c>
      <c r="D1111" s="18" t="s">
        <v>2574</v>
      </c>
      <c r="E1111" s="18" t="s">
        <v>2487</v>
      </c>
      <c r="F1111" s="18" t="s">
        <v>1621</v>
      </c>
      <c r="G1111" s="59">
        <v>25.59</v>
      </c>
      <c r="H1111" s="59">
        <v>25.59</v>
      </c>
      <c r="I1111" s="18" t="s">
        <v>367</v>
      </c>
      <c r="J1111" s="18" t="s">
        <v>1594</v>
      </c>
      <c r="K1111" s="18" t="s">
        <v>2731</v>
      </c>
      <c r="L1111" s="30"/>
    </row>
    <row r="1112" spans="1:12" hidden="1" x14ac:dyDescent="0.25">
      <c r="A1112" s="18" t="s">
        <v>27</v>
      </c>
      <c r="B1112" s="57">
        <v>6.192129629629629E-3</v>
      </c>
      <c r="C1112" s="58">
        <v>1</v>
      </c>
      <c r="D1112" s="18" t="s">
        <v>2197</v>
      </c>
      <c r="E1112" s="18" t="s">
        <v>2198</v>
      </c>
      <c r="F1112" s="18" t="s">
        <v>1621</v>
      </c>
      <c r="G1112" s="59">
        <v>1296.57</v>
      </c>
      <c r="H1112" s="59">
        <v>1296.57</v>
      </c>
      <c r="I1112" s="18" t="s">
        <v>1588</v>
      </c>
      <c r="J1112" s="18" t="s">
        <v>512</v>
      </c>
      <c r="K1112" s="18" t="s">
        <v>2733</v>
      </c>
      <c r="L1112" s="30"/>
    </row>
    <row r="1113" spans="1:12" hidden="1" x14ac:dyDescent="0.25">
      <c r="A1113" s="18" t="s">
        <v>27</v>
      </c>
      <c r="B1113" s="57">
        <v>1.5162037037037036E-3</v>
      </c>
      <c r="C1113" s="58">
        <v>1</v>
      </c>
      <c r="D1113" s="18" t="s">
        <v>48</v>
      </c>
      <c r="E1113" s="18" t="s">
        <v>1119</v>
      </c>
      <c r="F1113" s="18" t="s">
        <v>1621</v>
      </c>
      <c r="G1113" s="59">
        <v>59.87</v>
      </c>
      <c r="H1113" s="59">
        <v>59.87</v>
      </c>
      <c r="I1113" s="18" t="s">
        <v>2195</v>
      </c>
      <c r="J1113" s="18" t="s">
        <v>44</v>
      </c>
      <c r="K1113" s="18" t="s">
        <v>2733</v>
      </c>
      <c r="L1113" s="30"/>
    </row>
    <row r="1114" spans="1:12" hidden="1" x14ac:dyDescent="0.25">
      <c r="A1114" s="18" t="s">
        <v>27</v>
      </c>
      <c r="B1114" s="57">
        <v>1.1805555555555555E-2</v>
      </c>
      <c r="C1114" s="58">
        <v>6</v>
      </c>
      <c r="D1114" s="18" t="s">
        <v>2311</v>
      </c>
      <c r="E1114" s="18" t="s">
        <v>2300</v>
      </c>
      <c r="F1114" s="18" t="s">
        <v>1621</v>
      </c>
      <c r="G1114" s="59">
        <v>58.12</v>
      </c>
      <c r="H1114" s="59">
        <v>348.72</v>
      </c>
      <c r="I1114" s="18" t="s">
        <v>1665</v>
      </c>
      <c r="J1114" s="18" t="s">
        <v>498</v>
      </c>
      <c r="K1114" s="18" t="s">
        <v>2734</v>
      </c>
      <c r="L1114" s="30"/>
    </row>
    <row r="1115" spans="1:12" hidden="1" x14ac:dyDescent="0.25">
      <c r="A1115" s="18" t="s">
        <v>27</v>
      </c>
      <c r="B1115" s="57">
        <v>5.9837962962962961E-3</v>
      </c>
      <c r="C1115" s="58">
        <v>1</v>
      </c>
      <c r="D1115" s="18" t="s">
        <v>2357</v>
      </c>
      <c r="E1115" s="18" t="s">
        <v>2183</v>
      </c>
      <c r="F1115" s="18" t="s">
        <v>1621</v>
      </c>
      <c r="G1115" s="59">
        <v>783.74</v>
      </c>
      <c r="H1115" s="59">
        <v>783.74</v>
      </c>
      <c r="I1115" s="18" t="s">
        <v>367</v>
      </c>
      <c r="J1115" s="18" t="s">
        <v>368</v>
      </c>
      <c r="K1115" s="18" t="s">
        <v>2734</v>
      </c>
      <c r="L1115" s="30"/>
    </row>
    <row r="1116" spans="1:12" hidden="1" x14ac:dyDescent="0.25">
      <c r="A1116" s="18" t="s">
        <v>27</v>
      </c>
      <c r="B1116" s="57">
        <v>1.4467592592592592E-3</v>
      </c>
      <c r="C1116" s="58">
        <v>1</v>
      </c>
      <c r="D1116" s="18" t="s">
        <v>48</v>
      </c>
      <c r="E1116" s="18" t="s">
        <v>1119</v>
      </c>
      <c r="F1116" s="18" t="s">
        <v>1621</v>
      </c>
      <c r="G1116" s="59">
        <v>59.87</v>
      </c>
      <c r="H1116" s="59">
        <v>59.87</v>
      </c>
      <c r="I1116" s="18" t="s">
        <v>2195</v>
      </c>
      <c r="J1116" s="18" t="s">
        <v>44</v>
      </c>
      <c r="K1116" s="18" t="s">
        <v>2734</v>
      </c>
      <c r="L1116" s="30"/>
    </row>
    <row r="1117" spans="1:12" hidden="1" x14ac:dyDescent="0.25">
      <c r="A1117" s="18" t="s">
        <v>27</v>
      </c>
      <c r="B1117" s="57">
        <v>1.1597222222222222E-2</v>
      </c>
      <c r="C1117" s="58">
        <v>6</v>
      </c>
      <c r="D1117" s="18" t="s">
        <v>2225</v>
      </c>
      <c r="E1117" s="18" t="s">
        <v>2226</v>
      </c>
      <c r="F1117" s="18" t="s">
        <v>1621</v>
      </c>
      <c r="G1117" s="59">
        <v>59.77</v>
      </c>
      <c r="H1117" s="59">
        <v>358.62</v>
      </c>
      <c r="I1117" s="18" t="s">
        <v>1665</v>
      </c>
      <c r="J1117" s="18" t="s">
        <v>512</v>
      </c>
      <c r="K1117" s="18" t="s">
        <v>2735</v>
      </c>
      <c r="L1117" s="30"/>
    </row>
    <row r="1118" spans="1:12" hidden="1" x14ac:dyDescent="0.25">
      <c r="A1118" s="18" t="s">
        <v>27</v>
      </c>
      <c r="B1118" s="57">
        <v>5.9722222222222216E-3</v>
      </c>
      <c r="C1118" s="58">
        <v>1</v>
      </c>
      <c r="D1118" s="18" t="s">
        <v>2736</v>
      </c>
      <c r="E1118" s="18" t="s">
        <v>1620</v>
      </c>
      <c r="F1118" s="18" t="s">
        <v>1621</v>
      </c>
      <c r="G1118" s="59">
        <v>764.9</v>
      </c>
      <c r="H1118" s="59">
        <v>764.9</v>
      </c>
      <c r="I1118" s="18" t="s">
        <v>129</v>
      </c>
      <c r="J1118" s="18" t="s">
        <v>512</v>
      </c>
      <c r="K1118" s="18" t="s">
        <v>2735</v>
      </c>
      <c r="L1118" s="30"/>
    </row>
    <row r="1119" spans="1:12" hidden="1" x14ac:dyDescent="0.25">
      <c r="A1119" s="18" t="s">
        <v>27</v>
      </c>
      <c r="B1119" s="57">
        <v>3.3912037037037036E-3</v>
      </c>
      <c r="C1119" s="58">
        <v>2</v>
      </c>
      <c r="D1119" s="18" t="s">
        <v>2231</v>
      </c>
      <c r="E1119" s="18" t="s">
        <v>2232</v>
      </c>
      <c r="F1119" s="18" t="s">
        <v>1621</v>
      </c>
      <c r="G1119" s="59">
        <v>61.18</v>
      </c>
      <c r="H1119" s="59">
        <v>122.36</v>
      </c>
      <c r="I1119" s="18" t="s">
        <v>367</v>
      </c>
      <c r="J1119" s="18" t="s">
        <v>512</v>
      </c>
      <c r="K1119" s="18" t="s">
        <v>2735</v>
      </c>
      <c r="L1119" s="30"/>
    </row>
    <row r="1120" spans="1:12" hidden="1" x14ac:dyDescent="0.25">
      <c r="A1120" s="18" t="s">
        <v>27</v>
      </c>
      <c r="B1120" s="57">
        <v>2.0254629629629629E-3</v>
      </c>
      <c r="C1120" s="58">
        <v>1</v>
      </c>
      <c r="D1120" s="18" t="s">
        <v>2225</v>
      </c>
      <c r="E1120" s="18" t="s">
        <v>2226</v>
      </c>
      <c r="F1120" s="18" t="s">
        <v>1621</v>
      </c>
      <c r="G1120" s="59">
        <v>59.77</v>
      </c>
      <c r="H1120" s="59">
        <v>59.77</v>
      </c>
      <c r="I1120" s="18" t="s">
        <v>1665</v>
      </c>
      <c r="J1120" s="18" t="s">
        <v>512</v>
      </c>
      <c r="K1120" s="18" t="s">
        <v>2737</v>
      </c>
      <c r="L1120" s="30"/>
    </row>
    <row r="1121" spans="1:12" hidden="1" x14ac:dyDescent="0.25">
      <c r="A1121" s="18" t="s">
        <v>27</v>
      </c>
      <c r="B1121" s="57">
        <v>3.7499999999999999E-3</v>
      </c>
      <c r="C1121" s="58">
        <v>2</v>
      </c>
      <c r="D1121" s="18" t="s">
        <v>2394</v>
      </c>
      <c r="E1121" s="18" t="s">
        <v>2161</v>
      </c>
      <c r="F1121" s="18" t="s">
        <v>1621</v>
      </c>
      <c r="G1121" s="59">
        <v>79.45</v>
      </c>
      <c r="H1121" s="59">
        <v>158.9</v>
      </c>
      <c r="I1121" s="18" t="s">
        <v>114</v>
      </c>
      <c r="J1121" s="18" t="s">
        <v>512</v>
      </c>
      <c r="K1121" s="18" t="s">
        <v>2737</v>
      </c>
      <c r="L1121" s="30"/>
    </row>
    <row r="1122" spans="1:12" hidden="1" x14ac:dyDescent="0.25">
      <c r="A1122" s="18" t="s">
        <v>27</v>
      </c>
      <c r="B1122" s="57">
        <v>6.4236111111111108E-3</v>
      </c>
      <c r="C1122" s="58">
        <v>1</v>
      </c>
      <c r="D1122" s="18" t="s">
        <v>2137</v>
      </c>
      <c r="E1122" s="18" t="s">
        <v>2138</v>
      </c>
      <c r="F1122" s="18" t="s">
        <v>1621</v>
      </c>
      <c r="G1122" s="59">
        <v>1046.44</v>
      </c>
      <c r="H1122" s="59">
        <v>1046.44</v>
      </c>
      <c r="I1122" s="18" t="s">
        <v>147</v>
      </c>
      <c r="J1122" s="18" t="s">
        <v>115</v>
      </c>
      <c r="K1122" s="18" t="s">
        <v>2737</v>
      </c>
      <c r="L1122" s="30"/>
    </row>
    <row r="1123" spans="1:12" hidden="1" x14ac:dyDescent="0.25">
      <c r="A1123" s="18" t="s">
        <v>27</v>
      </c>
      <c r="B1123" s="57">
        <v>2.1412037037037038E-3</v>
      </c>
      <c r="C1123" s="58">
        <v>1</v>
      </c>
      <c r="D1123" s="18" t="s">
        <v>2064</v>
      </c>
      <c r="E1123" s="18" t="s">
        <v>2065</v>
      </c>
      <c r="F1123" s="18" t="s">
        <v>1621</v>
      </c>
      <c r="G1123" s="59">
        <v>234.09</v>
      </c>
      <c r="H1123" s="59">
        <v>234.09</v>
      </c>
      <c r="I1123" s="18" t="s">
        <v>1141</v>
      </c>
      <c r="J1123" s="18" t="s">
        <v>368</v>
      </c>
      <c r="K1123" s="18" t="s">
        <v>2738</v>
      </c>
      <c r="L1123" s="30"/>
    </row>
    <row r="1124" spans="1:12" hidden="1" x14ac:dyDescent="0.25">
      <c r="A1124" s="18" t="s">
        <v>27</v>
      </c>
      <c r="B1124" s="57">
        <v>4.0277777777777777E-3</v>
      </c>
      <c r="C1124" s="58">
        <v>1</v>
      </c>
      <c r="D1124" s="18" t="s">
        <v>2326</v>
      </c>
      <c r="E1124" s="18" t="s">
        <v>2327</v>
      </c>
      <c r="F1124" s="18" t="s">
        <v>1621</v>
      </c>
      <c r="G1124" s="59">
        <v>703.77</v>
      </c>
      <c r="H1124" s="59">
        <v>703.77</v>
      </c>
      <c r="I1124" s="18" t="s">
        <v>1141</v>
      </c>
      <c r="J1124" s="18" t="s">
        <v>1594</v>
      </c>
      <c r="K1124" s="18" t="s">
        <v>2738</v>
      </c>
      <c r="L1124" s="30"/>
    </row>
    <row r="1125" spans="1:12" hidden="1" x14ac:dyDescent="0.25">
      <c r="A1125" s="18" t="s">
        <v>27</v>
      </c>
      <c r="B1125" s="57">
        <v>2.8124999999999999E-3</v>
      </c>
      <c r="C1125" s="58">
        <v>1</v>
      </c>
      <c r="D1125" s="18" t="s">
        <v>2239</v>
      </c>
      <c r="E1125" s="18" t="s">
        <v>2240</v>
      </c>
      <c r="F1125" s="18" t="s">
        <v>1621</v>
      </c>
      <c r="G1125" s="59">
        <v>402.54</v>
      </c>
      <c r="H1125" s="59">
        <v>402.54</v>
      </c>
      <c r="I1125" s="18" t="s">
        <v>1141</v>
      </c>
      <c r="J1125" s="18" t="s">
        <v>1599</v>
      </c>
      <c r="K1125" s="18" t="s">
        <v>2738</v>
      </c>
      <c r="L1125" s="30"/>
    </row>
    <row r="1126" spans="1:12" hidden="1" x14ac:dyDescent="0.25">
      <c r="A1126" s="18" t="s">
        <v>27</v>
      </c>
      <c r="B1126" s="57">
        <v>1.1701388888888888E-2</v>
      </c>
      <c r="C1126" s="58">
        <v>6</v>
      </c>
      <c r="D1126" s="18" t="s">
        <v>2225</v>
      </c>
      <c r="E1126" s="18" t="s">
        <v>2226</v>
      </c>
      <c r="F1126" s="18" t="s">
        <v>1621</v>
      </c>
      <c r="G1126" s="59">
        <v>59.77</v>
      </c>
      <c r="H1126" s="59">
        <v>358.62</v>
      </c>
      <c r="I1126" s="18" t="s">
        <v>1665</v>
      </c>
      <c r="J1126" s="18" t="s">
        <v>512</v>
      </c>
      <c r="K1126" s="18" t="s">
        <v>2739</v>
      </c>
      <c r="L1126" s="30"/>
    </row>
    <row r="1127" spans="1:12" hidden="1" x14ac:dyDescent="0.25">
      <c r="A1127" s="18" t="s">
        <v>27</v>
      </c>
      <c r="B1127" s="57">
        <v>6.0185185185185185E-3</v>
      </c>
      <c r="C1127" s="58">
        <v>1</v>
      </c>
      <c r="D1127" s="18" t="s">
        <v>2451</v>
      </c>
      <c r="E1127" s="18" t="s">
        <v>1620</v>
      </c>
      <c r="F1127" s="18" t="s">
        <v>1621</v>
      </c>
      <c r="G1127" s="59">
        <v>764.9</v>
      </c>
      <c r="H1127" s="59">
        <v>764.9</v>
      </c>
      <c r="I1127" s="18" t="s">
        <v>133</v>
      </c>
      <c r="J1127" s="18" t="s">
        <v>512</v>
      </c>
      <c r="K1127" s="18" t="s">
        <v>2739</v>
      </c>
      <c r="L1127" s="30"/>
    </row>
    <row r="1128" spans="1:12" hidden="1" x14ac:dyDescent="0.25">
      <c r="A1128" s="18" t="s">
        <v>27</v>
      </c>
      <c r="B1128" s="57">
        <v>1.747685185185185E-3</v>
      </c>
      <c r="C1128" s="58">
        <v>1</v>
      </c>
      <c r="D1128" s="18" t="s">
        <v>2215</v>
      </c>
      <c r="E1128" s="18" t="s">
        <v>2216</v>
      </c>
      <c r="F1128" s="18" t="s">
        <v>1621</v>
      </c>
      <c r="G1128" s="59">
        <v>90.38</v>
      </c>
      <c r="H1128" s="59">
        <v>90.38</v>
      </c>
      <c r="I1128" s="18" t="s">
        <v>1588</v>
      </c>
      <c r="J1128" s="18" t="s">
        <v>44</v>
      </c>
      <c r="K1128" s="18" t="s">
        <v>2739</v>
      </c>
      <c r="L1128" s="30"/>
    </row>
    <row r="1129" spans="1:12" hidden="1" x14ac:dyDescent="0.25">
      <c r="A1129" s="18" t="s">
        <v>27</v>
      </c>
      <c r="B1129" s="57">
        <v>6.0185185185185179E-4</v>
      </c>
      <c r="C1129" s="58">
        <v>1</v>
      </c>
      <c r="D1129" s="18" t="s">
        <v>2113</v>
      </c>
      <c r="E1129" s="18" t="s">
        <v>2111</v>
      </c>
      <c r="F1129" s="18" t="s">
        <v>1621</v>
      </c>
      <c r="G1129" s="59">
        <v>8.3699999999999992</v>
      </c>
      <c r="H1129" s="59">
        <v>8.3699999999999992</v>
      </c>
      <c r="I1129" s="18" t="s">
        <v>1665</v>
      </c>
      <c r="J1129" s="18" t="s">
        <v>115</v>
      </c>
      <c r="K1129" s="18" t="s">
        <v>2740</v>
      </c>
      <c r="L1129" s="30"/>
    </row>
    <row r="1130" spans="1:12" hidden="1" x14ac:dyDescent="0.25">
      <c r="A1130" s="18" t="s">
        <v>27</v>
      </c>
      <c r="B1130" s="57">
        <v>3.7731481481481479E-3</v>
      </c>
      <c r="C1130" s="58">
        <v>2</v>
      </c>
      <c r="D1130" s="18" t="s">
        <v>2297</v>
      </c>
      <c r="E1130" s="18" t="s">
        <v>2226</v>
      </c>
      <c r="F1130" s="18" t="s">
        <v>1621</v>
      </c>
      <c r="G1130" s="59">
        <v>59.77</v>
      </c>
      <c r="H1130" s="59">
        <v>119.54</v>
      </c>
      <c r="I1130" s="18" t="s">
        <v>1672</v>
      </c>
      <c r="J1130" s="18" t="s">
        <v>512</v>
      </c>
      <c r="K1130" s="18" t="s">
        <v>2740</v>
      </c>
      <c r="L1130" s="30"/>
    </row>
    <row r="1131" spans="1:12" hidden="1" x14ac:dyDescent="0.25">
      <c r="A1131" s="18" t="s">
        <v>27</v>
      </c>
      <c r="B1131" s="57">
        <v>1.8865740740740739E-3</v>
      </c>
      <c r="C1131" s="58">
        <v>1</v>
      </c>
      <c r="D1131" s="18" t="s">
        <v>2356</v>
      </c>
      <c r="E1131" s="18" t="s">
        <v>2310</v>
      </c>
      <c r="F1131" s="18" t="s">
        <v>1621</v>
      </c>
      <c r="G1131" s="59">
        <v>58.91</v>
      </c>
      <c r="H1131" s="59">
        <v>58.91</v>
      </c>
      <c r="I1131" s="18" t="s">
        <v>1665</v>
      </c>
      <c r="J1131" s="18" t="s">
        <v>115</v>
      </c>
      <c r="K1131" s="18" t="s">
        <v>2740</v>
      </c>
      <c r="L1131" s="30"/>
    </row>
    <row r="1132" spans="1:12" hidden="1" x14ac:dyDescent="0.25">
      <c r="A1132" s="18" t="s">
        <v>27</v>
      </c>
      <c r="B1132" s="57">
        <v>5.4398148148148149E-3</v>
      </c>
      <c r="C1132" s="58">
        <v>1</v>
      </c>
      <c r="D1132" s="18" t="s">
        <v>2584</v>
      </c>
      <c r="E1132" s="18" t="s">
        <v>2585</v>
      </c>
      <c r="F1132" s="18" t="s">
        <v>1621</v>
      </c>
      <c r="G1132" s="59">
        <v>707.52</v>
      </c>
      <c r="H1132" s="59">
        <v>707.52</v>
      </c>
      <c r="I1132" s="18" t="s">
        <v>1672</v>
      </c>
      <c r="J1132" s="18" t="s">
        <v>512</v>
      </c>
      <c r="K1132" s="18" t="s">
        <v>2740</v>
      </c>
      <c r="L1132" s="30"/>
    </row>
    <row r="1133" spans="1:12" hidden="1" x14ac:dyDescent="0.25">
      <c r="A1133" s="18" t="s">
        <v>27</v>
      </c>
      <c r="B1133" s="57">
        <v>1.6435185185185185E-3</v>
      </c>
      <c r="C1133" s="58">
        <v>1</v>
      </c>
      <c r="D1133" s="18" t="s">
        <v>2152</v>
      </c>
      <c r="E1133" s="18" t="s">
        <v>2153</v>
      </c>
      <c r="F1133" s="18" t="s">
        <v>1621</v>
      </c>
      <c r="G1133" s="59">
        <v>73.5</v>
      </c>
      <c r="H1133" s="59">
        <v>73.5</v>
      </c>
      <c r="I1133" s="18" t="s">
        <v>1672</v>
      </c>
      <c r="J1133" s="18" t="s">
        <v>512</v>
      </c>
      <c r="K1133" s="18" t="s">
        <v>2740</v>
      </c>
      <c r="L1133" s="30"/>
    </row>
    <row r="1134" spans="1:12" hidden="1" x14ac:dyDescent="0.25">
      <c r="A1134" s="18" t="s">
        <v>27</v>
      </c>
      <c r="B1134" s="57">
        <v>7.5231481481481482E-4</v>
      </c>
      <c r="C1134" s="58">
        <v>1</v>
      </c>
      <c r="D1134" s="18" t="s">
        <v>1633</v>
      </c>
      <c r="E1134" s="18" t="s">
        <v>1634</v>
      </c>
      <c r="F1134" s="18" t="s">
        <v>1621</v>
      </c>
      <c r="G1134" s="59">
        <v>19.12</v>
      </c>
      <c r="H1134" s="59">
        <v>19.12</v>
      </c>
      <c r="I1134" s="18" t="s">
        <v>367</v>
      </c>
      <c r="J1134" s="18" t="s">
        <v>1599</v>
      </c>
      <c r="K1134" s="18" t="s">
        <v>2740</v>
      </c>
      <c r="L1134" s="30"/>
    </row>
    <row r="1135" spans="1:12" hidden="1" x14ac:dyDescent="0.25">
      <c r="A1135" s="18" t="s">
        <v>27</v>
      </c>
      <c r="B1135" s="57">
        <v>6.8287037037037036E-4</v>
      </c>
      <c r="C1135" s="58">
        <v>1</v>
      </c>
      <c r="D1135" s="18" t="s">
        <v>2096</v>
      </c>
      <c r="E1135" s="18" t="s">
        <v>2097</v>
      </c>
      <c r="F1135" s="18" t="s">
        <v>1621</v>
      </c>
      <c r="G1135" s="59">
        <v>12.44</v>
      </c>
      <c r="H1135" s="59">
        <v>12.44</v>
      </c>
      <c r="I1135" s="18" t="s">
        <v>367</v>
      </c>
      <c r="J1135" s="18" t="s">
        <v>368</v>
      </c>
      <c r="K1135" s="18" t="s">
        <v>2740</v>
      </c>
      <c r="L1135" s="30"/>
    </row>
    <row r="1136" spans="1:12" hidden="1" x14ac:dyDescent="0.25">
      <c r="A1136" s="18" t="s">
        <v>27</v>
      </c>
      <c r="B1136" s="57">
        <v>1.6666666666666666E-3</v>
      </c>
      <c r="C1136" s="58">
        <v>1</v>
      </c>
      <c r="D1136" s="18" t="s">
        <v>2276</v>
      </c>
      <c r="E1136" s="18" t="s">
        <v>2270</v>
      </c>
      <c r="F1136" s="18" t="s">
        <v>1621</v>
      </c>
      <c r="G1136" s="59">
        <v>57.73</v>
      </c>
      <c r="H1136" s="59">
        <v>57.73</v>
      </c>
      <c r="I1136" s="18" t="s">
        <v>367</v>
      </c>
      <c r="J1136" s="18" t="s">
        <v>427</v>
      </c>
      <c r="K1136" s="18" t="s">
        <v>2740</v>
      </c>
      <c r="L1136" s="30"/>
    </row>
    <row r="1137" spans="1:12" hidden="1" x14ac:dyDescent="0.25">
      <c r="A1137" s="18" t="s">
        <v>27</v>
      </c>
      <c r="B1137" s="57">
        <v>9.4907407407407408E-4</v>
      </c>
      <c r="C1137" s="58">
        <v>1</v>
      </c>
      <c r="D1137" s="18" t="s">
        <v>2574</v>
      </c>
      <c r="E1137" s="18" t="s">
        <v>2487</v>
      </c>
      <c r="F1137" s="18" t="s">
        <v>1621</v>
      </c>
      <c r="G1137" s="59">
        <v>25.59</v>
      </c>
      <c r="H1137" s="59">
        <v>25.59</v>
      </c>
      <c r="I1137" s="18" t="s">
        <v>367</v>
      </c>
      <c r="J1137" s="18" t="s">
        <v>1594</v>
      </c>
      <c r="K1137" s="18" t="s">
        <v>2740</v>
      </c>
      <c r="L1137" s="30"/>
    </row>
    <row r="1138" spans="1:12" hidden="1" x14ac:dyDescent="0.25">
      <c r="A1138" s="18" t="s">
        <v>27</v>
      </c>
      <c r="B1138" s="57">
        <v>1.4699074074074074E-3</v>
      </c>
      <c r="C1138" s="58">
        <v>1</v>
      </c>
      <c r="D1138" s="18" t="s">
        <v>2727</v>
      </c>
      <c r="E1138" s="18" t="s">
        <v>2728</v>
      </c>
      <c r="F1138" s="18" t="s">
        <v>1621</v>
      </c>
      <c r="G1138" s="59">
        <v>62.68</v>
      </c>
      <c r="H1138" s="59">
        <v>62.68</v>
      </c>
      <c r="I1138" s="18" t="s">
        <v>2729</v>
      </c>
      <c r="J1138" s="18" t="s">
        <v>512</v>
      </c>
      <c r="K1138" s="18" t="s">
        <v>2740</v>
      </c>
      <c r="L1138" s="30"/>
    </row>
    <row r="1139" spans="1:12" hidden="1" x14ac:dyDescent="0.25">
      <c r="A1139" s="18" t="s">
        <v>27</v>
      </c>
      <c r="B1139" s="57">
        <v>1.4699074074074074E-3</v>
      </c>
      <c r="C1139" s="58">
        <v>1</v>
      </c>
      <c r="D1139" s="18" t="s">
        <v>2741</v>
      </c>
      <c r="E1139" s="18" t="s">
        <v>2728</v>
      </c>
      <c r="F1139" s="18" t="s">
        <v>1621</v>
      </c>
      <c r="G1139" s="59">
        <v>62.68</v>
      </c>
      <c r="H1139" s="59">
        <v>62.68</v>
      </c>
      <c r="I1139" s="18" t="s">
        <v>2742</v>
      </c>
      <c r="J1139" s="18" t="s">
        <v>512</v>
      </c>
      <c r="K1139" s="18" t="s">
        <v>2740</v>
      </c>
      <c r="L1139" s="30"/>
    </row>
    <row r="1140" spans="1:12" hidden="1" x14ac:dyDescent="0.25">
      <c r="A1140" s="18" t="s">
        <v>27</v>
      </c>
      <c r="B1140" s="57">
        <v>1.1805555555555556E-3</v>
      </c>
      <c r="C1140" s="58">
        <v>2</v>
      </c>
      <c r="D1140" s="18" t="s">
        <v>2110</v>
      </c>
      <c r="E1140" s="18" t="s">
        <v>2111</v>
      </c>
      <c r="F1140" s="18" t="s">
        <v>1621</v>
      </c>
      <c r="G1140" s="59">
        <v>8.3699999999999992</v>
      </c>
      <c r="H1140" s="59">
        <v>16.739999999999998</v>
      </c>
      <c r="I1140" s="18" t="s">
        <v>1665</v>
      </c>
      <c r="J1140" s="18" t="s">
        <v>498</v>
      </c>
      <c r="K1140" s="18" t="s">
        <v>2743</v>
      </c>
      <c r="L1140" s="30"/>
    </row>
    <row r="1141" spans="1:12" hidden="1" x14ac:dyDescent="0.25">
      <c r="A1141" s="18" t="s">
        <v>27</v>
      </c>
      <c r="B1141" s="57">
        <v>1.8287037037037037E-3</v>
      </c>
      <c r="C1141" s="58">
        <v>1</v>
      </c>
      <c r="D1141" s="18" t="s">
        <v>2297</v>
      </c>
      <c r="E1141" s="18" t="s">
        <v>2226</v>
      </c>
      <c r="F1141" s="18" t="s">
        <v>1621</v>
      </c>
      <c r="G1141" s="59">
        <v>59.77</v>
      </c>
      <c r="H1141" s="59">
        <v>59.77</v>
      </c>
      <c r="I1141" s="18" t="s">
        <v>1672</v>
      </c>
      <c r="J1141" s="18" t="s">
        <v>512</v>
      </c>
      <c r="K1141" s="18" t="s">
        <v>2743</v>
      </c>
      <c r="L1141" s="30"/>
    </row>
    <row r="1142" spans="1:12" hidden="1" x14ac:dyDescent="0.25">
      <c r="A1142" s="18" t="s">
        <v>27</v>
      </c>
      <c r="B1142" s="57">
        <v>1.7129629629629628E-3</v>
      </c>
      <c r="C1142" s="58">
        <v>2</v>
      </c>
      <c r="D1142" s="18" t="s">
        <v>2087</v>
      </c>
      <c r="E1142" s="18" t="s">
        <v>2088</v>
      </c>
      <c r="F1142" s="18" t="s">
        <v>1621</v>
      </c>
      <c r="G1142" s="59">
        <v>18.63</v>
      </c>
      <c r="H1142" s="59">
        <v>37.26</v>
      </c>
      <c r="I1142" s="18" t="s">
        <v>1672</v>
      </c>
      <c r="J1142" s="18" t="s">
        <v>115</v>
      </c>
      <c r="K1142" s="18" t="s">
        <v>2743</v>
      </c>
      <c r="L1142" s="30"/>
    </row>
    <row r="1143" spans="1:12" hidden="1" x14ac:dyDescent="0.25">
      <c r="A1143" s="18" t="s">
        <v>27</v>
      </c>
      <c r="B1143" s="57">
        <v>1.7129629629629628E-3</v>
      </c>
      <c r="C1143" s="58">
        <v>2</v>
      </c>
      <c r="D1143" s="18" t="s">
        <v>2744</v>
      </c>
      <c r="E1143" s="18" t="s">
        <v>2088</v>
      </c>
      <c r="F1143" s="18" t="s">
        <v>1621</v>
      </c>
      <c r="G1143" s="59">
        <v>18.63</v>
      </c>
      <c r="H1143" s="59">
        <v>37.26</v>
      </c>
      <c r="I1143" s="18" t="s">
        <v>131</v>
      </c>
      <c r="J1143" s="18" t="s">
        <v>115</v>
      </c>
      <c r="K1143" s="18" t="s">
        <v>2743</v>
      </c>
      <c r="L1143" s="30"/>
    </row>
    <row r="1144" spans="1:12" hidden="1" x14ac:dyDescent="0.25">
      <c r="A1144" s="18" t="s">
        <v>27</v>
      </c>
      <c r="B1144" s="57">
        <v>5.6597222222222222E-3</v>
      </c>
      <c r="C1144" s="58">
        <v>1</v>
      </c>
      <c r="D1144" s="18" t="s">
        <v>2266</v>
      </c>
      <c r="E1144" s="18" t="s">
        <v>2267</v>
      </c>
      <c r="F1144" s="18" t="s">
        <v>1621</v>
      </c>
      <c r="G1144" s="59">
        <v>1011.56</v>
      </c>
      <c r="H1144" s="59">
        <v>1011.56</v>
      </c>
      <c r="I1144" s="18" t="s">
        <v>1672</v>
      </c>
      <c r="J1144" s="18" t="s">
        <v>115</v>
      </c>
      <c r="K1144" s="18" t="s">
        <v>2743</v>
      </c>
      <c r="L1144" s="30"/>
    </row>
    <row r="1145" spans="1:12" hidden="1" x14ac:dyDescent="0.25">
      <c r="A1145" s="18" t="s">
        <v>27</v>
      </c>
      <c r="B1145" s="57">
        <v>6.5972222222222224E-4</v>
      </c>
      <c r="C1145" s="58">
        <v>1</v>
      </c>
      <c r="D1145" s="18" t="s">
        <v>2096</v>
      </c>
      <c r="E1145" s="18" t="s">
        <v>2097</v>
      </c>
      <c r="F1145" s="18" t="s">
        <v>1621</v>
      </c>
      <c r="G1145" s="59">
        <v>12.44</v>
      </c>
      <c r="H1145" s="59">
        <v>12.44</v>
      </c>
      <c r="I1145" s="18" t="s">
        <v>367</v>
      </c>
      <c r="J1145" s="18" t="s">
        <v>368</v>
      </c>
      <c r="K1145" s="18" t="s">
        <v>2743</v>
      </c>
      <c r="L1145" s="30"/>
    </row>
    <row r="1146" spans="1:12" hidden="1" x14ac:dyDescent="0.25">
      <c r="A1146" s="18" t="s">
        <v>27</v>
      </c>
      <c r="B1146" s="57">
        <v>1.1342592592592591E-3</v>
      </c>
      <c r="C1146" s="58">
        <v>1</v>
      </c>
      <c r="D1146" s="18" t="s">
        <v>2203</v>
      </c>
      <c r="E1146" s="18" t="s">
        <v>2204</v>
      </c>
      <c r="F1146" s="18" t="s">
        <v>1621</v>
      </c>
      <c r="G1146" s="59">
        <v>36.56</v>
      </c>
      <c r="H1146" s="59">
        <v>36.56</v>
      </c>
      <c r="I1146" s="18" t="s">
        <v>367</v>
      </c>
      <c r="J1146" s="18" t="s">
        <v>512</v>
      </c>
      <c r="K1146" s="18" t="s">
        <v>2743</v>
      </c>
      <c r="L1146" s="30"/>
    </row>
    <row r="1147" spans="1:12" hidden="1" x14ac:dyDescent="0.25">
      <c r="A1147" s="18" t="s">
        <v>27</v>
      </c>
      <c r="B1147" s="57">
        <v>1.6203703703703703E-3</v>
      </c>
      <c r="C1147" s="58">
        <v>1</v>
      </c>
      <c r="D1147" s="18" t="s">
        <v>2312</v>
      </c>
      <c r="E1147" s="18" t="s">
        <v>2270</v>
      </c>
      <c r="F1147" s="18" t="s">
        <v>1621</v>
      </c>
      <c r="G1147" s="59">
        <v>57.73</v>
      </c>
      <c r="H1147" s="59">
        <v>57.73</v>
      </c>
      <c r="I1147" s="18" t="s">
        <v>367</v>
      </c>
      <c r="J1147" s="18" t="s">
        <v>427</v>
      </c>
      <c r="K1147" s="18" t="s">
        <v>2743</v>
      </c>
      <c r="L1147" s="30"/>
    </row>
    <row r="1148" spans="1:12" hidden="1" x14ac:dyDescent="0.25">
      <c r="A1148" s="18" t="s">
        <v>27</v>
      </c>
      <c r="B1148" s="57">
        <v>3.9004629629629628E-3</v>
      </c>
      <c r="C1148" s="58">
        <v>2</v>
      </c>
      <c r="D1148" s="18" t="s">
        <v>2225</v>
      </c>
      <c r="E1148" s="18" t="s">
        <v>2226</v>
      </c>
      <c r="F1148" s="18" t="s">
        <v>1621</v>
      </c>
      <c r="G1148" s="59">
        <v>59.77</v>
      </c>
      <c r="H1148" s="59">
        <v>119.54</v>
      </c>
      <c r="I1148" s="18" t="s">
        <v>1665</v>
      </c>
      <c r="J1148" s="18" t="s">
        <v>512</v>
      </c>
      <c r="K1148" s="18" t="s">
        <v>2745</v>
      </c>
      <c r="L1148" s="30"/>
    </row>
    <row r="1149" spans="1:12" hidden="1" x14ac:dyDescent="0.25">
      <c r="A1149" s="18" t="s">
        <v>27</v>
      </c>
      <c r="B1149" s="57">
        <v>7.8009259259259256E-3</v>
      </c>
      <c r="C1149" s="58">
        <v>4</v>
      </c>
      <c r="D1149" s="18" t="s">
        <v>2297</v>
      </c>
      <c r="E1149" s="18" t="s">
        <v>2226</v>
      </c>
      <c r="F1149" s="18" t="s">
        <v>1621</v>
      </c>
      <c r="G1149" s="59">
        <v>59.77</v>
      </c>
      <c r="H1149" s="59">
        <v>239.08</v>
      </c>
      <c r="I1149" s="18" t="s">
        <v>1672</v>
      </c>
      <c r="J1149" s="18" t="s">
        <v>512</v>
      </c>
      <c r="K1149" s="18" t="s">
        <v>2745</v>
      </c>
      <c r="L1149" s="30"/>
    </row>
    <row r="1150" spans="1:12" hidden="1" x14ac:dyDescent="0.25">
      <c r="A1150" s="18" t="s">
        <v>27</v>
      </c>
      <c r="B1150" s="57">
        <v>6.0185185185185185E-3</v>
      </c>
      <c r="C1150" s="58">
        <v>1</v>
      </c>
      <c r="D1150" s="18" t="s">
        <v>2746</v>
      </c>
      <c r="E1150" s="18" t="s">
        <v>1620</v>
      </c>
      <c r="F1150" s="18" t="s">
        <v>1621</v>
      </c>
      <c r="G1150" s="59">
        <v>764.88</v>
      </c>
      <c r="H1150" s="59">
        <v>764.88</v>
      </c>
      <c r="I1150" s="18" t="s">
        <v>131</v>
      </c>
      <c r="J1150" s="18" t="s">
        <v>512</v>
      </c>
      <c r="K1150" s="18" t="s">
        <v>2745</v>
      </c>
      <c r="L1150" s="30"/>
    </row>
    <row r="1151" spans="1:12" hidden="1" x14ac:dyDescent="0.25">
      <c r="A1151" s="18" t="s">
        <v>27</v>
      </c>
      <c r="B1151" s="57">
        <v>1.747685185185185E-3</v>
      </c>
      <c r="C1151" s="58">
        <v>1</v>
      </c>
      <c r="D1151" s="18" t="s">
        <v>2275</v>
      </c>
      <c r="E1151" s="18" t="s">
        <v>2216</v>
      </c>
      <c r="F1151" s="18" t="s">
        <v>1621</v>
      </c>
      <c r="G1151" s="59">
        <v>90.38</v>
      </c>
      <c r="H1151" s="59">
        <v>90.38</v>
      </c>
      <c r="I1151" s="18" t="s">
        <v>1588</v>
      </c>
      <c r="J1151" s="18" t="s">
        <v>44</v>
      </c>
      <c r="K1151" s="18" t="s">
        <v>2745</v>
      </c>
      <c r="L1151" s="30"/>
    </row>
    <row r="1152" spans="1:12" hidden="1" x14ac:dyDescent="0.25">
      <c r="A1152" s="18" t="s">
        <v>27</v>
      </c>
      <c r="B1152" s="57">
        <v>6.192129629629629E-3</v>
      </c>
      <c r="C1152" s="58">
        <v>1</v>
      </c>
      <c r="D1152" s="18" t="s">
        <v>2197</v>
      </c>
      <c r="E1152" s="18" t="s">
        <v>2198</v>
      </c>
      <c r="F1152" s="18" t="s">
        <v>1621</v>
      </c>
      <c r="G1152" s="59">
        <v>1296.57</v>
      </c>
      <c r="H1152" s="59">
        <v>1296.57</v>
      </c>
      <c r="I1152" s="18" t="s">
        <v>1588</v>
      </c>
      <c r="J1152" s="18" t="s">
        <v>512</v>
      </c>
      <c r="K1152" s="18" t="s">
        <v>2747</v>
      </c>
      <c r="L1152" s="30"/>
    </row>
    <row r="1153" spans="1:12" hidden="1" x14ac:dyDescent="0.25">
      <c r="A1153" s="18" t="s">
        <v>27</v>
      </c>
      <c r="B1153" s="57">
        <v>1.5162037037037036E-3</v>
      </c>
      <c r="C1153" s="58">
        <v>1</v>
      </c>
      <c r="D1153" s="18" t="s">
        <v>48</v>
      </c>
      <c r="E1153" s="18" t="s">
        <v>1119</v>
      </c>
      <c r="F1153" s="18" t="s">
        <v>1621</v>
      </c>
      <c r="G1153" s="59">
        <v>59.87</v>
      </c>
      <c r="H1153" s="59">
        <v>59.87</v>
      </c>
      <c r="I1153" s="18" t="s">
        <v>2195</v>
      </c>
      <c r="J1153" s="18" t="s">
        <v>44</v>
      </c>
      <c r="K1153" s="18" t="s">
        <v>2747</v>
      </c>
      <c r="L1153" s="30"/>
    </row>
    <row r="1154" spans="1:12" hidden="1" x14ac:dyDescent="0.25">
      <c r="A1154" s="18" t="s">
        <v>27</v>
      </c>
      <c r="B1154" s="57">
        <v>6.192129629629629E-3</v>
      </c>
      <c r="C1154" s="58">
        <v>1</v>
      </c>
      <c r="D1154" s="18" t="s">
        <v>2197</v>
      </c>
      <c r="E1154" s="18" t="s">
        <v>2198</v>
      </c>
      <c r="F1154" s="18" t="s">
        <v>1621</v>
      </c>
      <c r="G1154" s="59">
        <v>1296.57</v>
      </c>
      <c r="H1154" s="59">
        <v>1296.57</v>
      </c>
      <c r="I1154" s="18" t="s">
        <v>1588</v>
      </c>
      <c r="J1154" s="18" t="s">
        <v>512</v>
      </c>
      <c r="K1154" s="18" t="s">
        <v>2748</v>
      </c>
      <c r="L1154" s="30"/>
    </row>
    <row r="1155" spans="1:12" hidden="1" x14ac:dyDescent="0.25">
      <c r="A1155" s="18" t="s">
        <v>27</v>
      </c>
      <c r="B1155" s="57">
        <v>1.5162037037037036E-3</v>
      </c>
      <c r="C1155" s="58">
        <v>1</v>
      </c>
      <c r="D1155" s="18" t="s">
        <v>48</v>
      </c>
      <c r="E1155" s="18" t="s">
        <v>1119</v>
      </c>
      <c r="F1155" s="18" t="s">
        <v>1621</v>
      </c>
      <c r="G1155" s="59">
        <v>59.87</v>
      </c>
      <c r="H1155" s="59">
        <v>59.87</v>
      </c>
      <c r="I1155" s="18" t="s">
        <v>2195</v>
      </c>
      <c r="J1155" s="18" t="s">
        <v>44</v>
      </c>
      <c r="K1155" s="18" t="s">
        <v>2748</v>
      </c>
      <c r="L1155" s="30"/>
    </row>
    <row r="1156" spans="1:12" hidden="1" x14ac:dyDescent="0.25">
      <c r="A1156" s="18" t="s">
        <v>27</v>
      </c>
      <c r="B1156" s="57">
        <v>6.0185185185185185E-3</v>
      </c>
      <c r="C1156" s="58">
        <v>1</v>
      </c>
      <c r="D1156" s="18" t="s">
        <v>2197</v>
      </c>
      <c r="E1156" s="18" t="s">
        <v>2198</v>
      </c>
      <c r="F1156" s="18" t="s">
        <v>1621</v>
      </c>
      <c r="G1156" s="59">
        <v>1296.57</v>
      </c>
      <c r="H1156" s="59">
        <v>1296.57</v>
      </c>
      <c r="I1156" s="18" t="s">
        <v>1588</v>
      </c>
      <c r="J1156" s="18" t="s">
        <v>512</v>
      </c>
      <c r="K1156" s="18" t="s">
        <v>2749</v>
      </c>
      <c r="L1156" s="30"/>
    </row>
    <row r="1157" spans="1:12" hidden="1" x14ac:dyDescent="0.25">
      <c r="A1157" s="18" t="s">
        <v>27</v>
      </c>
      <c r="B1157" s="57">
        <v>9.4907407407407408E-4</v>
      </c>
      <c r="C1157" s="58">
        <v>1</v>
      </c>
      <c r="D1157" s="18" t="s">
        <v>2474</v>
      </c>
      <c r="E1157" s="18" t="s">
        <v>2475</v>
      </c>
      <c r="F1157" s="18" t="s">
        <v>1621</v>
      </c>
      <c r="G1157" s="59">
        <v>24.71</v>
      </c>
      <c r="H1157" s="59">
        <v>24.71</v>
      </c>
      <c r="I1157" s="18" t="s">
        <v>367</v>
      </c>
      <c r="J1157" s="18" t="s">
        <v>1594</v>
      </c>
      <c r="K1157" s="18" t="s">
        <v>2749</v>
      </c>
      <c r="L1157" s="30"/>
    </row>
    <row r="1158" spans="1:12" hidden="1" x14ac:dyDescent="0.25">
      <c r="A1158" s="18" t="s">
        <v>27</v>
      </c>
      <c r="B1158" s="57">
        <v>1.4699074074074074E-3</v>
      </c>
      <c r="C1158" s="58">
        <v>1</v>
      </c>
      <c r="D1158" s="18" t="s">
        <v>48</v>
      </c>
      <c r="E1158" s="18" t="s">
        <v>1119</v>
      </c>
      <c r="F1158" s="18" t="s">
        <v>1621</v>
      </c>
      <c r="G1158" s="59">
        <v>59.87</v>
      </c>
      <c r="H1158" s="59">
        <v>59.87</v>
      </c>
      <c r="I1158" s="18" t="s">
        <v>2195</v>
      </c>
      <c r="J1158" s="18" t="s">
        <v>44</v>
      </c>
      <c r="K1158" s="18" t="s">
        <v>2749</v>
      </c>
      <c r="L1158" s="30"/>
    </row>
    <row r="1159" spans="1:12" hidden="1" x14ac:dyDescent="0.25">
      <c r="A1159" s="18" t="s">
        <v>27</v>
      </c>
      <c r="B1159" s="57">
        <v>6.192129629629629E-3</v>
      </c>
      <c r="C1159" s="58">
        <v>1</v>
      </c>
      <c r="D1159" s="18" t="s">
        <v>2197</v>
      </c>
      <c r="E1159" s="18" t="s">
        <v>2198</v>
      </c>
      <c r="F1159" s="18" t="s">
        <v>1621</v>
      </c>
      <c r="G1159" s="59">
        <v>1296.57</v>
      </c>
      <c r="H1159" s="59">
        <v>1296.57</v>
      </c>
      <c r="I1159" s="18" t="s">
        <v>1588</v>
      </c>
      <c r="J1159" s="18" t="s">
        <v>512</v>
      </c>
      <c r="K1159" s="18" t="s">
        <v>2750</v>
      </c>
      <c r="L1159" s="30"/>
    </row>
    <row r="1160" spans="1:12" hidden="1" x14ac:dyDescent="0.25">
      <c r="A1160" s="18" t="s">
        <v>27</v>
      </c>
      <c r="B1160" s="57">
        <v>1.5162037037037036E-3</v>
      </c>
      <c r="C1160" s="58">
        <v>1</v>
      </c>
      <c r="D1160" s="18" t="s">
        <v>48</v>
      </c>
      <c r="E1160" s="18" t="s">
        <v>1119</v>
      </c>
      <c r="F1160" s="18" t="s">
        <v>1621</v>
      </c>
      <c r="G1160" s="59">
        <v>59.87</v>
      </c>
      <c r="H1160" s="59">
        <v>59.87</v>
      </c>
      <c r="I1160" s="18" t="s">
        <v>2195</v>
      </c>
      <c r="J1160" s="18" t="s">
        <v>44</v>
      </c>
      <c r="K1160" s="18" t="s">
        <v>2750</v>
      </c>
      <c r="L1160" s="30"/>
    </row>
    <row r="1161" spans="1:12" hidden="1" x14ac:dyDescent="0.25">
      <c r="A1161" s="18" t="s">
        <v>27</v>
      </c>
      <c r="B1161" s="57">
        <v>5.0115740740740737E-3</v>
      </c>
      <c r="C1161" s="58">
        <v>3</v>
      </c>
      <c r="D1161" s="18" t="s">
        <v>2297</v>
      </c>
      <c r="E1161" s="18" t="s">
        <v>2226</v>
      </c>
      <c r="F1161" s="18" t="s">
        <v>1621</v>
      </c>
      <c r="G1161" s="59">
        <v>59.77</v>
      </c>
      <c r="H1161" s="59">
        <v>179.31</v>
      </c>
      <c r="I1161" s="18" t="s">
        <v>1672</v>
      </c>
      <c r="J1161" s="18" t="s">
        <v>512</v>
      </c>
      <c r="K1161" s="18" t="s">
        <v>2751</v>
      </c>
      <c r="L1161" s="30"/>
    </row>
    <row r="1162" spans="1:12" hidden="1" x14ac:dyDescent="0.25">
      <c r="A1162" s="18" t="s">
        <v>27</v>
      </c>
      <c r="B1162" s="57">
        <v>2.7083333333333334E-3</v>
      </c>
      <c r="C1162" s="58">
        <v>2</v>
      </c>
      <c r="D1162" s="18" t="s">
        <v>1623</v>
      </c>
      <c r="E1162" s="18" t="s">
        <v>1624</v>
      </c>
      <c r="F1162" s="18" t="s">
        <v>1621</v>
      </c>
      <c r="G1162" s="59">
        <v>76.63</v>
      </c>
      <c r="H1162" s="59">
        <v>153.26</v>
      </c>
      <c r="I1162" s="18" t="s">
        <v>1588</v>
      </c>
      <c r="J1162" s="18" t="s">
        <v>44</v>
      </c>
      <c r="K1162" s="18" t="s">
        <v>2751</v>
      </c>
      <c r="L1162" s="30"/>
    </row>
    <row r="1163" spans="1:12" hidden="1" x14ac:dyDescent="0.25">
      <c r="A1163" s="18" t="s">
        <v>27</v>
      </c>
      <c r="B1163" s="57">
        <v>1.2037037037037036E-3</v>
      </c>
      <c r="C1163" s="58">
        <v>1</v>
      </c>
      <c r="D1163" s="18" t="s">
        <v>2048</v>
      </c>
      <c r="E1163" s="18" t="s">
        <v>2049</v>
      </c>
      <c r="F1163" s="18" t="s">
        <v>1621</v>
      </c>
      <c r="G1163" s="59">
        <v>63.86</v>
      </c>
      <c r="H1163" s="59">
        <v>63.86</v>
      </c>
      <c r="I1163" s="18" t="s">
        <v>1588</v>
      </c>
      <c r="J1163" s="18" t="s">
        <v>44</v>
      </c>
      <c r="K1163" s="18" t="s">
        <v>2751</v>
      </c>
      <c r="L1163" s="30"/>
    </row>
    <row r="1164" spans="1:12" hidden="1" x14ac:dyDescent="0.25">
      <c r="A1164" s="18" t="s">
        <v>27</v>
      </c>
      <c r="B1164" s="57">
        <v>4.5949074074074069E-3</v>
      </c>
      <c r="C1164" s="58">
        <v>11</v>
      </c>
      <c r="D1164" s="18" t="s">
        <v>2062</v>
      </c>
      <c r="E1164" s="18" t="s">
        <v>2063</v>
      </c>
      <c r="F1164" s="18" t="s">
        <v>1621</v>
      </c>
      <c r="G1164" s="59">
        <v>2.2799999999999998</v>
      </c>
      <c r="H1164" s="59">
        <v>25.08</v>
      </c>
      <c r="I1164" s="18" t="s">
        <v>367</v>
      </c>
      <c r="J1164" s="18" t="s">
        <v>1592</v>
      </c>
      <c r="K1164" s="18" t="s">
        <v>2751</v>
      </c>
      <c r="L1164" s="30"/>
    </row>
    <row r="1165" spans="1:12" hidden="1" x14ac:dyDescent="0.25">
      <c r="A1165" s="18" t="s">
        <v>27</v>
      </c>
      <c r="B1165" s="57">
        <v>3.1828703703703702E-3</v>
      </c>
      <c r="C1165" s="58">
        <v>1</v>
      </c>
      <c r="D1165" s="18" t="s">
        <v>2433</v>
      </c>
      <c r="E1165" s="18" t="s">
        <v>2434</v>
      </c>
      <c r="F1165" s="18" t="s">
        <v>1621</v>
      </c>
      <c r="G1165" s="59">
        <v>437.53</v>
      </c>
      <c r="H1165" s="59">
        <v>437.53</v>
      </c>
      <c r="I1165" s="18" t="s">
        <v>1141</v>
      </c>
      <c r="J1165" s="18" t="s">
        <v>1594</v>
      </c>
      <c r="K1165" s="18" t="s">
        <v>2751</v>
      </c>
      <c r="L1165" s="30"/>
    </row>
    <row r="1166" spans="1:12" hidden="1" x14ac:dyDescent="0.25">
      <c r="A1166" s="18" t="s">
        <v>27</v>
      </c>
      <c r="B1166" s="57">
        <v>2.2569444444444442E-3</v>
      </c>
      <c r="C1166" s="58">
        <v>1</v>
      </c>
      <c r="D1166" s="18" t="s">
        <v>2249</v>
      </c>
      <c r="E1166" s="18" t="s">
        <v>2240</v>
      </c>
      <c r="F1166" s="18" t="s">
        <v>1621</v>
      </c>
      <c r="G1166" s="59">
        <v>402.54</v>
      </c>
      <c r="H1166" s="59">
        <v>402.54</v>
      </c>
      <c r="I1166" s="18" t="s">
        <v>1141</v>
      </c>
      <c r="J1166" s="18" t="s">
        <v>1598</v>
      </c>
      <c r="K1166" s="18" t="s">
        <v>2751</v>
      </c>
      <c r="L1166" s="30"/>
    </row>
    <row r="1167" spans="1:12" hidden="1" x14ac:dyDescent="0.25">
      <c r="A1167" s="18" t="s">
        <v>27</v>
      </c>
      <c r="B1167" s="57">
        <v>6.898148148148148E-3</v>
      </c>
      <c r="C1167" s="58">
        <v>1</v>
      </c>
      <c r="D1167" s="18" t="s">
        <v>369</v>
      </c>
      <c r="E1167" s="18" t="s">
        <v>370</v>
      </c>
      <c r="F1167" s="18" t="s">
        <v>1621</v>
      </c>
      <c r="G1167" s="59">
        <v>1369.44</v>
      </c>
      <c r="H1167" s="59">
        <v>1369.44</v>
      </c>
      <c r="I1167" s="18" t="s">
        <v>1141</v>
      </c>
      <c r="J1167" s="18" t="s">
        <v>368</v>
      </c>
      <c r="K1167" s="18" t="s">
        <v>2752</v>
      </c>
      <c r="L1167" s="30"/>
    </row>
    <row r="1168" spans="1:12" hidden="1" x14ac:dyDescent="0.25">
      <c r="A1168" s="18" t="s">
        <v>27</v>
      </c>
      <c r="B1168" s="57">
        <v>6.0185185185185185E-3</v>
      </c>
      <c r="C1168" s="58">
        <v>1</v>
      </c>
      <c r="D1168" s="18" t="s">
        <v>2197</v>
      </c>
      <c r="E1168" s="18" t="s">
        <v>2198</v>
      </c>
      <c r="F1168" s="18" t="s">
        <v>1621</v>
      </c>
      <c r="G1168" s="59">
        <v>1296.57</v>
      </c>
      <c r="H1168" s="59">
        <v>1296.57</v>
      </c>
      <c r="I1168" s="18" t="s">
        <v>1588</v>
      </c>
      <c r="J1168" s="18" t="s">
        <v>512</v>
      </c>
      <c r="K1168" s="18" t="s">
        <v>2753</v>
      </c>
      <c r="L1168" s="30"/>
    </row>
    <row r="1169" spans="1:12" hidden="1" x14ac:dyDescent="0.25">
      <c r="A1169" s="18" t="s">
        <v>27</v>
      </c>
      <c r="B1169" s="57">
        <v>9.7222222222222219E-4</v>
      </c>
      <c r="C1169" s="58">
        <v>1</v>
      </c>
      <c r="D1169" s="18" t="s">
        <v>2598</v>
      </c>
      <c r="E1169" s="18" t="s">
        <v>2599</v>
      </c>
      <c r="F1169" s="18" t="s">
        <v>1621</v>
      </c>
      <c r="G1169" s="59">
        <v>22.51</v>
      </c>
      <c r="H1169" s="59">
        <v>22.51</v>
      </c>
      <c r="I1169" s="18" t="s">
        <v>367</v>
      </c>
      <c r="J1169" s="18" t="s">
        <v>512</v>
      </c>
      <c r="K1169" s="18" t="s">
        <v>2753</v>
      </c>
      <c r="L1169" s="30"/>
    </row>
    <row r="1170" spans="1:12" hidden="1" x14ac:dyDescent="0.25">
      <c r="A1170" s="18" t="s">
        <v>27</v>
      </c>
      <c r="B1170" s="57">
        <v>1.4699074074074074E-3</v>
      </c>
      <c r="C1170" s="58">
        <v>1</v>
      </c>
      <c r="D1170" s="18" t="s">
        <v>48</v>
      </c>
      <c r="E1170" s="18" t="s">
        <v>1119</v>
      </c>
      <c r="F1170" s="18" t="s">
        <v>1621</v>
      </c>
      <c r="G1170" s="59">
        <v>59.87</v>
      </c>
      <c r="H1170" s="59">
        <v>59.87</v>
      </c>
      <c r="I1170" s="18" t="s">
        <v>2195</v>
      </c>
      <c r="J1170" s="18" t="s">
        <v>44</v>
      </c>
      <c r="K1170" s="18" t="s">
        <v>2753</v>
      </c>
      <c r="L1170" s="30"/>
    </row>
    <row r="1171" spans="1:12" hidden="1" x14ac:dyDescent="0.25">
      <c r="A1171" s="18" t="s">
        <v>27</v>
      </c>
      <c r="B1171" s="57">
        <v>1.2962962962962963E-3</v>
      </c>
      <c r="C1171" s="58">
        <v>2</v>
      </c>
      <c r="D1171" s="18" t="s">
        <v>2113</v>
      </c>
      <c r="E1171" s="18" t="s">
        <v>2111</v>
      </c>
      <c r="F1171" s="18" t="s">
        <v>1621</v>
      </c>
      <c r="G1171" s="59">
        <v>8.3699999999999992</v>
      </c>
      <c r="H1171" s="59">
        <v>16.739999999999998</v>
      </c>
      <c r="I1171" s="18" t="s">
        <v>1665</v>
      </c>
      <c r="J1171" s="18" t="s">
        <v>115</v>
      </c>
      <c r="K1171" s="18" t="s">
        <v>2754</v>
      </c>
      <c r="L1171" s="30"/>
    </row>
    <row r="1172" spans="1:12" hidden="1" x14ac:dyDescent="0.25">
      <c r="A1172" s="18" t="s">
        <v>27</v>
      </c>
      <c r="B1172" s="57">
        <v>7.4421296296296293E-3</v>
      </c>
      <c r="C1172" s="58">
        <v>4</v>
      </c>
      <c r="D1172" s="18" t="s">
        <v>2352</v>
      </c>
      <c r="E1172" s="18" t="s">
        <v>2161</v>
      </c>
      <c r="F1172" s="18" t="s">
        <v>1621</v>
      </c>
      <c r="G1172" s="59">
        <v>79.45</v>
      </c>
      <c r="H1172" s="59">
        <v>317.8</v>
      </c>
      <c r="I1172" s="18" t="s">
        <v>147</v>
      </c>
      <c r="J1172" s="18" t="s">
        <v>512</v>
      </c>
      <c r="K1172" s="18" t="s">
        <v>2754</v>
      </c>
      <c r="L1172" s="30"/>
    </row>
    <row r="1173" spans="1:12" hidden="1" x14ac:dyDescent="0.25">
      <c r="A1173" s="18" t="s">
        <v>27</v>
      </c>
      <c r="B1173" s="57">
        <v>6.0185185185185185E-3</v>
      </c>
      <c r="C1173" s="58">
        <v>1</v>
      </c>
      <c r="D1173" s="18" t="s">
        <v>2579</v>
      </c>
      <c r="E1173" s="18" t="s">
        <v>2580</v>
      </c>
      <c r="F1173" s="18" t="s">
        <v>1621</v>
      </c>
      <c r="G1173" s="59">
        <v>904.86</v>
      </c>
      <c r="H1173" s="59">
        <v>904.86</v>
      </c>
      <c r="I1173" s="18" t="s">
        <v>1141</v>
      </c>
      <c r="J1173" s="18" t="s">
        <v>367</v>
      </c>
      <c r="K1173" s="18" t="s">
        <v>2754</v>
      </c>
      <c r="L1173" s="30"/>
    </row>
    <row r="1174" spans="1:12" hidden="1" x14ac:dyDescent="0.25">
      <c r="A1174" s="18" t="s">
        <v>27</v>
      </c>
      <c r="B1174" s="57">
        <v>9.7222222222222219E-4</v>
      </c>
      <c r="C1174" s="58">
        <v>1</v>
      </c>
      <c r="D1174" s="18" t="s">
        <v>2474</v>
      </c>
      <c r="E1174" s="18" t="s">
        <v>2475</v>
      </c>
      <c r="F1174" s="18" t="s">
        <v>1621</v>
      </c>
      <c r="G1174" s="59">
        <v>24.71</v>
      </c>
      <c r="H1174" s="59">
        <v>24.71</v>
      </c>
      <c r="I1174" s="18" t="s">
        <v>367</v>
      </c>
      <c r="J1174" s="18" t="s">
        <v>1594</v>
      </c>
      <c r="K1174" s="18" t="s">
        <v>2754</v>
      </c>
      <c r="L1174" s="30"/>
    </row>
    <row r="1175" spans="1:12" hidden="1" x14ac:dyDescent="0.25">
      <c r="A1175" s="18" t="s">
        <v>27</v>
      </c>
      <c r="B1175" s="57">
        <v>1.5046296296296296E-3</v>
      </c>
      <c r="C1175" s="58">
        <v>1</v>
      </c>
      <c r="D1175" s="18" t="s">
        <v>48</v>
      </c>
      <c r="E1175" s="18" t="s">
        <v>1119</v>
      </c>
      <c r="F1175" s="18" t="s">
        <v>1621</v>
      </c>
      <c r="G1175" s="59">
        <v>59.87</v>
      </c>
      <c r="H1175" s="59">
        <v>59.87</v>
      </c>
      <c r="I1175" s="18" t="s">
        <v>2195</v>
      </c>
      <c r="J1175" s="18" t="s">
        <v>44</v>
      </c>
      <c r="K1175" s="18" t="s">
        <v>2754</v>
      </c>
      <c r="L1175" s="30"/>
    </row>
    <row r="1176" spans="1:12" hidden="1" x14ac:dyDescent="0.25">
      <c r="A1176" s="18" t="s">
        <v>27</v>
      </c>
      <c r="B1176" s="57">
        <v>5.6365740740740742E-3</v>
      </c>
      <c r="C1176" s="58">
        <v>3</v>
      </c>
      <c r="D1176" s="18" t="s">
        <v>2297</v>
      </c>
      <c r="E1176" s="18" t="s">
        <v>2226</v>
      </c>
      <c r="F1176" s="18" t="s">
        <v>1621</v>
      </c>
      <c r="G1176" s="59">
        <v>59.77</v>
      </c>
      <c r="H1176" s="59">
        <v>179.31</v>
      </c>
      <c r="I1176" s="18" t="s">
        <v>1672</v>
      </c>
      <c r="J1176" s="18" t="s">
        <v>512</v>
      </c>
      <c r="K1176" s="18" t="s">
        <v>2755</v>
      </c>
      <c r="L1176" s="30"/>
    </row>
    <row r="1177" spans="1:12" hidden="1" x14ac:dyDescent="0.25">
      <c r="A1177" s="18" t="s">
        <v>27</v>
      </c>
      <c r="B1177" s="57">
        <v>5.2199074074074075E-3</v>
      </c>
      <c r="C1177" s="58">
        <v>3</v>
      </c>
      <c r="D1177" s="18" t="s">
        <v>2352</v>
      </c>
      <c r="E1177" s="18" t="s">
        <v>2161</v>
      </c>
      <c r="F1177" s="18" t="s">
        <v>1621</v>
      </c>
      <c r="G1177" s="59">
        <v>79.45</v>
      </c>
      <c r="H1177" s="59">
        <v>238.35</v>
      </c>
      <c r="I1177" s="18" t="s">
        <v>147</v>
      </c>
      <c r="J1177" s="18" t="s">
        <v>512</v>
      </c>
      <c r="K1177" s="18" t="s">
        <v>2755</v>
      </c>
      <c r="L1177" s="30"/>
    </row>
    <row r="1178" spans="1:12" hidden="1" x14ac:dyDescent="0.25">
      <c r="A1178" s="18" t="s">
        <v>27</v>
      </c>
      <c r="B1178" s="57">
        <v>1.6435185185185185E-3</v>
      </c>
      <c r="C1178" s="58">
        <v>1</v>
      </c>
      <c r="D1178" s="18" t="s">
        <v>2152</v>
      </c>
      <c r="E1178" s="18" t="s">
        <v>2153</v>
      </c>
      <c r="F1178" s="18" t="s">
        <v>1621</v>
      </c>
      <c r="G1178" s="59">
        <v>73.5</v>
      </c>
      <c r="H1178" s="59">
        <v>73.5</v>
      </c>
      <c r="I1178" s="18" t="s">
        <v>1672</v>
      </c>
      <c r="J1178" s="18" t="s">
        <v>512</v>
      </c>
      <c r="K1178" s="18" t="s">
        <v>2755</v>
      </c>
      <c r="L1178" s="30"/>
    </row>
    <row r="1179" spans="1:12" hidden="1" x14ac:dyDescent="0.25">
      <c r="A1179" s="18" t="s">
        <v>27</v>
      </c>
      <c r="B1179" s="57">
        <v>5.7986111111111112E-3</v>
      </c>
      <c r="C1179" s="58">
        <v>1</v>
      </c>
      <c r="D1179" s="18" t="s">
        <v>2331</v>
      </c>
      <c r="E1179" s="18" t="s">
        <v>2653</v>
      </c>
      <c r="F1179" s="18" t="s">
        <v>1621</v>
      </c>
      <c r="G1179" s="59">
        <v>754.56</v>
      </c>
      <c r="H1179" s="59">
        <v>754.56</v>
      </c>
      <c r="I1179" s="18" t="s">
        <v>1141</v>
      </c>
      <c r="J1179" s="18" t="s">
        <v>368</v>
      </c>
      <c r="K1179" s="18" t="s">
        <v>2755</v>
      </c>
      <c r="L1179" s="30"/>
    </row>
    <row r="1180" spans="1:12" hidden="1" x14ac:dyDescent="0.25">
      <c r="A1180" s="18" t="s">
        <v>27</v>
      </c>
      <c r="B1180" s="57">
        <v>1.7824074074074072E-3</v>
      </c>
      <c r="C1180" s="58">
        <v>1</v>
      </c>
      <c r="D1180" s="18" t="s">
        <v>2271</v>
      </c>
      <c r="E1180" s="18" t="s">
        <v>2270</v>
      </c>
      <c r="F1180" s="18" t="s">
        <v>1621</v>
      </c>
      <c r="G1180" s="59">
        <v>55.28</v>
      </c>
      <c r="H1180" s="59">
        <v>55.28</v>
      </c>
      <c r="I1180" s="18" t="s">
        <v>367</v>
      </c>
      <c r="J1180" s="18" t="s">
        <v>427</v>
      </c>
      <c r="K1180" s="18" t="s">
        <v>2755</v>
      </c>
      <c r="L1180" s="30"/>
    </row>
    <row r="1181" spans="1:12" hidden="1" x14ac:dyDescent="0.25">
      <c r="A1181" s="18" t="s">
        <v>27</v>
      </c>
      <c r="B1181" s="57">
        <v>6.192129629629629E-3</v>
      </c>
      <c r="C1181" s="58">
        <v>1</v>
      </c>
      <c r="D1181" s="18" t="s">
        <v>2197</v>
      </c>
      <c r="E1181" s="18" t="s">
        <v>2198</v>
      </c>
      <c r="F1181" s="18" t="s">
        <v>1621</v>
      </c>
      <c r="G1181" s="59">
        <v>1296.57</v>
      </c>
      <c r="H1181" s="59">
        <v>1296.57</v>
      </c>
      <c r="I1181" s="18" t="s">
        <v>1588</v>
      </c>
      <c r="J1181" s="18" t="s">
        <v>512</v>
      </c>
      <c r="K1181" s="18" t="s">
        <v>2756</v>
      </c>
      <c r="L1181" s="30"/>
    </row>
    <row r="1182" spans="1:12" hidden="1" x14ac:dyDescent="0.25">
      <c r="A1182" s="18" t="s">
        <v>27</v>
      </c>
      <c r="B1182" s="57">
        <v>1.5162037037037036E-3</v>
      </c>
      <c r="C1182" s="58">
        <v>1</v>
      </c>
      <c r="D1182" s="18" t="s">
        <v>48</v>
      </c>
      <c r="E1182" s="18" t="s">
        <v>1119</v>
      </c>
      <c r="F1182" s="18" t="s">
        <v>1621</v>
      </c>
      <c r="G1182" s="59">
        <v>59.87</v>
      </c>
      <c r="H1182" s="59">
        <v>59.87</v>
      </c>
      <c r="I1182" s="18" t="s">
        <v>2195</v>
      </c>
      <c r="J1182" s="18" t="s">
        <v>44</v>
      </c>
      <c r="K1182" s="18" t="s">
        <v>2756</v>
      </c>
      <c r="L1182" s="30"/>
    </row>
    <row r="1183" spans="1:12" hidden="1" x14ac:dyDescent="0.25">
      <c r="A1183" s="18" t="s">
        <v>27</v>
      </c>
      <c r="B1183" s="57">
        <v>6.1111111111111106E-3</v>
      </c>
      <c r="C1183" s="58">
        <v>1</v>
      </c>
      <c r="D1183" s="18" t="s">
        <v>2480</v>
      </c>
      <c r="E1183" s="18" t="s">
        <v>2193</v>
      </c>
      <c r="F1183" s="18" t="s">
        <v>1621</v>
      </c>
      <c r="G1183" s="59">
        <v>1175.3499999999999</v>
      </c>
      <c r="H1183" s="59">
        <v>1175.3499999999999</v>
      </c>
      <c r="I1183" s="18" t="s">
        <v>1672</v>
      </c>
      <c r="J1183" s="18" t="s">
        <v>498</v>
      </c>
      <c r="K1183" s="18" t="s">
        <v>2757</v>
      </c>
      <c r="L1183" s="30"/>
    </row>
    <row r="1184" spans="1:12" hidden="1" x14ac:dyDescent="0.25">
      <c r="A1184" s="18" t="s">
        <v>27</v>
      </c>
      <c r="B1184" s="57">
        <v>1.5162037037037036E-3</v>
      </c>
      <c r="C1184" s="58">
        <v>1</v>
      </c>
      <c r="D1184" s="18" t="s">
        <v>48</v>
      </c>
      <c r="E1184" s="18" t="s">
        <v>1119</v>
      </c>
      <c r="F1184" s="18" t="s">
        <v>1621</v>
      </c>
      <c r="G1184" s="59">
        <v>59.87</v>
      </c>
      <c r="H1184" s="59">
        <v>59.87</v>
      </c>
      <c r="I1184" s="18" t="s">
        <v>2195</v>
      </c>
      <c r="J1184" s="18" t="s">
        <v>44</v>
      </c>
      <c r="K1184" s="18" t="s">
        <v>2757</v>
      </c>
      <c r="L1184" s="30"/>
    </row>
    <row r="1185" spans="1:12" hidden="1" x14ac:dyDescent="0.25">
      <c r="A1185" s="18" t="s">
        <v>27</v>
      </c>
      <c r="B1185" s="57">
        <v>3.2523148148148147E-3</v>
      </c>
      <c r="C1185" s="58">
        <v>2</v>
      </c>
      <c r="D1185" s="18" t="s">
        <v>2394</v>
      </c>
      <c r="E1185" s="18" t="s">
        <v>2161</v>
      </c>
      <c r="F1185" s="18" t="s">
        <v>1621</v>
      </c>
      <c r="G1185" s="59">
        <v>79.45</v>
      </c>
      <c r="H1185" s="59">
        <v>158.9</v>
      </c>
      <c r="I1185" s="18" t="s">
        <v>114</v>
      </c>
      <c r="J1185" s="18" t="s">
        <v>512</v>
      </c>
      <c r="K1185" s="18" t="s">
        <v>2758</v>
      </c>
      <c r="L1185" s="30"/>
    </row>
    <row r="1186" spans="1:12" hidden="1" x14ac:dyDescent="0.25">
      <c r="A1186" s="18" t="s">
        <v>27</v>
      </c>
      <c r="B1186" s="57">
        <v>5.2662037037037035E-3</v>
      </c>
      <c r="C1186" s="58">
        <v>3</v>
      </c>
      <c r="D1186" s="18" t="s">
        <v>2759</v>
      </c>
      <c r="E1186" s="18" t="s">
        <v>2226</v>
      </c>
      <c r="F1186" s="18" t="s">
        <v>1621</v>
      </c>
      <c r="G1186" s="59">
        <v>59.77</v>
      </c>
      <c r="H1186" s="59">
        <v>179.31</v>
      </c>
      <c r="I1186" s="18" t="s">
        <v>131</v>
      </c>
      <c r="J1186" s="18" t="s">
        <v>512</v>
      </c>
      <c r="K1186" s="18" t="s">
        <v>2758</v>
      </c>
      <c r="L1186" s="30"/>
    </row>
    <row r="1187" spans="1:12" hidden="1" x14ac:dyDescent="0.25">
      <c r="A1187" s="18" t="s">
        <v>27</v>
      </c>
      <c r="B1187" s="57">
        <v>1.7592592592592592E-3</v>
      </c>
      <c r="C1187" s="58">
        <v>1</v>
      </c>
      <c r="D1187" s="18" t="s">
        <v>2715</v>
      </c>
      <c r="E1187" s="18" t="s">
        <v>2310</v>
      </c>
      <c r="F1187" s="18" t="s">
        <v>1621</v>
      </c>
      <c r="G1187" s="59">
        <v>58.92</v>
      </c>
      <c r="H1187" s="59">
        <v>58.92</v>
      </c>
      <c r="I1187" s="18" t="s">
        <v>131</v>
      </c>
      <c r="J1187" s="18" t="s">
        <v>115</v>
      </c>
      <c r="K1187" s="18" t="s">
        <v>2758</v>
      </c>
      <c r="L1187" s="30"/>
    </row>
    <row r="1188" spans="1:12" hidden="1" x14ac:dyDescent="0.25">
      <c r="A1188" s="18" t="s">
        <v>27</v>
      </c>
      <c r="B1188" s="57">
        <v>5.0810185185185186E-3</v>
      </c>
      <c r="C1188" s="58">
        <v>1</v>
      </c>
      <c r="D1188" s="18" t="s">
        <v>2596</v>
      </c>
      <c r="E1188" s="18" t="s">
        <v>2597</v>
      </c>
      <c r="F1188" s="18" t="s">
        <v>1621</v>
      </c>
      <c r="G1188" s="59">
        <v>724.96</v>
      </c>
      <c r="H1188" s="59">
        <v>724.96</v>
      </c>
      <c r="I1188" s="18" t="s">
        <v>1588</v>
      </c>
      <c r="J1188" s="18" t="s">
        <v>512</v>
      </c>
      <c r="K1188" s="18" t="s">
        <v>2758</v>
      </c>
      <c r="L1188" s="30"/>
    </row>
    <row r="1189" spans="1:12" hidden="1" x14ac:dyDescent="0.25">
      <c r="A1189" s="18" t="s">
        <v>27</v>
      </c>
      <c r="B1189" s="57">
        <v>1.2384259259259258E-3</v>
      </c>
      <c r="C1189" s="58">
        <v>1</v>
      </c>
      <c r="D1189" s="18" t="s">
        <v>2217</v>
      </c>
      <c r="E1189" s="18" t="s">
        <v>2049</v>
      </c>
      <c r="F1189" s="18" t="s">
        <v>1621</v>
      </c>
      <c r="G1189" s="59">
        <v>63.24</v>
      </c>
      <c r="H1189" s="59">
        <v>63.24</v>
      </c>
      <c r="I1189" s="18" t="s">
        <v>1588</v>
      </c>
      <c r="J1189" s="18" t="s">
        <v>44</v>
      </c>
      <c r="K1189" s="18" t="s">
        <v>2758</v>
      </c>
      <c r="L1189" s="30"/>
    </row>
    <row r="1190" spans="1:12" hidden="1" x14ac:dyDescent="0.25">
      <c r="A1190" s="18" t="s">
        <v>27</v>
      </c>
      <c r="B1190" s="57">
        <v>3.0787037037037037E-3</v>
      </c>
      <c r="C1190" s="58">
        <v>7</v>
      </c>
      <c r="D1190" s="18" t="s">
        <v>2062</v>
      </c>
      <c r="E1190" s="18" t="s">
        <v>2063</v>
      </c>
      <c r="F1190" s="18" t="s">
        <v>1621</v>
      </c>
      <c r="G1190" s="59">
        <v>2.2799999999999998</v>
      </c>
      <c r="H1190" s="59">
        <v>15.96</v>
      </c>
      <c r="I1190" s="18" t="s">
        <v>367</v>
      </c>
      <c r="J1190" s="18" t="s">
        <v>1592</v>
      </c>
      <c r="K1190" s="18" t="s">
        <v>2758</v>
      </c>
      <c r="L1190" s="30"/>
    </row>
    <row r="1191" spans="1:12" hidden="1" x14ac:dyDescent="0.25">
      <c r="A1191" s="18" t="s">
        <v>27</v>
      </c>
      <c r="B1191" s="57">
        <v>1.3194444444444445E-3</v>
      </c>
      <c r="C1191" s="58">
        <v>1</v>
      </c>
      <c r="D1191" s="18" t="s">
        <v>48</v>
      </c>
      <c r="E1191" s="18" t="s">
        <v>1119</v>
      </c>
      <c r="F1191" s="18" t="s">
        <v>1621</v>
      </c>
      <c r="G1191" s="59">
        <v>59.87</v>
      </c>
      <c r="H1191" s="59">
        <v>59.87</v>
      </c>
      <c r="I1191" s="18" t="s">
        <v>2195</v>
      </c>
      <c r="J1191" s="18" t="s">
        <v>44</v>
      </c>
      <c r="K1191" s="18" t="s">
        <v>2758</v>
      </c>
      <c r="L1191" s="30"/>
    </row>
    <row r="1192" spans="1:12" hidden="1" x14ac:dyDescent="0.25">
      <c r="A1192" s="18" t="s">
        <v>27</v>
      </c>
      <c r="B1192" s="57">
        <v>5.7870370370370367E-4</v>
      </c>
      <c r="C1192" s="58">
        <v>1</v>
      </c>
      <c r="D1192" s="18" t="s">
        <v>2113</v>
      </c>
      <c r="E1192" s="18" t="s">
        <v>2111</v>
      </c>
      <c r="F1192" s="18" t="s">
        <v>1621</v>
      </c>
      <c r="G1192" s="59">
        <v>8.3699999999999992</v>
      </c>
      <c r="H1192" s="59">
        <v>8.3699999999999992</v>
      </c>
      <c r="I1192" s="18" t="s">
        <v>1665</v>
      </c>
      <c r="J1192" s="18" t="s">
        <v>115</v>
      </c>
      <c r="K1192" s="18" t="s">
        <v>2760</v>
      </c>
      <c r="L1192" s="30"/>
    </row>
    <row r="1193" spans="1:12" hidden="1" x14ac:dyDescent="0.25">
      <c r="A1193" s="18" t="s">
        <v>27</v>
      </c>
      <c r="B1193" s="57">
        <v>6.5972222222222224E-4</v>
      </c>
      <c r="C1193" s="58">
        <v>1</v>
      </c>
      <c r="D1193" s="18" t="s">
        <v>2114</v>
      </c>
      <c r="E1193" s="18" t="s">
        <v>2097</v>
      </c>
      <c r="F1193" s="18" t="s">
        <v>1621</v>
      </c>
      <c r="G1193" s="59">
        <v>12.44</v>
      </c>
      <c r="H1193" s="59">
        <v>12.44</v>
      </c>
      <c r="I1193" s="18" t="s">
        <v>367</v>
      </c>
      <c r="J1193" s="18" t="s">
        <v>368</v>
      </c>
      <c r="K1193" s="18" t="s">
        <v>2760</v>
      </c>
      <c r="L1193" s="30"/>
    </row>
    <row r="1194" spans="1:12" hidden="1" x14ac:dyDescent="0.25">
      <c r="A1194" s="18" t="s">
        <v>27</v>
      </c>
      <c r="B1194" s="57">
        <v>1.9791666666666664E-3</v>
      </c>
      <c r="C1194" s="58">
        <v>3</v>
      </c>
      <c r="D1194" s="18" t="s">
        <v>2096</v>
      </c>
      <c r="E1194" s="18" t="s">
        <v>2097</v>
      </c>
      <c r="F1194" s="18" t="s">
        <v>1621</v>
      </c>
      <c r="G1194" s="59">
        <v>12.44</v>
      </c>
      <c r="H1194" s="59">
        <v>37.32</v>
      </c>
      <c r="I1194" s="18" t="s">
        <v>367</v>
      </c>
      <c r="J1194" s="18" t="s">
        <v>368</v>
      </c>
      <c r="K1194" s="18" t="s">
        <v>2760</v>
      </c>
      <c r="L1194" s="30"/>
    </row>
    <row r="1195" spans="1:12" hidden="1" x14ac:dyDescent="0.25">
      <c r="A1195" s="18" t="s">
        <v>27</v>
      </c>
      <c r="B1195" s="57">
        <v>6.5856481481481478E-3</v>
      </c>
      <c r="C1195" s="58">
        <v>1</v>
      </c>
      <c r="D1195" s="18" t="s">
        <v>2410</v>
      </c>
      <c r="E1195" s="18" t="s">
        <v>494</v>
      </c>
      <c r="F1195" s="18" t="s">
        <v>1621</v>
      </c>
      <c r="G1195" s="59">
        <v>1275.19</v>
      </c>
      <c r="H1195" s="59">
        <v>1275.19</v>
      </c>
      <c r="I1195" s="18" t="s">
        <v>829</v>
      </c>
      <c r="J1195" s="18" t="s">
        <v>1594</v>
      </c>
      <c r="K1195" s="18" t="s">
        <v>2760</v>
      </c>
      <c r="L1195" s="30"/>
    </row>
    <row r="1196" spans="1:12" hidden="1" x14ac:dyDescent="0.25">
      <c r="A1196" s="18" t="s">
        <v>27</v>
      </c>
      <c r="B1196" s="57">
        <v>2.8472222222222219E-3</v>
      </c>
      <c r="C1196" s="58">
        <v>7</v>
      </c>
      <c r="D1196" s="18" t="s">
        <v>2455</v>
      </c>
      <c r="E1196" s="18" t="s">
        <v>2456</v>
      </c>
      <c r="F1196" s="18" t="s">
        <v>1621</v>
      </c>
      <c r="G1196" s="59">
        <v>1.88</v>
      </c>
      <c r="H1196" s="59">
        <v>13.16</v>
      </c>
      <c r="I1196" s="18" t="s">
        <v>367</v>
      </c>
      <c r="J1196" s="18" t="s">
        <v>1592</v>
      </c>
      <c r="K1196" s="18" t="s">
        <v>2761</v>
      </c>
      <c r="L1196" s="30"/>
    </row>
    <row r="1197" spans="1:12" hidden="1" x14ac:dyDescent="0.25">
      <c r="A1197" s="18" t="s">
        <v>27</v>
      </c>
      <c r="B1197" s="57">
        <v>4.2013888888888891E-3</v>
      </c>
      <c r="C1197" s="58">
        <v>1</v>
      </c>
      <c r="D1197" s="18" t="s">
        <v>2236</v>
      </c>
      <c r="E1197" s="18" t="s">
        <v>2237</v>
      </c>
      <c r="F1197" s="18" t="s">
        <v>1621</v>
      </c>
      <c r="G1197" s="59">
        <v>966.59</v>
      </c>
      <c r="H1197" s="59">
        <v>966.59</v>
      </c>
      <c r="I1197" s="18" t="s">
        <v>1141</v>
      </c>
      <c r="J1197" s="18" t="s">
        <v>1594</v>
      </c>
      <c r="K1197" s="18" t="s">
        <v>2761</v>
      </c>
      <c r="L1197" s="30"/>
    </row>
    <row r="1198" spans="1:12" hidden="1" x14ac:dyDescent="0.25">
      <c r="A1198" s="18" t="s">
        <v>27</v>
      </c>
      <c r="B1198" s="57">
        <v>2.3263888888888887E-3</v>
      </c>
      <c r="C1198" s="58">
        <v>1</v>
      </c>
      <c r="D1198" s="18" t="s">
        <v>2249</v>
      </c>
      <c r="E1198" s="18" t="s">
        <v>2240</v>
      </c>
      <c r="F1198" s="18" t="s">
        <v>1621</v>
      </c>
      <c r="G1198" s="59">
        <v>402.54</v>
      </c>
      <c r="H1198" s="59">
        <v>402.54</v>
      </c>
      <c r="I1198" s="18" t="s">
        <v>1141</v>
      </c>
      <c r="J1198" s="18" t="s">
        <v>1598</v>
      </c>
      <c r="K1198" s="18" t="s">
        <v>2761</v>
      </c>
      <c r="L1198" s="30"/>
    </row>
    <row r="1199" spans="1:12" hidden="1" x14ac:dyDescent="0.25">
      <c r="A1199" s="18" t="s">
        <v>27</v>
      </c>
      <c r="B1199" s="57">
        <v>7.9629629629629634E-3</v>
      </c>
      <c r="C1199" s="58">
        <v>1</v>
      </c>
      <c r="D1199" s="18" t="s">
        <v>1190</v>
      </c>
      <c r="E1199" s="18" t="s">
        <v>1191</v>
      </c>
      <c r="F1199" s="18" t="s">
        <v>1621</v>
      </c>
      <c r="G1199" s="59">
        <v>1331.41</v>
      </c>
      <c r="H1199" s="59">
        <v>1331.41</v>
      </c>
      <c r="I1199" s="18" t="s">
        <v>131</v>
      </c>
      <c r="J1199" s="18" t="s">
        <v>115</v>
      </c>
      <c r="K1199" s="18" t="s">
        <v>2762</v>
      </c>
      <c r="L1199" s="30"/>
    </row>
    <row r="1200" spans="1:12" hidden="1" x14ac:dyDescent="0.25">
      <c r="A1200" s="18" t="s">
        <v>27</v>
      </c>
      <c r="B1200" s="57">
        <v>1.273148148148148E-3</v>
      </c>
      <c r="C1200" s="58">
        <v>1</v>
      </c>
      <c r="D1200" s="18" t="s">
        <v>2463</v>
      </c>
      <c r="E1200" s="18" t="s">
        <v>2049</v>
      </c>
      <c r="F1200" s="18" t="s">
        <v>1621</v>
      </c>
      <c r="G1200" s="59">
        <v>63.24</v>
      </c>
      <c r="H1200" s="59">
        <v>63.24</v>
      </c>
      <c r="I1200" s="18" t="s">
        <v>2763</v>
      </c>
      <c r="J1200" s="18" t="s">
        <v>44</v>
      </c>
      <c r="K1200" s="18" t="s">
        <v>2764</v>
      </c>
      <c r="L1200" s="30"/>
    </row>
    <row r="1201" spans="1:12" hidden="1" x14ac:dyDescent="0.25">
      <c r="A1201" s="18" t="s">
        <v>27</v>
      </c>
      <c r="B1201" s="57">
        <v>3.0092592592592593E-3</v>
      </c>
      <c r="C1201" s="58">
        <v>2</v>
      </c>
      <c r="D1201" s="18" t="s">
        <v>2383</v>
      </c>
      <c r="E1201" s="18" t="s">
        <v>2384</v>
      </c>
      <c r="F1201" s="18" t="s">
        <v>1621</v>
      </c>
      <c r="G1201" s="59">
        <v>79.819999999999993</v>
      </c>
      <c r="H1201" s="59">
        <v>159.63999999999999</v>
      </c>
      <c r="I1201" s="18" t="s">
        <v>2763</v>
      </c>
      <c r="J1201" s="18" t="s">
        <v>44</v>
      </c>
      <c r="K1201" s="18" t="s">
        <v>2764</v>
      </c>
      <c r="L1201" s="30"/>
    </row>
    <row r="1202" spans="1:12" hidden="1" x14ac:dyDescent="0.25">
      <c r="A1202" s="18" t="s">
        <v>27</v>
      </c>
      <c r="B1202" s="57">
        <v>1.273148148148148E-3</v>
      </c>
      <c r="C1202" s="58">
        <v>1</v>
      </c>
      <c r="D1202" s="18" t="s">
        <v>2448</v>
      </c>
      <c r="E1202" s="18" t="s">
        <v>2049</v>
      </c>
      <c r="F1202" s="18" t="s">
        <v>1621</v>
      </c>
      <c r="G1202" s="59">
        <v>63.24</v>
      </c>
      <c r="H1202" s="59">
        <v>63.24</v>
      </c>
      <c r="I1202" s="18" t="s">
        <v>2763</v>
      </c>
      <c r="J1202" s="18" t="s">
        <v>44</v>
      </c>
      <c r="K1202" s="18" t="s">
        <v>2764</v>
      </c>
      <c r="L1202" s="30"/>
    </row>
    <row r="1203" spans="1:12" hidden="1" x14ac:dyDescent="0.25">
      <c r="A1203" s="18" t="s">
        <v>27</v>
      </c>
      <c r="B1203" s="57">
        <v>1.3425925925925925E-3</v>
      </c>
      <c r="C1203" s="58">
        <v>1</v>
      </c>
      <c r="D1203" s="18" t="s">
        <v>2765</v>
      </c>
      <c r="E1203" s="18" t="s">
        <v>2766</v>
      </c>
      <c r="F1203" s="18" t="s">
        <v>1621</v>
      </c>
      <c r="G1203" s="59">
        <v>67.05</v>
      </c>
      <c r="H1203" s="59">
        <v>67.05</v>
      </c>
      <c r="I1203" s="18" t="s">
        <v>2763</v>
      </c>
      <c r="J1203" s="18" t="s">
        <v>44</v>
      </c>
      <c r="K1203" s="18" t="s">
        <v>2764</v>
      </c>
      <c r="L1203" s="30"/>
    </row>
    <row r="1204" spans="1:12" hidden="1" x14ac:dyDescent="0.25">
      <c r="A1204" s="18" t="s">
        <v>27</v>
      </c>
      <c r="B1204" s="57">
        <v>1.3425925925925925E-3</v>
      </c>
      <c r="C1204" s="58">
        <v>1</v>
      </c>
      <c r="D1204" s="18" t="s">
        <v>2767</v>
      </c>
      <c r="E1204" s="18" t="s">
        <v>2766</v>
      </c>
      <c r="F1204" s="18" t="s">
        <v>1621</v>
      </c>
      <c r="G1204" s="59">
        <v>67.05</v>
      </c>
      <c r="H1204" s="59">
        <v>67.05</v>
      </c>
      <c r="I1204" s="18" t="s">
        <v>2763</v>
      </c>
      <c r="J1204" s="18" t="s">
        <v>44</v>
      </c>
      <c r="K1204" s="18" t="s">
        <v>2764</v>
      </c>
      <c r="L1204" s="30"/>
    </row>
    <row r="1205" spans="1:12" hidden="1" x14ac:dyDescent="0.25">
      <c r="A1205" s="18" t="s">
        <v>27</v>
      </c>
      <c r="B1205" s="57">
        <v>1.5972222222222221E-3</v>
      </c>
      <c r="C1205" s="58">
        <v>1</v>
      </c>
      <c r="D1205" s="18" t="s">
        <v>2768</v>
      </c>
      <c r="E1205" s="18" t="s">
        <v>2216</v>
      </c>
      <c r="F1205" s="18" t="s">
        <v>1621</v>
      </c>
      <c r="G1205" s="59">
        <v>90.38</v>
      </c>
      <c r="H1205" s="59">
        <v>90.38</v>
      </c>
      <c r="I1205" s="18" t="s">
        <v>2763</v>
      </c>
      <c r="J1205" s="18" t="s">
        <v>44</v>
      </c>
      <c r="K1205" s="18" t="s">
        <v>2764</v>
      </c>
      <c r="L1205" s="30"/>
    </row>
    <row r="1206" spans="1:12" hidden="1" x14ac:dyDescent="0.25">
      <c r="A1206" s="18" t="s">
        <v>27</v>
      </c>
      <c r="B1206" s="57">
        <v>1.5972222222222221E-3</v>
      </c>
      <c r="C1206" s="58">
        <v>1</v>
      </c>
      <c r="D1206" s="18" t="s">
        <v>2769</v>
      </c>
      <c r="E1206" s="18" t="s">
        <v>2216</v>
      </c>
      <c r="F1206" s="18" t="s">
        <v>1621</v>
      </c>
      <c r="G1206" s="59">
        <v>90.38</v>
      </c>
      <c r="H1206" s="59">
        <v>90.38</v>
      </c>
      <c r="I1206" s="18" t="s">
        <v>2763</v>
      </c>
      <c r="J1206" s="18" t="s">
        <v>44</v>
      </c>
      <c r="K1206" s="18" t="s">
        <v>2764</v>
      </c>
      <c r="L1206" s="30"/>
    </row>
    <row r="1207" spans="1:12" hidden="1" x14ac:dyDescent="0.25">
      <c r="A1207" s="18" t="s">
        <v>27</v>
      </c>
      <c r="B1207" s="57">
        <v>2.7199074074074074E-3</v>
      </c>
      <c r="C1207" s="58">
        <v>2</v>
      </c>
      <c r="D1207" s="18" t="s">
        <v>45</v>
      </c>
      <c r="E1207" s="18" t="s">
        <v>1119</v>
      </c>
      <c r="F1207" s="18" t="s">
        <v>1621</v>
      </c>
      <c r="G1207" s="59">
        <v>59.25</v>
      </c>
      <c r="H1207" s="59">
        <v>118.5</v>
      </c>
      <c r="I1207" s="18" t="s">
        <v>2259</v>
      </c>
      <c r="J1207" s="18" t="s">
        <v>44</v>
      </c>
      <c r="K1207" s="18" t="s">
        <v>2764</v>
      </c>
      <c r="L1207" s="30"/>
    </row>
    <row r="1208" spans="1:12" hidden="1" x14ac:dyDescent="0.25">
      <c r="A1208" s="18" t="s">
        <v>27</v>
      </c>
      <c r="B1208" s="57">
        <v>9.8148148148148144E-3</v>
      </c>
      <c r="C1208" s="58">
        <v>8</v>
      </c>
      <c r="D1208" s="18" t="s">
        <v>54</v>
      </c>
      <c r="E1208" s="18" t="s">
        <v>1119</v>
      </c>
      <c r="F1208" s="18" t="s">
        <v>1621</v>
      </c>
      <c r="G1208" s="59">
        <v>59.25</v>
      </c>
      <c r="H1208" s="59">
        <v>474</v>
      </c>
      <c r="I1208" s="18" t="s">
        <v>2770</v>
      </c>
      <c r="J1208" s="18" t="s">
        <v>44</v>
      </c>
      <c r="K1208" s="18" t="s">
        <v>2764</v>
      </c>
      <c r="L1208" s="30"/>
    </row>
    <row r="1209" spans="1:12" hidden="1" x14ac:dyDescent="0.25">
      <c r="A1209" s="18" t="s">
        <v>27</v>
      </c>
      <c r="B1209" s="57">
        <v>6.0185185185185179E-4</v>
      </c>
      <c r="C1209" s="58">
        <v>1</v>
      </c>
      <c r="D1209" s="18" t="s">
        <v>1719</v>
      </c>
      <c r="E1209" s="18" t="s">
        <v>1720</v>
      </c>
      <c r="F1209" s="18" t="s">
        <v>1637</v>
      </c>
      <c r="G1209" s="59">
        <v>32.630000000000003</v>
      </c>
      <c r="H1209" s="59">
        <v>32.630000000000003</v>
      </c>
      <c r="I1209" s="18" t="s">
        <v>367</v>
      </c>
      <c r="J1209" s="18" t="s">
        <v>368</v>
      </c>
      <c r="K1209" s="18" t="s">
        <v>2771</v>
      </c>
      <c r="L1209" s="30"/>
    </row>
    <row r="1210" spans="1:12" hidden="1" x14ac:dyDescent="0.25">
      <c r="A1210" s="18" t="s">
        <v>27</v>
      </c>
      <c r="B1210" s="57">
        <v>6.0185185185185179E-4</v>
      </c>
      <c r="C1210" s="58">
        <v>1</v>
      </c>
      <c r="D1210" s="18" t="s">
        <v>1786</v>
      </c>
      <c r="E1210" s="18" t="s">
        <v>1679</v>
      </c>
      <c r="F1210" s="18" t="s">
        <v>1637</v>
      </c>
      <c r="G1210" s="59">
        <v>32.659999999999997</v>
      </c>
      <c r="H1210" s="59">
        <v>32.659999999999997</v>
      </c>
      <c r="I1210" s="18" t="s">
        <v>367</v>
      </c>
      <c r="J1210" s="18" t="s">
        <v>368</v>
      </c>
      <c r="K1210" s="18" t="s">
        <v>2771</v>
      </c>
      <c r="L1210" s="30"/>
    </row>
    <row r="1211" spans="1:12" hidden="1" x14ac:dyDescent="0.25">
      <c r="A1211" s="18" t="s">
        <v>27</v>
      </c>
      <c r="B1211" s="57">
        <v>6.9444444444444436E-4</v>
      </c>
      <c r="C1211" s="58">
        <v>1</v>
      </c>
      <c r="D1211" s="18" t="s">
        <v>1784</v>
      </c>
      <c r="E1211" s="18" t="s">
        <v>1785</v>
      </c>
      <c r="F1211" s="18" t="s">
        <v>1637</v>
      </c>
      <c r="G1211" s="59">
        <v>53.47</v>
      </c>
      <c r="H1211" s="59">
        <v>53.47</v>
      </c>
      <c r="I1211" s="18" t="s">
        <v>367</v>
      </c>
      <c r="J1211" s="18" t="s">
        <v>368</v>
      </c>
      <c r="K1211" s="18" t="s">
        <v>2771</v>
      </c>
      <c r="L1211" s="30"/>
    </row>
    <row r="1212" spans="1:12" hidden="1" x14ac:dyDescent="0.25">
      <c r="A1212" s="18" t="s">
        <v>27</v>
      </c>
      <c r="B1212" s="57">
        <v>6.0185185185185179E-4</v>
      </c>
      <c r="C1212" s="58">
        <v>1</v>
      </c>
      <c r="D1212" s="18" t="s">
        <v>1783</v>
      </c>
      <c r="E1212" s="18" t="s">
        <v>1679</v>
      </c>
      <c r="F1212" s="18" t="s">
        <v>1637</v>
      </c>
      <c r="G1212" s="59">
        <v>32.659999999999997</v>
      </c>
      <c r="H1212" s="59">
        <v>32.659999999999997</v>
      </c>
      <c r="I1212" s="18" t="s">
        <v>367</v>
      </c>
      <c r="J1212" s="18" t="s">
        <v>368</v>
      </c>
      <c r="K1212" s="18" t="s">
        <v>2771</v>
      </c>
      <c r="L1212" s="30"/>
    </row>
    <row r="1213" spans="1:12" hidden="1" x14ac:dyDescent="0.25">
      <c r="A1213" s="18" t="s">
        <v>27</v>
      </c>
      <c r="B1213" s="57">
        <v>1.2037037037037036E-3</v>
      </c>
      <c r="C1213" s="58">
        <v>2</v>
      </c>
      <c r="D1213" s="18" t="s">
        <v>1680</v>
      </c>
      <c r="E1213" s="18" t="s">
        <v>1679</v>
      </c>
      <c r="F1213" s="18" t="s">
        <v>1637</v>
      </c>
      <c r="G1213" s="59">
        <v>32.659999999999997</v>
      </c>
      <c r="H1213" s="59">
        <v>65.319999999999993</v>
      </c>
      <c r="I1213" s="18" t="s">
        <v>367</v>
      </c>
      <c r="J1213" s="18" t="s">
        <v>368</v>
      </c>
      <c r="K1213" s="18" t="s">
        <v>2771</v>
      </c>
      <c r="L1213" s="30"/>
    </row>
    <row r="1214" spans="1:12" hidden="1" x14ac:dyDescent="0.25">
      <c r="A1214" s="18" t="s">
        <v>27</v>
      </c>
      <c r="B1214" s="57">
        <v>1.1458333333333333E-3</v>
      </c>
      <c r="C1214" s="58">
        <v>2</v>
      </c>
      <c r="D1214" s="18" t="s">
        <v>1721</v>
      </c>
      <c r="E1214" s="18" t="s">
        <v>1722</v>
      </c>
      <c r="F1214" s="18" t="s">
        <v>1637</v>
      </c>
      <c r="G1214" s="59">
        <v>25.81</v>
      </c>
      <c r="H1214" s="59">
        <v>51.62</v>
      </c>
      <c r="I1214" s="18" t="s">
        <v>367</v>
      </c>
      <c r="J1214" s="18" t="s">
        <v>368</v>
      </c>
      <c r="K1214" s="18" t="s">
        <v>2771</v>
      </c>
      <c r="L1214" s="30"/>
    </row>
    <row r="1215" spans="1:12" hidden="1" x14ac:dyDescent="0.25">
      <c r="A1215" s="18" t="s">
        <v>27</v>
      </c>
      <c r="B1215" s="57">
        <v>1.5046296296296296E-3</v>
      </c>
      <c r="C1215" s="58">
        <v>1</v>
      </c>
      <c r="D1215" s="18" t="s">
        <v>2072</v>
      </c>
      <c r="E1215" s="18" t="s">
        <v>2772</v>
      </c>
      <c r="F1215" s="18" t="s">
        <v>1637</v>
      </c>
      <c r="G1215" s="59">
        <v>1016.37</v>
      </c>
      <c r="H1215" s="59">
        <v>1016.37</v>
      </c>
      <c r="I1215" s="18" t="s">
        <v>1141</v>
      </c>
      <c r="J1215" s="18" t="s">
        <v>367</v>
      </c>
      <c r="K1215" s="18" t="s">
        <v>2771</v>
      </c>
      <c r="L1215" s="30"/>
    </row>
    <row r="1216" spans="1:12" hidden="1" x14ac:dyDescent="0.25">
      <c r="A1216" s="18" t="s">
        <v>27</v>
      </c>
      <c r="B1216" s="57">
        <v>1.8634259259259259E-3</v>
      </c>
      <c r="C1216" s="58">
        <v>1</v>
      </c>
      <c r="D1216" s="18" t="s">
        <v>2074</v>
      </c>
      <c r="E1216" s="18" t="s">
        <v>2772</v>
      </c>
      <c r="F1216" s="18" t="s">
        <v>1637</v>
      </c>
      <c r="G1216" s="59">
        <v>1016.37</v>
      </c>
      <c r="H1216" s="59">
        <v>1016.37</v>
      </c>
      <c r="I1216" s="18" t="s">
        <v>1141</v>
      </c>
      <c r="J1216" s="18" t="s">
        <v>367</v>
      </c>
      <c r="K1216" s="18" t="s">
        <v>2771</v>
      </c>
      <c r="L1216" s="30"/>
    </row>
    <row r="1217" spans="1:12" hidden="1" x14ac:dyDescent="0.25">
      <c r="A1217" s="18" t="s">
        <v>27</v>
      </c>
      <c r="B1217" s="57">
        <v>1.1458333333333333E-3</v>
      </c>
      <c r="C1217" s="58">
        <v>2</v>
      </c>
      <c r="D1217" s="18" t="s">
        <v>1749</v>
      </c>
      <c r="E1217" s="18" t="s">
        <v>1747</v>
      </c>
      <c r="F1217" s="18" t="s">
        <v>1637</v>
      </c>
      <c r="G1217" s="59">
        <v>24.63</v>
      </c>
      <c r="H1217" s="59">
        <v>49.26</v>
      </c>
      <c r="I1217" s="18" t="s">
        <v>367</v>
      </c>
      <c r="J1217" s="18" t="s">
        <v>512</v>
      </c>
      <c r="K1217" s="18" t="s">
        <v>2771</v>
      </c>
      <c r="L1217" s="30"/>
    </row>
    <row r="1218" spans="1:12" hidden="1" x14ac:dyDescent="0.25">
      <c r="A1218" s="18" t="s">
        <v>27</v>
      </c>
      <c r="B1218" s="57">
        <v>1.724537037037037E-3</v>
      </c>
      <c r="C1218" s="58">
        <v>3</v>
      </c>
      <c r="D1218" s="18" t="s">
        <v>1750</v>
      </c>
      <c r="E1218" s="18" t="s">
        <v>1747</v>
      </c>
      <c r="F1218" s="18" t="s">
        <v>1637</v>
      </c>
      <c r="G1218" s="59">
        <v>24.63</v>
      </c>
      <c r="H1218" s="59">
        <v>73.89</v>
      </c>
      <c r="I1218" s="18" t="s">
        <v>367</v>
      </c>
      <c r="J1218" s="18" t="s">
        <v>512</v>
      </c>
      <c r="K1218" s="18" t="s">
        <v>2771</v>
      </c>
      <c r="L1218" s="30"/>
    </row>
    <row r="1219" spans="1:12" hidden="1" x14ac:dyDescent="0.25">
      <c r="A1219" s="18" t="s">
        <v>27</v>
      </c>
      <c r="B1219" s="57">
        <v>8.9120370370370362E-4</v>
      </c>
      <c r="C1219" s="58">
        <v>1</v>
      </c>
      <c r="D1219" s="18" t="s">
        <v>2081</v>
      </c>
      <c r="E1219" s="18" t="s">
        <v>2082</v>
      </c>
      <c r="F1219" s="18" t="s">
        <v>1637</v>
      </c>
      <c r="G1219" s="59">
        <v>80.66</v>
      </c>
      <c r="H1219" s="59">
        <v>80.66</v>
      </c>
      <c r="I1219" s="18" t="s">
        <v>367</v>
      </c>
      <c r="J1219" s="18" t="s">
        <v>512</v>
      </c>
      <c r="K1219" s="18" t="s">
        <v>2771</v>
      </c>
      <c r="L1219" s="30"/>
    </row>
    <row r="1220" spans="1:12" hidden="1" x14ac:dyDescent="0.25">
      <c r="A1220" s="18" t="s">
        <v>27</v>
      </c>
      <c r="B1220" s="57">
        <v>8.9120370370370362E-4</v>
      </c>
      <c r="C1220" s="58">
        <v>1</v>
      </c>
      <c r="D1220" s="18" t="s">
        <v>2499</v>
      </c>
      <c r="E1220" s="18" t="s">
        <v>2500</v>
      </c>
      <c r="F1220" s="18" t="s">
        <v>1637</v>
      </c>
      <c r="G1220" s="59">
        <v>80.62</v>
      </c>
      <c r="H1220" s="59">
        <v>80.62</v>
      </c>
      <c r="I1220" s="18" t="s">
        <v>367</v>
      </c>
      <c r="J1220" s="18" t="s">
        <v>512</v>
      </c>
      <c r="K1220" s="18" t="s">
        <v>2771</v>
      </c>
      <c r="L1220" s="30"/>
    </row>
    <row r="1221" spans="1:12" hidden="1" x14ac:dyDescent="0.25">
      <c r="A1221" s="18" t="s">
        <v>27</v>
      </c>
      <c r="B1221" s="57">
        <v>1.1342592592592591E-3</v>
      </c>
      <c r="C1221" s="58">
        <v>2</v>
      </c>
      <c r="D1221" s="18" t="s">
        <v>1641</v>
      </c>
      <c r="E1221" s="18" t="s">
        <v>1642</v>
      </c>
      <c r="F1221" s="18" t="s">
        <v>1637</v>
      </c>
      <c r="G1221" s="59">
        <v>24.4</v>
      </c>
      <c r="H1221" s="59">
        <v>48.8</v>
      </c>
      <c r="I1221" s="18" t="s">
        <v>367</v>
      </c>
      <c r="J1221" s="18" t="s">
        <v>1594</v>
      </c>
      <c r="K1221" s="18" t="s">
        <v>2771</v>
      </c>
      <c r="L1221" s="30"/>
    </row>
    <row r="1222" spans="1:12" hidden="1" x14ac:dyDescent="0.25">
      <c r="A1222" s="18" t="s">
        <v>27</v>
      </c>
      <c r="B1222" s="57">
        <v>1.7129629629629628E-3</v>
      </c>
      <c r="C1222" s="58">
        <v>3</v>
      </c>
      <c r="D1222" s="18" t="s">
        <v>1793</v>
      </c>
      <c r="E1222" s="18" t="s">
        <v>1642</v>
      </c>
      <c r="F1222" s="18" t="s">
        <v>1637</v>
      </c>
      <c r="G1222" s="59">
        <v>24.4</v>
      </c>
      <c r="H1222" s="59">
        <v>73.2</v>
      </c>
      <c r="I1222" s="18" t="s">
        <v>367</v>
      </c>
      <c r="J1222" s="18" t="s">
        <v>1594</v>
      </c>
      <c r="K1222" s="18" t="s">
        <v>2771</v>
      </c>
      <c r="L1222" s="30"/>
    </row>
    <row r="1223" spans="1:12" hidden="1" x14ac:dyDescent="0.25">
      <c r="A1223" s="18" t="s">
        <v>27</v>
      </c>
      <c r="B1223" s="57">
        <v>1.5624999999999999E-3</v>
      </c>
      <c r="C1223" s="58">
        <v>1</v>
      </c>
      <c r="D1223" s="18" t="s">
        <v>2502</v>
      </c>
      <c r="E1223" s="18" t="s">
        <v>2503</v>
      </c>
      <c r="F1223" s="18" t="s">
        <v>1637</v>
      </c>
      <c r="G1223" s="59">
        <v>293.99</v>
      </c>
      <c r="H1223" s="59">
        <v>293.99</v>
      </c>
      <c r="I1223" s="18" t="s">
        <v>1141</v>
      </c>
      <c r="J1223" s="18" t="s">
        <v>367</v>
      </c>
      <c r="K1223" s="18" t="s">
        <v>2773</v>
      </c>
      <c r="L1223" s="30"/>
    </row>
    <row r="1224" spans="1:12" hidden="1" x14ac:dyDescent="0.25">
      <c r="A1224" s="18" t="s">
        <v>27</v>
      </c>
      <c r="B1224" s="57">
        <v>1.5624999999999999E-3</v>
      </c>
      <c r="C1224" s="58">
        <v>1</v>
      </c>
      <c r="D1224" s="18" t="s">
        <v>2504</v>
      </c>
      <c r="E1224" s="18" t="s">
        <v>2503</v>
      </c>
      <c r="F1224" s="18" t="s">
        <v>1637</v>
      </c>
      <c r="G1224" s="59">
        <v>293.98</v>
      </c>
      <c r="H1224" s="59">
        <v>293.98</v>
      </c>
      <c r="I1224" s="18" t="s">
        <v>1141</v>
      </c>
      <c r="J1224" s="18" t="s">
        <v>367</v>
      </c>
      <c r="K1224" s="18" t="s">
        <v>2773</v>
      </c>
      <c r="L1224" s="30"/>
    </row>
    <row r="1225" spans="1:12" hidden="1" x14ac:dyDescent="0.25">
      <c r="A1225" s="18" t="s">
        <v>27</v>
      </c>
      <c r="B1225" s="57">
        <v>4.3981481481481476E-3</v>
      </c>
      <c r="C1225" s="58">
        <v>4</v>
      </c>
      <c r="D1225" s="18" t="s">
        <v>1635</v>
      </c>
      <c r="E1225" s="18" t="s">
        <v>1636</v>
      </c>
      <c r="F1225" s="18" t="s">
        <v>1637</v>
      </c>
      <c r="G1225" s="59">
        <v>34.479999999999997</v>
      </c>
      <c r="H1225" s="59">
        <v>137.91999999999999</v>
      </c>
      <c r="I1225" s="18" t="s">
        <v>1585</v>
      </c>
      <c r="J1225" s="18" t="s">
        <v>1585</v>
      </c>
      <c r="K1225" s="18" t="s">
        <v>2773</v>
      </c>
      <c r="L1225" s="30"/>
    </row>
    <row r="1226" spans="1:12" hidden="1" x14ac:dyDescent="0.25">
      <c r="A1226" s="18" t="s">
        <v>27</v>
      </c>
      <c r="B1226" s="57">
        <v>1.1342592592592591E-3</v>
      </c>
      <c r="C1226" s="58">
        <v>1</v>
      </c>
      <c r="D1226" s="18" t="s">
        <v>1727</v>
      </c>
      <c r="E1226" s="18" t="s">
        <v>1726</v>
      </c>
      <c r="F1226" s="18" t="s">
        <v>1637</v>
      </c>
      <c r="G1226" s="59">
        <v>43.7</v>
      </c>
      <c r="H1226" s="59">
        <v>43.7</v>
      </c>
      <c r="I1226" s="18" t="s">
        <v>367</v>
      </c>
      <c r="J1226" s="18" t="s">
        <v>512</v>
      </c>
      <c r="K1226" s="18" t="s">
        <v>2773</v>
      </c>
      <c r="L1226" s="30"/>
    </row>
    <row r="1227" spans="1:12" hidden="1" x14ac:dyDescent="0.25">
      <c r="A1227" s="18" t="s">
        <v>27</v>
      </c>
      <c r="B1227" s="57">
        <v>3.1481481481481482E-3</v>
      </c>
      <c r="C1227" s="58">
        <v>2</v>
      </c>
      <c r="D1227" s="18" t="s">
        <v>1773</v>
      </c>
      <c r="E1227" s="18" t="s">
        <v>1774</v>
      </c>
      <c r="F1227" s="18" t="s">
        <v>1637</v>
      </c>
      <c r="G1227" s="59">
        <v>497.99</v>
      </c>
      <c r="H1227" s="59">
        <v>995.98</v>
      </c>
      <c r="I1227" s="18" t="s">
        <v>367</v>
      </c>
      <c r="J1227" s="18" t="s">
        <v>512</v>
      </c>
      <c r="K1227" s="18" t="s">
        <v>2773</v>
      </c>
      <c r="L1227" s="30"/>
    </row>
    <row r="1228" spans="1:12" hidden="1" x14ac:dyDescent="0.25">
      <c r="A1228" s="18" t="s">
        <v>27</v>
      </c>
      <c r="B1228" s="57">
        <v>1.5277777777777776E-3</v>
      </c>
      <c r="C1228" s="58">
        <v>1</v>
      </c>
      <c r="D1228" s="18" t="s">
        <v>1775</v>
      </c>
      <c r="E1228" s="18" t="s">
        <v>1776</v>
      </c>
      <c r="F1228" s="18" t="s">
        <v>1637</v>
      </c>
      <c r="G1228" s="59">
        <v>561.30999999999995</v>
      </c>
      <c r="H1228" s="59">
        <v>561.30999999999995</v>
      </c>
      <c r="I1228" s="18" t="s">
        <v>367</v>
      </c>
      <c r="J1228" s="18" t="s">
        <v>512</v>
      </c>
      <c r="K1228" s="18" t="s">
        <v>2773</v>
      </c>
      <c r="L1228" s="30"/>
    </row>
    <row r="1229" spans="1:12" hidden="1" x14ac:dyDescent="0.25">
      <c r="A1229" s="18" t="s">
        <v>27</v>
      </c>
      <c r="B1229" s="57">
        <v>6.8287037037037036E-4</v>
      </c>
      <c r="C1229" s="58">
        <v>1</v>
      </c>
      <c r="D1229" s="18" t="s">
        <v>1793</v>
      </c>
      <c r="E1229" s="18" t="s">
        <v>1642</v>
      </c>
      <c r="F1229" s="18" t="s">
        <v>1637</v>
      </c>
      <c r="G1229" s="59">
        <v>24.4</v>
      </c>
      <c r="H1229" s="59">
        <v>24.4</v>
      </c>
      <c r="I1229" s="18" t="s">
        <v>367</v>
      </c>
      <c r="J1229" s="18" t="s">
        <v>1594</v>
      </c>
      <c r="K1229" s="18" t="s">
        <v>2773</v>
      </c>
      <c r="L1229" s="30"/>
    </row>
    <row r="1230" spans="1:12" hidden="1" x14ac:dyDescent="0.25">
      <c r="A1230" s="18" t="s">
        <v>27</v>
      </c>
      <c r="B1230" s="57">
        <v>6.3657407407407402E-4</v>
      </c>
      <c r="C1230" s="58">
        <v>1</v>
      </c>
      <c r="D1230" s="18" t="s">
        <v>2774</v>
      </c>
      <c r="E1230" s="18" t="s">
        <v>1714</v>
      </c>
      <c r="F1230" s="18" t="s">
        <v>1637</v>
      </c>
      <c r="G1230" s="59">
        <v>12.08</v>
      </c>
      <c r="H1230" s="59">
        <v>12.08</v>
      </c>
      <c r="I1230" s="18" t="s">
        <v>2763</v>
      </c>
      <c r="J1230" s="18" t="s">
        <v>512</v>
      </c>
      <c r="K1230" s="18" t="s">
        <v>2773</v>
      </c>
      <c r="L1230" s="30"/>
    </row>
    <row r="1231" spans="1:12" hidden="1" x14ac:dyDescent="0.25">
      <c r="A1231" s="18" t="s">
        <v>27</v>
      </c>
      <c r="B1231" s="57">
        <v>6.3657407407407402E-4</v>
      </c>
      <c r="C1231" s="58">
        <v>1</v>
      </c>
      <c r="D1231" s="18" t="s">
        <v>1713</v>
      </c>
      <c r="E1231" s="18" t="s">
        <v>1714</v>
      </c>
      <c r="F1231" s="18" t="s">
        <v>1637</v>
      </c>
      <c r="G1231" s="59">
        <v>12.08</v>
      </c>
      <c r="H1231" s="59">
        <v>12.08</v>
      </c>
      <c r="I1231" s="18" t="s">
        <v>1588</v>
      </c>
      <c r="J1231" s="18" t="s">
        <v>1588</v>
      </c>
      <c r="K1231" s="18" t="s">
        <v>2773</v>
      </c>
      <c r="L1231" s="30"/>
    </row>
    <row r="1232" spans="1:12" hidden="1" x14ac:dyDescent="0.25">
      <c r="A1232" s="18" t="s">
        <v>27</v>
      </c>
      <c r="B1232" s="57">
        <v>2.8124999999999999E-3</v>
      </c>
      <c r="C1232" s="58">
        <v>3</v>
      </c>
      <c r="D1232" s="18" t="s">
        <v>2639</v>
      </c>
      <c r="E1232" s="18" t="s">
        <v>1752</v>
      </c>
      <c r="F1232" s="18" t="s">
        <v>1637</v>
      </c>
      <c r="G1232" s="59">
        <v>43.8</v>
      </c>
      <c r="H1232" s="59">
        <v>131.4</v>
      </c>
      <c r="I1232" s="18" t="s">
        <v>367</v>
      </c>
      <c r="J1232" s="18" t="s">
        <v>512</v>
      </c>
      <c r="K1232" s="18" t="s">
        <v>2773</v>
      </c>
      <c r="L1232" s="30"/>
    </row>
    <row r="1233" spans="1:12" hidden="1" x14ac:dyDescent="0.25">
      <c r="A1233" s="18" t="s">
        <v>27</v>
      </c>
      <c r="B1233" s="57">
        <v>7.8703703703703705E-4</v>
      </c>
      <c r="C1233" s="58">
        <v>1</v>
      </c>
      <c r="D1233" s="18" t="s">
        <v>1784</v>
      </c>
      <c r="E1233" s="18" t="s">
        <v>1785</v>
      </c>
      <c r="F1233" s="18" t="s">
        <v>1637</v>
      </c>
      <c r="G1233" s="59">
        <v>53.47</v>
      </c>
      <c r="H1233" s="59">
        <v>53.47</v>
      </c>
      <c r="I1233" s="18" t="s">
        <v>367</v>
      </c>
      <c r="J1233" s="18" t="s">
        <v>368</v>
      </c>
      <c r="K1233" s="18" t="s">
        <v>2775</v>
      </c>
      <c r="L1233" s="30"/>
    </row>
    <row r="1234" spans="1:12" hidden="1" x14ac:dyDescent="0.25">
      <c r="A1234" s="18" t="s">
        <v>27</v>
      </c>
      <c r="B1234" s="57">
        <v>6.5972222222222224E-4</v>
      </c>
      <c r="C1234" s="58">
        <v>1</v>
      </c>
      <c r="D1234" s="18" t="s">
        <v>1675</v>
      </c>
      <c r="E1234" s="18" t="s">
        <v>1676</v>
      </c>
      <c r="F1234" s="18" t="s">
        <v>1637</v>
      </c>
      <c r="G1234" s="59">
        <v>21.57</v>
      </c>
      <c r="H1234" s="59">
        <v>21.57</v>
      </c>
      <c r="I1234" s="18" t="s">
        <v>367</v>
      </c>
      <c r="J1234" s="18" t="s">
        <v>368</v>
      </c>
      <c r="K1234" s="18" t="s">
        <v>2775</v>
      </c>
      <c r="L1234" s="30"/>
    </row>
    <row r="1235" spans="1:12" hidden="1" x14ac:dyDescent="0.25">
      <c r="A1235" s="18" t="s">
        <v>27</v>
      </c>
      <c r="B1235" s="57">
        <v>1.5740740740740741E-3</v>
      </c>
      <c r="C1235" s="58">
        <v>2</v>
      </c>
      <c r="D1235" s="18" t="s">
        <v>1787</v>
      </c>
      <c r="E1235" s="18" t="s">
        <v>1785</v>
      </c>
      <c r="F1235" s="18" t="s">
        <v>1637</v>
      </c>
      <c r="G1235" s="59">
        <v>53.47</v>
      </c>
      <c r="H1235" s="59">
        <v>106.94</v>
      </c>
      <c r="I1235" s="18" t="s">
        <v>367</v>
      </c>
      <c r="J1235" s="18" t="s">
        <v>368</v>
      </c>
      <c r="K1235" s="18" t="s">
        <v>2775</v>
      </c>
      <c r="L1235" s="30"/>
    </row>
    <row r="1236" spans="1:12" hidden="1" x14ac:dyDescent="0.25">
      <c r="A1236" s="18" t="s">
        <v>27</v>
      </c>
      <c r="B1236" s="57">
        <v>6.4814814814814813E-4</v>
      </c>
      <c r="C1236" s="58">
        <v>1</v>
      </c>
      <c r="D1236" s="18" t="s">
        <v>1721</v>
      </c>
      <c r="E1236" s="18" t="s">
        <v>1722</v>
      </c>
      <c r="F1236" s="18" t="s">
        <v>1637</v>
      </c>
      <c r="G1236" s="59">
        <v>25.81</v>
      </c>
      <c r="H1236" s="59">
        <v>25.81</v>
      </c>
      <c r="I1236" s="18" t="s">
        <v>367</v>
      </c>
      <c r="J1236" s="18" t="s">
        <v>368</v>
      </c>
      <c r="K1236" s="18" t="s">
        <v>2775</v>
      </c>
      <c r="L1236" s="30"/>
    </row>
    <row r="1237" spans="1:12" hidden="1" x14ac:dyDescent="0.25">
      <c r="A1237" s="18" t="s">
        <v>27</v>
      </c>
      <c r="B1237" s="57">
        <v>1.7708333333333332E-3</v>
      </c>
      <c r="C1237" s="58">
        <v>1</v>
      </c>
      <c r="D1237" s="18" t="s">
        <v>1682</v>
      </c>
      <c r="E1237" s="18" t="s">
        <v>2776</v>
      </c>
      <c r="F1237" s="18" t="s">
        <v>1637</v>
      </c>
      <c r="G1237" s="59">
        <v>337.43</v>
      </c>
      <c r="H1237" s="59">
        <v>337.43</v>
      </c>
      <c r="I1237" s="18" t="s">
        <v>1141</v>
      </c>
      <c r="J1237" s="18" t="s">
        <v>367</v>
      </c>
      <c r="K1237" s="18" t="s">
        <v>2775</v>
      </c>
      <c r="L1237" s="30"/>
    </row>
    <row r="1238" spans="1:12" hidden="1" x14ac:dyDescent="0.25">
      <c r="A1238" s="18" t="s">
        <v>27</v>
      </c>
      <c r="B1238" s="57">
        <v>1.0995370370370369E-3</v>
      </c>
      <c r="C1238" s="58">
        <v>1</v>
      </c>
      <c r="D1238" s="18" t="s">
        <v>1684</v>
      </c>
      <c r="E1238" s="18" t="s">
        <v>2777</v>
      </c>
      <c r="F1238" s="18" t="s">
        <v>1637</v>
      </c>
      <c r="G1238" s="59">
        <v>48.89</v>
      </c>
      <c r="H1238" s="59">
        <v>48.89</v>
      </c>
      <c r="I1238" s="18" t="s">
        <v>367</v>
      </c>
      <c r="J1238" s="18" t="s">
        <v>367</v>
      </c>
      <c r="K1238" s="18" t="s">
        <v>2775</v>
      </c>
      <c r="L1238" s="30"/>
    </row>
    <row r="1239" spans="1:12" hidden="1" x14ac:dyDescent="0.25">
      <c r="A1239" s="18" t="s">
        <v>27</v>
      </c>
      <c r="B1239" s="57">
        <v>9.0277777777777774E-4</v>
      </c>
      <c r="C1239" s="58">
        <v>1</v>
      </c>
      <c r="D1239" s="18" t="s">
        <v>1686</v>
      </c>
      <c r="E1239" s="18" t="s">
        <v>2777</v>
      </c>
      <c r="F1239" s="18" t="s">
        <v>1637</v>
      </c>
      <c r="G1239" s="59">
        <v>49.88</v>
      </c>
      <c r="H1239" s="59">
        <v>49.88</v>
      </c>
      <c r="I1239" s="18" t="s">
        <v>367</v>
      </c>
      <c r="J1239" s="18" t="s">
        <v>367</v>
      </c>
      <c r="K1239" s="18" t="s">
        <v>2775</v>
      </c>
      <c r="L1239" s="30"/>
    </row>
    <row r="1240" spans="1:12" hidden="1" x14ac:dyDescent="0.25">
      <c r="A1240" s="18" t="s">
        <v>27</v>
      </c>
      <c r="B1240" s="57">
        <v>1.8171296296296295E-3</v>
      </c>
      <c r="C1240" s="58">
        <v>1</v>
      </c>
      <c r="D1240" s="18" t="s">
        <v>1687</v>
      </c>
      <c r="E1240" s="18" t="s">
        <v>2776</v>
      </c>
      <c r="F1240" s="18" t="s">
        <v>1637</v>
      </c>
      <c r="G1240" s="59">
        <v>337.43</v>
      </c>
      <c r="H1240" s="59">
        <v>337.43</v>
      </c>
      <c r="I1240" s="18" t="s">
        <v>1141</v>
      </c>
      <c r="J1240" s="18" t="s">
        <v>367</v>
      </c>
      <c r="K1240" s="18" t="s">
        <v>2775</v>
      </c>
      <c r="L1240" s="30"/>
    </row>
    <row r="1241" spans="1:12" hidden="1" x14ac:dyDescent="0.25">
      <c r="A1241" s="18" t="s">
        <v>27</v>
      </c>
      <c r="B1241" s="57">
        <v>2.6157407407407405E-3</v>
      </c>
      <c r="C1241" s="58">
        <v>3</v>
      </c>
      <c r="D1241" s="18" t="s">
        <v>1723</v>
      </c>
      <c r="E1241" s="18" t="s">
        <v>1724</v>
      </c>
      <c r="F1241" s="18" t="s">
        <v>1637</v>
      </c>
      <c r="G1241" s="59">
        <v>71.62</v>
      </c>
      <c r="H1241" s="59">
        <v>214.86</v>
      </c>
      <c r="I1241" s="18" t="s">
        <v>2778</v>
      </c>
      <c r="J1241" s="18" t="s">
        <v>1594</v>
      </c>
      <c r="K1241" s="18" t="s">
        <v>2775</v>
      </c>
      <c r="L1241" s="30"/>
    </row>
    <row r="1242" spans="1:12" hidden="1" x14ac:dyDescent="0.25">
      <c r="A1242" s="18" t="s">
        <v>27</v>
      </c>
      <c r="B1242" s="57">
        <v>2.5694444444444445E-3</v>
      </c>
      <c r="C1242" s="58">
        <v>2</v>
      </c>
      <c r="D1242" s="18" t="s">
        <v>2629</v>
      </c>
      <c r="E1242" s="18" t="s">
        <v>2630</v>
      </c>
      <c r="F1242" s="18" t="s">
        <v>1637</v>
      </c>
      <c r="G1242" s="59">
        <v>195.94</v>
      </c>
      <c r="H1242" s="59">
        <v>391.88</v>
      </c>
      <c r="I1242" s="18" t="s">
        <v>367</v>
      </c>
      <c r="J1242" s="18" t="s">
        <v>427</v>
      </c>
      <c r="K1242" s="18" t="s">
        <v>2775</v>
      </c>
      <c r="L1242" s="30"/>
    </row>
    <row r="1243" spans="1:12" hidden="1" x14ac:dyDescent="0.25">
      <c r="A1243" s="18" t="s">
        <v>27</v>
      </c>
      <c r="B1243" s="57">
        <v>1.0416666666666667E-3</v>
      </c>
      <c r="C1243" s="58">
        <v>1</v>
      </c>
      <c r="D1243" s="18" t="s">
        <v>2631</v>
      </c>
      <c r="E1243" s="18" t="s">
        <v>2632</v>
      </c>
      <c r="F1243" s="18" t="s">
        <v>1637</v>
      </c>
      <c r="G1243" s="59">
        <v>193.89</v>
      </c>
      <c r="H1243" s="59">
        <v>193.89</v>
      </c>
      <c r="I1243" s="18" t="s">
        <v>367</v>
      </c>
      <c r="J1243" s="18" t="s">
        <v>1595</v>
      </c>
      <c r="K1243" s="18" t="s">
        <v>2775</v>
      </c>
      <c r="L1243" s="30"/>
    </row>
    <row r="1244" spans="1:12" hidden="1" x14ac:dyDescent="0.25">
      <c r="A1244" s="18" t="s">
        <v>27</v>
      </c>
      <c r="B1244" s="57">
        <v>2.0601851851851853E-3</v>
      </c>
      <c r="C1244" s="58">
        <v>2</v>
      </c>
      <c r="D1244" s="18" t="s">
        <v>1635</v>
      </c>
      <c r="E1244" s="18" t="s">
        <v>1636</v>
      </c>
      <c r="F1244" s="18" t="s">
        <v>1637</v>
      </c>
      <c r="G1244" s="59">
        <v>34.479999999999997</v>
      </c>
      <c r="H1244" s="59">
        <v>68.959999999999994</v>
      </c>
      <c r="I1244" s="18" t="s">
        <v>1585</v>
      </c>
      <c r="J1244" s="18" t="s">
        <v>1585</v>
      </c>
      <c r="K1244" s="18" t="s">
        <v>2775</v>
      </c>
      <c r="L1244" s="30"/>
    </row>
    <row r="1245" spans="1:12" hidden="1" x14ac:dyDescent="0.25">
      <c r="A1245" s="18" t="s">
        <v>27</v>
      </c>
      <c r="B1245" s="57">
        <v>1.2962962962962963E-3</v>
      </c>
      <c r="C1245" s="58">
        <v>2</v>
      </c>
      <c r="D1245" s="18" t="s">
        <v>1749</v>
      </c>
      <c r="E1245" s="18" t="s">
        <v>1747</v>
      </c>
      <c r="F1245" s="18" t="s">
        <v>1637</v>
      </c>
      <c r="G1245" s="59">
        <v>24.63</v>
      </c>
      <c r="H1245" s="59">
        <v>49.26</v>
      </c>
      <c r="I1245" s="18" t="s">
        <v>367</v>
      </c>
      <c r="J1245" s="18" t="s">
        <v>512</v>
      </c>
      <c r="K1245" s="18" t="s">
        <v>2775</v>
      </c>
      <c r="L1245" s="30"/>
    </row>
    <row r="1246" spans="1:12" hidden="1" x14ac:dyDescent="0.25">
      <c r="A1246" s="18" t="s">
        <v>27</v>
      </c>
      <c r="B1246" s="57">
        <v>6.4814814814814813E-4</v>
      </c>
      <c r="C1246" s="58">
        <v>1</v>
      </c>
      <c r="D1246" s="18" t="s">
        <v>1750</v>
      </c>
      <c r="E1246" s="18" t="s">
        <v>1747</v>
      </c>
      <c r="F1246" s="18" t="s">
        <v>1637</v>
      </c>
      <c r="G1246" s="59">
        <v>24.63</v>
      </c>
      <c r="H1246" s="59">
        <v>24.63</v>
      </c>
      <c r="I1246" s="18" t="s">
        <v>367</v>
      </c>
      <c r="J1246" s="18" t="s">
        <v>512</v>
      </c>
      <c r="K1246" s="18" t="s">
        <v>2775</v>
      </c>
      <c r="L1246" s="30"/>
    </row>
    <row r="1247" spans="1:12" hidden="1" x14ac:dyDescent="0.25">
      <c r="A1247" s="18" t="s">
        <v>27</v>
      </c>
      <c r="B1247" s="57">
        <v>7.8703703703703705E-4</v>
      </c>
      <c r="C1247" s="58">
        <v>1</v>
      </c>
      <c r="D1247" s="18" t="s">
        <v>1792</v>
      </c>
      <c r="E1247" s="18" t="s">
        <v>1752</v>
      </c>
      <c r="F1247" s="18" t="s">
        <v>1637</v>
      </c>
      <c r="G1247" s="59">
        <v>43.53</v>
      </c>
      <c r="H1247" s="59">
        <v>43.53</v>
      </c>
      <c r="I1247" s="18" t="s">
        <v>367</v>
      </c>
      <c r="J1247" s="18" t="s">
        <v>512</v>
      </c>
      <c r="K1247" s="18" t="s">
        <v>2775</v>
      </c>
      <c r="L1247" s="30"/>
    </row>
    <row r="1248" spans="1:12" hidden="1" x14ac:dyDescent="0.25">
      <c r="A1248" s="18" t="s">
        <v>27</v>
      </c>
      <c r="B1248" s="57">
        <v>1.0648148148148149E-3</v>
      </c>
      <c r="C1248" s="58">
        <v>1</v>
      </c>
      <c r="D1248" s="18" t="s">
        <v>1751</v>
      </c>
      <c r="E1248" s="18" t="s">
        <v>1752</v>
      </c>
      <c r="F1248" s="18" t="s">
        <v>1637</v>
      </c>
      <c r="G1248" s="59">
        <v>43.8</v>
      </c>
      <c r="H1248" s="59">
        <v>43.8</v>
      </c>
      <c r="I1248" s="18" t="s">
        <v>367</v>
      </c>
      <c r="J1248" s="18" t="s">
        <v>512</v>
      </c>
      <c r="K1248" s="18" t="s">
        <v>2775</v>
      </c>
      <c r="L1248" s="30"/>
    </row>
    <row r="1249" spans="1:12" hidden="1" x14ac:dyDescent="0.25">
      <c r="A1249" s="18" t="s">
        <v>27</v>
      </c>
      <c r="B1249" s="57">
        <v>8.7962962962962962E-4</v>
      </c>
      <c r="C1249" s="58">
        <v>1</v>
      </c>
      <c r="D1249" s="18" t="s">
        <v>1725</v>
      </c>
      <c r="E1249" s="18" t="s">
        <v>1726</v>
      </c>
      <c r="F1249" s="18" t="s">
        <v>1637</v>
      </c>
      <c r="G1249" s="59">
        <v>43.7</v>
      </c>
      <c r="H1249" s="59">
        <v>43.7</v>
      </c>
      <c r="I1249" s="18" t="s">
        <v>367</v>
      </c>
      <c r="J1249" s="18" t="s">
        <v>512</v>
      </c>
      <c r="K1249" s="18" t="s">
        <v>2775</v>
      </c>
      <c r="L1249" s="30"/>
    </row>
    <row r="1250" spans="1:12" hidden="1" x14ac:dyDescent="0.25">
      <c r="A1250" s="18" t="s">
        <v>27</v>
      </c>
      <c r="B1250" s="57">
        <v>2.1296296296296298E-3</v>
      </c>
      <c r="C1250" s="58">
        <v>2</v>
      </c>
      <c r="D1250" s="18" t="s">
        <v>1727</v>
      </c>
      <c r="E1250" s="18" t="s">
        <v>1726</v>
      </c>
      <c r="F1250" s="18" t="s">
        <v>1637</v>
      </c>
      <c r="G1250" s="59">
        <v>43.7</v>
      </c>
      <c r="H1250" s="59">
        <v>87.4</v>
      </c>
      <c r="I1250" s="18" t="s">
        <v>367</v>
      </c>
      <c r="J1250" s="18" t="s">
        <v>512</v>
      </c>
      <c r="K1250" s="18" t="s">
        <v>2775</v>
      </c>
      <c r="L1250" s="30"/>
    </row>
    <row r="1251" spans="1:12" hidden="1" x14ac:dyDescent="0.25">
      <c r="A1251" s="18" t="s">
        <v>27</v>
      </c>
      <c r="B1251" s="57">
        <v>1.7824074074074072E-3</v>
      </c>
      <c r="C1251" s="58">
        <v>2</v>
      </c>
      <c r="D1251" s="18" t="s">
        <v>2498</v>
      </c>
      <c r="E1251" s="18" t="s">
        <v>2779</v>
      </c>
      <c r="F1251" s="18" t="s">
        <v>1637</v>
      </c>
      <c r="G1251" s="59">
        <v>105.04</v>
      </c>
      <c r="H1251" s="59">
        <v>210.08</v>
      </c>
      <c r="I1251" s="18" t="s">
        <v>367</v>
      </c>
      <c r="J1251" s="18" t="s">
        <v>512</v>
      </c>
      <c r="K1251" s="18" t="s">
        <v>2775</v>
      </c>
      <c r="L1251" s="30"/>
    </row>
    <row r="1252" spans="1:12" hidden="1" x14ac:dyDescent="0.25">
      <c r="A1252" s="18" t="s">
        <v>27</v>
      </c>
      <c r="B1252" s="57">
        <v>6.4814814814814813E-4</v>
      </c>
      <c r="C1252" s="58">
        <v>1</v>
      </c>
      <c r="D1252" s="18" t="s">
        <v>1793</v>
      </c>
      <c r="E1252" s="18" t="s">
        <v>1642</v>
      </c>
      <c r="F1252" s="18" t="s">
        <v>1637</v>
      </c>
      <c r="G1252" s="59">
        <v>24.4</v>
      </c>
      <c r="H1252" s="59">
        <v>24.4</v>
      </c>
      <c r="I1252" s="18" t="s">
        <v>367</v>
      </c>
      <c r="J1252" s="18" t="s">
        <v>1594</v>
      </c>
      <c r="K1252" s="18" t="s">
        <v>2775</v>
      </c>
      <c r="L1252" s="30"/>
    </row>
    <row r="1253" spans="1:12" hidden="1" x14ac:dyDescent="0.25">
      <c r="A1253" s="18" t="s">
        <v>27</v>
      </c>
      <c r="B1253" s="57">
        <v>6.0185185185185179E-4</v>
      </c>
      <c r="C1253" s="58">
        <v>1</v>
      </c>
      <c r="D1253" s="18" t="s">
        <v>2774</v>
      </c>
      <c r="E1253" s="18" t="s">
        <v>1714</v>
      </c>
      <c r="F1253" s="18" t="s">
        <v>1637</v>
      </c>
      <c r="G1253" s="59">
        <v>12.08</v>
      </c>
      <c r="H1253" s="59">
        <v>12.08</v>
      </c>
      <c r="I1253" s="18" t="s">
        <v>2763</v>
      </c>
      <c r="J1253" s="18" t="s">
        <v>512</v>
      </c>
      <c r="K1253" s="18" t="s">
        <v>2775</v>
      </c>
      <c r="L1253" s="30"/>
    </row>
    <row r="1254" spans="1:12" hidden="1" x14ac:dyDescent="0.25">
      <c r="A1254" s="18" t="s">
        <v>27</v>
      </c>
      <c r="B1254" s="57">
        <v>8.3333333333333328E-4</v>
      </c>
      <c r="C1254" s="58">
        <v>1</v>
      </c>
      <c r="D1254" s="18" t="s">
        <v>2638</v>
      </c>
      <c r="E1254" s="18" t="s">
        <v>1780</v>
      </c>
      <c r="F1254" s="18" t="s">
        <v>1637</v>
      </c>
      <c r="G1254" s="59">
        <v>39.36</v>
      </c>
      <c r="H1254" s="59">
        <v>39.36</v>
      </c>
      <c r="I1254" s="18" t="s">
        <v>367</v>
      </c>
      <c r="J1254" s="18" t="s">
        <v>512</v>
      </c>
      <c r="K1254" s="18" t="s">
        <v>2775</v>
      </c>
      <c r="L1254" s="30"/>
    </row>
    <row r="1255" spans="1:12" hidden="1" x14ac:dyDescent="0.25">
      <c r="A1255" s="18" t="s">
        <v>27</v>
      </c>
      <c r="B1255" s="57">
        <v>8.7962962962962962E-4</v>
      </c>
      <c r="C1255" s="58">
        <v>1</v>
      </c>
      <c r="D1255" s="18" t="s">
        <v>2639</v>
      </c>
      <c r="E1255" s="18" t="s">
        <v>1752</v>
      </c>
      <c r="F1255" s="18" t="s">
        <v>1637</v>
      </c>
      <c r="G1255" s="59">
        <v>43.8</v>
      </c>
      <c r="H1255" s="59">
        <v>43.8</v>
      </c>
      <c r="I1255" s="18" t="s">
        <v>367</v>
      </c>
      <c r="J1255" s="18" t="s">
        <v>512</v>
      </c>
      <c r="K1255" s="18" t="s">
        <v>2775</v>
      </c>
      <c r="L1255" s="30"/>
    </row>
    <row r="1256" spans="1:12" hidden="1" x14ac:dyDescent="0.25">
      <c r="A1256" s="18" t="s">
        <v>27</v>
      </c>
      <c r="B1256" s="57">
        <v>1.8518518518518517E-2</v>
      </c>
      <c r="C1256" s="58">
        <v>52</v>
      </c>
      <c r="D1256" s="18" t="s">
        <v>1981</v>
      </c>
      <c r="E1256" s="18" t="s">
        <v>1978</v>
      </c>
      <c r="F1256" s="18" t="s">
        <v>1979</v>
      </c>
      <c r="G1256" s="59">
        <v>25.64</v>
      </c>
      <c r="H1256" s="59">
        <v>1333.28</v>
      </c>
      <c r="I1256" s="18" t="s">
        <v>1665</v>
      </c>
      <c r="J1256" s="18" t="s">
        <v>498</v>
      </c>
      <c r="K1256" s="18" t="s">
        <v>2780</v>
      </c>
      <c r="L1256" s="30"/>
    </row>
    <row r="1257" spans="1:12" hidden="1" x14ac:dyDescent="0.25">
      <c r="A1257" s="18" t="s">
        <v>27</v>
      </c>
      <c r="B1257" s="57">
        <v>2.7199074074074074E-3</v>
      </c>
      <c r="C1257" s="58">
        <v>11</v>
      </c>
      <c r="D1257" s="18" t="s">
        <v>2012</v>
      </c>
      <c r="E1257" s="18" t="s">
        <v>2013</v>
      </c>
      <c r="F1257" s="18" t="s">
        <v>1979</v>
      </c>
      <c r="G1257" s="59">
        <v>3.8</v>
      </c>
      <c r="H1257" s="59">
        <v>41.8</v>
      </c>
      <c r="I1257" s="18" t="s">
        <v>367</v>
      </c>
      <c r="J1257" s="18" t="s">
        <v>1593</v>
      </c>
      <c r="K1257" s="18" t="s">
        <v>2780</v>
      </c>
      <c r="L1257" s="30"/>
    </row>
    <row r="1258" spans="1:12" hidden="1" x14ac:dyDescent="0.25">
      <c r="A1258" s="18" t="s">
        <v>27</v>
      </c>
      <c r="B1258" s="57">
        <v>8.9583333333333338E-3</v>
      </c>
      <c r="C1258" s="58">
        <v>42</v>
      </c>
      <c r="D1258" s="18" t="s">
        <v>1982</v>
      </c>
      <c r="E1258" s="18" t="s">
        <v>1983</v>
      </c>
      <c r="F1258" s="18" t="s">
        <v>1979</v>
      </c>
      <c r="G1258" s="59">
        <v>2.35</v>
      </c>
      <c r="H1258" s="59">
        <v>98.7</v>
      </c>
      <c r="I1258" s="18" t="s">
        <v>367</v>
      </c>
      <c r="J1258" s="18" t="s">
        <v>367</v>
      </c>
      <c r="K1258" s="18" t="s">
        <v>2780</v>
      </c>
      <c r="L1258" s="30"/>
    </row>
    <row r="1259" spans="1:12" hidden="1" x14ac:dyDescent="0.25">
      <c r="A1259" s="18" t="s">
        <v>27</v>
      </c>
      <c r="B1259" s="57">
        <v>3.0555555555555553E-3</v>
      </c>
      <c r="C1259" s="58">
        <v>8</v>
      </c>
      <c r="D1259" s="18" t="s">
        <v>1981</v>
      </c>
      <c r="E1259" s="18" t="s">
        <v>1978</v>
      </c>
      <c r="F1259" s="18" t="s">
        <v>1979</v>
      </c>
      <c r="G1259" s="59">
        <v>25.64</v>
      </c>
      <c r="H1259" s="59">
        <v>205.12</v>
      </c>
      <c r="I1259" s="18" t="s">
        <v>1665</v>
      </c>
      <c r="J1259" s="18" t="s">
        <v>498</v>
      </c>
      <c r="K1259" s="18" t="s">
        <v>2781</v>
      </c>
      <c r="L1259" s="30"/>
    </row>
    <row r="1260" spans="1:12" hidden="1" x14ac:dyDescent="0.25">
      <c r="A1260" s="18" t="s">
        <v>27</v>
      </c>
      <c r="B1260" s="57">
        <v>1.9328703703703702E-2</v>
      </c>
      <c r="C1260" s="58">
        <v>48</v>
      </c>
      <c r="D1260" s="18" t="s">
        <v>1977</v>
      </c>
      <c r="E1260" s="18" t="s">
        <v>1978</v>
      </c>
      <c r="F1260" s="18" t="s">
        <v>1979</v>
      </c>
      <c r="G1260" s="59">
        <v>25.64</v>
      </c>
      <c r="H1260" s="59">
        <v>1230.72</v>
      </c>
      <c r="I1260" s="18" t="s">
        <v>1672</v>
      </c>
      <c r="J1260" s="18" t="s">
        <v>498</v>
      </c>
      <c r="K1260" s="18" t="s">
        <v>2781</v>
      </c>
      <c r="L1260" s="30"/>
    </row>
    <row r="1261" spans="1:12" hidden="1" x14ac:dyDescent="0.25">
      <c r="A1261" s="18" t="s">
        <v>27</v>
      </c>
      <c r="B1261" s="57">
        <v>5.7175925925925927E-3</v>
      </c>
      <c r="C1261" s="58">
        <v>25</v>
      </c>
      <c r="D1261" s="18" t="s">
        <v>1982</v>
      </c>
      <c r="E1261" s="18" t="s">
        <v>1983</v>
      </c>
      <c r="F1261" s="18" t="s">
        <v>1979</v>
      </c>
      <c r="G1261" s="59">
        <v>2.35</v>
      </c>
      <c r="H1261" s="59">
        <v>58.75</v>
      </c>
      <c r="I1261" s="18" t="s">
        <v>367</v>
      </c>
      <c r="J1261" s="18" t="s">
        <v>367</v>
      </c>
      <c r="K1261" s="18" t="s">
        <v>2781</v>
      </c>
      <c r="L1261" s="30"/>
    </row>
    <row r="1262" spans="1:12" hidden="1" x14ac:dyDescent="0.25">
      <c r="A1262" s="18" t="s">
        <v>27</v>
      </c>
      <c r="B1262" s="57">
        <v>3.8078703703703703E-3</v>
      </c>
      <c r="C1262" s="58">
        <v>9</v>
      </c>
      <c r="D1262" s="18" t="s">
        <v>1981</v>
      </c>
      <c r="E1262" s="18" t="s">
        <v>1978</v>
      </c>
      <c r="F1262" s="18" t="s">
        <v>1979</v>
      </c>
      <c r="G1262" s="59">
        <v>25.64</v>
      </c>
      <c r="H1262" s="59">
        <v>230.76</v>
      </c>
      <c r="I1262" s="18" t="s">
        <v>1665</v>
      </c>
      <c r="J1262" s="18" t="s">
        <v>498</v>
      </c>
      <c r="K1262" s="18" t="s">
        <v>2782</v>
      </c>
      <c r="L1262" s="30"/>
    </row>
    <row r="1263" spans="1:12" hidden="1" x14ac:dyDescent="0.25">
      <c r="A1263" s="18" t="s">
        <v>27</v>
      </c>
      <c r="B1263" s="57">
        <v>9.3865740740740732E-3</v>
      </c>
      <c r="C1263" s="58">
        <v>21</v>
      </c>
      <c r="D1263" s="18" t="s">
        <v>1977</v>
      </c>
      <c r="E1263" s="18" t="s">
        <v>1978</v>
      </c>
      <c r="F1263" s="18" t="s">
        <v>1979</v>
      </c>
      <c r="G1263" s="59">
        <v>25.64</v>
      </c>
      <c r="H1263" s="59">
        <v>538.44000000000005</v>
      </c>
      <c r="I1263" s="18" t="s">
        <v>1672</v>
      </c>
      <c r="J1263" s="18" t="s">
        <v>498</v>
      </c>
      <c r="K1263" s="18" t="s">
        <v>2782</v>
      </c>
      <c r="L1263" s="30"/>
    </row>
    <row r="1264" spans="1:12" hidden="1" x14ac:dyDescent="0.25">
      <c r="A1264" s="18" t="s">
        <v>27</v>
      </c>
      <c r="B1264" s="57">
        <v>5.1967592592592595E-3</v>
      </c>
      <c r="C1264" s="58">
        <v>16</v>
      </c>
      <c r="D1264" s="18" t="s">
        <v>1999</v>
      </c>
      <c r="E1264" s="18" t="s">
        <v>2000</v>
      </c>
      <c r="F1264" s="18" t="s">
        <v>1979</v>
      </c>
      <c r="G1264" s="59">
        <v>7.11</v>
      </c>
      <c r="H1264" s="59">
        <v>113.76</v>
      </c>
      <c r="I1264" s="18" t="s">
        <v>367</v>
      </c>
      <c r="J1264" s="18" t="s">
        <v>1593</v>
      </c>
      <c r="K1264" s="18" t="s">
        <v>2782</v>
      </c>
      <c r="L1264" s="30"/>
    </row>
    <row r="1265" spans="1:12" hidden="1" x14ac:dyDescent="0.25">
      <c r="A1265" s="18" t="s">
        <v>27</v>
      </c>
      <c r="B1265" s="57">
        <v>2.8935185185185184E-4</v>
      </c>
      <c r="C1265" s="58">
        <v>1</v>
      </c>
      <c r="D1265" s="18" t="s">
        <v>2012</v>
      </c>
      <c r="E1265" s="18" t="s">
        <v>2013</v>
      </c>
      <c r="F1265" s="18" t="s">
        <v>1979</v>
      </c>
      <c r="G1265" s="59">
        <v>3.8</v>
      </c>
      <c r="H1265" s="59">
        <v>3.8</v>
      </c>
      <c r="I1265" s="18" t="s">
        <v>367</v>
      </c>
      <c r="J1265" s="18" t="s">
        <v>1593</v>
      </c>
      <c r="K1265" s="18" t="s">
        <v>2782</v>
      </c>
      <c r="L1265" s="30"/>
    </row>
    <row r="1266" spans="1:12" hidden="1" x14ac:dyDescent="0.25">
      <c r="A1266" s="18" t="s">
        <v>27</v>
      </c>
      <c r="B1266" s="57">
        <v>2.5231481481481481E-3</v>
      </c>
      <c r="C1266" s="58">
        <v>2</v>
      </c>
      <c r="D1266" s="18" t="s">
        <v>2001</v>
      </c>
      <c r="E1266" s="18" t="s">
        <v>2002</v>
      </c>
      <c r="F1266" s="18" t="s">
        <v>1979</v>
      </c>
      <c r="G1266" s="59">
        <v>286.55</v>
      </c>
      <c r="H1266" s="59">
        <v>573.1</v>
      </c>
      <c r="I1266" s="18" t="s">
        <v>2778</v>
      </c>
      <c r="J1266" s="18" t="s">
        <v>1594</v>
      </c>
      <c r="K1266" s="18" t="s">
        <v>2782</v>
      </c>
      <c r="L1266" s="30"/>
    </row>
    <row r="1267" spans="1:12" hidden="1" x14ac:dyDescent="0.25">
      <c r="A1267" s="18" t="s">
        <v>27</v>
      </c>
      <c r="B1267" s="57">
        <v>1.261574074074074E-3</v>
      </c>
      <c r="C1267" s="58">
        <v>5</v>
      </c>
      <c r="D1267" s="18" t="s">
        <v>1982</v>
      </c>
      <c r="E1267" s="18" t="s">
        <v>1983</v>
      </c>
      <c r="F1267" s="18" t="s">
        <v>1979</v>
      </c>
      <c r="G1267" s="59">
        <v>2.35</v>
      </c>
      <c r="H1267" s="59">
        <v>11.75</v>
      </c>
      <c r="I1267" s="18" t="s">
        <v>367</v>
      </c>
      <c r="J1267" s="18" t="s">
        <v>367</v>
      </c>
      <c r="K1267" s="18" t="s">
        <v>2782</v>
      </c>
      <c r="L1267" s="30"/>
    </row>
    <row r="1268" spans="1:12" hidden="1" x14ac:dyDescent="0.25">
      <c r="A1268" s="18" t="s">
        <v>27</v>
      </c>
      <c r="B1268" s="57">
        <v>1.5034722222222222E-2</v>
      </c>
      <c r="C1268" s="58">
        <v>1</v>
      </c>
      <c r="D1268" s="18" t="s">
        <v>1812</v>
      </c>
      <c r="E1268" s="18" t="s">
        <v>1813</v>
      </c>
      <c r="F1268" s="18" t="s">
        <v>1810</v>
      </c>
      <c r="G1268" s="59">
        <v>1519.18</v>
      </c>
      <c r="H1268" s="59">
        <v>1519.18</v>
      </c>
      <c r="I1268" s="18" t="s">
        <v>152</v>
      </c>
      <c r="J1268" s="18" t="s">
        <v>152</v>
      </c>
      <c r="K1268" s="18" t="s">
        <v>2783</v>
      </c>
      <c r="L1268" s="30"/>
    </row>
    <row r="1269" spans="1:12" hidden="1" x14ac:dyDescent="0.25">
      <c r="A1269" s="18" t="s">
        <v>27</v>
      </c>
      <c r="B1269" s="57">
        <v>3.4375E-3</v>
      </c>
      <c r="C1269" s="58">
        <v>2</v>
      </c>
      <c r="D1269" s="18" t="s">
        <v>1848</v>
      </c>
      <c r="E1269" s="18" t="s">
        <v>1849</v>
      </c>
      <c r="F1269" s="18" t="s">
        <v>1810</v>
      </c>
      <c r="G1269" s="59">
        <v>239.17</v>
      </c>
      <c r="H1269" s="59">
        <v>478.34</v>
      </c>
      <c r="I1269" s="18" t="s">
        <v>1141</v>
      </c>
      <c r="J1269" s="18" t="s">
        <v>512</v>
      </c>
      <c r="K1269" s="18" t="s">
        <v>2783</v>
      </c>
      <c r="L1269" s="30"/>
    </row>
    <row r="1270" spans="1:12" hidden="1" x14ac:dyDescent="0.25">
      <c r="A1270" s="18" t="s">
        <v>27</v>
      </c>
      <c r="B1270" s="57">
        <v>3.4027777777777776E-3</v>
      </c>
      <c r="C1270" s="58">
        <v>2</v>
      </c>
      <c r="D1270" s="18" t="s">
        <v>1968</v>
      </c>
      <c r="E1270" s="18" t="s">
        <v>1954</v>
      </c>
      <c r="F1270" s="18" t="s">
        <v>1810</v>
      </c>
      <c r="G1270" s="59">
        <v>233.73</v>
      </c>
      <c r="H1270" s="59">
        <v>467.46</v>
      </c>
      <c r="I1270" s="18" t="s">
        <v>1588</v>
      </c>
      <c r="J1270" s="18" t="s">
        <v>512</v>
      </c>
      <c r="K1270" s="18" t="s">
        <v>2784</v>
      </c>
      <c r="L1270" s="30"/>
    </row>
    <row r="1271" spans="1:12" hidden="1" x14ac:dyDescent="0.25">
      <c r="A1271" s="18" t="s">
        <v>27</v>
      </c>
      <c r="B1271" s="57">
        <v>1.5034722222222222E-2</v>
      </c>
      <c r="C1271" s="58">
        <v>1</v>
      </c>
      <c r="D1271" s="18" t="s">
        <v>1812</v>
      </c>
      <c r="E1271" s="18" t="s">
        <v>1813</v>
      </c>
      <c r="F1271" s="18" t="s">
        <v>1810</v>
      </c>
      <c r="G1271" s="59">
        <v>1519.18</v>
      </c>
      <c r="H1271" s="59">
        <v>1519.18</v>
      </c>
      <c r="I1271" s="18" t="s">
        <v>152</v>
      </c>
      <c r="J1271" s="18" t="s">
        <v>152</v>
      </c>
      <c r="K1271" s="18" t="s">
        <v>2784</v>
      </c>
      <c r="L1271" s="30"/>
    </row>
    <row r="1272" spans="1:12" hidden="1" x14ac:dyDescent="0.25">
      <c r="A1272" s="18" t="s">
        <v>27</v>
      </c>
      <c r="B1272" s="57">
        <v>1.6666666666666666E-3</v>
      </c>
      <c r="C1272" s="58">
        <v>1</v>
      </c>
      <c r="D1272" s="18" t="s">
        <v>1968</v>
      </c>
      <c r="E1272" s="18" t="s">
        <v>1954</v>
      </c>
      <c r="F1272" s="18" t="s">
        <v>1810</v>
      </c>
      <c r="G1272" s="59">
        <v>233.73</v>
      </c>
      <c r="H1272" s="59">
        <v>233.73</v>
      </c>
      <c r="I1272" s="18" t="s">
        <v>1588</v>
      </c>
      <c r="J1272" s="18" t="s">
        <v>512</v>
      </c>
      <c r="K1272" s="18" t="s">
        <v>2785</v>
      </c>
      <c r="L1272" s="30"/>
    </row>
    <row r="1273" spans="1:12" hidden="1" x14ac:dyDescent="0.25">
      <c r="A1273" s="18" t="s">
        <v>27</v>
      </c>
      <c r="B1273" s="57">
        <v>1.9560185185185184E-3</v>
      </c>
      <c r="C1273" s="58">
        <v>1</v>
      </c>
      <c r="D1273" s="18" t="s">
        <v>1953</v>
      </c>
      <c r="E1273" s="18" t="s">
        <v>1954</v>
      </c>
      <c r="F1273" s="18" t="s">
        <v>1810</v>
      </c>
      <c r="G1273" s="59">
        <v>233.73</v>
      </c>
      <c r="H1273" s="59">
        <v>233.73</v>
      </c>
      <c r="I1273" s="18" t="s">
        <v>1588</v>
      </c>
      <c r="J1273" s="18" t="s">
        <v>512</v>
      </c>
      <c r="K1273" s="18" t="s">
        <v>2785</v>
      </c>
      <c r="L1273" s="30"/>
    </row>
    <row r="1274" spans="1:12" hidden="1" x14ac:dyDescent="0.25">
      <c r="A1274" s="18" t="s">
        <v>27</v>
      </c>
      <c r="B1274" s="57">
        <v>1.480324074074074E-2</v>
      </c>
      <c r="C1274" s="58">
        <v>1</v>
      </c>
      <c r="D1274" s="18" t="s">
        <v>1812</v>
      </c>
      <c r="E1274" s="18" t="s">
        <v>1813</v>
      </c>
      <c r="F1274" s="18" t="s">
        <v>1810</v>
      </c>
      <c r="G1274" s="59">
        <v>1519.18</v>
      </c>
      <c r="H1274" s="59">
        <v>1519.18</v>
      </c>
      <c r="I1274" s="18" t="s">
        <v>152</v>
      </c>
      <c r="J1274" s="18" t="s">
        <v>152</v>
      </c>
      <c r="K1274" s="18" t="s">
        <v>2785</v>
      </c>
      <c r="L1274" s="30"/>
    </row>
    <row r="1275" spans="1:12" hidden="1" x14ac:dyDescent="0.25">
      <c r="A1275" s="18" t="s">
        <v>27</v>
      </c>
      <c r="B1275" s="57">
        <v>1.7013888888888888E-3</v>
      </c>
      <c r="C1275" s="58">
        <v>1</v>
      </c>
      <c r="D1275" s="18" t="s">
        <v>1968</v>
      </c>
      <c r="E1275" s="18" t="s">
        <v>1954</v>
      </c>
      <c r="F1275" s="18" t="s">
        <v>1810</v>
      </c>
      <c r="G1275" s="59">
        <v>233.73</v>
      </c>
      <c r="H1275" s="59">
        <v>233.73</v>
      </c>
      <c r="I1275" s="18" t="s">
        <v>1588</v>
      </c>
      <c r="J1275" s="18" t="s">
        <v>512</v>
      </c>
      <c r="K1275" s="18" t="s">
        <v>2786</v>
      </c>
      <c r="L1275" s="30"/>
    </row>
    <row r="1276" spans="1:12" hidden="1" x14ac:dyDescent="0.25">
      <c r="A1276" s="18" t="s">
        <v>27</v>
      </c>
      <c r="B1276" s="57">
        <v>1.5023148148148148E-2</v>
      </c>
      <c r="C1276" s="58">
        <v>1</v>
      </c>
      <c r="D1276" s="18" t="s">
        <v>1812</v>
      </c>
      <c r="E1276" s="18" t="s">
        <v>1813</v>
      </c>
      <c r="F1276" s="18" t="s">
        <v>1810</v>
      </c>
      <c r="G1276" s="59">
        <v>1519.18</v>
      </c>
      <c r="H1276" s="59">
        <v>1519.18</v>
      </c>
      <c r="I1276" s="18" t="s">
        <v>152</v>
      </c>
      <c r="J1276" s="18" t="s">
        <v>152</v>
      </c>
      <c r="K1276" s="18" t="s">
        <v>2786</v>
      </c>
      <c r="L1276" s="30"/>
    </row>
    <row r="1277" spans="1:12" hidden="1" x14ac:dyDescent="0.25">
      <c r="A1277" s="18" t="s">
        <v>27</v>
      </c>
      <c r="B1277" s="57">
        <v>1.7129629629629628E-3</v>
      </c>
      <c r="C1277" s="58">
        <v>1</v>
      </c>
      <c r="D1277" s="18" t="s">
        <v>1848</v>
      </c>
      <c r="E1277" s="18" t="s">
        <v>1849</v>
      </c>
      <c r="F1277" s="18" t="s">
        <v>1810</v>
      </c>
      <c r="G1277" s="59">
        <v>239.17</v>
      </c>
      <c r="H1277" s="59">
        <v>239.17</v>
      </c>
      <c r="I1277" s="18" t="s">
        <v>1141</v>
      </c>
      <c r="J1277" s="18" t="s">
        <v>512</v>
      </c>
      <c r="K1277" s="18" t="s">
        <v>2786</v>
      </c>
      <c r="L1277" s="30"/>
    </row>
    <row r="1278" spans="1:12" hidden="1" x14ac:dyDescent="0.25">
      <c r="A1278" s="18" t="s">
        <v>27</v>
      </c>
      <c r="B1278" s="57">
        <v>3.8541666666666663E-3</v>
      </c>
      <c r="C1278" s="58">
        <v>2</v>
      </c>
      <c r="D1278" s="18" t="s">
        <v>1953</v>
      </c>
      <c r="E1278" s="18" t="s">
        <v>1954</v>
      </c>
      <c r="F1278" s="18" t="s">
        <v>1810</v>
      </c>
      <c r="G1278" s="59">
        <v>233.73</v>
      </c>
      <c r="H1278" s="59">
        <v>467.46</v>
      </c>
      <c r="I1278" s="18" t="s">
        <v>1588</v>
      </c>
      <c r="J1278" s="18" t="s">
        <v>512</v>
      </c>
      <c r="K1278" s="18" t="s">
        <v>2787</v>
      </c>
      <c r="L1278" s="30"/>
    </row>
    <row r="1279" spans="1:12" hidden="1" x14ac:dyDescent="0.25">
      <c r="A1279" s="18" t="s">
        <v>27</v>
      </c>
      <c r="B1279" s="57">
        <v>1.4571759259259258E-2</v>
      </c>
      <c r="C1279" s="58">
        <v>1</v>
      </c>
      <c r="D1279" s="18" t="s">
        <v>1812</v>
      </c>
      <c r="E1279" s="18" t="s">
        <v>1813</v>
      </c>
      <c r="F1279" s="18" t="s">
        <v>1810</v>
      </c>
      <c r="G1279" s="59">
        <v>1519.18</v>
      </c>
      <c r="H1279" s="59">
        <v>1519.18</v>
      </c>
      <c r="I1279" s="18" t="s">
        <v>152</v>
      </c>
      <c r="J1279" s="18" t="s">
        <v>152</v>
      </c>
      <c r="K1279" s="18" t="s">
        <v>2787</v>
      </c>
      <c r="L1279" s="30"/>
    </row>
    <row r="1280" spans="1:12" hidden="1" x14ac:dyDescent="0.25">
      <c r="A1280" s="18" t="s">
        <v>27</v>
      </c>
      <c r="B1280" s="57">
        <v>1.4270833333333333E-2</v>
      </c>
      <c r="C1280" s="58">
        <v>1</v>
      </c>
      <c r="D1280" s="18" t="s">
        <v>1875</v>
      </c>
      <c r="E1280" s="18" t="s">
        <v>1813</v>
      </c>
      <c r="F1280" s="18" t="s">
        <v>1810</v>
      </c>
      <c r="G1280" s="59">
        <v>1519.18</v>
      </c>
      <c r="H1280" s="59">
        <v>1519.18</v>
      </c>
      <c r="I1280" s="18" t="s">
        <v>511</v>
      </c>
      <c r="J1280" s="18" t="s">
        <v>511</v>
      </c>
      <c r="K1280" s="18" t="s">
        <v>2788</v>
      </c>
      <c r="L1280" s="30"/>
    </row>
    <row r="1281" spans="1:12" hidden="1" x14ac:dyDescent="0.25">
      <c r="A1281" s="18" t="s">
        <v>27</v>
      </c>
      <c r="B1281" s="57">
        <v>6.2500000000000001E-4</v>
      </c>
      <c r="C1281" s="58">
        <v>1</v>
      </c>
      <c r="D1281" s="18" t="s">
        <v>1910</v>
      </c>
      <c r="E1281" s="18" t="s">
        <v>2789</v>
      </c>
      <c r="F1281" s="18" t="s">
        <v>1810</v>
      </c>
      <c r="G1281" s="59">
        <v>9.57</v>
      </c>
      <c r="H1281" s="59">
        <v>9.57</v>
      </c>
      <c r="I1281" s="18" t="s">
        <v>1665</v>
      </c>
      <c r="J1281" s="18" t="s">
        <v>512</v>
      </c>
      <c r="K1281" s="18" t="s">
        <v>2788</v>
      </c>
      <c r="L1281" s="30"/>
    </row>
    <row r="1282" spans="1:12" hidden="1" x14ac:dyDescent="0.25">
      <c r="A1282" s="18" t="s">
        <v>27</v>
      </c>
      <c r="B1282" s="57">
        <v>6.7129629629629631E-3</v>
      </c>
      <c r="C1282" s="58">
        <v>7</v>
      </c>
      <c r="D1282" s="18" t="s">
        <v>1840</v>
      </c>
      <c r="E1282" s="18" t="s">
        <v>1809</v>
      </c>
      <c r="F1282" s="18" t="s">
        <v>1810</v>
      </c>
      <c r="G1282" s="59">
        <v>55.45</v>
      </c>
      <c r="H1282" s="59">
        <v>388.15</v>
      </c>
      <c r="I1282" s="18" t="s">
        <v>147</v>
      </c>
      <c r="J1282" s="18" t="s">
        <v>115</v>
      </c>
      <c r="K1282" s="18" t="s">
        <v>2788</v>
      </c>
      <c r="L1282" s="30"/>
    </row>
    <row r="1283" spans="1:12" hidden="1" x14ac:dyDescent="0.25">
      <c r="A1283" s="18" t="s">
        <v>27</v>
      </c>
      <c r="B1283" s="57">
        <v>6.8287037037037036E-4</v>
      </c>
      <c r="C1283" s="58">
        <v>1</v>
      </c>
      <c r="D1283" s="18" t="s">
        <v>2035</v>
      </c>
      <c r="E1283" s="18" t="s">
        <v>2036</v>
      </c>
      <c r="F1283" s="18" t="s">
        <v>1810</v>
      </c>
      <c r="G1283" s="59">
        <v>12.45</v>
      </c>
      <c r="H1283" s="59">
        <v>12.45</v>
      </c>
      <c r="I1283" s="18" t="s">
        <v>367</v>
      </c>
      <c r="J1283" s="18" t="s">
        <v>512</v>
      </c>
      <c r="K1283" s="18" t="s">
        <v>2788</v>
      </c>
      <c r="L1283" s="30"/>
    </row>
    <row r="1284" spans="1:12" hidden="1" x14ac:dyDescent="0.25">
      <c r="A1284" s="18" t="s">
        <v>27</v>
      </c>
      <c r="B1284" s="57">
        <v>1.3657407407407406E-2</v>
      </c>
      <c r="C1284" s="58">
        <v>1</v>
      </c>
      <c r="D1284" s="18" t="s">
        <v>1875</v>
      </c>
      <c r="E1284" s="18" t="s">
        <v>1813</v>
      </c>
      <c r="F1284" s="18" t="s">
        <v>1810</v>
      </c>
      <c r="G1284" s="59">
        <v>1519.18</v>
      </c>
      <c r="H1284" s="59">
        <v>1519.18</v>
      </c>
      <c r="I1284" s="18" t="s">
        <v>511</v>
      </c>
      <c r="J1284" s="18" t="s">
        <v>511</v>
      </c>
      <c r="K1284" s="18" t="s">
        <v>2790</v>
      </c>
      <c r="L1284" s="30"/>
    </row>
    <row r="1285" spans="1:12" hidden="1" x14ac:dyDescent="0.25">
      <c r="A1285" s="18" t="s">
        <v>27</v>
      </c>
      <c r="B1285" s="57">
        <v>6.0185185185185179E-4</v>
      </c>
      <c r="C1285" s="58">
        <v>1</v>
      </c>
      <c r="D1285" s="18" t="s">
        <v>1910</v>
      </c>
      <c r="E1285" s="18" t="s">
        <v>2789</v>
      </c>
      <c r="F1285" s="18" t="s">
        <v>1810</v>
      </c>
      <c r="G1285" s="59">
        <v>9.57</v>
      </c>
      <c r="H1285" s="59">
        <v>9.57</v>
      </c>
      <c r="I1285" s="18" t="s">
        <v>1665</v>
      </c>
      <c r="J1285" s="18" t="s">
        <v>512</v>
      </c>
      <c r="K1285" s="18" t="s">
        <v>2790</v>
      </c>
      <c r="L1285" s="30"/>
    </row>
    <row r="1286" spans="1:12" hidden="1" x14ac:dyDescent="0.25">
      <c r="A1286" s="18" t="s">
        <v>27</v>
      </c>
      <c r="B1286" s="57">
        <v>2.7430555555555554E-3</v>
      </c>
      <c r="C1286" s="58">
        <v>3</v>
      </c>
      <c r="D1286" s="18" t="s">
        <v>1840</v>
      </c>
      <c r="E1286" s="18" t="s">
        <v>1809</v>
      </c>
      <c r="F1286" s="18" t="s">
        <v>1810</v>
      </c>
      <c r="G1286" s="59">
        <v>55.45</v>
      </c>
      <c r="H1286" s="59">
        <v>166.35</v>
      </c>
      <c r="I1286" s="18" t="s">
        <v>147</v>
      </c>
      <c r="J1286" s="18" t="s">
        <v>115</v>
      </c>
      <c r="K1286" s="18" t="s">
        <v>2790</v>
      </c>
      <c r="L1286" s="30"/>
    </row>
    <row r="1287" spans="1:12" hidden="1" x14ac:dyDescent="0.25">
      <c r="A1287" s="18" t="s">
        <v>27</v>
      </c>
      <c r="B1287" s="57">
        <v>4.5717592592592589E-3</v>
      </c>
      <c r="C1287" s="58">
        <v>4</v>
      </c>
      <c r="D1287" s="18" t="s">
        <v>1898</v>
      </c>
      <c r="E1287" s="18" t="s">
        <v>1899</v>
      </c>
      <c r="F1287" s="18" t="s">
        <v>1810</v>
      </c>
      <c r="G1287" s="59">
        <v>53.6</v>
      </c>
      <c r="H1287" s="59">
        <v>214.4</v>
      </c>
      <c r="I1287" s="18" t="s">
        <v>1665</v>
      </c>
      <c r="J1287" s="18" t="s">
        <v>115</v>
      </c>
      <c r="K1287" s="18" t="s">
        <v>2790</v>
      </c>
      <c r="L1287" s="30"/>
    </row>
    <row r="1288" spans="1:12" hidden="1" x14ac:dyDescent="0.25">
      <c r="A1288" s="18" t="s">
        <v>27</v>
      </c>
      <c r="B1288" s="57">
        <v>6.4814814814814813E-4</v>
      </c>
      <c r="C1288" s="58">
        <v>1</v>
      </c>
      <c r="D1288" s="18" t="s">
        <v>1842</v>
      </c>
      <c r="E1288" s="18" t="s">
        <v>1843</v>
      </c>
      <c r="F1288" s="18" t="s">
        <v>1810</v>
      </c>
      <c r="G1288" s="59">
        <v>12.16</v>
      </c>
      <c r="H1288" s="59">
        <v>12.16</v>
      </c>
      <c r="I1288" s="18" t="s">
        <v>367</v>
      </c>
      <c r="J1288" s="18" t="s">
        <v>512</v>
      </c>
      <c r="K1288" s="18" t="s">
        <v>2790</v>
      </c>
      <c r="L1288" s="30"/>
    </row>
    <row r="1289" spans="1:12" hidden="1" x14ac:dyDescent="0.25">
      <c r="A1289" s="18" t="s">
        <v>27</v>
      </c>
      <c r="B1289" s="57">
        <v>1.3530092592592592E-2</v>
      </c>
      <c r="C1289" s="58">
        <v>1</v>
      </c>
      <c r="D1289" s="18" t="s">
        <v>1875</v>
      </c>
      <c r="E1289" s="18" t="s">
        <v>1813</v>
      </c>
      <c r="F1289" s="18" t="s">
        <v>1810</v>
      </c>
      <c r="G1289" s="59">
        <v>1519.18</v>
      </c>
      <c r="H1289" s="59">
        <v>1519.18</v>
      </c>
      <c r="I1289" s="18" t="s">
        <v>511</v>
      </c>
      <c r="J1289" s="18" t="s">
        <v>511</v>
      </c>
      <c r="K1289" s="18" t="s">
        <v>2791</v>
      </c>
      <c r="L1289" s="30"/>
    </row>
    <row r="1290" spans="1:12" hidden="1" x14ac:dyDescent="0.25">
      <c r="A1290" s="18" t="s">
        <v>27</v>
      </c>
      <c r="B1290" s="57">
        <v>4.5370370370370365E-3</v>
      </c>
      <c r="C1290" s="58">
        <v>4</v>
      </c>
      <c r="D1290" s="18" t="s">
        <v>1898</v>
      </c>
      <c r="E1290" s="18" t="s">
        <v>1899</v>
      </c>
      <c r="F1290" s="18" t="s">
        <v>1810</v>
      </c>
      <c r="G1290" s="59">
        <v>53.6</v>
      </c>
      <c r="H1290" s="59">
        <v>214.4</v>
      </c>
      <c r="I1290" s="18" t="s">
        <v>1665</v>
      </c>
      <c r="J1290" s="18" t="s">
        <v>115</v>
      </c>
      <c r="K1290" s="18" t="s">
        <v>2791</v>
      </c>
      <c r="L1290" s="30"/>
    </row>
    <row r="1291" spans="1:12" hidden="1" x14ac:dyDescent="0.25">
      <c r="A1291" s="18" t="s">
        <v>27</v>
      </c>
      <c r="B1291" s="57">
        <v>2.696759259259259E-3</v>
      </c>
      <c r="C1291" s="58">
        <v>3</v>
      </c>
      <c r="D1291" s="18" t="s">
        <v>1900</v>
      </c>
      <c r="E1291" s="18" t="s">
        <v>1899</v>
      </c>
      <c r="F1291" s="18" t="s">
        <v>1810</v>
      </c>
      <c r="G1291" s="59">
        <v>53.6</v>
      </c>
      <c r="H1291" s="59">
        <v>160.80000000000001</v>
      </c>
      <c r="I1291" s="18" t="s">
        <v>1672</v>
      </c>
      <c r="J1291" s="18" t="s">
        <v>115</v>
      </c>
      <c r="K1291" s="18" t="s">
        <v>2791</v>
      </c>
      <c r="L1291" s="30"/>
    </row>
    <row r="1292" spans="1:12" hidden="1" x14ac:dyDescent="0.25">
      <c r="A1292" s="18" t="s">
        <v>27</v>
      </c>
      <c r="B1292" s="57">
        <v>8.5648148148148139E-4</v>
      </c>
      <c r="C1292" s="58">
        <v>1</v>
      </c>
      <c r="D1292" s="18" t="s">
        <v>1969</v>
      </c>
      <c r="E1292" s="18" t="s">
        <v>1970</v>
      </c>
      <c r="F1292" s="18" t="s">
        <v>1810</v>
      </c>
      <c r="G1292" s="59">
        <v>37.729999999999997</v>
      </c>
      <c r="H1292" s="59">
        <v>37.729999999999997</v>
      </c>
      <c r="I1292" s="18" t="s">
        <v>367</v>
      </c>
      <c r="J1292" s="18" t="s">
        <v>1594</v>
      </c>
      <c r="K1292" s="18" t="s">
        <v>2791</v>
      </c>
      <c r="L1292" s="30"/>
    </row>
    <row r="1293" spans="1:12" hidden="1" x14ac:dyDescent="0.25">
      <c r="A1293" s="18" t="s">
        <v>27</v>
      </c>
      <c r="B1293" s="57">
        <v>1.1921296296296296E-3</v>
      </c>
      <c r="C1293" s="58">
        <v>2</v>
      </c>
      <c r="D1293" s="18" t="s">
        <v>2034</v>
      </c>
      <c r="E1293" s="18" t="s">
        <v>2792</v>
      </c>
      <c r="F1293" s="18" t="s">
        <v>1810</v>
      </c>
      <c r="G1293" s="59">
        <v>10.62</v>
      </c>
      <c r="H1293" s="59">
        <v>21.24</v>
      </c>
      <c r="I1293" s="18" t="s">
        <v>1665</v>
      </c>
      <c r="J1293" s="18" t="s">
        <v>512</v>
      </c>
      <c r="K1293" s="18" t="s">
        <v>2793</v>
      </c>
      <c r="L1293" s="30"/>
    </row>
    <row r="1294" spans="1:12" hidden="1" x14ac:dyDescent="0.25">
      <c r="A1294" s="18" t="s">
        <v>27</v>
      </c>
      <c r="B1294" s="57">
        <v>1.3599537037037037E-2</v>
      </c>
      <c r="C1294" s="58">
        <v>1</v>
      </c>
      <c r="D1294" s="18" t="s">
        <v>1875</v>
      </c>
      <c r="E1294" s="18" t="s">
        <v>1813</v>
      </c>
      <c r="F1294" s="18" t="s">
        <v>1810</v>
      </c>
      <c r="G1294" s="59">
        <v>1519.18</v>
      </c>
      <c r="H1294" s="59">
        <v>1519.18</v>
      </c>
      <c r="I1294" s="18" t="s">
        <v>511</v>
      </c>
      <c r="J1294" s="18" t="s">
        <v>511</v>
      </c>
      <c r="K1294" s="18" t="s">
        <v>2793</v>
      </c>
      <c r="L1294" s="30"/>
    </row>
    <row r="1295" spans="1:12" hidden="1" x14ac:dyDescent="0.25">
      <c r="A1295" s="18" t="s">
        <v>27</v>
      </c>
      <c r="B1295" s="57">
        <v>2.3032407407407407E-3</v>
      </c>
      <c r="C1295" s="58">
        <v>2</v>
      </c>
      <c r="D1295" s="18" t="s">
        <v>1808</v>
      </c>
      <c r="E1295" s="18" t="s">
        <v>1809</v>
      </c>
      <c r="F1295" s="18" t="s">
        <v>1810</v>
      </c>
      <c r="G1295" s="59">
        <v>55.45</v>
      </c>
      <c r="H1295" s="59">
        <v>110.9</v>
      </c>
      <c r="I1295" s="18" t="s">
        <v>150</v>
      </c>
      <c r="J1295" s="18" t="s">
        <v>115</v>
      </c>
      <c r="K1295" s="18" t="s">
        <v>2793</v>
      </c>
      <c r="L1295" s="30"/>
    </row>
    <row r="1296" spans="1:12" hidden="1" x14ac:dyDescent="0.25">
      <c r="A1296" s="18" t="s">
        <v>27</v>
      </c>
      <c r="B1296" s="57">
        <v>4.5254629629629629E-3</v>
      </c>
      <c r="C1296" s="58">
        <v>5</v>
      </c>
      <c r="D1296" s="18" t="s">
        <v>1900</v>
      </c>
      <c r="E1296" s="18" t="s">
        <v>1899</v>
      </c>
      <c r="F1296" s="18" t="s">
        <v>1810</v>
      </c>
      <c r="G1296" s="59">
        <v>53.6</v>
      </c>
      <c r="H1296" s="59">
        <v>268</v>
      </c>
      <c r="I1296" s="18" t="s">
        <v>1672</v>
      </c>
      <c r="J1296" s="18" t="s">
        <v>115</v>
      </c>
      <c r="K1296" s="18" t="s">
        <v>2793</v>
      </c>
      <c r="L1296" s="30"/>
    </row>
    <row r="1297" spans="1:12" hidden="1" x14ac:dyDescent="0.25">
      <c r="A1297" s="18" t="s">
        <v>27</v>
      </c>
      <c r="B1297" s="57">
        <v>1.1342592592592591E-3</v>
      </c>
      <c r="C1297" s="58">
        <v>2</v>
      </c>
      <c r="D1297" s="18" t="s">
        <v>2034</v>
      </c>
      <c r="E1297" s="18" t="s">
        <v>2792</v>
      </c>
      <c r="F1297" s="18" t="s">
        <v>1810</v>
      </c>
      <c r="G1297" s="59">
        <v>10.62</v>
      </c>
      <c r="H1297" s="59">
        <v>21.24</v>
      </c>
      <c r="I1297" s="18" t="s">
        <v>1665</v>
      </c>
      <c r="J1297" s="18" t="s">
        <v>512</v>
      </c>
      <c r="K1297" s="18" t="s">
        <v>2794</v>
      </c>
      <c r="L1297" s="30"/>
    </row>
    <row r="1298" spans="1:12" hidden="1" x14ac:dyDescent="0.25">
      <c r="A1298" s="18" t="s">
        <v>27</v>
      </c>
      <c r="B1298" s="57">
        <v>1.2974537037037036E-2</v>
      </c>
      <c r="C1298" s="58">
        <v>1</v>
      </c>
      <c r="D1298" s="18" t="s">
        <v>1875</v>
      </c>
      <c r="E1298" s="18" t="s">
        <v>1813</v>
      </c>
      <c r="F1298" s="18" t="s">
        <v>1810</v>
      </c>
      <c r="G1298" s="59">
        <v>1519.18</v>
      </c>
      <c r="H1298" s="59">
        <v>1519.18</v>
      </c>
      <c r="I1298" s="18" t="s">
        <v>511</v>
      </c>
      <c r="J1298" s="18" t="s">
        <v>511</v>
      </c>
      <c r="K1298" s="18" t="s">
        <v>2794</v>
      </c>
      <c r="L1298" s="30"/>
    </row>
    <row r="1299" spans="1:12" hidden="1" x14ac:dyDescent="0.25">
      <c r="A1299" s="18" t="s">
        <v>27</v>
      </c>
      <c r="B1299" s="57">
        <v>7.6851851851851847E-3</v>
      </c>
      <c r="C1299" s="58">
        <v>7</v>
      </c>
      <c r="D1299" s="18" t="s">
        <v>1808</v>
      </c>
      <c r="E1299" s="18" t="s">
        <v>1809</v>
      </c>
      <c r="F1299" s="18" t="s">
        <v>1810</v>
      </c>
      <c r="G1299" s="59">
        <v>55.45</v>
      </c>
      <c r="H1299" s="59">
        <v>388.15</v>
      </c>
      <c r="I1299" s="18" t="s">
        <v>150</v>
      </c>
      <c r="J1299" s="18" t="s">
        <v>115</v>
      </c>
      <c r="K1299" s="18" t="s">
        <v>2794</v>
      </c>
      <c r="L1299" s="30"/>
    </row>
    <row r="1300" spans="1:12" hidden="1" x14ac:dyDescent="0.25">
      <c r="A1300" s="18" t="s">
        <v>27</v>
      </c>
      <c r="B1300" s="57">
        <v>1.4594907407407407E-2</v>
      </c>
      <c r="C1300" s="58">
        <v>1</v>
      </c>
      <c r="D1300" s="18" t="s">
        <v>1875</v>
      </c>
      <c r="E1300" s="18" t="s">
        <v>1813</v>
      </c>
      <c r="F1300" s="18" t="s">
        <v>1810</v>
      </c>
      <c r="G1300" s="59">
        <v>1519.18</v>
      </c>
      <c r="H1300" s="59">
        <v>1519.18</v>
      </c>
      <c r="I1300" s="18" t="s">
        <v>511</v>
      </c>
      <c r="J1300" s="18" t="s">
        <v>511</v>
      </c>
      <c r="K1300" s="18" t="s">
        <v>2795</v>
      </c>
      <c r="L1300" s="30"/>
    </row>
    <row r="1301" spans="1:12" hidden="1" x14ac:dyDescent="0.25">
      <c r="A1301" s="18" t="s">
        <v>27</v>
      </c>
      <c r="B1301" s="57">
        <v>1.5972222222222221E-3</v>
      </c>
      <c r="C1301" s="58">
        <v>1</v>
      </c>
      <c r="D1301" s="18" t="s">
        <v>2796</v>
      </c>
      <c r="E1301" s="18" t="s">
        <v>2797</v>
      </c>
      <c r="F1301" s="18" t="s">
        <v>1810</v>
      </c>
      <c r="G1301" s="59">
        <v>160.62</v>
      </c>
      <c r="H1301" s="59">
        <v>160.62</v>
      </c>
      <c r="I1301" s="18" t="s">
        <v>152</v>
      </c>
      <c r="J1301" s="18" t="s">
        <v>152</v>
      </c>
      <c r="K1301" s="18" t="s">
        <v>2795</v>
      </c>
      <c r="L1301" s="30"/>
    </row>
    <row r="1302" spans="1:12" hidden="1" x14ac:dyDescent="0.25">
      <c r="A1302" s="18" t="s">
        <v>27</v>
      </c>
      <c r="B1302" s="57">
        <v>3.2060185185185182E-3</v>
      </c>
      <c r="C1302" s="58">
        <v>2</v>
      </c>
      <c r="D1302" s="18" t="s">
        <v>2798</v>
      </c>
      <c r="E1302" s="18" t="s">
        <v>2797</v>
      </c>
      <c r="F1302" s="18" t="s">
        <v>1810</v>
      </c>
      <c r="G1302" s="59">
        <v>160.62</v>
      </c>
      <c r="H1302" s="59">
        <v>321.24</v>
      </c>
      <c r="I1302" s="18" t="s">
        <v>152</v>
      </c>
      <c r="J1302" s="18" t="s">
        <v>152</v>
      </c>
      <c r="K1302" s="18" t="s">
        <v>2795</v>
      </c>
      <c r="L1302" s="30"/>
    </row>
    <row r="1303" spans="1:12" hidden="1" x14ac:dyDescent="0.25">
      <c r="A1303" s="18" t="s">
        <v>27</v>
      </c>
      <c r="B1303" s="57">
        <v>1.2997685185185185E-2</v>
      </c>
      <c r="C1303" s="58">
        <v>1</v>
      </c>
      <c r="D1303" s="18" t="s">
        <v>1875</v>
      </c>
      <c r="E1303" s="18" t="s">
        <v>1813</v>
      </c>
      <c r="F1303" s="18" t="s">
        <v>1810</v>
      </c>
      <c r="G1303" s="59">
        <v>1519.18</v>
      </c>
      <c r="H1303" s="59">
        <v>1519.18</v>
      </c>
      <c r="I1303" s="18" t="s">
        <v>511</v>
      </c>
      <c r="J1303" s="18" t="s">
        <v>511</v>
      </c>
      <c r="K1303" s="18" t="s">
        <v>2799</v>
      </c>
      <c r="L1303" s="30"/>
    </row>
    <row r="1304" spans="1:12" hidden="1" x14ac:dyDescent="0.25">
      <c r="A1304" s="18" t="s">
        <v>27</v>
      </c>
      <c r="B1304" s="57">
        <v>2.3148148148148147E-3</v>
      </c>
      <c r="C1304" s="58">
        <v>4</v>
      </c>
      <c r="D1304" s="18" t="s">
        <v>1910</v>
      </c>
      <c r="E1304" s="18" t="s">
        <v>2789</v>
      </c>
      <c r="F1304" s="18" t="s">
        <v>1810</v>
      </c>
      <c r="G1304" s="59">
        <v>9.57</v>
      </c>
      <c r="H1304" s="59">
        <v>38.28</v>
      </c>
      <c r="I1304" s="18" t="s">
        <v>1665</v>
      </c>
      <c r="J1304" s="18" t="s">
        <v>512</v>
      </c>
      <c r="K1304" s="18" t="s">
        <v>2799</v>
      </c>
      <c r="L1304" s="30"/>
    </row>
    <row r="1305" spans="1:12" hidden="1" x14ac:dyDescent="0.25">
      <c r="A1305" s="18" t="s">
        <v>27</v>
      </c>
      <c r="B1305" s="57">
        <v>6.1111111111111106E-3</v>
      </c>
      <c r="C1305" s="58">
        <v>7</v>
      </c>
      <c r="D1305" s="18" t="s">
        <v>1840</v>
      </c>
      <c r="E1305" s="18" t="s">
        <v>1809</v>
      </c>
      <c r="F1305" s="18" t="s">
        <v>1810</v>
      </c>
      <c r="G1305" s="59">
        <v>55.45</v>
      </c>
      <c r="H1305" s="59">
        <v>388.15</v>
      </c>
      <c r="I1305" s="18" t="s">
        <v>147</v>
      </c>
      <c r="J1305" s="18" t="s">
        <v>115</v>
      </c>
      <c r="K1305" s="18" t="s">
        <v>2799</v>
      </c>
      <c r="L1305" s="30"/>
    </row>
    <row r="1306" spans="1:12" hidden="1" x14ac:dyDescent="0.25">
      <c r="A1306" s="18" t="s">
        <v>27</v>
      </c>
      <c r="B1306" s="57">
        <v>1.261574074074074E-3</v>
      </c>
      <c r="C1306" s="58">
        <v>3</v>
      </c>
      <c r="D1306" s="18" t="s">
        <v>1941</v>
      </c>
      <c r="E1306" s="18" t="s">
        <v>1942</v>
      </c>
      <c r="F1306" s="18" t="s">
        <v>1810</v>
      </c>
      <c r="G1306" s="59">
        <v>1.93</v>
      </c>
      <c r="H1306" s="59">
        <v>5.79</v>
      </c>
      <c r="I1306" s="18" t="s">
        <v>367</v>
      </c>
      <c r="J1306" s="18" t="s">
        <v>367</v>
      </c>
      <c r="K1306" s="18" t="s">
        <v>2799</v>
      </c>
      <c r="L1306" s="30"/>
    </row>
    <row r="1307" spans="1:12" hidden="1" x14ac:dyDescent="0.25">
      <c r="A1307" s="18" t="s">
        <v>27</v>
      </c>
      <c r="B1307" s="57">
        <v>1.4212962962962962E-2</v>
      </c>
      <c r="C1307" s="58">
        <v>1</v>
      </c>
      <c r="D1307" s="18" t="s">
        <v>1875</v>
      </c>
      <c r="E1307" s="18" t="s">
        <v>1813</v>
      </c>
      <c r="F1307" s="18" t="s">
        <v>1810</v>
      </c>
      <c r="G1307" s="59">
        <v>1519.18</v>
      </c>
      <c r="H1307" s="59">
        <v>1519.18</v>
      </c>
      <c r="I1307" s="18" t="s">
        <v>511</v>
      </c>
      <c r="J1307" s="18" t="s">
        <v>511</v>
      </c>
      <c r="K1307" s="18" t="s">
        <v>2800</v>
      </c>
      <c r="L1307" s="30"/>
    </row>
    <row r="1308" spans="1:12" hidden="1" x14ac:dyDescent="0.25">
      <c r="A1308" s="18" t="s">
        <v>27</v>
      </c>
      <c r="B1308" s="57">
        <v>1.25E-3</v>
      </c>
      <c r="C1308" s="58">
        <v>2</v>
      </c>
      <c r="D1308" s="18" t="s">
        <v>1896</v>
      </c>
      <c r="E1308" s="18" t="s">
        <v>2792</v>
      </c>
      <c r="F1308" s="18" t="s">
        <v>1810</v>
      </c>
      <c r="G1308" s="59">
        <v>10.62</v>
      </c>
      <c r="H1308" s="59">
        <v>21.24</v>
      </c>
      <c r="I1308" s="18" t="s">
        <v>1665</v>
      </c>
      <c r="J1308" s="18" t="s">
        <v>512</v>
      </c>
      <c r="K1308" s="18" t="s">
        <v>2800</v>
      </c>
      <c r="L1308" s="30"/>
    </row>
    <row r="1309" spans="1:12" hidden="1" x14ac:dyDescent="0.25">
      <c r="A1309" s="18" t="s">
        <v>27</v>
      </c>
      <c r="B1309" s="57">
        <v>5.7291666666666663E-3</v>
      </c>
      <c r="C1309" s="58">
        <v>6</v>
      </c>
      <c r="D1309" s="18" t="s">
        <v>1840</v>
      </c>
      <c r="E1309" s="18" t="s">
        <v>1809</v>
      </c>
      <c r="F1309" s="18" t="s">
        <v>1810</v>
      </c>
      <c r="G1309" s="59">
        <v>55.45</v>
      </c>
      <c r="H1309" s="59">
        <v>332.7</v>
      </c>
      <c r="I1309" s="18" t="s">
        <v>147</v>
      </c>
      <c r="J1309" s="18" t="s">
        <v>115</v>
      </c>
      <c r="K1309" s="18" t="s">
        <v>2800</v>
      </c>
      <c r="L1309" s="30"/>
    </row>
    <row r="1310" spans="1:12" hidden="1" x14ac:dyDescent="0.25">
      <c r="A1310" s="18" t="s">
        <v>27</v>
      </c>
      <c r="B1310" s="57">
        <v>1.6203703703703703E-3</v>
      </c>
      <c r="C1310" s="58">
        <v>1</v>
      </c>
      <c r="D1310" s="18" t="s">
        <v>1914</v>
      </c>
      <c r="E1310" s="18" t="s">
        <v>1809</v>
      </c>
      <c r="F1310" s="18" t="s">
        <v>1810</v>
      </c>
      <c r="G1310" s="59">
        <v>49.45</v>
      </c>
      <c r="H1310" s="59">
        <v>49.45</v>
      </c>
      <c r="I1310" s="18" t="s">
        <v>367</v>
      </c>
      <c r="J1310" s="18" t="s">
        <v>1594</v>
      </c>
      <c r="K1310" s="18" t="s">
        <v>2800</v>
      </c>
      <c r="L1310" s="30"/>
    </row>
    <row r="1311" spans="1:12" hidden="1" x14ac:dyDescent="0.25">
      <c r="A1311" s="18" t="s">
        <v>27</v>
      </c>
      <c r="B1311" s="57">
        <v>3.7615740740740739E-3</v>
      </c>
      <c r="C1311" s="58">
        <v>4</v>
      </c>
      <c r="D1311" s="18" t="s">
        <v>1888</v>
      </c>
      <c r="E1311" s="18" t="s">
        <v>1889</v>
      </c>
      <c r="F1311" s="18" t="s">
        <v>1810</v>
      </c>
      <c r="G1311" s="59">
        <v>66.22</v>
      </c>
      <c r="H1311" s="59">
        <v>264.88</v>
      </c>
      <c r="I1311" s="18" t="s">
        <v>1583</v>
      </c>
      <c r="J1311" s="18" t="s">
        <v>1583</v>
      </c>
      <c r="K1311" s="18" t="s">
        <v>2801</v>
      </c>
      <c r="L1311" s="30"/>
    </row>
    <row r="1312" spans="1:12" hidden="1" x14ac:dyDescent="0.25">
      <c r="A1312" s="18" t="s">
        <v>27</v>
      </c>
      <c r="B1312" s="57">
        <v>1.3761574074074074E-2</v>
      </c>
      <c r="C1312" s="58">
        <v>1</v>
      </c>
      <c r="D1312" s="18" t="s">
        <v>1875</v>
      </c>
      <c r="E1312" s="18" t="s">
        <v>1813</v>
      </c>
      <c r="F1312" s="18" t="s">
        <v>1810</v>
      </c>
      <c r="G1312" s="59">
        <v>1519.18</v>
      </c>
      <c r="H1312" s="59">
        <v>1519.18</v>
      </c>
      <c r="I1312" s="18" t="s">
        <v>511</v>
      </c>
      <c r="J1312" s="18" t="s">
        <v>511</v>
      </c>
      <c r="K1312" s="18" t="s">
        <v>2801</v>
      </c>
      <c r="L1312" s="30"/>
    </row>
    <row r="1313" spans="1:12" hidden="1" x14ac:dyDescent="0.25">
      <c r="A1313" s="18" t="s">
        <v>27</v>
      </c>
      <c r="B1313" s="57">
        <v>1.1574074074074073E-3</v>
      </c>
      <c r="C1313" s="58">
        <v>1</v>
      </c>
      <c r="D1313" s="18" t="s">
        <v>1808</v>
      </c>
      <c r="E1313" s="18" t="s">
        <v>1809</v>
      </c>
      <c r="F1313" s="18" t="s">
        <v>1810</v>
      </c>
      <c r="G1313" s="59">
        <v>55.45</v>
      </c>
      <c r="H1313" s="59">
        <v>55.45</v>
      </c>
      <c r="I1313" s="18" t="s">
        <v>150</v>
      </c>
      <c r="J1313" s="18" t="s">
        <v>115</v>
      </c>
      <c r="K1313" s="18" t="s">
        <v>2801</v>
      </c>
      <c r="L1313" s="30"/>
    </row>
    <row r="1314" spans="1:12" hidden="1" x14ac:dyDescent="0.25">
      <c r="A1314" s="18" t="s">
        <v>27</v>
      </c>
      <c r="B1314" s="57">
        <v>1.2268518518518518E-3</v>
      </c>
      <c r="C1314" s="58">
        <v>1</v>
      </c>
      <c r="D1314" s="18" t="s">
        <v>1814</v>
      </c>
      <c r="E1314" s="18" t="s">
        <v>1815</v>
      </c>
      <c r="F1314" s="18" t="s">
        <v>1810</v>
      </c>
      <c r="G1314" s="59">
        <v>24.5</v>
      </c>
      <c r="H1314" s="59">
        <v>24.5</v>
      </c>
      <c r="I1314" s="18" t="s">
        <v>367</v>
      </c>
      <c r="J1314" s="18" t="s">
        <v>367</v>
      </c>
      <c r="K1314" s="18" t="s">
        <v>2801</v>
      </c>
      <c r="L1314" s="30"/>
    </row>
    <row r="1315" spans="1:12" hidden="1" x14ac:dyDescent="0.25">
      <c r="A1315" s="18" t="s">
        <v>27</v>
      </c>
      <c r="B1315" s="57">
        <v>1.7592592592592592E-3</v>
      </c>
      <c r="C1315" s="58">
        <v>2</v>
      </c>
      <c r="D1315" s="18" t="s">
        <v>1950</v>
      </c>
      <c r="E1315" s="18" t="s">
        <v>1951</v>
      </c>
      <c r="F1315" s="18" t="s">
        <v>1810</v>
      </c>
      <c r="G1315" s="59">
        <v>38.65</v>
      </c>
      <c r="H1315" s="59">
        <v>77.3</v>
      </c>
      <c r="I1315" s="18" t="s">
        <v>367</v>
      </c>
      <c r="J1315" s="18" t="s">
        <v>1594</v>
      </c>
      <c r="K1315" s="18" t="s">
        <v>2801</v>
      </c>
      <c r="L1315" s="30"/>
    </row>
    <row r="1316" spans="1:12" hidden="1" x14ac:dyDescent="0.25">
      <c r="A1316" s="18" t="s">
        <v>27</v>
      </c>
      <c r="B1316" s="57">
        <v>1.5023148148148148E-2</v>
      </c>
      <c r="C1316" s="58">
        <v>1</v>
      </c>
      <c r="D1316" s="18" t="s">
        <v>1875</v>
      </c>
      <c r="E1316" s="18" t="s">
        <v>1813</v>
      </c>
      <c r="F1316" s="18" t="s">
        <v>1810</v>
      </c>
      <c r="G1316" s="59">
        <v>1519.18</v>
      </c>
      <c r="H1316" s="59">
        <v>1519.18</v>
      </c>
      <c r="I1316" s="18" t="s">
        <v>511</v>
      </c>
      <c r="J1316" s="18" t="s">
        <v>511</v>
      </c>
      <c r="K1316" s="18" t="s">
        <v>2802</v>
      </c>
      <c r="L1316" s="30"/>
    </row>
    <row r="1317" spans="1:12" hidden="1" x14ac:dyDescent="0.25">
      <c r="A1317" s="18" t="s">
        <v>27</v>
      </c>
      <c r="B1317" s="57">
        <v>3.4375E-3</v>
      </c>
      <c r="C1317" s="58">
        <v>2</v>
      </c>
      <c r="D1317" s="18" t="s">
        <v>1848</v>
      </c>
      <c r="E1317" s="18" t="s">
        <v>1849</v>
      </c>
      <c r="F1317" s="18" t="s">
        <v>1810</v>
      </c>
      <c r="G1317" s="59">
        <v>239.17</v>
      </c>
      <c r="H1317" s="59">
        <v>478.34</v>
      </c>
      <c r="I1317" s="18" t="s">
        <v>829</v>
      </c>
      <c r="J1317" s="18" t="s">
        <v>512</v>
      </c>
      <c r="K1317" s="18" t="s">
        <v>2802</v>
      </c>
      <c r="L1317" s="30"/>
    </row>
    <row r="1318" spans="1:12" hidden="1" x14ac:dyDescent="0.25">
      <c r="A1318" s="18" t="s">
        <v>27</v>
      </c>
      <c r="B1318" s="57">
        <v>1.3622685185185184E-2</v>
      </c>
      <c r="C1318" s="58">
        <v>1</v>
      </c>
      <c r="D1318" s="18" t="s">
        <v>1875</v>
      </c>
      <c r="E1318" s="18" t="s">
        <v>1813</v>
      </c>
      <c r="F1318" s="18" t="s">
        <v>1810</v>
      </c>
      <c r="G1318" s="59">
        <v>1519.18</v>
      </c>
      <c r="H1318" s="59">
        <v>1519.18</v>
      </c>
      <c r="I1318" s="18" t="s">
        <v>511</v>
      </c>
      <c r="J1318" s="18" t="s">
        <v>511</v>
      </c>
      <c r="K1318" s="18" t="s">
        <v>2803</v>
      </c>
      <c r="L1318" s="30"/>
    </row>
    <row r="1319" spans="1:12" hidden="1" x14ac:dyDescent="0.25">
      <c r="A1319" s="18" t="s">
        <v>27</v>
      </c>
      <c r="B1319" s="57">
        <v>5.9027777777777778E-4</v>
      </c>
      <c r="C1319" s="58">
        <v>1</v>
      </c>
      <c r="D1319" s="18" t="s">
        <v>1896</v>
      </c>
      <c r="E1319" s="18" t="s">
        <v>2792</v>
      </c>
      <c r="F1319" s="18" t="s">
        <v>1810</v>
      </c>
      <c r="G1319" s="59">
        <v>10.62</v>
      </c>
      <c r="H1319" s="59">
        <v>10.62</v>
      </c>
      <c r="I1319" s="18" t="s">
        <v>1665</v>
      </c>
      <c r="J1319" s="18" t="s">
        <v>512</v>
      </c>
      <c r="K1319" s="18" t="s">
        <v>2803</v>
      </c>
      <c r="L1319" s="30"/>
    </row>
    <row r="1320" spans="1:12" hidden="1" x14ac:dyDescent="0.25">
      <c r="A1320" s="18" t="s">
        <v>27</v>
      </c>
      <c r="B1320" s="57">
        <v>8.7962962962962962E-4</v>
      </c>
      <c r="C1320" s="58">
        <v>2</v>
      </c>
      <c r="D1320" s="18" t="s">
        <v>1941</v>
      </c>
      <c r="E1320" s="18" t="s">
        <v>1942</v>
      </c>
      <c r="F1320" s="18" t="s">
        <v>1810</v>
      </c>
      <c r="G1320" s="59">
        <v>1.93</v>
      </c>
      <c r="H1320" s="59">
        <v>3.86</v>
      </c>
      <c r="I1320" s="18" t="s">
        <v>367</v>
      </c>
      <c r="J1320" s="18" t="s">
        <v>367</v>
      </c>
      <c r="K1320" s="18" t="s">
        <v>2803</v>
      </c>
      <c r="L1320" s="30"/>
    </row>
    <row r="1321" spans="1:12" hidden="1" x14ac:dyDescent="0.25">
      <c r="A1321" s="18" t="s">
        <v>27</v>
      </c>
      <c r="B1321" s="57">
        <v>1.5509259259259259E-3</v>
      </c>
      <c r="C1321" s="58">
        <v>1</v>
      </c>
      <c r="D1321" s="18" t="s">
        <v>1848</v>
      </c>
      <c r="E1321" s="18" t="s">
        <v>1849</v>
      </c>
      <c r="F1321" s="18" t="s">
        <v>1810</v>
      </c>
      <c r="G1321" s="59">
        <v>239.17</v>
      </c>
      <c r="H1321" s="59">
        <v>239.17</v>
      </c>
      <c r="I1321" s="18" t="s">
        <v>829</v>
      </c>
      <c r="J1321" s="18" t="s">
        <v>512</v>
      </c>
      <c r="K1321" s="18" t="s">
        <v>2803</v>
      </c>
      <c r="L1321" s="30"/>
    </row>
    <row r="1322" spans="1:12" hidden="1" x14ac:dyDescent="0.25">
      <c r="A1322" s="18" t="s">
        <v>27</v>
      </c>
      <c r="B1322" s="57">
        <v>2.3032407407407407E-3</v>
      </c>
      <c r="C1322" s="58">
        <v>2</v>
      </c>
      <c r="D1322" s="18" t="s">
        <v>1911</v>
      </c>
      <c r="E1322" s="18" t="s">
        <v>1809</v>
      </c>
      <c r="F1322" s="18" t="s">
        <v>1810</v>
      </c>
      <c r="G1322" s="59">
        <v>55.45</v>
      </c>
      <c r="H1322" s="59">
        <v>110.9</v>
      </c>
      <c r="I1322" s="18" t="s">
        <v>367</v>
      </c>
      <c r="J1322" s="18" t="s">
        <v>1594</v>
      </c>
      <c r="K1322" s="18" t="s">
        <v>2803</v>
      </c>
      <c r="L1322" s="30"/>
    </row>
    <row r="1323" spans="1:12" hidden="1" x14ac:dyDescent="0.25">
      <c r="A1323" s="18" t="s">
        <v>27</v>
      </c>
      <c r="B1323" s="57">
        <v>1.7824074074074072E-3</v>
      </c>
      <c r="C1323" s="58">
        <v>2</v>
      </c>
      <c r="D1323" s="18" t="s">
        <v>1912</v>
      </c>
      <c r="E1323" s="18" t="s">
        <v>1913</v>
      </c>
      <c r="F1323" s="18" t="s">
        <v>1810</v>
      </c>
      <c r="G1323" s="59">
        <v>36.96</v>
      </c>
      <c r="H1323" s="59">
        <v>73.92</v>
      </c>
      <c r="I1323" s="18" t="s">
        <v>367</v>
      </c>
      <c r="J1323" s="18" t="s">
        <v>1594</v>
      </c>
      <c r="K1323" s="18" t="s">
        <v>2803</v>
      </c>
      <c r="L1323" s="30"/>
    </row>
    <row r="1324" spans="1:12" hidden="1" x14ac:dyDescent="0.25">
      <c r="A1324" s="18" t="s">
        <v>27</v>
      </c>
      <c r="B1324" s="57">
        <v>1.1342592592592591E-3</v>
      </c>
      <c r="C1324" s="58">
        <v>2</v>
      </c>
      <c r="D1324" s="18" t="s">
        <v>2034</v>
      </c>
      <c r="E1324" s="18" t="s">
        <v>2792</v>
      </c>
      <c r="F1324" s="18" t="s">
        <v>1810</v>
      </c>
      <c r="G1324" s="59">
        <v>10.62</v>
      </c>
      <c r="H1324" s="59">
        <v>21.24</v>
      </c>
      <c r="I1324" s="18" t="s">
        <v>1665</v>
      </c>
      <c r="J1324" s="18" t="s">
        <v>512</v>
      </c>
      <c r="K1324" s="18" t="s">
        <v>2804</v>
      </c>
      <c r="L1324" s="30"/>
    </row>
    <row r="1325" spans="1:12" hidden="1" x14ac:dyDescent="0.25">
      <c r="A1325" s="18" t="s">
        <v>27</v>
      </c>
      <c r="B1325" s="57">
        <v>1.2916666666666667E-2</v>
      </c>
      <c r="C1325" s="58">
        <v>1</v>
      </c>
      <c r="D1325" s="18" t="s">
        <v>1875</v>
      </c>
      <c r="E1325" s="18" t="s">
        <v>1813</v>
      </c>
      <c r="F1325" s="18" t="s">
        <v>1810</v>
      </c>
      <c r="G1325" s="59">
        <v>1519.18</v>
      </c>
      <c r="H1325" s="59">
        <v>1519.18</v>
      </c>
      <c r="I1325" s="18" t="s">
        <v>511</v>
      </c>
      <c r="J1325" s="18" t="s">
        <v>511</v>
      </c>
      <c r="K1325" s="18" t="s">
        <v>2804</v>
      </c>
      <c r="L1325" s="30"/>
    </row>
    <row r="1326" spans="1:12" hidden="1" x14ac:dyDescent="0.25">
      <c r="A1326" s="18" t="s">
        <v>27</v>
      </c>
      <c r="B1326" s="57">
        <v>7.6504629629629631E-3</v>
      </c>
      <c r="C1326" s="58">
        <v>7</v>
      </c>
      <c r="D1326" s="18" t="s">
        <v>1808</v>
      </c>
      <c r="E1326" s="18" t="s">
        <v>1809</v>
      </c>
      <c r="F1326" s="18" t="s">
        <v>1810</v>
      </c>
      <c r="G1326" s="59">
        <v>55.45</v>
      </c>
      <c r="H1326" s="59">
        <v>388.15</v>
      </c>
      <c r="I1326" s="18" t="s">
        <v>150</v>
      </c>
      <c r="J1326" s="18" t="s">
        <v>115</v>
      </c>
      <c r="K1326" s="18" t="s">
        <v>2804</v>
      </c>
      <c r="L1326" s="30"/>
    </row>
    <row r="1327" spans="1:12" hidden="1" x14ac:dyDescent="0.25">
      <c r="A1327" s="18" t="s">
        <v>27</v>
      </c>
      <c r="B1327" s="57">
        <v>5.5555555555555556E-4</v>
      </c>
      <c r="C1327" s="58">
        <v>1</v>
      </c>
      <c r="D1327" s="18" t="s">
        <v>1896</v>
      </c>
      <c r="E1327" s="18" t="s">
        <v>2792</v>
      </c>
      <c r="F1327" s="18" t="s">
        <v>1810</v>
      </c>
      <c r="G1327" s="59">
        <v>10.62</v>
      </c>
      <c r="H1327" s="59">
        <v>10.62</v>
      </c>
      <c r="I1327" s="18" t="s">
        <v>1665</v>
      </c>
      <c r="J1327" s="18" t="s">
        <v>512</v>
      </c>
      <c r="K1327" s="18" t="s">
        <v>2805</v>
      </c>
      <c r="L1327" s="30"/>
    </row>
    <row r="1328" spans="1:12" hidden="1" x14ac:dyDescent="0.25">
      <c r="A1328" s="18" t="s">
        <v>27</v>
      </c>
      <c r="B1328" s="57">
        <v>7.5462962962962957E-3</v>
      </c>
      <c r="C1328" s="58">
        <v>7</v>
      </c>
      <c r="D1328" s="18" t="s">
        <v>1808</v>
      </c>
      <c r="E1328" s="18" t="s">
        <v>1809</v>
      </c>
      <c r="F1328" s="18" t="s">
        <v>1810</v>
      </c>
      <c r="G1328" s="59">
        <v>55.45</v>
      </c>
      <c r="H1328" s="59">
        <v>388.15</v>
      </c>
      <c r="I1328" s="18" t="s">
        <v>150</v>
      </c>
      <c r="J1328" s="18" t="s">
        <v>115</v>
      </c>
      <c r="K1328" s="18" t="s">
        <v>2805</v>
      </c>
      <c r="L1328" s="30"/>
    </row>
    <row r="1329" spans="1:12" hidden="1" x14ac:dyDescent="0.25">
      <c r="A1329" s="18" t="s">
        <v>27</v>
      </c>
      <c r="B1329" s="57">
        <v>1.2650462962962962E-2</v>
      </c>
      <c r="C1329" s="58">
        <v>1</v>
      </c>
      <c r="D1329" s="18" t="s">
        <v>1846</v>
      </c>
      <c r="E1329" s="18" t="s">
        <v>1813</v>
      </c>
      <c r="F1329" s="18" t="s">
        <v>1810</v>
      </c>
      <c r="G1329" s="59">
        <v>1502.31</v>
      </c>
      <c r="H1329" s="59">
        <v>1502.31</v>
      </c>
      <c r="I1329" s="18" t="s">
        <v>152</v>
      </c>
      <c r="J1329" s="22" t="s">
        <v>152</v>
      </c>
      <c r="K1329" s="18" t="s">
        <v>2805</v>
      </c>
      <c r="L1329" s="30"/>
    </row>
    <row r="1330" spans="1:12" hidden="1" x14ac:dyDescent="0.25">
      <c r="A1330" s="18" t="s">
        <v>27</v>
      </c>
      <c r="B1330" s="57">
        <v>1.4004629629629629E-3</v>
      </c>
      <c r="C1330" s="58">
        <v>2</v>
      </c>
      <c r="D1330" s="18" t="s">
        <v>1876</v>
      </c>
      <c r="E1330" s="18" t="s">
        <v>1877</v>
      </c>
      <c r="F1330" s="18" t="s">
        <v>1810</v>
      </c>
      <c r="G1330" s="59">
        <v>3.7</v>
      </c>
      <c r="H1330" s="59">
        <v>7.4</v>
      </c>
      <c r="I1330" s="18" t="s">
        <v>367</v>
      </c>
      <c r="J1330" s="18" t="s">
        <v>1594</v>
      </c>
      <c r="K1330" s="18" t="s">
        <v>2805</v>
      </c>
      <c r="L1330" s="30"/>
    </row>
    <row r="1331" spans="1:12" hidden="1" x14ac:dyDescent="0.25">
      <c r="A1331" s="18" t="s">
        <v>27</v>
      </c>
      <c r="B1331" s="57">
        <v>4.5717592592592589E-3</v>
      </c>
      <c r="C1331" s="58">
        <v>4</v>
      </c>
      <c r="D1331" s="18" t="s">
        <v>1831</v>
      </c>
      <c r="E1331" s="18" t="s">
        <v>1830</v>
      </c>
      <c r="F1331" s="18" t="s">
        <v>1810</v>
      </c>
      <c r="G1331" s="59">
        <v>29.51</v>
      </c>
      <c r="H1331" s="59">
        <v>118.04</v>
      </c>
      <c r="I1331" s="18" t="s">
        <v>1665</v>
      </c>
      <c r="J1331" s="18" t="s">
        <v>512</v>
      </c>
      <c r="K1331" s="18" t="s">
        <v>2806</v>
      </c>
      <c r="L1331" s="30"/>
    </row>
    <row r="1332" spans="1:12" hidden="1" x14ac:dyDescent="0.25">
      <c r="A1332" s="18" t="s">
        <v>27</v>
      </c>
      <c r="B1332" s="57">
        <v>1.2847222222222222E-2</v>
      </c>
      <c r="C1332" s="58">
        <v>1</v>
      </c>
      <c r="D1332" s="18" t="s">
        <v>1868</v>
      </c>
      <c r="E1332" s="18" t="s">
        <v>1869</v>
      </c>
      <c r="F1332" s="18" t="s">
        <v>1810</v>
      </c>
      <c r="G1332" s="59">
        <v>1440.61</v>
      </c>
      <c r="H1332" s="59">
        <v>1440.61</v>
      </c>
      <c r="I1332" s="18" t="s">
        <v>550</v>
      </c>
      <c r="J1332" s="18" t="s">
        <v>550</v>
      </c>
      <c r="K1332" s="18" t="s">
        <v>2806</v>
      </c>
      <c r="L1332" s="30"/>
    </row>
    <row r="1333" spans="1:12" hidden="1" x14ac:dyDescent="0.25">
      <c r="A1333" s="18" t="s">
        <v>27</v>
      </c>
      <c r="B1333" s="57">
        <v>1.1458333333333333E-3</v>
      </c>
      <c r="C1333" s="58">
        <v>2</v>
      </c>
      <c r="D1333" s="18" t="s">
        <v>1908</v>
      </c>
      <c r="E1333" s="18" t="s">
        <v>2789</v>
      </c>
      <c r="F1333" s="18" t="s">
        <v>1810</v>
      </c>
      <c r="G1333" s="59">
        <v>9.57</v>
      </c>
      <c r="H1333" s="59">
        <v>19.14</v>
      </c>
      <c r="I1333" s="18" t="s">
        <v>1665</v>
      </c>
      <c r="J1333" s="18" t="s">
        <v>512</v>
      </c>
      <c r="K1333" s="18" t="s">
        <v>2806</v>
      </c>
      <c r="L1333" s="30"/>
    </row>
    <row r="1334" spans="1:12" hidden="1" x14ac:dyDescent="0.25">
      <c r="A1334" s="18" t="s">
        <v>27</v>
      </c>
      <c r="B1334" s="57">
        <v>2.4652777777777776E-3</v>
      </c>
      <c r="C1334" s="58">
        <v>3</v>
      </c>
      <c r="D1334" s="18" t="s">
        <v>1885</v>
      </c>
      <c r="E1334" s="18" t="s">
        <v>1886</v>
      </c>
      <c r="F1334" s="18" t="s">
        <v>1810</v>
      </c>
      <c r="G1334" s="59">
        <v>37.49</v>
      </c>
      <c r="H1334" s="59">
        <v>112.47</v>
      </c>
      <c r="I1334" s="18" t="s">
        <v>1672</v>
      </c>
      <c r="J1334" s="18" t="s">
        <v>115</v>
      </c>
      <c r="K1334" s="18" t="s">
        <v>2806</v>
      </c>
      <c r="L1334" s="30"/>
    </row>
    <row r="1335" spans="1:12" hidden="1" x14ac:dyDescent="0.25">
      <c r="A1335" s="18" t="s">
        <v>27</v>
      </c>
      <c r="B1335" s="57">
        <v>2.3148148148148147E-3</v>
      </c>
      <c r="C1335" s="58">
        <v>2</v>
      </c>
      <c r="D1335" s="18" t="s">
        <v>1814</v>
      </c>
      <c r="E1335" s="18" t="s">
        <v>1815</v>
      </c>
      <c r="F1335" s="18" t="s">
        <v>1810</v>
      </c>
      <c r="G1335" s="59">
        <v>24.5</v>
      </c>
      <c r="H1335" s="59">
        <v>49</v>
      </c>
      <c r="I1335" s="18" t="s">
        <v>367</v>
      </c>
      <c r="J1335" s="18" t="s">
        <v>367</v>
      </c>
      <c r="K1335" s="18" t="s">
        <v>2806</v>
      </c>
      <c r="L1335" s="30"/>
    </row>
    <row r="1336" spans="1:12" hidden="1" x14ac:dyDescent="0.25">
      <c r="A1336" s="18" t="s">
        <v>27</v>
      </c>
      <c r="B1336" s="57">
        <v>8.9120370370370362E-4</v>
      </c>
      <c r="C1336" s="58">
        <v>1</v>
      </c>
      <c r="D1336" s="18" t="s">
        <v>1851</v>
      </c>
      <c r="E1336" s="18" t="s">
        <v>1852</v>
      </c>
      <c r="F1336" s="18" t="s">
        <v>1810</v>
      </c>
      <c r="G1336" s="59">
        <v>48.05</v>
      </c>
      <c r="H1336" s="59">
        <v>48.05</v>
      </c>
      <c r="I1336" s="18" t="s">
        <v>367</v>
      </c>
      <c r="J1336" s="18" t="s">
        <v>1593</v>
      </c>
      <c r="K1336" s="18" t="s">
        <v>2806</v>
      </c>
      <c r="L1336" s="30"/>
    </row>
    <row r="1337" spans="1:12" hidden="1" x14ac:dyDescent="0.25">
      <c r="A1337" s="18" t="s">
        <v>27</v>
      </c>
      <c r="B1337" s="57">
        <v>2.1759259259259258E-3</v>
      </c>
      <c r="C1337" s="58">
        <v>2</v>
      </c>
      <c r="D1337" s="18" t="s">
        <v>1911</v>
      </c>
      <c r="E1337" s="18" t="s">
        <v>1809</v>
      </c>
      <c r="F1337" s="18" t="s">
        <v>1810</v>
      </c>
      <c r="G1337" s="59">
        <v>55.45</v>
      </c>
      <c r="H1337" s="59">
        <v>110.9</v>
      </c>
      <c r="I1337" s="18" t="s">
        <v>367</v>
      </c>
      <c r="J1337" s="18" t="s">
        <v>1594</v>
      </c>
      <c r="K1337" s="18" t="s">
        <v>2806</v>
      </c>
      <c r="L1337" s="30"/>
    </row>
    <row r="1338" spans="1:12" hidden="1" x14ac:dyDescent="0.25">
      <c r="A1338" s="18" t="s">
        <v>27</v>
      </c>
      <c r="B1338" s="57">
        <v>4.6064814814814814E-3</v>
      </c>
      <c r="C1338" s="58">
        <v>6</v>
      </c>
      <c r="D1338" s="18" t="s">
        <v>1888</v>
      </c>
      <c r="E1338" s="18" t="s">
        <v>1889</v>
      </c>
      <c r="F1338" s="18" t="s">
        <v>1810</v>
      </c>
      <c r="G1338" s="59">
        <v>66.22</v>
      </c>
      <c r="H1338" s="59">
        <v>397.32</v>
      </c>
      <c r="I1338" s="18" t="s">
        <v>1583</v>
      </c>
      <c r="J1338" s="18" t="s">
        <v>1583</v>
      </c>
      <c r="K1338" s="18" t="s">
        <v>2807</v>
      </c>
      <c r="L1338" s="30"/>
    </row>
    <row r="1339" spans="1:12" hidden="1" x14ac:dyDescent="0.25">
      <c r="A1339" s="18" t="s">
        <v>27</v>
      </c>
      <c r="B1339" s="57">
        <v>1.9907407407407408E-3</v>
      </c>
      <c r="C1339" s="58">
        <v>2</v>
      </c>
      <c r="D1339" s="18" t="s">
        <v>1831</v>
      </c>
      <c r="E1339" s="18" t="s">
        <v>1830</v>
      </c>
      <c r="F1339" s="18" t="s">
        <v>1810</v>
      </c>
      <c r="G1339" s="59">
        <v>29.51</v>
      </c>
      <c r="H1339" s="59">
        <v>59.02</v>
      </c>
      <c r="I1339" s="18" t="s">
        <v>1665</v>
      </c>
      <c r="J1339" s="18" t="s">
        <v>512</v>
      </c>
      <c r="K1339" s="18" t="s">
        <v>2807</v>
      </c>
      <c r="L1339" s="30"/>
    </row>
    <row r="1340" spans="1:12" hidden="1" x14ac:dyDescent="0.25">
      <c r="A1340" s="18" t="s">
        <v>27</v>
      </c>
      <c r="B1340" s="57">
        <v>9.837962962962962E-4</v>
      </c>
      <c r="C1340" s="58">
        <v>2</v>
      </c>
      <c r="D1340" s="18" t="s">
        <v>1896</v>
      </c>
      <c r="E1340" s="18" t="s">
        <v>2792</v>
      </c>
      <c r="F1340" s="18" t="s">
        <v>1810</v>
      </c>
      <c r="G1340" s="59">
        <v>10.62</v>
      </c>
      <c r="H1340" s="59">
        <v>21.24</v>
      </c>
      <c r="I1340" s="18" t="s">
        <v>1665</v>
      </c>
      <c r="J1340" s="18" t="s">
        <v>512</v>
      </c>
      <c r="K1340" s="18" t="s">
        <v>2807</v>
      </c>
      <c r="L1340" s="30"/>
    </row>
    <row r="1341" spans="1:12" hidden="1" x14ac:dyDescent="0.25">
      <c r="A1341" s="18" t="s">
        <v>27</v>
      </c>
      <c r="B1341" s="57">
        <v>2.650462962962963E-3</v>
      </c>
      <c r="C1341" s="58">
        <v>2</v>
      </c>
      <c r="D1341" s="18" t="s">
        <v>2543</v>
      </c>
      <c r="E1341" s="18" t="s">
        <v>2544</v>
      </c>
      <c r="F1341" s="18" t="s">
        <v>1810</v>
      </c>
      <c r="G1341" s="59">
        <v>249.11</v>
      </c>
      <c r="H1341" s="59">
        <v>498.22</v>
      </c>
      <c r="I1341" s="18" t="s">
        <v>367</v>
      </c>
      <c r="J1341" s="22" t="s">
        <v>512</v>
      </c>
      <c r="K1341" s="18" t="s">
        <v>2807</v>
      </c>
      <c r="L1341" s="30"/>
    </row>
    <row r="1342" spans="1:12" hidden="1" x14ac:dyDescent="0.25">
      <c r="A1342" s="18" t="s">
        <v>27</v>
      </c>
      <c r="B1342" s="57">
        <v>4.5138888888888887E-4</v>
      </c>
      <c r="C1342" s="58">
        <v>1</v>
      </c>
      <c r="D1342" s="18" t="s">
        <v>1844</v>
      </c>
      <c r="E1342" s="18" t="s">
        <v>1845</v>
      </c>
      <c r="F1342" s="18" t="s">
        <v>1810</v>
      </c>
      <c r="G1342" s="59">
        <v>8.31</v>
      </c>
      <c r="H1342" s="59">
        <v>8.31</v>
      </c>
      <c r="I1342" s="18" t="s">
        <v>367</v>
      </c>
      <c r="J1342" s="22" t="s">
        <v>512</v>
      </c>
      <c r="K1342" s="18" t="s">
        <v>2807</v>
      </c>
      <c r="L1342" s="30"/>
    </row>
    <row r="1343" spans="1:12" hidden="1" x14ac:dyDescent="0.25">
      <c r="A1343" s="18" t="s">
        <v>27</v>
      </c>
      <c r="B1343" s="57">
        <v>2.685185185185185E-3</v>
      </c>
      <c r="C1343" s="58">
        <v>2</v>
      </c>
      <c r="D1343" s="18" t="s">
        <v>2548</v>
      </c>
      <c r="E1343" s="18" t="s">
        <v>2808</v>
      </c>
      <c r="F1343" s="18" t="s">
        <v>1810</v>
      </c>
      <c r="G1343" s="59">
        <v>255.38</v>
      </c>
      <c r="H1343" s="59">
        <v>510.76</v>
      </c>
      <c r="I1343" s="18" t="s">
        <v>367</v>
      </c>
      <c r="J1343" s="18" t="s">
        <v>1599</v>
      </c>
      <c r="K1343" s="18" t="s">
        <v>2807</v>
      </c>
      <c r="L1343" s="30"/>
    </row>
    <row r="1344" spans="1:12" hidden="1" x14ac:dyDescent="0.25">
      <c r="A1344" s="18" t="s">
        <v>27</v>
      </c>
      <c r="B1344" s="57">
        <v>1.1458333333333333E-3</v>
      </c>
      <c r="C1344" s="58">
        <v>1</v>
      </c>
      <c r="D1344" s="18" t="s">
        <v>2809</v>
      </c>
      <c r="E1344" s="18" t="s">
        <v>2810</v>
      </c>
      <c r="F1344" s="18" t="s">
        <v>1810</v>
      </c>
      <c r="G1344" s="59">
        <v>197.93</v>
      </c>
      <c r="H1344" s="59">
        <v>197.93</v>
      </c>
      <c r="I1344" s="18" t="s">
        <v>2763</v>
      </c>
      <c r="J1344" s="18" t="s">
        <v>512</v>
      </c>
      <c r="K1344" s="18" t="s">
        <v>2807</v>
      </c>
      <c r="L1344" s="30"/>
    </row>
    <row r="1345" spans="1:12" hidden="1" x14ac:dyDescent="0.25">
      <c r="A1345" s="18" t="s">
        <v>27</v>
      </c>
      <c r="B1345" s="57">
        <v>1.1458333333333333E-3</v>
      </c>
      <c r="C1345" s="58">
        <v>1</v>
      </c>
      <c r="D1345" s="18" t="s">
        <v>2811</v>
      </c>
      <c r="E1345" s="18" t="s">
        <v>2810</v>
      </c>
      <c r="F1345" s="18" t="s">
        <v>1810</v>
      </c>
      <c r="G1345" s="59">
        <v>197.93</v>
      </c>
      <c r="H1345" s="59">
        <v>197.93</v>
      </c>
      <c r="I1345" s="18" t="s">
        <v>2763</v>
      </c>
      <c r="J1345" s="18" t="s">
        <v>512</v>
      </c>
      <c r="K1345" s="18" t="s">
        <v>2807</v>
      </c>
      <c r="L1345" s="30"/>
    </row>
    <row r="1346" spans="1:12" hidden="1" x14ac:dyDescent="0.25">
      <c r="A1346" s="18" t="s">
        <v>27</v>
      </c>
      <c r="B1346" s="57">
        <v>5.4398148148148144E-4</v>
      </c>
      <c r="C1346" s="58">
        <v>1</v>
      </c>
      <c r="D1346" s="18" t="s">
        <v>2812</v>
      </c>
      <c r="E1346" s="18" t="s">
        <v>2813</v>
      </c>
      <c r="F1346" s="18" t="s">
        <v>1810</v>
      </c>
      <c r="G1346" s="59">
        <v>21.26</v>
      </c>
      <c r="H1346" s="59">
        <v>21.26</v>
      </c>
      <c r="I1346" s="18" t="s">
        <v>152</v>
      </c>
      <c r="J1346" s="18" t="s">
        <v>152</v>
      </c>
      <c r="K1346" s="18" t="s">
        <v>2807</v>
      </c>
      <c r="L1346" s="30"/>
    </row>
    <row r="1347" spans="1:12" hidden="1" x14ac:dyDescent="0.25">
      <c r="A1347" s="18" t="s">
        <v>27</v>
      </c>
      <c r="B1347" s="57">
        <v>5.4398148148148144E-4</v>
      </c>
      <c r="C1347" s="58">
        <v>1</v>
      </c>
      <c r="D1347" s="18" t="s">
        <v>2814</v>
      </c>
      <c r="E1347" s="18" t="s">
        <v>2813</v>
      </c>
      <c r="F1347" s="18" t="s">
        <v>1810</v>
      </c>
      <c r="G1347" s="59">
        <v>21.26</v>
      </c>
      <c r="H1347" s="59">
        <v>21.26</v>
      </c>
      <c r="I1347" s="18" t="s">
        <v>152</v>
      </c>
      <c r="J1347" s="18" t="s">
        <v>152</v>
      </c>
      <c r="K1347" s="18" t="s">
        <v>2807</v>
      </c>
      <c r="L1347" s="30"/>
    </row>
    <row r="1348" spans="1:12" hidden="1" x14ac:dyDescent="0.25">
      <c r="A1348" s="18" t="s">
        <v>27</v>
      </c>
      <c r="B1348" s="57">
        <v>5.0115740740740737E-3</v>
      </c>
      <c r="C1348" s="58">
        <v>6</v>
      </c>
      <c r="D1348" s="18" t="s">
        <v>1888</v>
      </c>
      <c r="E1348" s="18" t="s">
        <v>1889</v>
      </c>
      <c r="F1348" s="18" t="s">
        <v>1810</v>
      </c>
      <c r="G1348" s="59">
        <v>66.22</v>
      </c>
      <c r="H1348" s="59">
        <v>397.32</v>
      </c>
      <c r="I1348" s="18" t="s">
        <v>1583</v>
      </c>
      <c r="J1348" s="18" t="s">
        <v>1583</v>
      </c>
      <c r="K1348" s="18" t="s">
        <v>2815</v>
      </c>
      <c r="L1348" s="30"/>
    </row>
    <row r="1349" spans="1:12" hidden="1" x14ac:dyDescent="0.25">
      <c r="A1349" s="18" t="s">
        <v>27</v>
      </c>
      <c r="B1349" s="57">
        <v>8.7037037037037031E-3</v>
      </c>
      <c r="C1349" s="58">
        <v>6</v>
      </c>
      <c r="D1349" s="18" t="s">
        <v>2033</v>
      </c>
      <c r="E1349" s="18" t="s">
        <v>1962</v>
      </c>
      <c r="F1349" s="18" t="s">
        <v>1810</v>
      </c>
      <c r="G1349" s="59">
        <v>252.68</v>
      </c>
      <c r="H1349" s="59">
        <v>1516.08</v>
      </c>
      <c r="I1349" s="18" t="s">
        <v>511</v>
      </c>
      <c r="J1349" s="18" t="s">
        <v>512</v>
      </c>
      <c r="K1349" s="18" t="s">
        <v>2815</v>
      </c>
      <c r="L1349" s="30"/>
    </row>
    <row r="1350" spans="1:12" hidden="1" x14ac:dyDescent="0.25">
      <c r="A1350" s="18" t="s">
        <v>27</v>
      </c>
      <c r="B1350" s="57">
        <v>1.0763888888888889E-3</v>
      </c>
      <c r="C1350" s="58">
        <v>1</v>
      </c>
      <c r="D1350" s="18" t="s">
        <v>1831</v>
      </c>
      <c r="E1350" s="18" t="s">
        <v>1830</v>
      </c>
      <c r="F1350" s="18" t="s">
        <v>1810</v>
      </c>
      <c r="G1350" s="59">
        <v>29.51</v>
      </c>
      <c r="H1350" s="59">
        <v>29.51</v>
      </c>
      <c r="I1350" s="18" t="s">
        <v>1665</v>
      </c>
      <c r="J1350" s="18" t="s">
        <v>512</v>
      </c>
      <c r="K1350" s="18" t="s">
        <v>2815</v>
      </c>
      <c r="L1350" s="30"/>
    </row>
    <row r="1351" spans="1:12" hidden="1" x14ac:dyDescent="0.25">
      <c r="A1351" s="18" t="s">
        <v>27</v>
      </c>
      <c r="B1351" s="57">
        <v>7.9861111111111105E-4</v>
      </c>
      <c r="C1351" s="58">
        <v>1</v>
      </c>
      <c r="D1351" s="18" t="s">
        <v>1912</v>
      </c>
      <c r="E1351" s="18" t="s">
        <v>1913</v>
      </c>
      <c r="F1351" s="18" t="s">
        <v>1810</v>
      </c>
      <c r="G1351" s="59">
        <v>36.96</v>
      </c>
      <c r="H1351" s="59">
        <v>36.96</v>
      </c>
      <c r="I1351" s="18" t="s">
        <v>367</v>
      </c>
      <c r="J1351" s="18" t="s">
        <v>1594</v>
      </c>
      <c r="K1351" s="18" t="s">
        <v>2815</v>
      </c>
      <c r="L1351" s="30"/>
    </row>
    <row r="1352" spans="1:12" hidden="1" x14ac:dyDescent="0.25">
      <c r="A1352" s="18" t="s">
        <v>27</v>
      </c>
      <c r="B1352" s="57">
        <v>9.7222222222222219E-4</v>
      </c>
      <c r="C1352" s="58">
        <v>1</v>
      </c>
      <c r="D1352" s="18" t="s">
        <v>1831</v>
      </c>
      <c r="E1352" s="18" t="s">
        <v>1830</v>
      </c>
      <c r="F1352" s="18" t="s">
        <v>1810</v>
      </c>
      <c r="G1352" s="59">
        <v>29.51</v>
      </c>
      <c r="H1352" s="59">
        <v>29.51</v>
      </c>
      <c r="I1352" s="18" t="s">
        <v>1665</v>
      </c>
      <c r="J1352" s="18" t="s">
        <v>512</v>
      </c>
      <c r="K1352" s="18" t="s">
        <v>2816</v>
      </c>
      <c r="L1352" s="30"/>
    </row>
    <row r="1353" spans="1:12" hidden="1" x14ac:dyDescent="0.25">
      <c r="A1353" s="18" t="s">
        <v>27</v>
      </c>
      <c r="B1353" s="57">
        <v>7.0601851851851847E-4</v>
      </c>
      <c r="C1353" s="58">
        <v>1</v>
      </c>
      <c r="D1353" s="18" t="s">
        <v>1940</v>
      </c>
      <c r="E1353" s="18" t="s">
        <v>1886</v>
      </c>
      <c r="F1353" s="18" t="s">
        <v>1810</v>
      </c>
      <c r="G1353" s="59">
        <v>37.479999999999997</v>
      </c>
      <c r="H1353" s="59">
        <v>37.479999999999997</v>
      </c>
      <c r="I1353" s="18" t="s">
        <v>1665</v>
      </c>
      <c r="J1353" s="18" t="s">
        <v>115</v>
      </c>
      <c r="K1353" s="18" t="s">
        <v>2816</v>
      </c>
      <c r="L1353" s="30"/>
    </row>
    <row r="1354" spans="1:12" hidden="1" x14ac:dyDescent="0.25">
      <c r="A1354" s="18" t="s">
        <v>27</v>
      </c>
      <c r="B1354" s="57">
        <v>2.8356481481481479E-3</v>
      </c>
      <c r="C1354" s="58">
        <v>4</v>
      </c>
      <c r="D1354" s="18" t="s">
        <v>1885</v>
      </c>
      <c r="E1354" s="18" t="s">
        <v>1886</v>
      </c>
      <c r="F1354" s="18" t="s">
        <v>1810</v>
      </c>
      <c r="G1354" s="59">
        <v>37.49</v>
      </c>
      <c r="H1354" s="59">
        <v>149.96</v>
      </c>
      <c r="I1354" s="18" t="s">
        <v>1672</v>
      </c>
      <c r="J1354" s="18" t="s">
        <v>115</v>
      </c>
      <c r="K1354" s="18" t="s">
        <v>2816</v>
      </c>
      <c r="L1354" s="30"/>
    </row>
    <row r="1355" spans="1:12" hidden="1" x14ac:dyDescent="0.25">
      <c r="A1355" s="18" t="s">
        <v>27</v>
      </c>
      <c r="B1355" s="57">
        <v>9.2013888888888892E-3</v>
      </c>
      <c r="C1355" s="58">
        <v>6</v>
      </c>
      <c r="D1355" s="18" t="s">
        <v>1961</v>
      </c>
      <c r="E1355" s="18" t="s">
        <v>1962</v>
      </c>
      <c r="F1355" s="18" t="s">
        <v>1810</v>
      </c>
      <c r="G1355" s="59">
        <v>252.68</v>
      </c>
      <c r="H1355" s="59">
        <v>1516.08</v>
      </c>
      <c r="I1355" s="18" t="s">
        <v>511</v>
      </c>
      <c r="J1355" s="18" t="s">
        <v>512</v>
      </c>
      <c r="K1355" s="18" t="s">
        <v>2816</v>
      </c>
      <c r="L1355" s="30"/>
    </row>
    <row r="1356" spans="1:12" hidden="1" x14ac:dyDescent="0.25">
      <c r="A1356" s="18" t="s">
        <v>27</v>
      </c>
      <c r="B1356" s="57">
        <v>9.9537037037037042E-4</v>
      </c>
      <c r="C1356" s="58">
        <v>1</v>
      </c>
      <c r="D1356" s="18" t="s">
        <v>1814</v>
      </c>
      <c r="E1356" s="18" t="s">
        <v>1815</v>
      </c>
      <c r="F1356" s="18" t="s">
        <v>1810</v>
      </c>
      <c r="G1356" s="59">
        <v>24.5</v>
      </c>
      <c r="H1356" s="59">
        <v>24.5</v>
      </c>
      <c r="I1356" s="18" t="s">
        <v>367</v>
      </c>
      <c r="J1356" s="18" t="s">
        <v>367</v>
      </c>
      <c r="K1356" s="18" t="s">
        <v>2816</v>
      </c>
      <c r="L1356" s="30"/>
    </row>
    <row r="1357" spans="1:12" hidden="1" x14ac:dyDescent="0.25">
      <c r="A1357" s="18" t="s">
        <v>27</v>
      </c>
      <c r="B1357" s="57">
        <v>7.0601851851851847E-4</v>
      </c>
      <c r="C1357" s="58">
        <v>1</v>
      </c>
      <c r="D1357" s="18" t="s">
        <v>1969</v>
      </c>
      <c r="E1357" s="18" t="s">
        <v>1970</v>
      </c>
      <c r="F1357" s="18" t="s">
        <v>1810</v>
      </c>
      <c r="G1357" s="59">
        <v>37.729999999999997</v>
      </c>
      <c r="H1357" s="59">
        <v>37.729999999999997</v>
      </c>
      <c r="I1357" s="18" t="s">
        <v>367</v>
      </c>
      <c r="J1357" s="18" t="s">
        <v>1594</v>
      </c>
      <c r="K1357" s="18" t="s">
        <v>2816</v>
      </c>
      <c r="L1357" s="30"/>
    </row>
    <row r="1358" spans="1:12" hidden="1" x14ac:dyDescent="0.25">
      <c r="A1358" s="18" t="s">
        <v>27</v>
      </c>
      <c r="B1358" s="57">
        <v>4.6296296296296293E-4</v>
      </c>
      <c r="C1358" s="58">
        <v>1</v>
      </c>
      <c r="D1358" s="18" t="s">
        <v>1853</v>
      </c>
      <c r="E1358" s="18" t="s">
        <v>1854</v>
      </c>
      <c r="F1358" s="18" t="s">
        <v>1810</v>
      </c>
      <c r="G1358" s="59">
        <v>7.91</v>
      </c>
      <c r="H1358" s="59">
        <v>7.91</v>
      </c>
      <c r="I1358" s="18" t="s">
        <v>367</v>
      </c>
      <c r="J1358" s="18" t="s">
        <v>1594</v>
      </c>
      <c r="K1358" s="18" t="s">
        <v>2816</v>
      </c>
      <c r="L1358" s="30"/>
    </row>
    <row r="1359" spans="1:12" hidden="1" x14ac:dyDescent="0.25">
      <c r="A1359" s="18" t="s">
        <v>27</v>
      </c>
      <c r="B1359" s="57">
        <v>1.2152777777777778E-3</v>
      </c>
      <c r="C1359" s="58">
        <v>1</v>
      </c>
      <c r="D1359" s="18" t="s">
        <v>2817</v>
      </c>
      <c r="E1359" s="18" t="s">
        <v>2797</v>
      </c>
      <c r="F1359" s="18" t="s">
        <v>1810</v>
      </c>
      <c r="G1359" s="59">
        <v>160.62</v>
      </c>
      <c r="H1359" s="59">
        <v>160.62</v>
      </c>
      <c r="I1359" s="18" t="s">
        <v>152</v>
      </c>
      <c r="J1359" s="18" t="s">
        <v>152</v>
      </c>
      <c r="K1359" s="18" t="s">
        <v>2816</v>
      </c>
      <c r="L1359" s="30"/>
    </row>
    <row r="1360" spans="1:12" hidden="1" x14ac:dyDescent="0.25">
      <c r="A1360" s="18" t="s">
        <v>27</v>
      </c>
      <c r="B1360" s="57">
        <v>9.8958333333333329E-3</v>
      </c>
      <c r="C1360" s="58">
        <v>6</v>
      </c>
      <c r="D1360" s="18" t="s">
        <v>1961</v>
      </c>
      <c r="E1360" s="18" t="s">
        <v>1962</v>
      </c>
      <c r="F1360" s="18" t="s">
        <v>1810</v>
      </c>
      <c r="G1360" s="59">
        <v>252.68</v>
      </c>
      <c r="H1360" s="59">
        <v>1516.08</v>
      </c>
      <c r="I1360" s="18" t="s">
        <v>511</v>
      </c>
      <c r="J1360" s="18" t="s">
        <v>512</v>
      </c>
      <c r="K1360" s="18" t="s">
        <v>2818</v>
      </c>
      <c r="L1360" s="30"/>
    </row>
    <row r="1361" spans="1:12" hidden="1" x14ac:dyDescent="0.25">
      <c r="A1361" s="18" t="s">
        <v>27</v>
      </c>
      <c r="B1361" s="57">
        <v>1.4467592592592592E-3</v>
      </c>
      <c r="C1361" s="58">
        <v>1</v>
      </c>
      <c r="D1361" s="18" t="s">
        <v>2819</v>
      </c>
      <c r="E1361" s="18" t="s">
        <v>2820</v>
      </c>
      <c r="F1361" s="18" t="s">
        <v>1810</v>
      </c>
      <c r="G1361" s="59">
        <v>201.47</v>
      </c>
      <c r="H1361" s="59">
        <v>201.47</v>
      </c>
      <c r="I1361" s="18" t="s">
        <v>2763</v>
      </c>
      <c r="J1361" s="18" t="s">
        <v>512</v>
      </c>
      <c r="K1361" s="18" t="s">
        <v>2818</v>
      </c>
      <c r="L1361" s="30"/>
    </row>
    <row r="1362" spans="1:12" hidden="1" x14ac:dyDescent="0.25">
      <c r="A1362" s="18" t="s">
        <v>27</v>
      </c>
      <c r="B1362" s="57">
        <v>1.4351851851851852E-3</v>
      </c>
      <c r="C1362" s="58">
        <v>1</v>
      </c>
      <c r="D1362" s="18" t="s">
        <v>2821</v>
      </c>
      <c r="E1362" s="18" t="s">
        <v>2810</v>
      </c>
      <c r="F1362" s="18" t="s">
        <v>1810</v>
      </c>
      <c r="G1362" s="59">
        <v>197.93</v>
      </c>
      <c r="H1362" s="59">
        <v>197.93</v>
      </c>
      <c r="I1362" s="18" t="s">
        <v>2763</v>
      </c>
      <c r="J1362" s="18" t="s">
        <v>512</v>
      </c>
      <c r="K1362" s="18" t="s">
        <v>2818</v>
      </c>
      <c r="L1362" s="30"/>
    </row>
    <row r="1363" spans="1:12" hidden="1" x14ac:dyDescent="0.25">
      <c r="A1363" s="18" t="s">
        <v>27</v>
      </c>
      <c r="B1363" s="57">
        <v>5.7870370370370367E-4</v>
      </c>
      <c r="C1363" s="58">
        <v>1</v>
      </c>
      <c r="D1363" s="18" t="s">
        <v>2814</v>
      </c>
      <c r="E1363" s="18" t="s">
        <v>2813</v>
      </c>
      <c r="F1363" s="18" t="s">
        <v>1810</v>
      </c>
      <c r="G1363" s="59">
        <v>21.26</v>
      </c>
      <c r="H1363" s="59">
        <v>21.26</v>
      </c>
      <c r="I1363" s="18" t="s">
        <v>152</v>
      </c>
      <c r="J1363" s="18" t="s">
        <v>152</v>
      </c>
      <c r="K1363" s="18" t="s">
        <v>2818</v>
      </c>
      <c r="L1363" s="30"/>
    </row>
    <row r="1364" spans="1:12" hidden="1" x14ac:dyDescent="0.25">
      <c r="A1364" s="18" t="s">
        <v>27</v>
      </c>
      <c r="B1364" s="57">
        <v>7.5231481481481482E-4</v>
      </c>
      <c r="C1364" s="58">
        <v>1</v>
      </c>
      <c r="D1364" s="18" t="s">
        <v>2822</v>
      </c>
      <c r="E1364" s="18" t="s">
        <v>1886</v>
      </c>
      <c r="F1364" s="18" t="s">
        <v>1810</v>
      </c>
      <c r="G1364" s="59">
        <v>37.49</v>
      </c>
      <c r="H1364" s="59">
        <v>37.49</v>
      </c>
      <c r="I1364" s="18" t="s">
        <v>2823</v>
      </c>
      <c r="J1364" s="18" t="s">
        <v>2823</v>
      </c>
      <c r="K1364" s="18" t="s">
        <v>2818</v>
      </c>
      <c r="L1364" s="30"/>
    </row>
    <row r="1365" spans="1:12" hidden="1" x14ac:dyDescent="0.25">
      <c r="A1365" s="18" t="s">
        <v>27</v>
      </c>
      <c r="B1365" s="57">
        <v>2.9976851851851853E-3</v>
      </c>
      <c r="C1365" s="58">
        <v>2</v>
      </c>
      <c r="D1365" s="18" t="s">
        <v>2033</v>
      </c>
      <c r="E1365" s="18" t="s">
        <v>1962</v>
      </c>
      <c r="F1365" s="18" t="s">
        <v>1810</v>
      </c>
      <c r="G1365" s="59">
        <v>252.68</v>
      </c>
      <c r="H1365" s="59">
        <v>505.36</v>
      </c>
      <c r="I1365" s="18" t="s">
        <v>511</v>
      </c>
      <c r="J1365" s="18" t="s">
        <v>512</v>
      </c>
      <c r="K1365" s="18" t="s">
        <v>2824</v>
      </c>
      <c r="L1365" s="30"/>
    </row>
    <row r="1366" spans="1:12" hidden="1" x14ac:dyDescent="0.25">
      <c r="A1366" s="18" t="s">
        <v>27</v>
      </c>
      <c r="B1366" s="57">
        <v>8.2175925925925927E-4</v>
      </c>
      <c r="C1366" s="58">
        <v>1</v>
      </c>
      <c r="D1366" s="18" t="s">
        <v>1912</v>
      </c>
      <c r="E1366" s="18" t="s">
        <v>1913</v>
      </c>
      <c r="F1366" s="18" t="s">
        <v>1810</v>
      </c>
      <c r="G1366" s="59">
        <v>36.96</v>
      </c>
      <c r="H1366" s="59">
        <v>36.96</v>
      </c>
      <c r="I1366" s="18" t="s">
        <v>367</v>
      </c>
      <c r="J1366" s="18" t="s">
        <v>1594</v>
      </c>
      <c r="K1366" s="18" t="s">
        <v>2824</v>
      </c>
      <c r="L1366" s="30"/>
    </row>
    <row r="1367" spans="1:12" hidden="1" x14ac:dyDescent="0.25">
      <c r="A1367" s="18" t="s">
        <v>27</v>
      </c>
      <c r="B1367" s="57">
        <v>3.0208333333333333E-3</v>
      </c>
      <c r="C1367" s="58">
        <v>2</v>
      </c>
      <c r="D1367" s="18" t="s">
        <v>2546</v>
      </c>
      <c r="E1367" s="18" t="s">
        <v>2808</v>
      </c>
      <c r="F1367" s="18" t="s">
        <v>1810</v>
      </c>
      <c r="G1367" s="59">
        <v>255.39</v>
      </c>
      <c r="H1367" s="59">
        <v>510.78</v>
      </c>
      <c r="I1367" s="18" t="s">
        <v>367</v>
      </c>
      <c r="J1367" s="18" t="s">
        <v>1598</v>
      </c>
      <c r="K1367" s="18" t="s">
        <v>2824</v>
      </c>
      <c r="L1367" s="30"/>
    </row>
    <row r="1368" spans="1:12" hidden="1" x14ac:dyDescent="0.25">
      <c r="A1368" s="18" t="s">
        <v>27</v>
      </c>
      <c r="B1368" s="57">
        <v>1.2962962962962963E-3</v>
      </c>
      <c r="C1368" s="58">
        <v>1</v>
      </c>
      <c r="D1368" s="18" t="s">
        <v>2825</v>
      </c>
      <c r="E1368" s="18" t="s">
        <v>2810</v>
      </c>
      <c r="F1368" s="18" t="s">
        <v>1810</v>
      </c>
      <c r="G1368" s="59">
        <v>197.93</v>
      </c>
      <c r="H1368" s="59">
        <v>197.93</v>
      </c>
      <c r="I1368" s="18" t="s">
        <v>2763</v>
      </c>
      <c r="J1368" s="18" t="s">
        <v>512</v>
      </c>
      <c r="K1368" s="18" t="s">
        <v>2824</v>
      </c>
      <c r="L1368" s="30"/>
    </row>
    <row r="1369" spans="1:12" hidden="1" x14ac:dyDescent="0.25">
      <c r="A1369" s="18" t="s">
        <v>27</v>
      </c>
      <c r="B1369" s="57">
        <v>1.5393518518518519E-3</v>
      </c>
      <c r="C1369" s="58">
        <v>1</v>
      </c>
      <c r="D1369" s="18" t="s">
        <v>2826</v>
      </c>
      <c r="E1369" s="18" t="s">
        <v>2820</v>
      </c>
      <c r="F1369" s="18" t="s">
        <v>1810</v>
      </c>
      <c r="G1369" s="59">
        <v>201.47</v>
      </c>
      <c r="H1369" s="59">
        <v>201.47</v>
      </c>
      <c r="I1369" s="18" t="s">
        <v>2763</v>
      </c>
      <c r="J1369" s="18" t="s">
        <v>512</v>
      </c>
      <c r="K1369" s="18" t="s">
        <v>2824</v>
      </c>
      <c r="L1369" s="30"/>
    </row>
    <row r="1370" spans="1:12" hidden="1" x14ac:dyDescent="0.25">
      <c r="A1370" s="18" t="s">
        <v>27</v>
      </c>
      <c r="B1370" s="57">
        <v>6.134259259259259E-4</v>
      </c>
      <c r="C1370" s="58">
        <v>1</v>
      </c>
      <c r="D1370" s="18" t="s">
        <v>2827</v>
      </c>
      <c r="E1370" s="18" t="s">
        <v>2813</v>
      </c>
      <c r="F1370" s="18" t="s">
        <v>1810</v>
      </c>
      <c r="G1370" s="59">
        <v>21.26</v>
      </c>
      <c r="H1370" s="59">
        <v>21.26</v>
      </c>
      <c r="I1370" s="18" t="s">
        <v>152</v>
      </c>
      <c r="J1370" s="18" t="s">
        <v>152</v>
      </c>
      <c r="K1370" s="18" t="s">
        <v>2824</v>
      </c>
      <c r="L1370" s="30"/>
    </row>
    <row r="1371" spans="1:12" hidden="1" x14ac:dyDescent="0.25">
      <c r="A1371" s="18" t="s">
        <v>27</v>
      </c>
      <c r="B1371" s="57">
        <v>2.7777777777777775E-3</v>
      </c>
      <c r="C1371" s="58">
        <v>2</v>
      </c>
      <c r="D1371" s="18" t="s">
        <v>2828</v>
      </c>
      <c r="E1371" s="18" t="s">
        <v>2797</v>
      </c>
      <c r="F1371" s="18" t="s">
        <v>1810</v>
      </c>
      <c r="G1371" s="59">
        <v>160.62</v>
      </c>
      <c r="H1371" s="59">
        <v>321.24</v>
      </c>
      <c r="I1371" s="18" t="s">
        <v>152</v>
      </c>
      <c r="J1371" s="18" t="s">
        <v>152</v>
      </c>
      <c r="K1371" s="18" t="s">
        <v>2824</v>
      </c>
      <c r="L1371" s="30"/>
    </row>
    <row r="1372" spans="1:12" hidden="1" x14ac:dyDescent="0.25">
      <c r="A1372" s="18" t="s">
        <v>27</v>
      </c>
      <c r="B1372" s="57">
        <v>1.3888888888888887E-3</v>
      </c>
      <c r="C1372" s="58">
        <v>1</v>
      </c>
      <c r="D1372" s="18" t="s">
        <v>2796</v>
      </c>
      <c r="E1372" s="18" t="s">
        <v>2797</v>
      </c>
      <c r="F1372" s="18" t="s">
        <v>1810</v>
      </c>
      <c r="G1372" s="59">
        <v>160.62</v>
      </c>
      <c r="H1372" s="59">
        <v>160.62</v>
      </c>
      <c r="I1372" s="18" t="s">
        <v>152</v>
      </c>
      <c r="J1372" s="18" t="s">
        <v>152</v>
      </c>
      <c r="K1372" s="18" t="s">
        <v>2824</v>
      </c>
      <c r="L1372" s="30"/>
    </row>
    <row r="1373" spans="1:12" hidden="1" x14ac:dyDescent="0.25">
      <c r="A1373" s="18" t="s">
        <v>27</v>
      </c>
      <c r="B1373" s="57">
        <v>5.3356481481481475E-3</v>
      </c>
      <c r="C1373" s="58">
        <v>4</v>
      </c>
      <c r="D1373" s="18" t="s">
        <v>2033</v>
      </c>
      <c r="E1373" s="18" t="s">
        <v>1962</v>
      </c>
      <c r="F1373" s="18" t="s">
        <v>1810</v>
      </c>
      <c r="G1373" s="59">
        <v>252.68</v>
      </c>
      <c r="H1373" s="59">
        <v>1010.72</v>
      </c>
      <c r="I1373" s="18" t="s">
        <v>511</v>
      </c>
      <c r="J1373" s="18" t="s">
        <v>512</v>
      </c>
      <c r="K1373" s="18" t="s">
        <v>2829</v>
      </c>
      <c r="L1373" s="30"/>
    </row>
    <row r="1374" spans="1:12" hidden="1" x14ac:dyDescent="0.25">
      <c r="A1374" s="18" t="s">
        <v>27</v>
      </c>
      <c r="B1374" s="57">
        <v>9.9537037037037042E-4</v>
      </c>
      <c r="C1374" s="58">
        <v>2</v>
      </c>
      <c r="D1374" s="18" t="s">
        <v>1908</v>
      </c>
      <c r="E1374" s="18" t="s">
        <v>2789</v>
      </c>
      <c r="F1374" s="18" t="s">
        <v>1810</v>
      </c>
      <c r="G1374" s="59">
        <v>9.57</v>
      </c>
      <c r="H1374" s="59">
        <v>19.14</v>
      </c>
      <c r="I1374" s="18" t="s">
        <v>1665</v>
      </c>
      <c r="J1374" s="18" t="s">
        <v>512</v>
      </c>
      <c r="K1374" s="18" t="s">
        <v>2829</v>
      </c>
      <c r="L1374" s="30"/>
    </row>
    <row r="1375" spans="1:12" hidden="1" x14ac:dyDescent="0.25">
      <c r="A1375" s="18" t="s">
        <v>27</v>
      </c>
      <c r="B1375" s="57">
        <v>1.4351851851851852E-3</v>
      </c>
      <c r="C1375" s="58">
        <v>2</v>
      </c>
      <c r="D1375" s="18" t="s">
        <v>1940</v>
      </c>
      <c r="E1375" s="18" t="s">
        <v>1886</v>
      </c>
      <c r="F1375" s="18" t="s">
        <v>1810</v>
      </c>
      <c r="G1375" s="59">
        <v>37.479999999999997</v>
      </c>
      <c r="H1375" s="59">
        <v>74.959999999999994</v>
      </c>
      <c r="I1375" s="18" t="s">
        <v>1665</v>
      </c>
      <c r="J1375" s="18" t="s">
        <v>115</v>
      </c>
      <c r="K1375" s="18" t="s">
        <v>2829</v>
      </c>
      <c r="L1375" s="30"/>
    </row>
    <row r="1376" spans="1:12" hidden="1" x14ac:dyDescent="0.25">
      <c r="A1376" s="18" t="s">
        <v>27</v>
      </c>
      <c r="B1376" s="57">
        <v>2.650462962962963E-3</v>
      </c>
      <c r="C1376" s="58">
        <v>2</v>
      </c>
      <c r="D1376" s="18" t="s">
        <v>2541</v>
      </c>
      <c r="E1376" s="18" t="s">
        <v>2542</v>
      </c>
      <c r="F1376" s="18" t="s">
        <v>1810</v>
      </c>
      <c r="G1376" s="59">
        <v>248.93</v>
      </c>
      <c r="H1376" s="59">
        <v>497.86</v>
      </c>
      <c r="I1376" s="18" t="s">
        <v>367</v>
      </c>
      <c r="J1376" s="22" t="s">
        <v>512</v>
      </c>
      <c r="K1376" s="18" t="s">
        <v>2829</v>
      </c>
      <c r="L1376" s="30"/>
    </row>
    <row r="1377" spans="1:12" hidden="1" x14ac:dyDescent="0.25">
      <c r="A1377" s="18" t="s">
        <v>27</v>
      </c>
      <c r="B1377" s="57">
        <v>7.2916666666666659E-4</v>
      </c>
      <c r="C1377" s="58">
        <v>2</v>
      </c>
      <c r="D1377" s="18" t="s">
        <v>1941</v>
      </c>
      <c r="E1377" s="18" t="s">
        <v>1942</v>
      </c>
      <c r="F1377" s="18" t="s">
        <v>1810</v>
      </c>
      <c r="G1377" s="59">
        <v>1.93</v>
      </c>
      <c r="H1377" s="59">
        <v>3.86</v>
      </c>
      <c r="I1377" s="18" t="s">
        <v>367</v>
      </c>
      <c r="J1377" s="18" t="s">
        <v>367</v>
      </c>
      <c r="K1377" s="18" t="s">
        <v>2829</v>
      </c>
      <c r="L1377" s="30"/>
    </row>
    <row r="1378" spans="1:12" hidden="1" x14ac:dyDescent="0.25">
      <c r="A1378" s="18" t="s">
        <v>27</v>
      </c>
      <c r="B1378" s="57">
        <v>7.7546296296296293E-4</v>
      </c>
      <c r="C1378" s="58">
        <v>1</v>
      </c>
      <c r="D1378" s="18" t="s">
        <v>1851</v>
      </c>
      <c r="E1378" s="18" t="s">
        <v>1852</v>
      </c>
      <c r="F1378" s="18" t="s">
        <v>1810</v>
      </c>
      <c r="G1378" s="59">
        <v>48.05</v>
      </c>
      <c r="H1378" s="59">
        <v>48.05</v>
      </c>
      <c r="I1378" s="18" t="s">
        <v>367</v>
      </c>
      <c r="J1378" s="18" t="s">
        <v>1593</v>
      </c>
      <c r="K1378" s="18" t="s">
        <v>2829</v>
      </c>
      <c r="L1378" s="30"/>
    </row>
    <row r="1379" spans="1:12" hidden="1" x14ac:dyDescent="0.25">
      <c r="A1379" s="18" t="s">
        <v>27</v>
      </c>
      <c r="B1379" s="57">
        <v>2.4768518518518516E-3</v>
      </c>
      <c r="C1379" s="58">
        <v>4</v>
      </c>
      <c r="D1379" s="18" t="s">
        <v>1876</v>
      </c>
      <c r="E1379" s="18" t="s">
        <v>1877</v>
      </c>
      <c r="F1379" s="18" t="s">
        <v>1810</v>
      </c>
      <c r="G1379" s="59">
        <v>3.7</v>
      </c>
      <c r="H1379" s="59">
        <v>14.8</v>
      </c>
      <c r="I1379" s="18" t="s">
        <v>367</v>
      </c>
      <c r="J1379" s="22" t="s">
        <v>1594</v>
      </c>
      <c r="K1379" s="18" t="s">
        <v>2829</v>
      </c>
      <c r="L1379" s="30"/>
    </row>
    <row r="1380" spans="1:12" hidden="1" x14ac:dyDescent="0.25">
      <c r="A1380" s="18" t="s">
        <v>27</v>
      </c>
      <c r="B1380" s="57">
        <v>4.7453703703703704E-4</v>
      </c>
      <c r="C1380" s="58">
        <v>1</v>
      </c>
      <c r="D1380" s="18" t="s">
        <v>1853</v>
      </c>
      <c r="E1380" s="18" t="s">
        <v>1854</v>
      </c>
      <c r="F1380" s="18" t="s">
        <v>1810</v>
      </c>
      <c r="G1380" s="59">
        <v>7.91</v>
      </c>
      <c r="H1380" s="59">
        <v>7.91</v>
      </c>
      <c r="I1380" s="18" t="s">
        <v>367</v>
      </c>
      <c r="J1380" s="18" t="s">
        <v>1594</v>
      </c>
      <c r="K1380" s="18" t="s">
        <v>2829</v>
      </c>
      <c r="L1380" s="30"/>
    </row>
    <row r="1381" spans="1:12" hidden="1" x14ac:dyDescent="0.25">
      <c r="A1381" s="18" t="s">
        <v>27</v>
      </c>
      <c r="B1381" s="57">
        <v>1.0185185185185184E-3</v>
      </c>
      <c r="C1381" s="58">
        <v>1</v>
      </c>
      <c r="D1381" s="18" t="s">
        <v>1915</v>
      </c>
      <c r="E1381" s="18" t="s">
        <v>1916</v>
      </c>
      <c r="F1381" s="18" t="s">
        <v>1810</v>
      </c>
      <c r="G1381" s="59">
        <v>41.54</v>
      </c>
      <c r="H1381" s="59">
        <v>41.54</v>
      </c>
      <c r="I1381" s="18" t="s">
        <v>367</v>
      </c>
      <c r="J1381" s="18" t="s">
        <v>1594</v>
      </c>
      <c r="K1381" s="18" t="s">
        <v>2829</v>
      </c>
      <c r="L1381" s="30"/>
    </row>
    <row r="1382" spans="1:12" hidden="1" x14ac:dyDescent="0.25">
      <c r="A1382" s="18" t="s">
        <v>27</v>
      </c>
      <c r="B1382" s="57">
        <v>2.8935185185185184E-3</v>
      </c>
      <c r="C1382" s="58">
        <v>4</v>
      </c>
      <c r="D1382" s="18" t="s">
        <v>2830</v>
      </c>
      <c r="E1382" s="18" t="s">
        <v>2831</v>
      </c>
      <c r="F1382" s="18" t="s">
        <v>1810</v>
      </c>
      <c r="G1382" s="59">
        <v>46.86</v>
      </c>
      <c r="H1382" s="59">
        <v>187.44</v>
      </c>
      <c r="I1382" s="18" t="s">
        <v>2742</v>
      </c>
      <c r="J1382" s="18" t="s">
        <v>115</v>
      </c>
      <c r="K1382" s="18" t="s">
        <v>2829</v>
      </c>
      <c r="L1382" s="30"/>
    </row>
    <row r="1383" spans="1:12" hidden="1" x14ac:dyDescent="0.25">
      <c r="A1383" s="18" t="s">
        <v>27</v>
      </c>
      <c r="B1383" s="57">
        <v>2.8460648148148148E-2</v>
      </c>
      <c r="C1383" s="58">
        <v>23</v>
      </c>
      <c r="D1383" s="18" t="s">
        <v>54</v>
      </c>
      <c r="E1383" s="18" t="s">
        <v>1119</v>
      </c>
      <c r="F1383" s="18" t="s">
        <v>1621</v>
      </c>
      <c r="G1383" s="59">
        <v>59.25</v>
      </c>
      <c r="H1383" s="59">
        <v>1362.75</v>
      </c>
      <c r="I1383" s="18" t="s">
        <v>1279</v>
      </c>
      <c r="J1383" s="22" t="s">
        <v>44</v>
      </c>
      <c r="K1383" s="18" t="s">
        <v>2832</v>
      </c>
      <c r="L1383" s="30"/>
    </row>
    <row r="1384" spans="1:12" hidden="1" x14ac:dyDescent="0.25">
      <c r="A1384" s="18" t="s">
        <v>27</v>
      </c>
      <c r="B1384" s="57">
        <v>2.8460648148148148E-2</v>
      </c>
      <c r="C1384" s="58">
        <v>23</v>
      </c>
      <c r="D1384" s="18" t="s">
        <v>54</v>
      </c>
      <c r="E1384" s="18" t="s">
        <v>1119</v>
      </c>
      <c r="F1384" s="18" t="s">
        <v>1621</v>
      </c>
      <c r="G1384" s="59">
        <v>59.25</v>
      </c>
      <c r="H1384" s="59">
        <v>1362.75</v>
      </c>
      <c r="I1384" s="18" t="s">
        <v>1277</v>
      </c>
      <c r="J1384" s="18" t="s">
        <v>44</v>
      </c>
      <c r="K1384" s="18" t="s">
        <v>2833</v>
      </c>
      <c r="L1384" s="30"/>
    </row>
    <row r="1385" spans="1:12" hidden="1" x14ac:dyDescent="0.25">
      <c r="A1385" s="18" t="s">
        <v>27</v>
      </c>
      <c r="B1385" s="57">
        <v>2.8460648148148148E-2</v>
      </c>
      <c r="C1385" s="58">
        <v>23</v>
      </c>
      <c r="D1385" s="18" t="s">
        <v>54</v>
      </c>
      <c r="E1385" s="18" t="s">
        <v>1119</v>
      </c>
      <c r="F1385" s="18" t="s">
        <v>1621</v>
      </c>
      <c r="G1385" s="59">
        <v>59.25</v>
      </c>
      <c r="H1385" s="59">
        <v>1362.75</v>
      </c>
      <c r="I1385" s="18" t="s">
        <v>1275</v>
      </c>
      <c r="J1385" s="18" t="s">
        <v>44</v>
      </c>
      <c r="K1385" s="18" t="s">
        <v>2834</v>
      </c>
      <c r="L1385" s="30"/>
    </row>
    <row r="1386" spans="1:12" hidden="1" x14ac:dyDescent="0.25">
      <c r="A1386" s="18" t="s">
        <v>27</v>
      </c>
      <c r="B1386" s="57">
        <v>1.9444444444444445E-2</v>
      </c>
      <c r="C1386" s="58">
        <v>15</v>
      </c>
      <c r="D1386" s="18" t="s">
        <v>45</v>
      </c>
      <c r="E1386" s="18" t="s">
        <v>1119</v>
      </c>
      <c r="F1386" s="18" t="s">
        <v>1621</v>
      </c>
      <c r="G1386" s="59">
        <v>59.25</v>
      </c>
      <c r="H1386" s="59">
        <v>888.75</v>
      </c>
      <c r="I1386" s="18" t="s">
        <v>2835</v>
      </c>
      <c r="J1386" s="18" t="s">
        <v>44</v>
      </c>
      <c r="K1386" s="18" t="s">
        <v>2836</v>
      </c>
      <c r="L1386" s="30"/>
    </row>
    <row r="1387" spans="1:12" hidden="1" x14ac:dyDescent="0.25">
      <c r="A1387" s="18" t="s">
        <v>27</v>
      </c>
      <c r="B1387" s="57">
        <v>9.3402777777777772E-3</v>
      </c>
      <c r="C1387" s="58">
        <v>8</v>
      </c>
      <c r="D1387" s="18" t="s">
        <v>54</v>
      </c>
      <c r="E1387" s="18" t="s">
        <v>1119</v>
      </c>
      <c r="F1387" s="18" t="s">
        <v>1621</v>
      </c>
      <c r="G1387" s="59">
        <v>59.25</v>
      </c>
      <c r="H1387" s="59">
        <v>474</v>
      </c>
      <c r="I1387" s="18" t="s">
        <v>2837</v>
      </c>
      <c r="J1387" s="18" t="s">
        <v>44</v>
      </c>
      <c r="K1387" s="18" t="s">
        <v>2836</v>
      </c>
      <c r="L1387" s="30"/>
    </row>
    <row r="1388" spans="1:12" hidden="1" x14ac:dyDescent="0.25">
      <c r="A1388" s="18" t="s">
        <v>27</v>
      </c>
      <c r="B1388" s="57">
        <v>2.8912037037037035E-2</v>
      </c>
      <c r="C1388" s="58">
        <v>23</v>
      </c>
      <c r="D1388" s="18" t="s">
        <v>45</v>
      </c>
      <c r="E1388" s="18" t="s">
        <v>1119</v>
      </c>
      <c r="F1388" s="18" t="s">
        <v>1621</v>
      </c>
      <c r="G1388" s="59">
        <v>59.25</v>
      </c>
      <c r="H1388" s="59">
        <v>1362.75</v>
      </c>
      <c r="I1388" s="18" t="s">
        <v>1264</v>
      </c>
      <c r="J1388" s="22" t="s">
        <v>44</v>
      </c>
      <c r="K1388" s="18" t="s">
        <v>2838</v>
      </c>
      <c r="L1388" s="30"/>
    </row>
    <row r="1389" spans="1:12" hidden="1" x14ac:dyDescent="0.25">
      <c r="A1389" s="18" t="s">
        <v>27</v>
      </c>
      <c r="B1389" s="57">
        <v>2.8912037037037035E-2</v>
      </c>
      <c r="C1389" s="58">
        <v>23</v>
      </c>
      <c r="D1389" s="18" t="s">
        <v>45</v>
      </c>
      <c r="E1389" s="18" t="s">
        <v>1119</v>
      </c>
      <c r="F1389" s="18" t="s">
        <v>1621</v>
      </c>
      <c r="G1389" s="59">
        <v>59.25</v>
      </c>
      <c r="H1389" s="59">
        <v>1362.75</v>
      </c>
      <c r="I1389" s="18" t="s">
        <v>1266</v>
      </c>
      <c r="J1389" s="18" t="s">
        <v>44</v>
      </c>
      <c r="K1389" s="18" t="s">
        <v>2839</v>
      </c>
      <c r="L1389" s="30"/>
    </row>
    <row r="1390" spans="1:12" hidden="1" x14ac:dyDescent="0.25">
      <c r="A1390" s="18" t="s">
        <v>27</v>
      </c>
      <c r="B1390" s="57">
        <v>2.7199074074074073E-2</v>
      </c>
      <c r="C1390" s="58">
        <v>22</v>
      </c>
      <c r="D1390" s="18" t="s">
        <v>45</v>
      </c>
      <c r="E1390" s="18" t="s">
        <v>1119</v>
      </c>
      <c r="F1390" s="18" t="s">
        <v>1621</v>
      </c>
      <c r="G1390" s="59">
        <v>59.25</v>
      </c>
      <c r="H1390" s="59">
        <v>1303.5</v>
      </c>
      <c r="I1390" s="18" t="s">
        <v>2840</v>
      </c>
      <c r="J1390" s="18" t="s">
        <v>44</v>
      </c>
      <c r="K1390" s="18" t="s">
        <v>2841</v>
      </c>
      <c r="L1390" s="30"/>
    </row>
    <row r="1391" spans="1:12" hidden="1" x14ac:dyDescent="0.25">
      <c r="A1391" s="18" t="s">
        <v>27</v>
      </c>
      <c r="B1391" s="57">
        <v>1.2268518518518518E-3</v>
      </c>
      <c r="C1391" s="58">
        <v>1</v>
      </c>
      <c r="D1391" s="18" t="s">
        <v>48</v>
      </c>
      <c r="E1391" s="18" t="s">
        <v>1119</v>
      </c>
      <c r="F1391" s="18" t="s">
        <v>1621</v>
      </c>
      <c r="G1391" s="59">
        <v>59.87</v>
      </c>
      <c r="H1391" s="59">
        <v>59.87</v>
      </c>
      <c r="I1391" s="18" t="s">
        <v>2195</v>
      </c>
      <c r="J1391" s="18" t="s">
        <v>44</v>
      </c>
      <c r="K1391" s="18" t="s">
        <v>2841</v>
      </c>
      <c r="L1391" s="30"/>
    </row>
    <row r="1392" spans="1:12" hidden="1" x14ac:dyDescent="0.25">
      <c r="A1392" s="18" t="s">
        <v>27</v>
      </c>
      <c r="B1392" s="57">
        <v>2.9594907407407407E-2</v>
      </c>
      <c r="C1392" s="58">
        <v>23</v>
      </c>
      <c r="D1392" s="18" t="s">
        <v>48</v>
      </c>
      <c r="E1392" s="18" t="s">
        <v>1119</v>
      </c>
      <c r="F1392" s="18" t="s">
        <v>1621</v>
      </c>
      <c r="G1392" s="59">
        <v>59.87</v>
      </c>
      <c r="H1392" s="59">
        <v>1377.01</v>
      </c>
      <c r="I1392" s="18" t="s">
        <v>49</v>
      </c>
      <c r="J1392" s="18" t="s">
        <v>44</v>
      </c>
      <c r="K1392" s="18" t="s">
        <v>2842</v>
      </c>
      <c r="L1392" s="30"/>
    </row>
    <row r="1393" spans="1:12" hidden="1" x14ac:dyDescent="0.25">
      <c r="A1393" s="18" t="s">
        <v>27</v>
      </c>
      <c r="B1393" s="57">
        <v>2.9594907407407407E-2</v>
      </c>
      <c r="C1393" s="58">
        <v>23</v>
      </c>
      <c r="D1393" s="18" t="s">
        <v>48</v>
      </c>
      <c r="E1393" s="18" t="s">
        <v>1119</v>
      </c>
      <c r="F1393" s="18" t="s">
        <v>1621</v>
      </c>
      <c r="G1393" s="59">
        <v>59.87</v>
      </c>
      <c r="H1393" s="59">
        <v>1377.01</v>
      </c>
      <c r="I1393" s="18" t="s">
        <v>49</v>
      </c>
      <c r="J1393" s="18" t="s">
        <v>44</v>
      </c>
      <c r="K1393" s="18" t="s">
        <v>2843</v>
      </c>
      <c r="L1393" s="30"/>
    </row>
    <row r="1394" spans="1:12" hidden="1" x14ac:dyDescent="0.25">
      <c r="A1394" s="18" t="s">
        <v>27</v>
      </c>
      <c r="B1394" s="57">
        <v>2.9594907407407407E-2</v>
      </c>
      <c r="C1394" s="58">
        <v>23</v>
      </c>
      <c r="D1394" s="18" t="s">
        <v>48</v>
      </c>
      <c r="E1394" s="18" t="s">
        <v>1119</v>
      </c>
      <c r="F1394" s="18" t="s">
        <v>1621</v>
      </c>
      <c r="G1394" s="59">
        <v>59.87</v>
      </c>
      <c r="H1394" s="59">
        <v>1377.01</v>
      </c>
      <c r="I1394" s="18" t="s">
        <v>49</v>
      </c>
      <c r="J1394" s="18" t="s">
        <v>44</v>
      </c>
      <c r="K1394" s="18" t="s">
        <v>2844</v>
      </c>
      <c r="L1394" s="30"/>
    </row>
    <row r="1395" spans="1:12" hidden="1" x14ac:dyDescent="0.25">
      <c r="A1395" s="18" t="s">
        <v>27</v>
      </c>
      <c r="B1395" s="57">
        <v>1.6087962962962963E-3</v>
      </c>
      <c r="C1395" s="58">
        <v>1</v>
      </c>
      <c r="D1395" s="18" t="s">
        <v>1677</v>
      </c>
      <c r="E1395" s="18" t="s">
        <v>1674</v>
      </c>
      <c r="F1395" s="18" t="s">
        <v>1637</v>
      </c>
      <c r="G1395" s="59">
        <v>59.15</v>
      </c>
      <c r="H1395" s="59">
        <v>59.15</v>
      </c>
      <c r="I1395" s="18" t="s">
        <v>367</v>
      </c>
      <c r="J1395" s="18" t="s">
        <v>368</v>
      </c>
      <c r="K1395" s="18" t="s">
        <v>2845</v>
      </c>
      <c r="L1395" s="30"/>
    </row>
    <row r="1396" spans="1:12" hidden="1" x14ac:dyDescent="0.25">
      <c r="A1396" s="18" t="s">
        <v>27</v>
      </c>
      <c r="B1396" s="57">
        <v>1.6087962962962963E-3</v>
      </c>
      <c r="C1396" s="58">
        <v>1</v>
      </c>
      <c r="D1396" s="18" t="s">
        <v>1673</v>
      </c>
      <c r="E1396" s="18" t="s">
        <v>1674</v>
      </c>
      <c r="F1396" s="18" t="s">
        <v>1637</v>
      </c>
      <c r="G1396" s="59">
        <v>59.15</v>
      </c>
      <c r="H1396" s="59">
        <v>59.15</v>
      </c>
      <c r="I1396" s="18" t="s">
        <v>367</v>
      </c>
      <c r="J1396" s="18" t="s">
        <v>368</v>
      </c>
      <c r="K1396" s="18" t="s">
        <v>2845</v>
      </c>
      <c r="L1396" s="30"/>
    </row>
    <row r="1397" spans="1:12" hidden="1" x14ac:dyDescent="0.25">
      <c r="A1397" s="18" t="s">
        <v>27</v>
      </c>
      <c r="B1397" s="57">
        <v>1.0763888888888889E-3</v>
      </c>
      <c r="C1397" s="58">
        <v>1</v>
      </c>
      <c r="D1397" s="18" t="s">
        <v>1772</v>
      </c>
      <c r="E1397" s="18" t="s">
        <v>1771</v>
      </c>
      <c r="F1397" s="18" t="s">
        <v>1637</v>
      </c>
      <c r="G1397" s="59">
        <v>163.43</v>
      </c>
      <c r="H1397" s="59">
        <v>163.43</v>
      </c>
      <c r="I1397" s="18" t="s">
        <v>367</v>
      </c>
      <c r="J1397" s="22" t="s">
        <v>367</v>
      </c>
      <c r="K1397" s="18" t="s">
        <v>2845</v>
      </c>
      <c r="L1397" s="30"/>
    </row>
    <row r="1398" spans="1:12" hidden="1" x14ac:dyDescent="0.25">
      <c r="A1398" s="18" t="s">
        <v>27</v>
      </c>
      <c r="B1398" s="57">
        <v>1.1342592592592591E-3</v>
      </c>
      <c r="C1398" s="58">
        <v>1</v>
      </c>
      <c r="D1398" s="18" t="s">
        <v>1770</v>
      </c>
      <c r="E1398" s="18" t="s">
        <v>1771</v>
      </c>
      <c r="F1398" s="18" t="s">
        <v>1637</v>
      </c>
      <c r="G1398" s="59">
        <v>163.43</v>
      </c>
      <c r="H1398" s="59">
        <v>163.43</v>
      </c>
      <c r="I1398" s="18" t="s">
        <v>367</v>
      </c>
      <c r="J1398" s="18" t="s">
        <v>367</v>
      </c>
      <c r="K1398" s="18" t="s">
        <v>2845</v>
      </c>
      <c r="L1398" s="30"/>
    </row>
    <row r="1399" spans="1:12" hidden="1" x14ac:dyDescent="0.25">
      <c r="A1399" s="18" t="s">
        <v>27</v>
      </c>
      <c r="B1399" s="57">
        <v>1.8634259259259259E-3</v>
      </c>
      <c r="C1399" s="58">
        <v>1</v>
      </c>
      <c r="D1399" s="18" t="s">
        <v>1682</v>
      </c>
      <c r="E1399" s="18" t="s">
        <v>2776</v>
      </c>
      <c r="F1399" s="18" t="s">
        <v>1637</v>
      </c>
      <c r="G1399" s="59">
        <v>337.43</v>
      </c>
      <c r="H1399" s="59">
        <v>337.43</v>
      </c>
      <c r="I1399" s="18" t="s">
        <v>829</v>
      </c>
      <c r="J1399" s="18" t="s">
        <v>367</v>
      </c>
      <c r="K1399" s="18" t="s">
        <v>2845</v>
      </c>
      <c r="L1399" s="30"/>
    </row>
    <row r="1400" spans="1:12" hidden="1" x14ac:dyDescent="0.25">
      <c r="A1400" s="18" t="s">
        <v>27</v>
      </c>
      <c r="B1400" s="57">
        <v>1.5393518518518519E-3</v>
      </c>
      <c r="C1400" s="58">
        <v>1</v>
      </c>
      <c r="D1400" s="18" t="s">
        <v>2502</v>
      </c>
      <c r="E1400" s="18" t="s">
        <v>2503</v>
      </c>
      <c r="F1400" s="18" t="s">
        <v>1637</v>
      </c>
      <c r="G1400" s="59">
        <v>293.99</v>
      </c>
      <c r="H1400" s="59">
        <v>293.99</v>
      </c>
      <c r="I1400" s="18" t="s">
        <v>829</v>
      </c>
      <c r="J1400" s="18" t="s">
        <v>367</v>
      </c>
      <c r="K1400" s="18" t="s">
        <v>2845</v>
      </c>
      <c r="L1400" s="30"/>
    </row>
    <row r="1401" spans="1:12" hidden="1" x14ac:dyDescent="0.25">
      <c r="A1401" s="18" t="s">
        <v>27</v>
      </c>
      <c r="B1401" s="57">
        <v>1.1574074074074073E-3</v>
      </c>
      <c r="C1401" s="58">
        <v>1</v>
      </c>
      <c r="D1401" s="18" t="s">
        <v>1684</v>
      </c>
      <c r="E1401" s="18" t="s">
        <v>2777</v>
      </c>
      <c r="F1401" s="18" t="s">
        <v>1637</v>
      </c>
      <c r="G1401" s="59">
        <v>48.89</v>
      </c>
      <c r="H1401" s="59">
        <v>48.89</v>
      </c>
      <c r="I1401" s="18" t="s">
        <v>367</v>
      </c>
      <c r="J1401" s="18" t="s">
        <v>367</v>
      </c>
      <c r="K1401" s="18" t="s">
        <v>2845</v>
      </c>
      <c r="L1401" s="30"/>
    </row>
    <row r="1402" spans="1:12" hidden="1" x14ac:dyDescent="0.25">
      <c r="A1402" s="18" t="s">
        <v>27</v>
      </c>
      <c r="B1402" s="57">
        <v>1.5393518518518519E-3</v>
      </c>
      <c r="C1402" s="58">
        <v>1</v>
      </c>
      <c r="D1402" s="18" t="s">
        <v>2504</v>
      </c>
      <c r="E1402" s="18" t="s">
        <v>2503</v>
      </c>
      <c r="F1402" s="18" t="s">
        <v>1637</v>
      </c>
      <c r="G1402" s="59">
        <v>293.98</v>
      </c>
      <c r="H1402" s="59">
        <v>293.98</v>
      </c>
      <c r="I1402" s="18" t="s">
        <v>829</v>
      </c>
      <c r="J1402" s="18" t="s">
        <v>367</v>
      </c>
      <c r="K1402" s="18" t="s">
        <v>2845</v>
      </c>
      <c r="L1402" s="30"/>
    </row>
    <row r="1403" spans="1:12" hidden="1" x14ac:dyDescent="0.25">
      <c r="A1403" s="18" t="s">
        <v>27</v>
      </c>
      <c r="B1403" s="57">
        <v>1.9212962962962962E-3</v>
      </c>
      <c r="C1403" s="58">
        <v>1</v>
      </c>
      <c r="D1403" s="18" t="s">
        <v>1687</v>
      </c>
      <c r="E1403" s="18" t="s">
        <v>2776</v>
      </c>
      <c r="F1403" s="18" t="s">
        <v>1637</v>
      </c>
      <c r="G1403" s="59">
        <v>337.43</v>
      </c>
      <c r="H1403" s="59">
        <v>337.43</v>
      </c>
      <c r="I1403" s="18" t="s">
        <v>829</v>
      </c>
      <c r="J1403" s="18" t="s">
        <v>367</v>
      </c>
      <c r="K1403" s="18" t="s">
        <v>2845</v>
      </c>
      <c r="L1403" s="30"/>
    </row>
    <row r="1404" spans="1:12" hidden="1" x14ac:dyDescent="0.25">
      <c r="A1404" s="18" t="s">
        <v>27</v>
      </c>
      <c r="B1404" s="57">
        <v>2.5115740740740741E-3</v>
      </c>
      <c r="C1404" s="58">
        <v>3</v>
      </c>
      <c r="D1404" s="18" t="s">
        <v>1792</v>
      </c>
      <c r="E1404" s="18" t="s">
        <v>1752</v>
      </c>
      <c r="F1404" s="18" t="s">
        <v>1637</v>
      </c>
      <c r="G1404" s="59">
        <v>43.53</v>
      </c>
      <c r="H1404" s="59">
        <v>130.59</v>
      </c>
      <c r="I1404" s="18" t="s">
        <v>367</v>
      </c>
      <c r="J1404" s="22" t="s">
        <v>512</v>
      </c>
      <c r="K1404" s="18" t="s">
        <v>2845</v>
      </c>
      <c r="L1404" s="30"/>
    </row>
    <row r="1405" spans="1:12" hidden="1" x14ac:dyDescent="0.25">
      <c r="A1405" s="18" t="s">
        <v>27</v>
      </c>
      <c r="B1405" s="57">
        <v>3.3680555555555556E-3</v>
      </c>
      <c r="C1405" s="58">
        <v>3</v>
      </c>
      <c r="D1405" s="18" t="s">
        <v>1751</v>
      </c>
      <c r="E1405" s="18" t="s">
        <v>1752</v>
      </c>
      <c r="F1405" s="18" t="s">
        <v>1637</v>
      </c>
      <c r="G1405" s="59">
        <v>43.8</v>
      </c>
      <c r="H1405" s="59">
        <v>131.4</v>
      </c>
      <c r="I1405" s="18" t="s">
        <v>367</v>
      </c>
      <c r="J1405" s="18" t="s">
        <v>512</v>
      </c>
      <c r="K1405" s="18" t="s">
        <v>2845</v>
      </c>
      <c r="L1405" s="30"/>
    </row>
    <row r="1406" spans="1:12" hidden="1" x14ac:dyDescent="0.25">
      <c r="A1406" s="18" t="s">
        <v>27</v>
      </c>
      <c r="B1406" s="57">
        <v>2.5115740740740741E-3</v>
      </c>
      <c r="C1406" s="58">
        <v>3</v>
      </c>
      <c r="D1406" s="18" t="s">
        <v>1753</v>
      </c>
      <c r="E1406" s="18" t="s">
        <v>1752</v>
      </c>
      <c r="F1406" s="18" t="s">
        <v>1637</v>
      </c>
      <c r="G1406" s="59">
        <v>43.53</v>
      </c>
      <c r="H1406" s="59">
        <v>130.59</v>
      </c>
      <c r="I1406" s="18" t="s">
        <v>367</v>
      </c>
      <c r="J1406" s="18" t="s">
        <v>512</v>
      </c>
      <c r="K1406" s="18" t="s">
        <v>2845</v>
      </c>
      <c r="L1406" s="30"/>
    </row>
    <row r="1407" spans="1:12" hidden="1" x14ac:dyDescent="0.25">
      <c r="A1407" s="18" t="s">
        <v>27</v>
      </c>
      <c r="B1407" s="57">
        <v>9.2592592592592585E-4</v>
      </c>
      <c r="C1407" s="58">
        <v>1</v>
      </c>
      <c r="D1407" s="18" t="s">
        <v>1725</v>
      </c>
      <c r="E1407" s="18" t="s">
        <v>1726</v>
      </c>
      <c r="F1407" s="18" t="s">
        <v>1637</v>
      </c>
      <c r="G1407" s="59">
        <v>43.7</v>
      </c>
      <c r="H1407" s="59">
        <v>43.7</v>
      </c>
      <c r="I1407" s="18" t="s">
        <v>367</v>
      </c>
      <c r="J1407" s="18" t="s">
        <v>512</v>
      </c>
      <c r="K1407" s="18" t="s">
        <v>2845</v>
      </c>
      <c r="L1407" s="30"/>
    </row>
    <row r="1408" spans="1:12" hidden="1" x14ac:dyDescent="0.25">
      <c r="A1408" s="18" t="s">
        <v>27</v>
      </c>
      <c r="B1408" s="57">
        <v>1.1226851851851851E-3</v>
      </c>
      <c r="C1408" s="58">
        <v>1</v>
      </c>
      <c r="D1408" s="18" t="s">
        <v>1727</v>
      </c>
      <c r="E1408" s="18" t="s">
        <v>1726</v>
      </c>
      <c r="F1408" s="18" t="s">
        <v>1637</v>
      </c>
      <c r="G1408" s="59">
        <v>43.7</v>
      </c>
      <c r="H1408" s="59">
        <v>43.7</v>
      </c>
      <c r="I1408" s="18" t="s">
        <v>367</v>
      </c>
      <c r="J1408" s="18" t="s">
        <v>512</v>
      </c>
      <c r="K1408" s="18" t="s">
        <v>2845</v>
      </c>
      <c r="L1408" s="30"/>
    </row>
    <row r="1409" spans="1:12" hidden="1" x14ac:dyDescent="0.25">
      <c r="A1409" s="18" t="s">
        <v>27</v>
      </c>
      <c r="B1409" s="57">
        <v>6.2500000000000001E-4</v>
      </c>
      <c r="C1409" s="58">
        <v>1</v>
      </c>
      <c r="D1409" s="18" t="s">
        <v>2774</v>
      </c>
      <c r="E1409" s="18" t="s">
        <v>1714</v>
      </c>
      <c r="F1409" s="18" t="s">
        <v>1637</v>
      </c>
      <c r="G1409" s="59">
        <v>12.08</v>
      </c>
      <c r="H1409" s="59">
        <v>12.08</v>
      </c>
      <c r="I1409" s="18" t="s">
        <v>2763</v>
      </c>
      <c r="J1409" s="18" t="s">
        <v>512</v>
      </c>
      <c r="K1409" s="18" t="s">
        <v>2845</v>
      </c>
      <c r="L1409" s="30"/>
    </row>
    <row r="1410" spans="1:12" hidden="1" x14ac:dyDescent="0.25">
      <c r="A1410" s="18" t="s">
        <v>27</v>
      </c>
      <c r="B1410" s="57">
        <v>1.8981481481481482E-3</v>
      </c>
      <c r="C1410" s="58">
        <v>3</v>
      </c>
      <c r="D1410" s="18" t="s">
        <v>1713</v>
      </c>
      <c r="E1410" s="18" t="s">
        <v>1714</v>
      </c>
      <c r="F1410" s="18" t="s">
        <v>1637</v>
      </c>
      <c r="G1410" s="59">
        <v>12.08</v>
      </c>
      <c r="H1410" s="59">
        <v>36.24</v>
      </c>
      <c r="I1410" s="18" t="s">
        <v>1588</v>
      </c>
      <c r="J1410" s="18" t="s">
        <v>1588</v>
      </c>
      <c r="K1410" s="18" t="s">
        <v>2845</v>
      </c>
      <c r="L1410" s="30"/>
    </row>
    <row r="1411" spans="1:12" hidden="1" x14ac:dyDescent="0.25">
      <c r="A1411" s="18" t="s">
        <v>27</v>
      </c>
      <c r="B1411" s="57">
        <v>8.7962962962962962E-4</v>
      </c>
      <c r="C1411" s="58">
        <v>1</v>
      </c>
      <c r="D1411" s="18" t="s">
        <v>2638</v>
      </c>
      <c r="E1411" s="18" t="s">
        <v>1780</v>
      </c>
      <c r="F1411" s="18" t="s">
        <v>1637</v>
      </c>
      <c r="G1411" s="59">
        <v>39.36</v>
      </c>
      <c r="H1411" s="59">
        <v>39.36</v>
      </c>
      <c r="I1411" s="18" t="s">
        <v>367</v>
      </c>
      <c r="J1411" s="18" t="s">
        <v>512</v>
      </c>
      <c r="K1411" s="18" t="s">
        <v>2845</v>
      </c>
      <c r="L1411" s="30"/>
    </row>
    <row r="1412" spans="1:12" hidden="1" x14ac:dyDescent="0.25">
      <c r="A1412" s="18" t="s">
        <v>27</v>
      </c>
      <c r="B1412" s="57">
        <v>3.5532407407407405E-3</v>
      </c>
      <c r="C1412" s="58">
        <v>4</v>
      </c>
      <c r="D1412" s="18" t="s">
        <v>1779</v>
      </c>
      <c r="E1412" s="18" t="s">
        <v>1780</v>
      </c>
      <c r="F1412" s="18" t="s">
        <v>1637</v>
      </c>
      <c r="G1412" s="59">
        <v>39.36</v>
      </c>
      <c r="H1412" s="59">
        <v>157.44</v>
      </c>
      <c r="I1412" s="18" t="s">
        <v>367</v>
      </c>
      <c r="J1412" s="22" t="s">
        <v>512</v>
      </c>
      <c r="K1412" s="18" t="s">
        <v>2845</v>
      </c>
      <c r="L1412" s="30"/>
    </row>
    <row r="1413" spans="1:12" hidden="1" x14ac:dyDescent="0.25">
      <c r="A1413" s="18" t="s">
        <v>27</v>
      </c>
      <c r="B1413" s="57">
        <v>6.8287037037037036E-4</v>
      </c>
      <c r="C1413" s="58">
        <v>1</v>
      </c>
      <c r="D1413" s="18" t="s">
        <v>1719</v>
      </c>
      <c r="E1413" s="18" t="s">
        <v>1720</v>
      </c>
      <c r="F1413" s="18" t="s">
        <v>1637</v>
      </c>
      <c r="G1413" s="59">
        <v>32.630000000000003</v>
      </c>
      <c r="H1413" s="59">
        <v>32.630000000000003</v>
      </c>
      <c r="I1413" s="18" t="s">
        <v>367</v>
      </c>
      <c r="J1413" s="18" t="s">
        <v>368</v>
      </c>
      <c r="K1413" s="18" t="s">
        <v>2846</v>
      </c>
      <c r="L1413" s="30"/>
    </row>
    <row r="1414" spans="1:12" hidden="1" x14ac:dyDescent="0.25">
      <c r="A1414" s="18" t="s">
        <v>27</v>
      </c>
      <c r="B1414" s="57">
        <v>1.5509259259259259E-3</v>
      </c>
      <c r="C1414" s="58">
        <v>1</v>
      </c>
      <c r="D1414" s="18" t="s">
        <v>1677</v>
      </c>
      <c r="E1414" s="18" t="s">
        <v>1674</v>
      </c>
      <c r="F1414" s="18" t="s">
        <v>1637</v>
      </c>
      <c r="G1414" s="59">
        <v>59.15</v>
      </c>
      <c r="H1414" s="59">
        <v>59.15</v>
      </c>
      <c r="I1414" s="18" t="s">
        <v>367</v>
      </c>
      <c r="J1414" s="18" t="s">
        <v>368</v>
      </c>
      <c r="K1414" s="18" t="s">
        <v>2846</v>
      </c>
      <c r="L1414" s="30"/>
    </row>
    <row r="1415" spans="1:12" hidden="1" x14ac:dyDescent="0.25">
      <c r="A1415" s="18" t="s">
        <v>27</v>
      </c>
      <c r="B1415" s="57">
        <v>1.5509259259259259E-3</v>
      </c>
      <c r="C1415" s="58">
        <v>1</v>
      </c>
      <c r="D1415" s="18" t="s">
        <v>1673</v>
      </c>
      <c r="E1415" s="18" t="s">
        <v>1674</v>
      </c>
      <c r="F1415" s="18" t="s">
        <v>1637</v>
      </c>
      <c r="G1415" s="59">
        <v>59.15</v>
      </c>
      <c r="H1415" s="59">
        <v>59.15</v>
      </c>
      <c r="I1415" s="18" t="s">
        <v>367</v>
      </c>
      <c r="J1415" s="18" t="s">
        <v>368</v>
      </c>
      <c r="K1415" s="18" t="s">
        <v>2846</v>
      </c>
      <c r="L1415" s="30"/>
    </row>
    <row r="1416" spans="1:12" hidden="1" x14ac:dyDescent="0.25">
      <c r="A1416" s="18" t="s">
        <v>27</v>
      </c>
      <c r="B1416" s="57">
        <v>7.407407407407407E-4</v>
      </c>
      <c r="C1416" s="58">
        <v>1</v>
      </c>
      <c r="D1416" s="18" t="s">
        <v>1681</v>
      </c>
      <c r="E1416" s="18" t="s">
        <v>1676</v>
      </c>
      <c r="F1416" s="18" t="s">
        <v>1637</v>
      </c>
      <c r="G1416" s="59">
        <v>21.57</v>
      </c>
      <c r="H1416" s="59">
        <v>21.57</v>
      </c>
      <c r="I1416" s="18" t="s">
        <v>367</v>
      </c>
      <c r="J1416" s="18" t="s">
        <v>368</v>
      </c>
      <c r="K1416" s="18" t="s">
        <v>2846</v>
      </c>
      <c r="L1416" s="30"/>
    </row>
    <row r="1417" spans="1:12" hidden="1" x14ac:dyDescent="0.25">
      <c r="A1417" s="18" t="s">
        <v>27</v>
      </c>
      <c r="B1417" s="57">
        <v>9.1435185185185185E-4</v>
      </c>
      <c r="C1417" s="58">
        <v>1</v>
      </c>
      <c r="D1417" s="18" t="s">
        <v>1686</v>
      </c>
      <c r="E1417" s="18" t="s">
        <v>2777</v>
      </c>
      <c r="F1417" s="18" t="s">
        <v>1637</v>
      </c>
      <c r="G1417" s="59">
        <v>49.88</v>
      </c>
      <c r="H1417" s="59">
        <v>49.88</v>
      </c>
      <c r="I1417" s="18" t="s">
        <v>367</v>
      </c>
      <c r="J1417" s="18" t="s">
        <v>367</v>
      </c>
      <c r="K1417" s="18" t="s">
        <v>2846</v>
      </c>
      <c r="L1417" s="30"/>
    </row>
    <row r="1418" spans="1:12" hidden="1" x14ac:dyDescent="0.25">
      <c r="A1418" s="18" t="s">
        <v>27</v>
      </c>
      <c r="B1418" s="57">
        <v>8.7962962962962962E-4</v>
      </c>
      <c r="C1418" s="58">
        <v>1</v>
      </c>
      <c r="D1418" s="18" t="s">
        <v>1723</v>
      </c>
      <c r="E1418" s="18" t="s">
        <v>1724</v>
      </c>
      <c r="F1418" s="18" t="s">
        <v>1637</v>
      </c>
      <c r="G1418" s="59">
        <v>71.62</v>
      </c>
      <c r="H1418" s="59">
        <v>71.62</v>
      </c>
      <c r="I1418" s="18" t="s">
        <v>2778</v>
      </c>
      <c r="J1418" s="18" t="s">
        <v>1594</v>
      </c>
      <c r="K1418" s="18" t="s">
        <v>2846</v>
      </c>
      <c r="L1418" s="30"/>
    </row>
    <row r="1419" spans="1:12" hidden="1" x14ac:dyDescent="0.25">
      <c r="A1419" s="18" t="s">
        <v>27</v>
      </c>
      <c r="B1419" s="57">
        <v>1.6087962962962963E-3</v>
      </c>
      <c r="C1419" s="58">
        <v>2</v>
      </c>
      <c r="D1419" s="18" t="s">
        <v>1792</v>
      </c>
      <c r="E1419" s="18" t="s">
        <v>1752</v>
      </c>
      <c r="F1419" s="18" t="s">
        <v>1637</v>
      </c>
      <c r="G1419" s="59">
        <v>43.53</v>
      </c>
      <c r="H1419" s="59">
        <v>87.06</v>
      </c>
      <c r="I1419" s="18" t="s">
        <v>367</v>
      </c>
      <c r="J1419" s="18" t="s">
        <v>512</v>
      </c>
      <c r="K1419" s="18" t="s">
        <v>2846</v>
      </c>
      <c r="L1419" s="30"/>
    </row>
    <row r="1420" spans="1:12" hidden="1" x14ac:dyDescent="0.25">
      <c r="A1420" s="18" t="s">
        <v>27</v>
      </c>
      <c r="B1420" s="57">
        <v>2.1527777777777778E-3</v>
      </c>
      <c r="C1420" s="58">
        <v>2</v>
      </c>
      <c r="D1420" s="18" t="s">
        <v>1751</v>
      </c>
      <c r="E1420" s="18" t="s">
        <v>1752</v>
      </c>
      <c r="F1420" s="18" t="s">
        <v>1637</v>
      </c>
      <c r="G1420" s="59">
        <v>43.8</v>
      </c>
      <c r="H1420" s="59">
        <v>87.6</v>
      </c>
      <c r="I1420" s="18" t="s">
        <v>367</v>
      </c>
      <c r="J1420" s="18" t="s">
        <v>512</v>
      </c>
      <c r="K1420" s="18" t="s">
        <v>2846</v>
      </c>
      <c r="L1420" s="30"/>
    </row>
    <row r="1421" spans="1:12" hidden="1" x14ac:dyDescent="0.25">
      <c r="A1421" s="18" t="s">
        <v>27</v>
      </c>
      <c r="B1421" s="57">
        <v>2.685185185185185E-3</v>
      </c>
      <c r="C1421" s="58">
        <v>3</v>
      </c>
      <c r="D1421" s="18" t="s">
        <v>1725</v>
      </c>
      <c r="E1421" s="18" t="s">
        <v>1726</v>
      </c>
      <c r="F1421" s="18" t="s">
        <v>1637</v>
      </c>
      <c r="G1421" s="59">
        <v>43.7</v>
      </c>
      <c r="H1421" s="59">
        <v>131.1</v>
      </c>
      <c r="I1421" s="18" t="s">
        <v>367</v>
      </c>
      <c r="J1421" s="18" t="s">
        <v>512</v>
      </c>
      <c r="K1421" s="18" t="s">
        <v>2846</v>
      </c>
      <c r="L1421" s="30"/>
    </row>
    <row r="1422" spans="1:12" hidden="1" x14ac:dyDescent="0.25">
      <c r="A1422" s="18" t="s">
        <v>27</v>
      </c>
      <c r="B1422" s="57">
        <v>2.4305555555555556E-3</v>
      </c>
      <c r="C1422" s="58">
        <v>2</v>
      </c>
      <c r="D1422" s="18" t="s">
        <v>2627</v>
      </c>
      <c r="E1422" s="18" t="s">
        <v>2628</v>
      </c>
      <c r="F1422" s="18" t="s">
        <v>1637</v>
      </c>
      <c r="G1422" s="59">
        <v>80.069999999999993</v>
      </c>
      <c r="H1422" s="59">
        <v>160.13999999999999</v>
      </c>
      <c r="I1422" s="18" t="s">
        <v>1588</v>
      </c>
      <c r="J1422" s="18" t="s">
        <v>512</v>
      </c>
      <c r="K1422" s="18" t="s">
        <v>2846</v>
      </c>
      <c r="L1422" s="30"/>
    </row>
    <row r="1423" spans="1:12" hidden="1" x14ac:dyDescent="0.25">
      <c r="A1423" s="18" t="s">
        <v>27</v>
      </c>
      <c r="B1423" s="57">
        <v>1.5277777777777776E-3</v>
      </c>
      <c r="C1423" s="58">
        <v>1</v>
      </c>
      <c r="D1423" s="18" t="s">
        <v>1663</v>
      </c>
      <c r="E1423" s="18" t="s">
        <v>1664</v>
      </c>
      <c r="F1423" s="18" t="s">
        <v>1637</v>
      </c>
      <c r="G1423" s="59">
        <v>266.63</v>
      </c>
      <c r="H1423" s="59">
        <v>266.63</v>
      </c>
      <c r="I1423" s="18" t="s">
        <v>1665</v>
      </c>
      <c r="J1423" s="18" t="s">
        <v>115</v>
      </c>
      <c r="K1423" s="18" t="s">
        <v>2846</v>
      </c>
      <c r="L1423" s="30"/>
    </row>
    <row r="1424" spans="1:12" hidden="1" x14ac:dyDescent="0.25">
      <c r="A1424" s="18" t="s">
        <v>27</v>
      </c>
      <c r="B1424" s="57">
        <v>1.5277777777777776E-3</v>
      </c>
      <c r="C1424" s="58">
        <v>1</v>
      </c>
      <c r="D1424" s="18" t="s">
        <v>1671</v>
      </c>
      <c r="E1424" s="18" t="s">
        <v>1664</v>
      </c>
      <c r="F1424" s="18" t="s">
        <v>1637</v>
      </c>
      <c r="G1424" s="59">
        <v>266.63</v>
      </c>
      <c r="H1424" s="59">
        <v>266.63</v>
      </c>
      <c r="I1424" s="18" t="s">
        <v>1672</v>
      </c>
      <c r="J1424" s="18" t="s">
        <v>115</v>
      </c>
      <c r="K1424" s="18" t="s">
        <v>2846</v>
      </c>
      <c r="L1424" s="30"/>
    </row>
    <row r="1425" spans="1:12" hidden="1" x14ac:dyDescent="0.25">
      <c r="A1425" s="18" t="s">
        <v>27</v>
      </c>
      <c r="B1425" s="57">
        <v>1.2152777777777778E-3</v>
      </c>
      <c r="C1425" s="58">
        <v>1</v>
      </c>
      <c r="D1425" s="18" t="s">
        <v>2847</v>
      </c>
      <c r="E1425" s="18" t="s">
        <v>2628</v>
      </c>
      <c r="F1425" s="18" t="s">
        <v>1637</v>
      </c>
      <c r="G1425" s="59">
        <v>80.069999999999993</v>
      </c>
      <c r="H1425" s="59">
        <v>80.069999999999993</v>
      </c>
      <c r="I1425" s="18" t="s">
        <v>2763</v>
      </c>
      <c r="J1425" s="18" t="s">
        <v>512</v>
      </c>
      <c r="K1425" s="18" t="s">
        <v>2846</v>
      </c>
      <c r="L1425" s="30"/>
    </row>
    <row r="1426" spans="1:12" hidden="1" x14ac:dyDescent="0.25">
      <c r="A1426" s="18" t="s">
        <v>27</v>
      </c>
      <c r="B1426" s="57">
        <v>1.2152777777777778E-3</v>
      </c>
      <c r="C1426" s="58">
        <v>1</v>
      </c>
      <c r="D1426" s="18" t="s">
        <v>2848</v>
      </c>
      <c r="E1426" s="18" t="s">
        <v>2628</v>
      </c>
      <c r="F1426" s="18" t="s">
        <v>1637</v>
      </c>
      <c r="G1426" s="59">
        <v>80.069999999999993</v>
      </c>
      <c r="H1426" s="59">
        <v>80.069999999999993</v>
      </c>
      <c r="I1426" s="18" t="s">
        <v>2763</v>
      </c>
      <c r="J1426" s="18" t="s">
        <v>512</v>
      </c>
      <c r="K1426" s="18" t="s">
        <v>2846</v>
      </c>
      <c r="L1426" s="30"/>
    </row>
    <row r="1427" spans="1:12" hidden="1" x14ac:dyDescent="0.25">
      <c r="A1427" s="18" t="s">
        <v>27</v>
      </c>
      <c r="B1427" s="57">
        <v>1.3078703703703703E-3</v>
      </c>
      <c r="C1427" s="58">
        <v>2</v>
      </c>
      <c r="D1427" s="18" t="s">
        <v>2849</v>
      </c>
      <c r="E1427" s="18" t="s">
        <v>1722</v>
      </c>
      <c r="F1427" s="18" t="s">
        <v>1637</v>
      </c>
      <c r="G1427" s="59">
        <v>25.44</v>
      </c>
      <c r="H1427" s="59">
        <v>50.88</v>
      </c>
      <c r="I1427" s="18" t="s">
        <v>2763</v>
      </c>
      <c r="J1427" s="18" t="s">
        <v>512</v>
      </c>
      <c r="K1427" s="18" t="s">
        <v>2846</v>
      </c>
      <c r="L1427" s="30"/>
    </row>
    <row r="1428" spans="1:12" hidden="1" x14ac:dyDescent="0.25">
      <c r="A1428" s="18" t="s">
        <v>27</v>
      </c>
      <c r="B1428" s="57">
        <v>1.3657407407407407E-3</v>
      </c>
      <c r="C1428" s="58">
        <v>2</v>
      </c>
      <c r="D1428" s="18" t="s">
        <v>2850</v>
      </c>
      <c r="E1428" s="18" t="s">
        <v>2851</v>
      </c>
      <c r="F1428" s="18" t="s">
        <v>1637</v>
      </c>
      <c r="G1428" s="59">
        <v>31.8</v>
      </c>
      <c r="H1428" s="59">
        <v>63.6</v>
      </c>
      <c r="I1428" s="18" t="s">
        <v>2763</v>
      </c>
      <c r="J1428" s="18" t="s">
        <v>512</v>
      </c>
      <c r="K1428" s="18" t="s">
        <v>2846</v>
      </c>
      <c r="L1428" s="30"/>
    </row>
    <row r="1429" spans="1:12" hidden="1" x14ac:dyDescent="0.25">
      <c r="A1429" s="18" t="s">
        <v>27</v>
      </c>
      <c r="B1429" s="57">
        <v>1.3773148148148147E-3</v>
      </c>
      <c r="C1429" s="58">
        <v>2</v>
      </c>
      <c r="D1429" s="18" t="s">
        <v>2852</v>
      </c>
      <c r="E1429" s="18" t="s">
        <v>2853</v>
      </c>
      <c r="F1429" s="18" t="s">
        <v>1637</v>
      </c>
      <c r="G1429" s="59">
        <v>32.450000000000003</v>
      </c>
      <c r="H1429" s="59">
        <v>64.900000000000006</v>
      </c>
      <c r="I1429" s="18" t="s">
        <v>2763</v>
      </c>
      <c r="J1429" s="18" t="s">
        <v>512</v>
      </c>
      <c r="K1429" s="18" t="s">
        <v>2846</v>
      </c>
      <c r="L1429" s="30"/>
    </row>
    <row r="1430" spans="1:12" hidden="1" x14ac:dyDescent="0.25">
      <c r="A1430" s="18" t="s">
        <v>27</v>
      </c>
      <c r="B1430" s="57">
        <v>6.0185185185185179E-4</v>
      </c>
      <c r="C1430" s="58">
        <v>1</v>
      </c>
      <c r="D1430" s="18" t="s">
        <v>2854</v>
      </c>
      <c r="E1430" s="18" t="s">
        <v>1714</v>
      </c>
      <c r="F1430" s="18" t="s">
        <v>1637</v>
      </c>
      <c r="G1430" s="59">
        <v>12.08</v>
      </c>
      <c r="H1430" s="59">
        <v>12.08</v>
      </c>
      <c r="I1430" s="18" t="s">
        <v>2763</v>
      </c>
      <c r="J1430" s="18" t="s">
        <v>512</v>
      </c>
      <c r="K1430" s="18" t="s">
        <v>2846</v>
      </c>
      <c r="L1430" s="30"/>
    </row>
    <row r="1431" spans="1:12" hidden="1" x14ac:dyDescent="0.25">
      <c r="A1431" s="18" t="s">
        <v>27</v>
      </c>
      <c r="B1431" s="57">
        <v>6.8287037037037036E-4</v>
      </c>
      <c r="C1431" s="58">
        <v>1</v>
      </c>
      <c r="D1431" s="18" t="s">
        <v>2855</v>
      </c>
      <c r="E1431" s="18" t="s">
        <v>1716</v>
      </c>
      <c r="F1431" s="18" t="s">
        <v>1637</v>
      </c>
      <c r="G1431" s="59">
        <v>32.11</v>
      </c>
      <c r="H1431" s="59">
        <v>32.11</v>
      </c>
      <c r="I1431" s="18" t="s">
        <v>2763</v>
      </c>
      <c r="J1431" s="18" t="s">
        <v>512</v>
      </c>
      <c r="K1431" s="18" t="s">
        <v>2846</v>
      </c>
      <c r="L1431" s="30"/>
    </row>
    <row r="1432" spans="1:12" hidden="1" x14ac:dyDescent="0.25">
      <c r="A1432" s="18" t="s">
        <v>27</v>
      </c>
      <c r="B1432" s="57">
        <v>6.8287037037037036E-4</v>
      </c>
      <c r="C1432" s="58">
        <v>1</v>
      </c>
      <c r="D1432" s="18" t="s">
        <v>1715</v>
      </c>
      <c r="E1432" s="18" t="s">
        <v>1716</v>
      </c>
      <c r="F1432" s="18" t="s">
        <v>1637</v>
      </c>
      <c r="G1432" s="59">
        <v>32.11</v>
      </c>
      <c r="H1432" s="59">
        <v>32.11</v>
      </c>
      <c r="I1432" s="18" t="s">
        <v>1588</v>
      </c>
      <c r="J1432" s="18" t="s">
        <v>512</v>
      </c>
      <c r="K1432" s="18" t="s">
        <v>2846</v>
      </c>
      <c r="L1432" s="30"/>
    </row>
    <row r="1433" spans="1:12" hidden="1" x14ac:dyDescent="0.25">
      <c r="A1433" s="18" t="s">
        <v>27</v>
      </c>
      <c r="B1433" s="57">
        <v>1.5277777777777776E-3</v>
      </c>
      <c r="C1433" s="58">
        <v>1</v>
      </c>
      <c r="D1433" s="18" t="s">
        <v>2856</v>
      </c>
      <c r="E1433" s="18" t="s">
        <v>2857</v>
      </c>
      <c r="F1433" s="18" t="s">
        <v>1637</v>
      </c>
      <c r="G1433" s="59">
        <v>267.35000000000002</v>
      </c>
      <c r="H1433" s="59">
        <v>267.35000000000002</v>
      </c>
      <c r="I1433" s="18" t="s">
        <v>2729</v>
      </c>
      <c r="J1433" s="18" t="s">
        <v>115</v>
      </c>
      <c r="K1433" s="18" t="s">
        <v>2846</v>
      </c>
      <c r="L1433" s="30"/>
    </row>
    <row r="1434" spans="1:12" hidden="1" x14ac:dyDescent="0.25">
      <c r="A1434" s="18" t="s">
        <v>27</v>
      </c>
      <c r="B1434" s="57">
        <v>1.7592592592592592E-3</v>
      </c>
      <c r="C1434" s="58">
        <v>1</v>
      </c>
      <c r="D1434" s="18" t="s">
        <v>2858</v>
      </c>
      <c r="E1434" s="18" t="s">
        <v>2857</v>
      </c>
      <c r="F1434" s="18" t="s">
        <v>1637</v>
      </c>
      <c r="G1434" s="59">
        <v>267.35000000000002</v>
      </c>
      <c r="H1434" s="59">
        <v>267.35000000000002</v>
      </c>
      <c r="I1434" s="18" t="s">
        <v>2742</v>
      </c>
      <c r="J1434" s="18" t="s">
        <v>115</v>
      </c>
      <c r="K1434" s="18" t="s">
        <v>2846</v>
      </c>
      <c r="L1434" s="30"/>
    </row>
    <row r="1435" spans="1:12" hidden="1" x14ac:dyDescent="0.25">
      <c r="A1435" s="18" t="s">
        <v>27</v>
      </c>
      <c r="B1435" s="57">
        <v>6.0185185185185179E-4</v>
      </c>
      <c r="C1435" s="58">
        <v>1</v>
      </c>
      <c r="D1435" s="18" t="s">
        <v>1713</v>
      </c>
      <c r="E1435" s="18" t="s">
        <v>1714</v>
      </c>
      <c r="F1435" s="18" t="s">
        <v>1637</v>
      </c>
      <c r="G1435" s="59">
        <v>12.08</v>
      </c>
      <c r="H1435" s="59">
        <v>12.08</v>
      </c>
      <c r="I1435" s="18" t="s">
        <v>1588</v>
      </c>
      <c r="J1435" s="18" t="s">
        <v>1588</v>
      </c>
      <c r="K1435" s="18" t="s">
        <v>2846</v>
      </c>
      <c r="L1435" s="30"/>
    </row>
    <row r="1436" spans="1:12" hidden="1" x14ac:dyDescent="0.25">
      <c r="A1436" s="18" t="s">
        <v>27</v>
      </c>
      <c r="B1436" s="57">
        <v>3.4143518518518516E-3</v>
      </c>
      <c r="C1436" s="58">
        <v>4</v>
      </c>
      <c r="D1436" s="18" t="s">
        <v>2638</v>
      </c>
      <c r="E1436" s="18" t="s">
        <v>1780</v>
      </c>
      <c r="F1436" s="18" t="s">
        <v>1637</v>
      </c>
      <c r="G1436" s="59">
        <v>39.36</v>
      </c>
      <c r="H1436" s="59">
        <v>157.44</v>
      </c>
      <c r="I1436" s="18" t="s">
        <v>367</v>
      </c>
      <c r="J1436" s="18" t="s">
        <v>512</v>
      </c>
      <c r="K1436" s="18" t="s">
        <v>2846</v>
      </c>
      <c r="L1436" s="30"/>
    </row>
    <row r="1437" spans="1:12" hidden="1" x14ac:dyDescent="0.25">
      <c r="A1437" s="18" t="s">
        <v>27</v>
      </c>
      <c r="B1437" s="57">
        <v>8.4490740740740739E-4</v>
      </c>
      <c r="C1437" s="58">
        <v>1</v>
      </c>
      <c r="D1437" s="18" t="s">
        <v>1779</v>
      </c>
      <c r="E1437" s="18" t="s">
        <v>1780</v>
      </c>
      <c r="F1437" s="18" t="s">
        <v>1637</v>
      </c>
      <c r="G1437" s="59">
        <v>39.36</v>
      </c>
      <c r="H1437" s="59">
        <v>39.36</v>
      </c>
      <c r="I1437" s="18" t="s">
        <v>367</v>
      </c>
      <c r="J1437" s="18" t="s">
        <v>512</v>
      </c>
      <c r="K1437" s="18" t="s">
        <v>2846</v>
      </c>
      <c r="L1437" s="30"/>
    </row>
    <row r="1438" spans="1:12" hidden="1" x14ac:dyDescent="0.25">
      <c r="A1438" s="18" t="s">
        <v>27</v>
      </c>
      <c r="B1438" s="57">
        <v>6.3657407407407402E-4</v>
      </c>
      <c r="C1438" s="58">
        <v>1</v>
      </c>
      <c r="D1438" s="18" t="s">
        <v>1786</v>
      </c>
      <c r="E1438" s="18" t="s">
        <v>1679</v>
      </c>
      <c r="F1438" s="18" t="s">
        <v>1637</v>
      </c>
      <c r="G1438" s="59">
        <v>32.659999999999997</v>
      </c>
      <c r="H1438" s="59">
        <v>32.659999999999997</v>
      </c>
      <c r="I1438" s="18" t="s">
        <v>367</v>
      </c>
      <c r="J1438" s="18" t="s">
        <v>368</v>
      </c>
      <c r="K1438" s="18" t="s">
        <v>2859</v>
      </c>
      <c r="L1438" s="30"/>
    </row>
    <row r="1439" spans="1:12" hidden="1" x14ac:dyDescent="0.25">
      <c r="A1439" s="18" t="s">
        <v>27</v>
      </c>
      <c r="B1439" s="57">
        <v>1.273148148148148E-3</v>
      </c>
      <c r="C1439" s="58">
        <v>2</v>
      </c>
      <c r="D1439" s="18" t="s">
        <v>1678</v>
      </c>
      <c r="E1439" s="18" t="s">
        <v>1679</v>
      </c>
      <c r="F1439" s="18" t="s">
        <v>1637</v>
      </c>
      <c r="G1439" s="59">
        <v>32.659999999999997</v>
      </c>
      <c r="H1439" s="59">
        <v>65.319999999999993</v>
      </c>
      <c r="I1439" s="18" t="s">
        <v>367</v>
      </c>
      <c r="J1439" s="18" t="s">
        <v>368</v>
      </c>
      <c r="K1439" s="18" t="s">
        <v>2859</v>
      </c>
      <c r="L1439" s="30"/>
    </row>
    <row r="1440" spans="1:12" hidden="1" x14ac:dyDescent="0.25">
      <c r="A1440" s="18" t="s">
        <v>27</v>
      </c>
      <c r="B1440" s="57">
        <v>6.3657407407407402E-4</v>
      </c>
      <c r="C1440" s="58">
        <v>1</v>
      </c>
      <c r="D1440" s="18" t="s">
        <v>1783</v>
      </c>
      <c r="E1440" s="18" t="s">
        <v>1679</v>
      </c>
      <c r="F1440" s="18" t="s">
        <v>1637</v>
      </c>
      <c r="G1440" s="59">
        <v>32.659999999999997</v>
      </c>
      <c r="H1440" s="59">
        <v>32.659999999999997</v>
      </c>
      <c r="I1440" s="18" t="s">
        <v>367</v>
      </c>
      <c r="J1440" s="18" t="s">
        <v>368</v>
      </c>
      <c r="K1440" s="18" t="s">
        <v>2859</v>
      </c>
      <c r="L1440" s="30"/>
    </row>
    <row r="1441" spans="1:12" hidden="1" x14ac:dyDescent="0.25">
      <c r="A1441" s="18" t="s">
        <v>27</v>
      </c>
      <c r="B1441" s="57">
        <v>9.837962962962962E-4</v>
      </c>
      <c r="C1441" s="58">
        <v>1</v>
      </c>
      <c r="D1441" s="18" t="s">
        <v>2631</v>
      </c>
      <c r="E1441" s="18" t="s">
        <v>2632</v>
      </c>
      <c r="F1441" s="18" t="s">
        <v>1637</v>
      </c>
      <c r="G1441" s="59">
        <v>193.89</v>
      </c>
      <c r="H1441" s="59">
        <v>193.89</v>
      </c>
      <c r="I1441" s="18" t="s">
        <v>367</v>
      </c>
      <c r="J1441" s="18" t="s">
        <v>1595</v>
      </c>
      <c r="K1441" s="18" t="s">
        <v>2859</v>
      </c>
      <c r="L1441" s="30"/>
    </row>
    <row r="1442" spans="1:12" hidden="1" x14ac:dyDescent="0.25">
      <c r="A1442" s="18" t="s">
        <v>27</v>
      </c>
      <c r="B1442" s="57">
        <v>4.8263888888888887E-3</v>
      </c>
      <c r="C1442" s="58">
        <v>5</v>
      </c>
      <c r="D1442" s="18" t="s">
        <v>1635</v>
      </c>
      <c r="E1442" s="18" t="s">
        <v>1636</v>
      </c>
      <c r="F1442" s="18" t="s">
        <v>1637</v>
      </c>
      <c r="G1442" s="59">
        <v>34.479999999999997</v>
      </c>
      <c r="H1442" s="59">
        <v>172.4</v>
      </c>
      <c r="I1442" s="18" t="s">
        <v>1585</v>
      </c>
      <c r="J1442" s="18" t="s">
        <v>1585</v>
      </c>
      <c r="K1442" s="18" t="s">
        <v>2859</v>
      </c>
      <c r="L1442" s="30"/>
    </row>
    <row r="1443" spans="1:12" hidden="1" x14ac:dyDescent="0.25">
      <c r="A1443" s="18" t="s">
        <v>27</v>
      </c>
      <c r="B1443" s="57">
        <v>1.4814814814814814E-3</v>
      </c>
      <c r="C1443" s="58">
        <v>2</v>
      </c>
      <c r="D1443" s="18" t="s">
        <v>1753</v>
      </c>
      <c r="E1443" s="18" t="s">
        <v>1752</v>
      </c>
      <c r="F1443" s="18" t="s">
        <v>1637</v>
      </c>
      <c r="G1443" s="59">
        <v>43.53</v>
      </c>
      <c r="H1443" s="59">
        <v>87.06</v>
      </c>
      <c r="I1443" s="18" t="s">
        <v>367</v>
      </c>
      <c r="J1443" s="18" t="s">
        <v>512</v>
      </c>
      <c r="K1443" s="18" t="s">
        <v>2859</v>
      </c>
      <c r="L1443" s="30"/>
    </row>
    <row r="1444" spans="1:12" hidden="1" x14ac:dyDescent="0.25">
      <c r="A1444" s="18" t="s">
        <v>27</v>
      </c>
      <c r="B1444" s="57">
        <v>9.4907407407407408E-4</v>
      </c>
      <c r="C1444" s="58">
        <v>1</v>
      </c>
      <c r="D1444" s="18" t="s">
        <v>2081</v>
      </c>
      <c r="E1444" s="18" t="s">
        <v>2082</v>
      </c>
      <c r="F1444" s="18" t="s">
        <v>1637</v>
      </c>
      <c r="G1444" s="59">
        <v>80.66</v>
      </c>
      <c r="H1444" s="59">
        <v>80.66</v>
      </c>
      <c r="I1444" s="18" t="s">
        <v>367</v>
      </c>
      <c r="J1444" s="18" t="s">
        <v>512</v>
      </c>
      <c r="K1444" s="18" t="s">
        <v>2859</v>
      </c>
      <c r="L1444" s="30"/>
    </row>
    <row r="1445" spans="1:12" hidden="1" x14ac:dyDescent="0.25">
      <c r="A1445" s="18" t="s">
        <v>27</v>
      </c>
      <c r="B1445" s="57">
        <v>9.4907407407407408E-4</v>
      </c>
      <c r="C1445" s="58">
        <v>1</v>
      </c>
      <c r="D1445" s="18" t="s">
        <v>2499</v>
      </c>
      <c r="E1445" s="18" t="s">
        <v>2500</v>
      </c>
      <c r="F1445" s="18" t="s">
        <v>1637</v>
      </c>
      <c r="G1445" s="59">
        <v>80.62</v>
      </c>
      <c r="H1445" s="59">
        <v>80.62</v>
      </c>
      <c r="I1445" s="18" t="s">
        <v>367</v>
      </c>
      <c r="J1445" s="18" t="s">
        <v>512</v>
      </c>
      <c r="K1445" s="18" t="s">
        <v>2859</v>
      </c>
      <c r="L1445" s="30"/>
    </row>
    <row r="1446" spans="1:12" hidden="1" x14ac:dyDescent="0.25">
      <c r="A1446" s="18" t="s">
        <v>27</v>
      </c>
      <c r="B1446" s="57">
        <v>1.5624999999999999E-3</v>
      </c>
      <c r="C1446" s="58">
        <v>2</v>
      </c>
      <c r="D1446" s="18" t="s">
        <v>1688</v>
      </c>
      <c r="E1446" s="18" t="s">
        <v>2779</v>
      </c>
      <c r="F1446" s="18" t="s">
        <v>1637</v>
      </c>
      <c r="G1446" s="59">
        <v>105.04</v>
      </c>
      <c r="H1446" s="59">
        <v>210.08</v>
      </c>
      <c r="I1446" s="18" t="s">
        <v>367</v>
      </c>
      <c r="J1446" s="18" t="s">
        <v>512</v>
      </c>
      <c r="K1446" s="18" t="s">
        <v>2859</v>
      </c>
      <c r="L1446" s="30"/>
    </row>
    <row r="1447" spans="1:12" hidden="1" x14ac:dyDescent="0.25">
      <c r="A1447" s="18" t="s">
        <v>27</v>
      </c>
      <c r="B1447" s="57">
        <v>1.3773148148148147E-3</v>
      </c>
      <c r="C1447" s="58">
        <v>1</v>
      </c>
      <c r="D1447" s="18" t="s">
        <v>1773</v>
      </c>
      <c r="E1447" s="18" t="s">
        <v>1774</v>
      </c>
      <c r="F1447" s="18" t="s">
        <v>1637</v>
      </c>
      <c r="G1447" s="59">
        <v>497.99</v>
      </c>
      <c r="H1447" s="59">
        <v>497.99</v>
      </c>
      <c r="I1447" s="18" t="s">
        <v>367</v>
      </c>
      <c r="J1447" s="18" t="s">
        <v>512</v>
      </c>
      <c r="K1447" s="18" t="s">
        <v>2859</v>
      </c>
      <c r="L1447" s="30"/>
    </row>
    <row r="1448" spans="1:12" hidden="1" x14ac:dyDescent="0.25">
      <c r="A1448" s="18" t="s">
        <v>27</v>
      </c>
      <c r="B1448" s="57">
        <v>1.3425925925925925E-3</v>
      </c>
      <c r="C1448" s="58">
        <v>1</v>
      </c>
      <c r="D1448" s="18" t="s">
        <v>1775</v>
      </c>
      <c r="E1448" s="18" t="s">
        <v>1776</v>
      </c>
      <c r="F1448" s="18" t="s">
        <v>1637</v>
      </c>
      <c r="G1448" s="59">
        <v>561.30999999999995</v>
      </c>
      <c r="H1448" s="59">
        <v>561.30999999999995</v>
      </c>
      <c r="I1448" s="18" t="s">
        <v>367</v>
      </c>
      <c r="J1448" s="18" t="s">
        <v>512</v>
      </c>
      <c r="K1448" s="18" t="s">
        <v>2859</v>
      </c>
      <c r="L1448" s="30"/>
    </row>
    <row r="1449" spans="1:12" hidden="1" x14ac:dyDescent="0.25">
      <c r="A1449" s="18" t="s">
        <v>27</v>
      </c>
      <c r="B1449" s="57">
        <v>6.0185185185185179E-4</v>
      </c>
      <c r="C1449" s="58">
        <v>1</v>
      </c>
      <c r="D1449" s="18" t="s">
        <v>1793</v>
      </c>
      <c r="E1449" s="18" t="s">
        <v>1642</v>
      </c>
      <c r="F1449" s="18" t="s">
        <v>1637</v>
      </c>
      <c r="G1449" s="59">
        <v>24.4</v>
      </c>
      <c r="H1449" s="59">
        <v>24.4</v>
      </c>
      <c r="I1449" s="18" t="s">
        <v>367</v>
      </c>
      <c r="J1449" s="18" t="s">
        <v>1594</v>
      </c>
      <c r="K1449" s="18" t="s">
        <v>2859</v>
      </c>
      <c r="L1449" s="30"/>
    </row>
    <row r="1450" spans="1:12" hidden="1" x14ac:dyDescent="0.25">
      <c r="A1450" s="18" t="s">
        <v>27</v>
      </c>
      <c r="B1450" s="57">
        <v>5.5555555555555556E-4</v>
      </c>
      <c r="C1450" s="58">
        <v>1</v>
      </c>
      <c r="D1450" s="18" t="s">
        <v>2774</v>
      </c>
      <c r="E1450" s="18" t="s">
        <v>1714</v>
      </c>
      <c r="F1450" s="18" t="s">
        <v>1637</v>
      </c>
      <c r="G1450" s="59">
        <v>12.08</v>
      </c>
      <c r="H1450" s="59">
        <v>12.08</v>
      </c>
      <c r="I1450" s="18" t="s">
        <v>2763</v>
      </c>
      <c r="J1450" s="18" t="s">
        <v>512</v>
      </c>
      <c r="K1450" s="18" t="s">
        <v>2859</v>
      </c>
      <c r="L1450" s="30"/>
    </row>
    <row r="1451" spans="1:12" hidden="1" x14ac:dyDescent="0.25">
      <c r="A1451" s="18" t="s">
        <v>27</v>
      </c>
      <c r="B1451" s="57">
        <v>1.2152777777777778E-3</v>
      </c>
      <c r="C1451" s="58">
        <v>2</v>
      </c>
      <c r="D1451" s="18" t="s">
        <v>2849</v>
      </c>
      <c r="E1451" s="18" t="s">
        <v>1722</v>
      </c>
      <c r="F1451" s="18" t="s">
        <v>1637</v>
      </c>
      <c r="G1451" s="59">
        <v>25.44</v>
      </c>
      <c r="H1451" s="59">
        <v>50.88</v>
      </c>
      <c r="I1451" s="18" t="s">
        <v>2763</v>
      </c>
      <c r="J1451" s="18" t="s">
        <v>512</v>
      </c>
      <c r="K1451" s="18" t="s">
        <v>2859</v>
      </c>
      <c r="L1451" s="30"/>
    </row>
    <row r="1452" spans="1:12" hidden="1" x14ac:dyDescent="0.25">
      <c r="A1452" s="18" t="s">
        <v>27</v>
      </c>
      <c r="B1452" s="57">
        <v>6.3657407407407402E-4</v>
      </c>
      <c r="C1452" s="58">
        <v>1</v>
      </c>
      <c r="D1452" s="18" t="s">
        <v>2855</v>
      </c>
      <c r="E1452" s="18" t="s">
        <v>1716</v>
      </c>
      <c r="F1452" s="18" t="s">
        <v>1637</v>
      </c>
      <c r="G1452" s="59">
        <v>32.11</v>
      </c>
      <c r="H1452" s="59">
        <v>32.11</v>
      </c>
      <c r="I1452" s="18" t="s">
        <v>2763</v>
      </c>
      <c r="J1452" s="18" t="s">
        <v>512</v>
      </c>
      <c r="K1452" s="18" t="s">
        <v>2859</v>
      </c>
      <c r="L1452" s="30"/>
    </row>
    <row r="1453" spans="1:12" hidden="1" x14ac:dyDescent="0.25">
      <c r="A1453" s="18" t="s">
        <v>27</v>
      </c>
      <c r="B1453" s="57">
        <v>1.261574074074074E-3</v>
      </c>
      <c r="C1453" s="58">
        <v>2</v>
      </c>
      <c r="D1453" s="18" t="s">
        <v>1667</v>
      </c>
      <c r="E1453" s="18" t="s">
        <v>1668</v>
      </c>
      <c r="F1453" s="18" t="s">
        <v>1637</v>
      </c>
      <c r="G1453" s="59">
        <v>31.19</v>
      </c>
      <c r="H1453" s="59">
        <v>62.38</v>
      </c>
      <c r="I1453" s="18" t="s">
        <v>1588</v>
      </c>
      <c r="J1453" s="18" t="s">
        <v>1588</v>
      </c>
      <c r="K1453" s="18" t="s">
        <v>2859</v>
      </c>
      <c r="L1453" s="30"/>
    </row>
    <row r="1454" spans="1:12" hidden="1" x14ac:dyDescent="0.25">
      <c r="A1454" s="18" t="s">
        <v>27</v>
      </c>
      <c r="B1454" s="57">
        <v>2.4305555555555556E-3</v>
      </c>
      <c r="C1454" s="58">
        <v>4</v>
      </c>
      <c r="D1454" s="18" t="s">
        <v>1717</v>
      </c>
      <c r="E1454" s="18" t="s">
        <v>1718</v>
      </c>
      <c r="F1454" s="18" t="s">
        <v>1637</v>
      </c>
      <c r="G1454" s="59">
        <v>25.53</v>
      </c>
      <c r="H1454" s="59">
        <v>102.12</v>
      </c>
      <c r="I1454" s="18" t="s">
        <v>1588</v>
      </c>
      <c r="J1454" s="18" t="s">
        <v>1588</v>
      </c>
      <c r="K1454" s="18" t="s">
        <v>2859</v>
      </c>
      <c r="L1454" s="30"/>
    </row>
    <row r="1455" spans="1:12" hidden="1" x14ac:dyDescent="0.25">
      <c r="A1455" s="18" t="s">
        <v>27</v>
      </c>
      <c r="B1455" s="57">
        <v>1.261574074074074E-3</v>
      </c>
      <c r="C1455" s="58">
        <v>2</v>
      </c>
      <c r="D1455" s="18" t="s">
        <v>1669</v>
      </c>
      <c r="E1455" s="18" t="s">
        <v>1670</v>
      </c>
      <c r="F1455" s="18" t="s">
        <v>1637</v>
      </c>
      <c r="G1455" s="59">
        <v>31.63</v>
      </c>
      <c r="H1455" s="59">
        <v>63.26</v>
      </c>
      <c r="I1455" s="18" t="s">
        <v>1588</v>
      </c>
      <c r="J1455" s="18" t="s">
        <v>1588</v>
      </c>
      <c r="K1455" s="18" t="s">
        <v>2859</v>
      </c>
      <c r="L1455" s="30"/>
    </row>
    <row r="1456" spans="1:12" hidden="1" x14ac:dyDescent="0.25">
      <c r="A1456" s="18" t="s">
        <v>27</v>
      </c>
      <c r="B1456" s="57">
        <v>6.3657407407407402E-4</v>
      </c>
      <c r="C1456" s="58">
        <v>1</v>
      </c>
      <c r="D1456" s="18" t="s">
        <v>1715</v>
      </c>
      <c r="E1456" s="18" t="s">
        <v>1716</v>
      </c>
      <c r="F1456" s="18" t="s">
        <v>1637</v>
      </c>
      <c r="G1456" s="59">
        <v>32.11</v>
      </c>
      <c r="H1456" s="59">
        <v>32.11</v>
      </c>
      <c r="I1456" s="18" t="s">
        <v>1588</v>
      </c>
      <c r="J1456" s="18" t="s">
        <v>512</v>
      </c>
      <c r="K1456" s="18" t="s">
        <v>2859</v>
      </c>
      <c r="L1456" s="30"/>
    </row>
    <row r="1457" spans="1:12" hidden="1" x14ac:dyDescent="0.25">
      <c r="A1457" s="18" t="s">
        <v>27</v>
      </c>
      <c r="B1457" s="57">
        <v>1.6550925925925926E-3</v>
      </c>
      <c r="C1457" s="58">
        <v>2</v>
      </c>
      <c r="D1457" s="18" t="s">
        <v>2639</v>
      </c>
      <c r="E1457" s="18" t="s">
        <v>1752</v>
      </c>
      <c r="F1457" s="18" t="s">
        <v>1637</v>
      </c>
      <c r="G1457" s="59">
        <v>43.8</v>
      </c>
      <c r="H1457" s="59">
        <v>87.6</v>
      </c>
      <c r="I1457" s="18" t="s">
        <v>367</v>
      </c>
      <c r="J1457" s="18" t="s">
        <v>512</v>
      </c>
      <c r="K1457" s="18" t="s">
        <v>2859</v>
      </c>
      <c r="L1457" s="30"/>
    </row>
    <row r="1458" spans="1:12" hidden="1" x14ac:dyDescent="0.25">
      <c r="A1458" s="18" t="s">
        <v>27</v>
      </c>
      <c r="B1458" s="57">
        <v>7.2916666666666659E-4</v>
      </c>
      <c r="C1458" s="58">
        <v>1</v>
      </c>
      <c r="D1458" s="18" t="s">
        <v>1675</v>
      </c>
      <c r="E1458" s="18" t="s">
        <v>1676</v>
      </c>
      <c r="F1458" s="18" t="s">
        <v>1637</v>
      </c>
      <c r="G1458" s="59">
        <v>21.57</v>
      </c>
      <c r="H1458" s="59">
        <v>21.57</v>
      </c>
      <c r="I1458" s="18" t="s">
        <v>367</v>
      </c>
      <c r="J1458" s="18" t="s">
        <v>368</v>
      </c>
      <c r="K1458" s="18" t="s">
        <v>2860</v>
      </c>
      <c r="L1458" s="30"/>
    </row>
    <row r="1459" spans="1:12" hidden="1" x14ac:dyDescent="0.25">
      <c r="A1459" s="18" t="s">
        <v>27</v>
      </c>
      <c r="B1459" s="57">
        <v>8.1018518518518516E-4</v>
      </c>
      <c r="C1459" s="58">
        <v>1</v>
      </c>
      <c r="D1459" s="18" t="s">
        <v>1681</v>
      </c>
      <c r="E1459" s="18" t="s">
        <v>1676</v>
      </c>
      <c r="F1459" s="18" t="s">
        <v>1637</v>
      </c>
      <c r="G1459" s="59">
        <v>21.57</v>
      </c>
      <c r="H1459" s="59">
        <v>21.57</v>
      </c>
      <c r="I1459" s="18" t="s">
        <v>367</v>
      </c>
      <c r="J1459" s="18" t="s">
        <v>368</v>
      </c>
      <c r="K1459" s="18" t="s">
        <v>2860</v>
      </c>
      <c r="L1459" s="30"/>
    </row>
    <row r="1460" spans="1:12" hidden="1" x14ac:dyDescent="0.25">
      <c r="A1460" s="18" t="s">
        <v>27</v>
      </c>
      <c r="B1460" s="57">
        <v>1.8981481481481482E-3</v>
      </c>
      <c r="C1460" s="58">
        <v>1</v>
      </c>
      <c r="D1460" s="18" t="s">
        <v>2072</v>
      </c>
      <c r="E1460" s="18" t="s">
        <v>2772</v>
      </c>
      <c r="F1460" s="18" t="s">
        <v>1637</v>
      </c>
      <c r="G1460" s="59">
        <v>1016.37</v>
      </c>
      <c r="H1460" s="59">
        <v>1016.37</v>
      </c>
      <c r="I1460" s="18" t="s">
        <v>829</v>
      </c>
      <c r="J1460" s="18" t="s">
        <v>367</v>
      </c>
      <c r="K1460" s="18" t="s">
        <v>2860</v>
      </c>
      <c r="L1460" s="30"/>
    </row>
    <row r="1461" spans="1:12" hidden="1" x14ac:dyDescent="0.25">
      <c r="A1461" s="18" t="s">
        <v>27</v>
      </c>
      <c r="B1461" s="57">
        <v>2.3495370370370371E-3</v>
      </c>
      <c r="C1461" s="58">
        <v>1</v>
      </c>
      <c r="D1461" s="18" t="s">
        <v>2074</v>
      </c>
      <c r="E1461" s="18" t="s">
        <v>2772</v>
      </c>
      <c r="F1461" s="18" t="s">
        <v>1637</v>
      </c>
      <c r="G1461" s="59">
        <v>1016.37</v>
      </c>
      <c r="H1461" s="59">
        <v>1016.37</v>
      </c>
      <c r="I1461" s="18" t="s">
        <v>829</v>
      </c>
      <c r="J1461" s="18" t="s">
        <v>367</v>
      </c>
      <c r="K1461" s="18" t="s">
        <v>2860</v>
      </c>
      <c r="L1461" s="30"/>
    </row>
    <row r="1462" spans="1:12" hidden="1" x14ac:dyDescent="0.25">
      <c r="A1462" s="18" t="s">
        <v>27</v>
      </c>
      <c r="B1462" s="57">
        <v>1.1342592592592591E-3</v>
      </c>
      <c r="C1462" s="58">
        <v>1</v>
      </c>
      <c r="D1462" s="18" t="s">
        <v>1635</v>
      </c>
      <c r="E1462" s="18" t="s">
        <v>1636</v>
      </c>
      <c r="F1462" s="18" t="s">
        <v>1637</v>
      </c>
      <c r="G1462" s="59">
        <v>34.479999999999997</v>
      </c>
      <c r="H1462" s="59">
        <v>34.479999999999997</v>
      </c>
      <c r="I1462" s="18" t="s">
        <v>1585</v>
      </c>
      <c r="J1462" s="18" t="s">
        <v>1585</v>
      </c>
      <c r="K1462" s="18" t="s">
        <v>2860</v>
      </c>
      <c r="L1462" s="30"/>
    </row>
    <row r="1463" spans="1:12" hidden="1" x14ac:dyDescent="0.25">
      <c r="A1463" s="18" t="s">
        <v>27</v>
      </c>
      <c r="B1463" s="57">
        <v>9.7222222222222219E-4</v>
      </c>
      <c r="C1463" s="58">
        <v>1</v>
      </c>
      <c r="D1463" s="18" t="s">
        <v>1725</v>
      </c>
      <c r="E1463" s="18" t="s">
        <v>1726</v>
      </c>
      <c r="F1463" s="18" t="s">
        <v>1637</v>
      </c>
      <c r="G1463" s="59">
        <v>43.7</v>
      </c>
      <c r="H1463" s="59">
        <v>43.7</v>
      </c>
      <c r="I1463" s="18" t="s">
        <v>367</v>
      </c>
      <c r="J1463" s="18" t="s">
        <v>512</v>
      </c>
      <c r="K1463" s="18" t="s">
        <v>2860</v>
      </c>
      <c r="L1463" s="30"/>
    </row>
    <row r="1464" spans="1:12" hidden="1" x14ac:dyDescent="0.25">
      <c r="A1464" s="18" t="s">
        <v>27</v>
      </c>
      <c r="B1464" s="57">
        <v>1.6319444444444443E-3</v>
      </c>
      <c r="C1464" s="58">
        <v>1</v>
      </c>
      <c r="D1464" s="18" t="s">
        <v>1773</v>
      </c>
      <c r="E1464" s="18" t="s">
        <v>1774</v>
      </c>
      <c r="F1464" s="18" t="s">
        <v>1637</v>
      </c>
      <c r="G1464" s="59">
        <v>497.99</v>
      </c>
      <c r="H1464" s="59">
        <v>497.99</v>
      </c>
      <c r="I1464" s="18" t="s">
        <v>367</v>
      </c>
      <c r="J1464" s="18" t="s">
        <v>512</v>
      </c>
      <c r="K1464" s="18" t="s">
        <v>2860</v>
      </c>
      <c r="L1464" s="30"/>
    </row>
    <row r="1465" spans="1:12" hidden="1" x14ac:dyDescent="0.25">
      <c r="A1465" s="18" t="s">
        <v>27</v>
      </c>
      <c r="B1465" s="57">
        <v>1.423611111111111E-3</v>
      </c>
      <c r="C1465" s="58">
        <v>2</v>
      </c>
      <c r="D1465" s="18" t="s">
        <v>1641</v>
      </c>
      <c r="E1465" s="18" t="s">
        <v>1642</v>
      </c>
      <c r="F1465" s="18" t="s">
        <v>1637</v>
      </c>
      <c r="G1465" s="59">
        <v>24.4</v>
      </c>
      <c r="H1465" s="59">
        <v>48.8</v>
      </c>
      <c r="I1465" s="18" t="s">
        <v>367</v>
      </c>
      <c r="J1465" s="22" t="s">
        <v>1594</v>
      </c>
      <c r="K1465" s="18" t="s">
        <v>2860</v>
      </c>
      <c r="L1465" s="30"/>
    </row>
    <row r="1466" spans="1:12" hidden="1" x14ac:dyDescent="0.25">
      <c r="A1466" s="18" t="s">
        <v>27</v>
      </c>
      <c r="B1466" s="57">
        <v>1.1921296296296296E-3</v>
      </c>
      <c r="C1466" s="58">
        <v>3</v>
      </c>
      <c r="D1466" s="18" t="s">
        <v>1941</v>
      </c>
      <c r="E1466" s="18" t="s">
        <v>1942</v>
      </c>
      <c r="F1466" s="18" t="s">
        <v>1810</v>
      </c>
      <c r="G1466" s="59">
        <v>1.93</v>
      </c>
      <c r="H1466" s="59">
        <v>5.79</v>
      </c>
      <c r="I1466" s="18" t="s">
        <v>367</v>
      </c>
      <c r="J1466" s="18" t="s">
        <v>367</v>
      </c>
      <c r="K1466" s="18" t="s">
        <v>2861</v>
      </c>
      <c r="L1466" s="30"/>
    </row>
    <row r="1467" spans="1:12" hidden="1" x14ac:dyDescent="0.25">
      <c r="A1467" s="18" t="s">
        <v>27</v>
      </c>
      <c r="B1467" s="57">
        <v>5.7870370370370367E-4</v>
      </c>
      <c r="C1467" s="58">
        <v>1</v>
      </c>
      <c r="D1467" s="18" t="s">
        <v>2035</v>
      </c>
      <c r="E1467" s="18" t="s">
        <v>2036</v>
      </c>
      <c r="F1467" s="18" t="s">
        <v>1810</v>
      </c>
      <c r="G1467" s="59">
        <v>12.45</v>
      </c>
      <c r="H1467" s="59">
        <v>12.45</v>
      </c>
      <c r="I1467" s="18" t="s">
        <v>367</v>
      </c>
      <c r="J1467" s="18" t="s">
        <v>512</v>
      </c>
      <c r="K1467" s="18" t="s">
        <v>2861</v>
      </c>
      <c r="L1467" s="30"/>
    </row>
    <row r="1468" spans="1:12" hidden="1" x14ac:dyDescent="0.25">
      <c r="A1468" s="18" t="s">
        <v>27</v>
      </c>
      <c r="B1468" s="57">
        <v>5.7870370370370367E-4</v>
      </c>
      <c r="C1468" s="58">
        <v>1</v>
      </c>
      <c r="D1468" s="18" t="s">
        <v>1842</v>
      </c>
      <c r="E1468" s="18" t="s">
        <v>1843</v>
      </c>
      <c r="F1468" s="18" t="s">
        <v>1810</v>
      </c>
      <c r="G1468" s="59">
        <v>12.16</v>
      </c>
      <c r="H1468" s="59">
        <v>12.16</v>
      </c>
      <c r="I1468" s="18" t="s">
        <v>367</v>
      </c>
      <c r="J1468" s="18" t="s">
        <v>512</v>
      </c>
      <c r="K1468" s="18" t="s">
        <v>2861</v>
      </c>
      <c r="L1468" s="30"/>
    </row>
    <row r="1469" spans="1:12" hidden="1" x14ac:dyDescent="0.25">
      <c r="A1469" s="18" t="s">
        <v>27</v>
      </c>
      <c r="B1469" s="57">
        <v>1.5740740740740741E-3</v>
      </c>
      <c r="C1469" s="58">
        <v>2</v>
      </c>
      <c r="D1469" s="18" t="s">
        <v>2830</v>
      </c>
      <c r="E1469" s="18" t="s">
        <v>2831</v>
      </c>
      <c r="F1469" s="18" t="s">
        <v>1810</v>
      </c>
      <c r="G1469" s="59">
        <v>46.86</v>
      </c>
      <c r="H1469" s="59">
        <v>93.72</v>
      </c>
      <c r="I1469" s="18" t="s">
        <v>2742</v>
      </c>
      <c r="J1469" s="18" t="s">
        <v>115</v>
      </c>
      <c r="K1469" s="18" t="s">
        <v>2861</v>
      </c>
      <c r="L1469" s="30"/>
    </row>
    <row r="1470" spans="1:12" hidden="1" x14ac:dyDescent="0.25">
      <c r="A1470" s="18" t="s">
        <v>27</v>
      </c>
      <c r="B1470" s="57">
        <v>5.9490740740740736E-3</v>
      </c>
      <c r="C1470" s="58">
        <v>6</v>
      </c>
      <c r="D1470" s="18" t="s">
        <v>2862</v>
      </c>
      <c r="E1470" s="18" t="s">
        <v>2831</v>
      </c>
      <c r="F1470" s="18" t="s">
        <v>1810</v>
      </c>
      <c r="G1470" s="59">
        <v>46.86</v>
      </c>
      <c r="H1470" s="59">
        <v>281.16000000000003</v>
      </c>
      <c r="I1470" s="18" t="s">
        <v>2729</v>
      </c>
      <c r="J1470" s="18" t="s">
        <v>115</v>
      </c>
      <c r="K1470" s="18" t="s">
        <v>2861</v>
      </c>
      <c r="L1470" s="30"/>
    </row>
    <row r="1471" spans="1:12" hidden="1" x14ac:dyDescent="0.25">
      <c r="A1471" s="18" t="s">
        <v>27</v>
      </c>
      <c r="B1471" s="57">
        <v>1.230324074074074E-2</v>
      </c>
      <c r="C1471" s="58">
        <v>1</v>
      </c>
      <c r="D1471" s="18" t="s">
        <v>2863</v>
      </c>
      <c r="E1471" s="18" t="s">
        <v>1813</v>
      </c>
      <c r="F1471" s="18" t="s">
        <v>1810</v>
      </c>
      <c r="G1471" s="59">
        <v>1519.18</v>
      </c>
      <c r="H1471" s="59">
        <v>1519.18</v>
      </c>
      <c r="I1471" s="18" t="s">
        <v>2763</v>
      </c>
      <c r="J1471" s="18" t="s">
        <v>512</v>
      </c>
      <c r="K1471" s="18" t="s">
        <v>2861</v>
      </c>
      <c r="L1471" s="30"/>
    </row>
    <row r="1472" spans="1:12" hidden="1" x14ac:dyDescent="0.25">
      <c r="A1472" s="18" t="s">
        <v>27</v>
      </c>
      <c r="B1472" s="57">
        <v>1.3506944444444445E-2</v>
      </c>
      <c r="C1472" s="58">
        <v>16</v>
      </c>
      <c r="D1472" s="18" t="s">
        <v>1608</v>
      </c>
      <c r="E1472" s="18" t="s">
        <v>1609</v>
      </c>
      <c r="F1472" s="18" t="s">
        <v>1610</v>
      </c>
      <c r="G1472" s="59">
        <v>36.159999999999997</v>
      </c>
      <c r="H1472" s="59">
        <v>578.55999999999995</v>
      </c>
      <c r="I1472" s="18" t="s">
        <v>367</v>
      </c>
      <c r="J1472" s="18" t="s">
        <v>367</v>
      </c>
      <c r="K1472" s="18" t="s">
        <v>2864</v>
      </c>
      <c r="L1472" s="30"/>
    </row>
    <row r="1473" spans="1:12" hidden="1" x14ac:dyDescent="0.25">
      <c r="A1473" s="18" t="s">
        <v>27</v>
      </c>
      <c r="B1473" s="57">
        <v>3.09375E-2</v>
      </c>
      <c r="C1473" s="58">
        <v>24</v>
      </c>
      <c r="D1473" s="18" t="s">
        <v>1613</v>
      </c>
      <c r="E1473" s="18" t="s">
        <v>1614</v>
      </c>
      <c r="F1473" s="18" t="s">
        <v>1610</v>
      </c>
      <c r="G1473" s="59">
        <v>10.78</v>
      </c>
      <c r="H1473" s="59">
        <v>258.72000000000003</v>
      </c>
      <c r="I1473" s="18" t="s">
        <v>367</v>
      </c>
      <c r="J1473" s="18" t="s">
        <v>367</v>
      </c>
      <c r="K1473" s="18" t="s">
        <v>2864</v>
      </c>
      <c r="L1473" s="30"/>
    </row>
    <row r="1474" spans="1:12" hidden="1" x14ac:dyDescent="0.25">
      <c r="A1474" s="18" t="s">
        <v>27</v>
      </c>
      <c r="B1474" s="57">
        <v>3.99537037037037E-2</v>
      </c>
      <c r="C1474" s="58">
        <v>31</v>
      </c>
      <c r="D1474" s="18" t="s">
        <v>2865</v>
      </c>
      <c r="E1474" s="18" t="s">
        <v>1614</v>
      </c>
      <c r="F1474" s="18" t="s">
        <v>1610</v>
      </c>
      <c r="G1474" s="59">
        <v>10.78</v>
      </c>
      <c r="H1474" s="59">
        <v>334.18</v>
      </c>
      <c r="I1474" s="18" t="s">
        <v>2823</v>
      </c>
      <c r="J1474" s="18" t="s">
        <v>2823</v>
      </c>
      <c r="K1474" s="18" t="s">
        <v>2864</v>
      </c>
      <c r="L1474" s="30"/>
    </row>
    <row r="1475" spans="1:12" hidden="1" x14ac:dyDescent="0.25">
      <c r="A1475" s="18" t="s">
        <v>27</v>
      </c>
      <c r="B1475" s="57">
        <v>4.0543981481481479E-2</v>
      </c>
      <c r="C1475" s="58">
        <v>48</v>
      </c>
      <c r="D1475" s="18" t="s">
        <v>2866</v>
      </c>
      <c r="E1475" s="18" t="s">
        <v>1609</v>
      </c>
      <c r="F1475" s="18" t="s">
        <v>1610</v>
      </c>
      <c r="G1475" s="59">
        <v>36.159999999999997</v>
      </c>
      <c r="H1475" s="59">
        <v>1735.68</v>
      </c>
      <c r="I1475" s="18" t="s">
        <v>2823</v>
      </c>
      <c r="J1475" s="18" t="s">
        <v>2823</v>
      </c>
      <c r="K1475" s="18" t="s">
        <v>2864</v>
      </c>
      <c r="L1475" s="30"/>
    </row>
    <row r="1476" spans="1:12" hidden="1" x14ac:dyDescent="0.25">
      <c r="A1476" s="18" t="s">
        <v>27</v>
      </c>
      <c r="B1476" s="57">
        <v>3.8078703703703703E-3</v>
      </c>
      <c r="C1476" s="58">
        <v>5</v>
      </c>
      <c r="D1476" s="18" t="s">
        <v>1888</v>
      </c>
      <c r="E1476" s="18" t="s">
        <v>1889</v>
      </c>
      <c r="F1476" s="18" t="s">
        <v>1810</v>
      </c>
      <c r="G1476" s="59">
        <v>66.22</v>
      </c>
      <c r="H1476" s="59">
        <v>331.1</v>
      </c>
      <c r="I1476" s="18" t="s">
        <v>1583</v>
      </c>
      <c r="J1476" s="18" t="s">
        <v>1583</v>
      </c>
      <c r="K1476" s="18" t="s">
        <v>2867</v>
      </c>
      <c r="L1476" s="30"/>
    </row>
    <row r="1477" spans="1:12" hidden="1" x14ac:dyDescent="0.25">
      <c r="A1477" s="18" t="s">
        <v>27</v>
      </c>
      <c r="B1477" s="57">
        <v>7.8472222222222224E-3</v>
      </c>
      <c r="C1477" s="58">
        <v>11</v>
      </c>
      <c r="D1477" s="18" t="s">
        <v>1940</v>
      </c>
      <c r="E1477" s="18" t="s">
        <v>1886</v>
      </c>
      <c r="F1477" s="18" t="s">
        <v>1810</v>
      </c>
      <c r="G1477" s="59">
        <v>37.479999999999997</v>
      </c>
      <c r="H1477" s="59">
        <v>412.28</v>
      </c>
      <c r="I1477" s="18" t="s">
        <v>1665</v>
      </c>
      <c r="J1477" s="18" t="s">
        <v>115</v>
      </c>
      <c r="K1477" s="18" t="s">
        <v>2867</v>
      </c>
      <c r="L1477" s="30"/>
    </row>
    <row r="1478" spans="1:12" hidden="1" x14ac:dyDescent="0.25">
      <c r="A1478" s="18" t="s">
        <v>27</v>
      </c>
      <c r="B1478" s="57">
        <v>4.5138888888888887E-4</v>
      </c>
      <c r="C1478" s="58">
        <v>1</v>
      </c>
      <c r="D1478" s="18" t="s">
        <v>1871</v>
      </c>
      <c r="E1478" s="18" t="s">
        <v>1845</v>
      </c>
      <c r="F1478" s="18" t="s">
        <v>1810</v>
      </c>
      <c r="G1478" s="59">
        <v>8.31</v>
      </c>
      <c r="H1478" s="59">
        <v>8.31</v>
      </c>
      <c r="I1478" s="18" t="s">
        <v>367</v>
      </c>
      <c r="J1478" s="18" t="s">
        <v>512</v>
      </c>
      <c r="K1478" s="18" t="s">
        <v>2867</v>
      </c>
      <c r="L1478" s="30"/>
    </row>
    <row r="1479" spans="1:12" hidden="1" x14ac:dyDescent="0.25">
      <c r="A1479" s="18" t="s">
        <v>27</v>
      </c>
      <c r="B1479" s="57">
        <v>4.5138888888888887E-4</v>
      </c>
      <c r="C1479" s="58">
        <v>1</v>
      </c>
      <c r="D1479" s="18" t="s">
        <v>1844</v>
      </c>
      <c r="E1479" s="18" t="s">
        <v>1845</v>
      </c>
      <c r="F1479" s="18" t="s">
        <v>1810</v>
      </c>
      <c r="G1479" s="59">
        <v>8.31</v>
      </c>
      <c r="H1479" s="59">
        <v>8.31</v>
      </c>
      <c r="I1479" s="18" t="s">
        <v>367</v>
      </c>
      <c r="J1479" s="18" t="s">
        <v>512</v>
      </c>
      <c r="K1479" s="18" t="s">
        <v>2867</v>
      </c>
      <c r="L1479" s="30"/>
    </row>
    <row r="1480" spans="1:12" hidden="1" x14ac:dyDescent="0.25">
      <c r="A1480" s="18" t="s">
        <v>27</v>
      </c>
      <c r="B1480" s="57">
        <v>1.2268518518518518E-3</v>
      </c>
      <c r="C1480" s="58">
        <v>2</v>
      </c>
      <c r="D1480" s="18" t="s">
        <v>1876</v>
      </c>
      <c r="E1480" s="18" t="s">
        <v>1877</v>
      </c>
      <c r="F1480" s="18" t="s">
        <v>1810</v>
      </c>
      <c r="G1480" s="59">
        <v>3.7</v>
      </c>
      <c r="H1480" s="59">
        <v>7.4</v>
      </c>
      <c r="I1480" s="18" t="s">
        <v>367</v>
      </c>
      <c r="J1480" s="18" t="s">
        <v>1594</v>
      </c>
      <c r="K1480" s="18" t="s">
        <v>2867</v>
      </c>
      <c r="L1480" s="30"/>
    </row>
    <row r="1481" spans="1:12" hidden="1" x14ac:dyDescent="0.25">
      <c r="A1481" s="18" t="s">
        <v>27</v>
      </c>
      <c r="B1481" s="57">
        <v>7.0254629629629625E-3</v>
      </c>
      <c r="C1481" s="58">
        <v>1</v>
      </c>
      <c r="D1481" s="18" t="s">
        <v>2868</v>
      </c>
      <c r="E1481" s="18" t="s">
        <v>2869</v>
      </c>
      <c r="F1481" s="18" t="s">
        <v>1810</v>
      </c>
      <c r="G1481" s="59">
        <v>1009.71</v>
      </c>
      <c r="H1481" s="59">
        <v>1009.71</v>
      </c>
      <c r="I1481" s="18" t="s">
        <v>2763</v>
      </c>
      <c r="J1481" s="18" t="s">
        <v>512</v>
      </c>
      <c r="K1481" s="18" t="s">
        <v>2867</v>
      </c>
      <c r="L1481" s="30"/>
    </row>
    <row r="1482" spans="1:12" hidden="1" x14ac:dyDescent="0.25">
      <c r="A1482" s="18" t="s">
        <v>27</v>
      </c>
      <c r="B1482" s="57">
        <v>1.2268518518518518E-3</v>
      </c>
      <c r="C1482" s="58">
        <v>1</v>
      </c>
      <c r="D1482" s="18" t="s">
        <v>2870</v>
      </c>
      <c r="E1482" s="18" t="s">
        <v>2797</v>
      </c>
      <c r="F1482" s="18" t="s">
        <v>1810</v>
      </c>
      <c r="G1482" s="59">
        <v>160.62</v>
      </c>
      <c r="H1482" s="59">
        <v>160.62</v>
      </c>
      <c r="I1482" s="18" t="s">
        <v>152</v>
      </c>
      <c r="J1482" s="18" t="s">
        <v>152</v>
      </c>
      <c r="K1482" s="18" t="s">
        <v>2867</v>
      </c>
      <c r="L1482" s="30"/>
    </row>
    <row r="1483" spans="1:12" hidden="1" x14ac:dyDescent="0.25">
      <c r="A1483" s="18" t="s">
        <v>27</v>
      </c>
      <c r="B1483" s="57">
        <v>8.9699074074074073E-3</v>
      </c>
      <c r="C1483" s="58">
        <v>11</v>
      </c>
      <c r="D1483" s="18" t="s">
        <v>1940</v>
      </c>
      <c r="E1483" s="18" t="s">
        <v>1886</v>
      </c>
      <c r="F1483" s="18" t="s">
        <v>1810</v>
      </c>
      <c r="G1483" s="59">
        <v>37.479999999999997</v>
      </c>
      <c r="H1483" s="59">
        <v>412.28</v>
      </c>
      <c r="I1483" s="18" t="s">
        <v>1665</v>
      </c>
      <c r="J1483" s="18" t="s">
        <v>115</v>
      </c>
      <c r="K1483" s="18" t="s">
        <v>2871</v>
      </c>
      <c r="L1483" s="30"/>
    </row>
    <row r="1484" spans="1:12" hidden="1" x14ac:dyDescent="0.25">
      <c r="A1484" s="18" t="s">
        <v>27</v>
      </c>
      <c r="B1484" s="57">
        <v>1.0763888888888889E-3</v>
      </c>
      <c r="C1484" s="58">
        <v>2</v>
      </c>
      <c r="D1484" s="18" t="s">
        <v>1853</v>
      </c>
      <c r="E1484" s="18" t="s">
        <v>1854</v>
      </c>
      <c r="F1484" s="18" t="s">
        <v>1810</v>
      </c>
      <c r="G1484" s="59">
        <v>7.91</v>
      </c>
      <c r="H1484" s="59">
        <v>15.82</v>
      </c>
      <c r="I1484" s="18" t="s">
        <v>367</v>
      </c>
      <c r="J1484" s="18" t="s">
        <v>1594</v>
      </c>
      <c r="K1484" s="18" t="s">
        <v>2871</v>
      </c>
      <c r="L1484" s="30"/>
    </row>
    <row r="1485" spans="1:12" hidden="1" x14ac:dyDescent="0.25">
      <c r="A1485" s="18" t="s">
        <v>27</v>
      </c>
      <c r="B1485" s="57">
        <v>1.2731481481481481E-2</v>
      </c>
      <c r="C1485" s="58">
        <v>1</v>
      </c>
      <c r="D1485" s="18" t="s">
        <v>2863</v>
      </c>
      <c r="E1485" s="18" t="s">
        <v>1813</v>
      </c>
      <c r="F1485" s="18" t="s">
        <v>1810</v>
      </c>
      <c r="G1485" s="59">
        <v>1519.18</v>
      </c>
      <c r="H1485" s="59">
        <v>1519.18</v>
      </c>
      <c r="I1485" s="18" t="s">
        <v>2763</v>
      </c>
      <c r="J1485" s="18" t="s">
        <v>512</v>
      </c>
      <c r="K1485" s="18" t="s">
        <v>2871</v>
      </c>
      <c r="L1485" s="30"/>
    </row>
    <row r="1486" spans="1:12" hidden="1" x14ac:dyDescent="0.25">
      <c r="A1486" s="18" t="s">
        <v>27</v>
      </c>
      <c r="B1486" s="57">
        <v>1.4953703703703703E-2</v>
      </c>
      <c r="C1486" s="58">
        <v>1</v>
      </c>
      <c r="D1486" s="18" t="s">
        <v>2872</v>
      </c>
      <c r="E1486" s="18" t="s">
        <v>2873</v>
      </c>
      <c r="F1486" s="18" t="s">
        <v>1810</v>
      </c>
      <c r="G1486" s="59">
        <v>1507.6</v>
      </c>
      <c r="H1486" s="59">
        <v>1507.6</v>
      </c>
      <c r="I1486" s="18" t="s">
        <v>2763</v>
      </c>
      <c r="J1486" s="18" t="s">
        <v>512</v>
      </c>
      <c r="K1486" s="18" t="s">
        <v>2874</v>
      </c>
      <c r="L1486" s="30"/>
    </row>
    <row r="1487" spans="1:12" hidden="1" x14ac:dyDescent="0.25">
      <c r="A1487" s="18" t="s">
        <v>27</v>
      </c>
      <c r="B1487" s="57">
        <v>1.5972222222222221E-3</v>
      </c>
      <c r="C1487" s="58">
        <v>1</v>
      </c>
      <c r="D1487" s="18" t="s">
        <v>2875</v>
      </c>
      <c r="E1487" s="18" t="s">
        <v>2797</v>
      </c>
      <c r="F1487" s="18" t="s">
        <v>1810</v>
      </c>
      <c r="G1487" s="59">
        <v>160.62</v>
      </c>
      <c r="H1487" s="59">
        <v>160.62</v>
      </c>
      <c r="I1487" s="18" t="s">
        <v>152</v>
      </c>
      <c r="J1487" s="18" t="s">
        <v>152</v>
      </c>
      <c r="K1487" s="18" t="s">
        <v>2874</v>
      </c>
      <c r="L1487" s="30"/>
    </row>
    <row r="1488" spans="1:12" hidden="1" x14ac:dyDescent="0.25">
      <c r="A1488" s="18" t="s">
        <v>27</v>
      </c>
      <c r="B1488" s="57">
        <v>1.5972222222222221E-3</v>
      </c>
      <c r="C1488" s="58">
        <v>1</v>
      </c>
      <c r="D1488" s="18" t="s">
        <v>2876</v>
      </c>
      <c r="E1488" s="18" t="s">
        <v>2797</v>
      </c>
      <c r="F1488" s="18" t="s">
        <v>1810</v>
      </c>
      <c r="G1488" s="59">
        <v>160.62</v>
      </c>
      <c r="H1488" s="59">
        <v>160.62</v>
      </c>
      <c r="I1488" s="18" t="s">
        <v>152</v>
      </c>
      <c r="J1488" s="18" t="s">
        <v>152</v>
      </c>
      <c r="K1488" s="18" t="s">
        <v>2874</v>
      </c>
      <c r="L1488" s="30"/>
    </row>
    <row r="1489" spans="1:12" hidden="1" x14ac:dyDescent="0.25">
      <c r="A1489" s="18" t="s">
        <v>27</v>
      </c>
      <c r="B1489" s="57">
        <v>1.5972222222222221E-3</v>
      </c>
      <c r="C1489" s="58">
        <v>1</v>
      </c>
      <c r="D1489" s="18" t="s">
        <v>2877</v>
      </c>
      <c r="E1489" s="18" t="s">
        <v>2797</v>
      </c>
      <c r="F1489" s="18" t="s">
        <v>1810</v>
      </c>
      <c r="G1489" s="59">
        <v>160.62</v>
      </c>
      <c r="H1489" s="59">
        <v>160.62</v>
      </c>
      <c r="I1489" s="18" t="s">
        <v>152</v>
      </c>
      <c r="J1489" s="18" t="s">
        <v>152</v>
      </c>
      <c r="K1489" s="18" t="s">
        <v>2874</v>
      </c>
      <c r="L1489" s="30"/>
    </row>
    <row r="1490" spans="1:12" hidden="1" x14ac:dyDescent="0.25">
      <c r="A1490" s="18" t="s">
        <v>27</v>
      </c>
      <c r="B1490" s="57">
        <v>3.3101851851851851E-3</v>
      </c>
      <c r="C1490" s="58">
        <v>2</v>
      </c>
      <c r="D1490" s="18" t="s">
        <v>2352</v>
      </c>
      <c r="E1490" s="18" t="s">
        <v>2161</v>
      </c>
      <c r="F1490" s="18" t="s">
        <v>1621</v>
      </c>
      <c r="G1490" s="59">
        <v>79.45</v>
      </c>
      <c r="H1490" s="59">
        <v>158.9</v>
      </c>
      <c r="I1490" s="18" t="s">
        <v>147</v>
      </c>
      <c r="J1490" s="18" t="s">
        <v>512</v>
      </c>
      <c r="K1490" s="18" t="s">
        <v>2878</v>
      </c>
      <c r="L1490" s="30"/>
    </row>
    <row r="1491" spans="1:12" hidden="1" x14ac:dyDescent="0.25">
      <c r="A1491" s="18" t="s">
        <v>27</v>
      </c>
      <c r="B1491" s="57">
        <v>1.261574074074074E-3</v>
      </c>
      <c r="C1491" s="58">
        <v>1</v>
      </c>
      <c r="D1491" s="18" t="s">
        <v>2057</v>
      </c>
      <c r="E1491" s="18" t="s">
        <v>2049</v>
      </c>
      <c r="F1491" s="18" t="s">
        <v>1621</v>
      </c>
      <c r="G1491" s="59">
        <v>63.24</v>
      </c>
      <c r="H1491" s="59">
        <v>63.24</v>
      </c>
      <c r="I1491" s="18" t="s">
        <v>1588</v>
      </c>
      <c r="J1491" s="18" t="s">
        <v>44</v>
      </c>
      <c r="K1491" s="18" t="s">
        <v>2878</v>
      </c>
      <c r="L1491" s="30"/>
    </row>
    <row r="1492" spans="1:12" hidden="1" x14ac:dyDescent="0.25">
      <c r="A1492" s="18" t="s">
        <v>27</v>
      </c>
      <c r="B1492" s="57">
        <v>1.261574074074074E-3</v>
      </c>
      <c r="C1492" s="58">
        <v>1</v>
      </c>
      <c r="D1492" s="18" t="s">
        <v>2217</v>
      </c>
      <c r="E1492" s="18" t="s">
        <v>2049</v>
      </c>
      <c r="F1492" s="18" t="s">
        <v>1621</v>
      </c>
      <c r="G1492" s="59">
        <v>63.24</v>
      </c>
      <c r="H1492" s="59">
        <v>63.24</v>
      </c>
      <c r="I1492" s="18" t="s">
        <v>1588</v>
      </c>
      <c r="J1492" s="18" t="s">
        <v>44</v>
      </c>
      <c r="K1492" s="18" t="s">
        <v>2878</v>
      </c>
      <c r="L1492" s="30"/>
    </row>
    <row r="1493" spans="1:12" hidden="1" x14ac:dyDescent="0.25">
      <c r="A1493" s="18" t="s">
        <v>27</v>
      </c>
      <c r="B1493" s="57">
        <v>1.2962962962962963E-3</v>
      </c>
      <c r="C1493" s="58">
        <v>2</v>
      </c>
      <c r="D1493" s="18" t="s">
        <v>2114</v>
      </c>
      <c r="E1493" s="18" t="s">
        <v>2097</v>
      </c>
      <c r="F1493" s="18" t="s">
        <v>1621</v>
      </c>
      <c r="G1493" s="59">
        <v>12.44</v>
      </c>
      <c r="H1493" s="59">
        <v>24.88</v>
      </c>
      <c r="I1493" s="18" t="s">
        <v>367</v>
      </c>
      <c r="J1493" s="18" t="s">
        <v>368</v>
      </c>
      <c r="K1493" s="18" t="s">
        <v>2878</v>
      </c>
      <c r="L1493" s="30"/>
    </row>
    <row r="1494" spans="1:12" hidden="1" x14ac:dyDescent="0.25">
      <c r="A1494" s="18" t="s">
        <v>27</v>
      </c>
      <c r="B1494" s="57">
        <v>8.9120370370370362E-4</v>
      </c>
      <c r="C1494" s="58">
        <v>1</v>
      </c>
      <c r="D1494" s="18" t="s">
        <v>2713</v>
      </c>
      <c r="E1494" s="18" t="s">
        <v>2599</v>
      </c>
      <c r="F1494" s="18" t="s">
        <v>1621</v>
      </c>
      <c r="G1494" s="59">
        <v>22.51</v>
      </c>
      <c r="H1494" s="59">
        <v>22.51</v>
      </c>
      <c r="I1494" s="18" t="s">
        <v>367</v>
      </c>
      <c r="J1494" s="18" t="s">
        <v>512</v>
      </c>
      <c r="K1494" s="18" t="s">
        <v>2878</v>
      </c>
      <c r="L1494" s="30"/>
    </row>
    <row r="1495" spans="1:12" hidden="1" x14ac:dyDescent="0.25">
      <c r="A1495" s="18" t="s">
        <v>27</v>
      </c>
      <c r="B1495" s="57">
        <v>1.7824074074074072E-3</v>
      </c>
      <c r="C1495" s="58">
        <v>2</v>
      </c>
      <c r="D1495" s="18" t="s">
        <v>2598</v>
      </c>
      <c r="E1495" s="18" t="s">
        <v>2599</v>
      </c>
      <c r="F1495" s="18" t="s">
        <v>1621</v>
      </c>
      <c r="G1495" s="59">
        <v>22.51</v>
      </c>
      <c r="H1495" s="59">
        <v>45.02</v>
      </c>
      <c r="I1495" s="18" t="s">
        <v>367</v>
      </c>
      <c r="J1495" s="18" t="s">
        <v>512</v>
      </c>
      <c r="K1495" s="18" t="s">
        <v>2878</v>
      </c>
      <c r="L1495" s="30"/>
    </row>
    <row r="1496" spans="1:12" hidden="1" x14ac:dyDescent="0.25">
      <c r="A1496" s="18" t="s">
        <v>27</v>
      </c>
      <c r="B1496" s="57">
        <v>1.7013888888888888E-3</v>
      </c>
      <c r="C1496" s="58">
        <v>1</v>
      </c>
      <c r="D1496" s="18" t="s">
        <v>2269</v>
      </c>
      <c r="E1496" s="18" t="s">
        <v>2270</v>
      </c>
      <c r="F1496" s="18" t="s">
        <v>1621</v>
      </c>
      <c r="G1496" s="59">
        <v>55.27</v>
      </c>
      <c r="H1496" s="59">
        <v>55.27</v>
      </c>
      <c r="I1496" s="18" t="s">
        <v>367</v>
      </c>
      <c r="J1496" s="18" t="s">
        <v>427</v>
      </c>
      <c r="K1496" s="18" t="s">
        <v>2878</v>
      </c>
      <c r="L1496" s="30"/>
    </row>
    <row r="1497" spans="1:12" hidden="1" x14ac:dyDescent="0.25">
      <c r="A1497" s="18" t="s">
        <v>27</v>
      </c>
      <c r="B1497" s="57">
        <v>2.9745370370370368E-3</v>
      </c>
      <c r="C1497" s="58">
        <v>2</v>
      </c>
      <c r="D1497" s="18" t="s">
        <v>2383</v>
      </c>
      <c r="E1497" s="18" t="s">
        <v>2384</v>
      </c>
      <c r="F1497" s="18" t="s">
        <v>1621</v>
      </c>
      <c r="G1497" s="59">
        <v>79.819999999999993</v>
      </c>
      <c r="H1497" s="59">
        <v>159.63999999999999</v>
      </c>
      <c r="I1497" s="18" t="s">
        <v>2763</v>
      </c>
      <c r="J1497" s="18" t="s">
        <v>44</v>
      </c>
      <c r="K1497" s="18" t="s">
        <v>2878</v>
      </c>
      <c r="L1497" s="30"/>
    </row>
    <row r="1498" spans="1:12" hidden="1" x14ac:dyDescent="0.25">
      <c r="A1498" s="18" t="s">
        <v>27</v>
      </c>
      <c r="B1498" s="57">
        <v>3.5416666666666665E-3</v>
      </c>
      <c r="C1498" s="58">
        <v>1</v>
      </c>
      <c r="D1498" s="18" t="s">
        <v>2879</v>
      </c>
      <c r="E1498" s="18" t="s">
        <v>2880</v>
      </c>
      <c r="F1498" s="18" t="s">
        <v>1621</v>
      </c>
      <c r="G1498" s="59">
        <v>452.56</v>
      </c>
      <c r="H1498" s="59">
        <v>452.56</v>
      </c>
      <c r="I1498" s="18" t="s">
        <v>2729</v>
      </c>
      <c r="J1498" s="18" t="s">
        <v>512</v>
      </c>
      <c r="K1498" s="18" t="s">
        <v>2878</v>
      </c>
      <c r="L1498" s="30"/>
    </row>
    <row r="1499" spans="1:12" hidden="1" x14ac:dyDescent="0.25">
      <c r="A1499" s="18" t="s">
        <v>27</v>
      </c>
      <c r="B1499" s="57">
        <v>4.0393518518518513E-3</v>
      </c>
      <c r="C1499" s="58">
        <v>3</v>
      </c>
      <c r="D1499" s="18" t="s">
        <v>48</v>
      </c>
      <c r="E1499" s="18" t="s">
        <v>1119</v>
      </c>
      <c r="F1499" s="18" t="s">
        <v>1621</v>
      </c>
      <c r="G1499" s="59">
        <v>59.87</v>
      </c>
      <c r="H1499" s="59">
        <v>179.61</v>
      </c>
      <c r="I1499" s="18" t="s">
        <v>2094</v>
      </c>
      <c r="J1499" s="18" t="s">
        <v>44</v>
      </c>
      <c r="K1499" s="18" t="s">
        <v>2878</v>
      </c>
      <c r="L1499" s="30"/>
    </row>
    <row r="1500" spans="1:12" hidden="1" x14ac:dyDescent="0.25">
      <c r="A1500" s="18" t="s">
        <v>27</v>
      </c>
      <c r="B1500" s="57">
        <v>1.747685185185185E-3</v>
      </c>
      <c r="C1500" s="58">
        <v>1</v>
      </c>
      <c r="D1500" s="18" t="s">
        <v>2352</v>
      </c>
      <c r="E1500" s="18" t="s">
        <v>2161</v>
      </c>
      <c r="F1500" s="18" t="s">
        <v>1621</v>
      </c>
      <c r="G1500" s="59">
        <v>79.45</v>
      </c>
      <c r="H1500" s="59">
        <v>79.45</v>
      </c>
      <c r="I1500" s="18" t="s">
        <v>147</v>
      </c>
      <c r="J1500" s="18" t="s">
        <v>512</v>
      </c>
      <c r="K1500" s="18" t="s">
        <v>2881</v>
      </c>
      <c r="L1500" s="30"/>
    </row>
    <row r="1501" spans="1:12" hidden="1" x14ac:dyDescent="0.25">
      <c r="A1501" s="18" t="s">
        <v>27</v>
      </c>
      <c r="B1501" s="57">
        <v>8.7962962962962962E-4</v>
      </c>
      <c r="C1501" s="58">
        <v>1</v>
      </c>
      <c r="D1501" s="18" t="s">
        <v>2087</v>
      </c>
      <c r="E1501" s="18" t="s">
        <v>2088</v>
      </c>
      <c r="F1501" s="18" t="s">
        <v>1621</v>
      </c>
      <c r="G1501" s="59">
        <v>18.63</v>
      </c>
      <c r="H1501" s="59">
        <v>18.63</v>
      </c>
      <c r="I1501" s="18" t="s">
        <v>1672</v>
      </c>
      <c r="J1501" s="18" t="s">
        <v>115</v>
      </c>
      <c r="K1501" s="18" t="s">
        <v>2881</v>
      </c>
      <c r="L1501" s="30"/>
    </row>
    <row r="1502" spans="1:12" hidden="1" x14ac:dyDescent="0.25">
      <c r="A1502" s="18" t="s">
        <v>27</v>
      </c>
      <c r="B1502" s="57">
        <v>8.7962962962962962E-4</v>
      </c>
      <c r="C1502" s="58">
        <v>1</v>
      </c>
      <c r="D1502" s="18" t="s">
        <v>2055</v>
      </c>
      <c r="E1502" s="18" t="s">
        <v>2056</v>
      </c>
      <c r="F1502" s="18" t="s">
        <v>1621</v>
      </c>
      <c r="G1502" s="59">
        <v>18.61</v>
      </c>
      <c r="H1502" s="59">
        <v>18.61</v>
      </c>
      <c r="I1502" s="18" t="s">
        <v>1672</v>
      </c>
      <c r="J1502" s="18" t="s">
        <v>498</v>
      </c>
      <c r="K1502" s="18" t="s">
        <v>2881</v>
      </c>
      <c r="L1502" s="30"/>
    </row>
    <row r="1503" spans="1:12" hidden="1" x14ac:dyDescent="0.25">
      <c r="A1503" s="18" t="s">
        <v>27</v>
      </c>
      <c r="B1503" s="57">
        <v>1.6550925925925926E-3</v>
      </c>
      <c r="C1503" s="58">
        <v>1</v>
      </c>
      <c r="D1503" s="18" t="s">
        <v>2229</v>
      </c>
      <c r="E1503" s="18" t="s">
        <v>2230</v>
      </c>
      <c r="F1503" s="18" t="s">
        <v>1621</v>
      </c>
      <c r="G1503" s="59">
        <v>62.2</v>
      </c>
      <c r="H1503" s="59">
        <v>62.2</v>
      </c>
      <c r="I1503" s="18" t="s">
        <v>367</v>
      </c>
      <c r="J1503" s="18" t="s">
        <v>512</v>
      </c>
      <c r="K1503" s="18" t="s">
        <v>2881</v>
      </c>
      <c r="L1503" s="30"/>
    </row>
    <row r="1504" spans="1:12" hidden="1" x14ac:dyDescent="0.25">
      <c r="A1504" s="18" t="s">
        <v>27</v>
      </c>
      <c r="B1504" s="57">
        <v>3.3217592592592591E-3</v>
      </c>
      <c r="C1504" s="58">
        <v>2</v>
      </c>
      <c r="D1504" s="18" t="s">
        <v>2231</v>
      </c>
      <c r="E1504" s="18" t="s">
        <v>2232</v>
      </c>
      <c r="F1504" s="18" t="s">
        <v>1621</v>
      </c>
      <c r="G1504" s="59">
        <v>61.18</v>
      </c>
      <c r="H1504" s="59">
        <v>122.36</v>
      </c>
      <c r="I1504" s="18" t="s">
        <v>367</v>
      </c>
      <c r="J1504" s="18" t="s">
        <v>512</v>
      </c>
      <c r="K1504" s="18" t="s">
        <v>2881</v>
      </c>
      <c r="L1504" s="30"/>
    </row>
    <row r="1505" spans="1:12" hidden="1" x14ac:dyDescent="0.25">
      <c r="A1505" s="18" t="s">
        <v>27</v>
      </c>
      <c r="B1505" s="57">
        <v>3.5300925925925925E-3</v>
      </c>
      <c r="C1505" s="58">
        <v>3</v>
      </c>
      <c r="D1505" s="18" t="s">
        <v>2200</v>
      </c>
      <c r="E1505" s="18" t="s">
        <v>2201</v>
      </c>
      <c r="F1505" s="18" t="s">
        <v>1621</v>
      </c>
      <c r="G1505" s="59">
        <v>36.53</v>
      </c>
      <c r="H1505" s="59">
        <v>109.59</v>
      </c>
      <c r="I1505" s="18" t="s">
        <v>367</v>
      </c>
      <c r="J1505" s="18" t="s">
        <v>512</v>
      </c>
      <c r="K1505" s="18" t="s">
        <v>2881</v>
      </c>
      <c r="L1505" s="30"/>
    </row>
    <row r="1506" spans="1:12" hidden="1" x14ac:dyDescent="0.25">
      <c r="A1506" s="18" t="s">
        <v>27</v>
      </c>
      <c r="B1506" s="57">
        <v>4.9074074074074072E-3</v>
      </c>
      <c r="C1506" s="58">
        <v>1</v>
      </c>
      <c r="D1506" s="18" t="s">
        <v>2882</v>
      </c>
      <c r="E1506" s="18" t="s">
        <v>2883</v>
      </c>
      <c r="F1506" s="18" t="s">
        <v>1621</v>
      </c>
      <c r="G1506" s="59">
        <v>814.88</v>
      </c>
      <c r="H1506" s="59">
        <v>814.88</v>
      </c>
      <c r="I1506" s="18" t="s">
        <v>2729</v>
      </c>
      <c r="J1506" s="18" t="s">
        <v>512</v>
      </c>
      <c r="K1506" s="18" t="s">
        <v>2881</v>
      </c>
      <c r="L1506" s="30"/>
    </row>
    <row r="1507" spans="1:12" hidden="1" x14ac:dyDescent="0.25">
      <c r="A1507" s="18" t="s">
        <v>27</v>
      </c>
      <c r="B1507" s="57">
        <v>2.0370370370370369E-3</v>
      </c>
      <c r="C1507" s="58">
        <v>1</v>
      </c>
      <c r="D1507" s="18" t="s">
        <v>2272</v>
      </c>
      <c r="E1507" s="18" t="s">
        <v>2273</v>
      </c>
      <c r="F1507" s="18" t="s">
        <v>1621</v>
      </c>
      <c r="G1507" s="59">
        <v>64.28</v>
      </c>
      <c r="H1507" s="59">
        <v>64.28</v>
      </c>
      <c r="I1507" s="18" t="s">
        <v>367</v>
      </c>
      <c r="J1507" s="18" t="s">
        <v>1594</v>
      </c>
      <c r="K1507" s="18" t="s">
        <v>2881</v>
      </c>
      <c r="L1507" s="30"/>
    </row>
    <row r="1508" spans="1:12" hidden="1" x14ac:dyDescent="0.25">
      <c r="A1508" s="18" t="s">
        <v>27</v>
      </c>
      <c r="B1508" s="57">
        <v>6.8402777777777776E-3</v>
      </c>
      <c r="C1508" s="58">
        <v>1</v>
      </c>
      <c r="D1508" s="18" t="s">
        <v>504</v>
      </c>
      <c r="E1508" s="18" t="s">
        <v>505</v>
      </c>
      <c r="F1508" s="18" t="s">
        <v>1621</v>
      </c>
      <c r="G1508" s="59">
        <v>1270.6600000000001</v>
      </c>
      <c r="H1508" s="59">
        <v>1270.6600000000001</v>
      </c>
      <c r="I1508" s="18" t="s">
        <v>129</v>
      </c>
      <c r="J1508" s="18" t="s">
        <v>498</v>
      </c>
      <c r="K1508" s="18" t="s">
        <v>2884</v>
      </c>
      <c r="L1508" s="30"/>
    </row>
    <row r="1509" spans="1:12" hidden="1" x14ac:dyDescent="0.25">
      <c r="A1509" s="18" t="s">
        <v>27</v>
      </c>
      <c r="B1509" s="57">
        <v>3.7152777777777774E-3</v>
      </c>
      <c r="C1509" s="58">
        <v>2</v>
      </c>
      <c r="D1509" s="18" t="s">
        <v>2356</v>
      </c>
      <c r="E1509" s="18" t="s">
        <v>2310</v>
      </c>
      <c r="F1509" s="18" t="s">
        <v>1621</v>
      </c>
      <c r="G1509" s="59">
        <v>58.91</v>
      </c>
      <c r="H1509" s="59">
        <v>117.82</v>
      </c>
      <c r="I1509" s="18" t="s">
        <v>1665</v>
      </c>
      <c r="J1509" s="18" t="s">
        <v>115</v>
      </c>
      <c r="K1509" s="18" t="s">
        <v>2885</v>
      </c>
      <c r="L1509" s="30"/>
    </row>
    <row r="1510" spans="1:12" hidden="1" x14ac:dyDescent="0.25">
      <c r="A1510" s="18" t="s">
        <v>27</v>
      </c>
      <c r="B1510" s="57">
        <v>7.0601851851851847E-4</v>
      </c>
      <c r="C1510" s="58">
        <v>1</v>
      </c>
      <c r="D1510" s="18" t="s">
        <v>2328</v>
      </c>
      <c r="E1510" s="18" t="s">
        <v>2329</v>
      </c>
      <c r="F1510" s="18" t="s">
        <v>1621</v>
      </c>
      <c r="G1510" s="59">
        <v>14.31</v>
      </c>
      <c r="H1510" s="59">
        <v>14.31</v>
      </c>
      <c r="I1510" s="18" t="s">
        <v>367</v>
      </c>
      <c r="J1510" s="18" t="s">
        <v>367</v>
      </c>
      <c r="K1510" s="18" t="s">
        <v>2885</v>
      </c>
      <c r="L1510" s="30"/>
    </row>
    <row r="1511" spans="1:12" hidden="1" x14ac:dyDescent="0.25">
      <c r="A1511" s="18" t="s">
        <v>27</v>
      </c>
      <c r="B1511" s="57">
        <v>9.8032407407407408E-3</v>
      </c>
      <c r="C1511" s="58">
        <v>7</v>
      </c>
      <c r="D1511" s="18" t="s">
        <v>48</v>
      </c>
      <c r="E1511" s="18" t="s">
        <v>1119</v>
      </c>
      <c r="F1511" s="18" t="s">
        <v>1621</v>
      </c>
      <c r="G1511" s="59">
        <v>59.87</v>
      </c>
      <c r="H1511" s="59">
        <v>419.09</v>
      </c>
      <c r="I1511" s="18" t="s">
        <v>2886</v>
      </c>
      <c r="J1511" s="18" t="s">
        <v>44</v>
      </c>
      <c r="K1511" s="18" t="s">
        <v>2885</v>
      </c>
      <c r="L1511" s="30"/>
    </row>
    <row r="1512" spans="1:12" hidden="1" x14ac:dyDescent="0.25">
      <c r="A1512" s="18" t="s">
        <v>27</v>
      </c>
      <c r="B1512" s="57">
        <v>4.7800925925925927E-3</v>
      </c>
      <c r="C1512" s="58">
        <v>1</v>
      </c>
      <c r="D1512" s="18" t="s">
        <v>2887</v>
      </c>
      <c r="E1512" s="18" t="s">
        <v>2888</v>
      </c>
      <c r="F1512" s="18" t="s">
        <v>1621</v>
      </c>
      <c r="G1512" s="59">
        <v>709.01</v>
      </c>
      <c r="H1512" s="59">
        <v>709.01</v>
      </c>
      <c r="I1512" s="18" t="s">
        <v>2729</v>
      </c>
      <c r="J1512" s="18" t="s">
        <v>115</v>
      </c>
      <c r="K1512" s="18" t="s">
        <v>2885</v>
      </c>
      <c r="L1512" s="30"/>
    </row>
    <row r="1513" spans="1:12" hidden="1" x14ac:dyDescent="0.25">
      <c r="A1513" s="18" t="s">
        <v>27</v>
      </c>
      <c r="B1513" s="57">
        <v>3.8888888888888888E-3</v>
      </c>
      <c r="C1513" s="58">
        <v>1</v>
      </c>
      <c r="D1513" s="18" t="s">
        <v>2889</v>
      </c>
      <c r="E1513" s="18" t="s">
        <v>2890</v>
      </c>
      <c r="F1513" s="18" t="s">
        <v>1621</v>
      </c>
      <c r="G1513" s="59">
        <v>784.75</v>
      </c>
      <c r="H1513" s="59">
        <v>784.75</v>
      </c>
      <c r="I1513" s="18" t="s">
        <v>2729</v>
      </c>
      <c r="J1513" s="18" t="s">
        <v>498</v>
      </c>
      <c r="K1513" s="18" t="s">
        <v>2891</v>
      </c>
      <c r="L1513" s="30"/>
    </row>
    <row r="1514" spans="1:12" hidden="1" x14ac:dyDescent="0.25">
      <c r="A1514" s="18" t="s">
        <v>27</v>
      </c>
      <c r="B1514" s="57">
        <v>1.2268518518518519E-2</v>
      </c>
      <c r="C1514" s="58">
        <v>9</v>
      </c>
      <c r="D1514" s="18" t="s">
        <v>48</v>
      </c>
      <c r="E1514" s="18" t="s">
        <v>1119</v>
      </c>
      <c r="F1514" s="18" t="s">
        <v>1621</v>
      </c>
      <c r="G1514" s="59">
        <v>59.87</v>
      </c>
      <c r="H1514" s="59">
        <v>538.83000000000004</v>
      </c>
      <c r="I1514" s="18" t="s">
        <v>2892</v>
      </c>
      <c r="J1514" s="18" t="s">
        <v>44</v>
      </c>
      <c r="K1514" s="18" t="s">
        <v>2891</v>
      </c>
      <c r="L1514" s="30"/>
    </row>
    <row r="1515" spans="1:12" hidden="1" x14ac:dyDescent="0.25">
      <c r="A1515" s="18" t="s">
        <v>27</v>
      </c>
      <c r="B1515" s="57">
        <v>2.4421296296296296E-3</v>
      </c>
      <c r="C1515" s="58">
        <v>1</v>
      </c>
      <c r="D1515" s="18" t="s">
        <v>2581</v>
      </c>
      <c r="E1515" s="18" t="s">
        <v>2582</v>
      </c>
      <c r="F1515" s="18" t="s">
        <v>1621</v>
      </c>
      <c r="G1515" s="59">
        <v>354.59</v>
      </c>
      <c r="H1515" s="59">
        <v>354.59</v>
      </c>
      <c r="I1515" s="18" t="s">
        <v>829</v>
      </c>
      <c r="J1515" s="18" t="s">
        <v>1594</v>
      </c>
      <c r="K1515" s="18" t="s">
        <v>2893</v>
      </c>
      <c r="L1515" s="30"/>
    </row>
    <row r="1516" spans="1:12" hidden="1" x14ac:dyDescent="0.25">
      <c r="A1516" s="18" t="s">
        <v>27</v>
      </c>
      <c r="B1516" s="57">
        <v>4.1435185185185186E-3</v>
      </c>
      <c r="C1516" s="58">
        <v>1</v>
      </c>
      <c r="D1516" s="18" t="s">
        <v>2894</v>
      </c>
      <c r="E1516" s="18" t="s">
        <v>2895</v>
      </c>
      <c r="F1516" s="18" t="s">
        <v>1621</v>
      </c>
      <c r="G1516" s="59">
        <v>751.8</v>
      </c>
      <c r="H1516" s="59">
        <v>751.8</v>
      </c>
      <c r="I1516" s="18" t="s">
        <v>2729</v>
      </c>
      <c r="J1516" s="18" t="s">
        <v>498</v>
      </c>
      <c r="K1516" s="18" t="s">
        <v>2893</v>
      </c>
      <c r="L1516" s="30"/>
    </row>
    <row r="1517" spans="1:12" hidden="1" x14ac:dyDescent="0.25">
      <c r="A1517" s="18" t="s">
        <v>27</v>
      </c>
      <c r="B1517" s="57">
        <v>4.386574074074074E-3</v>
      </c>
      <c r="C1517" s="58">
        <v>3</v>
      </c>
      <c r="D1517" s="18" t="s">
        <v>48</v>
      </c>
      <c r="E1517" s="18" t="s">
        <v>1119</v>
      </c>
      <c r="F1517" s="18" t="s">
        <v>1621</v>
      </c>
      <c r="G1517" s="59">
        <v>59.87</v>
      </c>
      <c r="H1517" s="59">
        <v>179.61</v>
      </c>
      <c r="I1517" s="18" t="s">
        <v>2896</v>
      </c>
      <c r="J1517" s="18" t="s">
        <v>44</v>
      </c>
      <c r="K1517" s="18" t="s">
        <v>2893</v>
      </c>
      <c r="L1517" s="30"/>
    </row>
    <row r="1518" spans="1:12" hidden="1" x14ac:dyDescent="0.25">
      <c r="A1518" s="18" t="s">
        <v>27</v>
      </c>
      <c r="B1518" s="57">
        <v>1.5162037037037036E-3</v>
      </c>
      <c r="C1518" s="58">
        <v>1</v>
      </c>
      <c r="D1518" s="18" t="s">
        <v>2246</v>
      </c>
      <c r="E1518" s="18" t="s">
        <v>2247</v>
      </c>
      <c r="F1518" s="18" t="s">
        <v>1621</v>
      </c>
      <c r="G1518" s="59">
        <v>91.88</v>
      </c>
      <c r="H1518" s="59">
        <v>91.88</v>
      </c>
      <c r="I1518" s="18" t="s">
        <v>367</v>
      </c>
      <c r="J1518" s="18" t="s">
        <v>427</v>
      </c>
      <c r="K1518" s="18" t="s">
        <v>2897</v>
      </c>
      <c r="L1518" s="30"/>
    </row>
    <row r="1519" spans="1:12" hidden="1" x14ac:dyDescent="0.25">
      <c r="A1519" s="18" t="s">
        <v>27</v>
      </c>
      <c r="B1519" s="57">
        <v>2.8356481481481479E-3</v>
      </c>
      <c r="C1519" s="58">
        <v>1</v>
      </c>
      <c r="D1519" s="18" t="s">
        <v>2239</v>
      </c>
      <c r="E1519" s="18" t="s">
        <v>2240</v>
      </c>
      <c r="F1519" s="18" t="s">
        <v>1621</v>
      </c>
      <c r="G1519" s="59">
        <v>402.54</v>
      </c>
      <c r="H1519" s="59">
        <v>402.54</v>
      </c>
      <c r="I1519" s="18" t="s">
        <v>829</v>
      </c>
      <c r="J1519" s="18" t="s">
        <v>1599</v>
      </c>
      <c r="K1519" s="18" t="s">
        <v>2897</v>
      </c>
      <c r="L1519" s="30"/>
    </row>
    <row r="1520" spans="1:12" hidden="1" x14ac:dyDescent="0.25">
      <c r="A1520" s="18" t="s">
        <v>27</v>
      </c>
      <c r="B1520" s="57">
        <v>4.8032407407407407E-3</v>
      </c>
      <c r="C1520" s="58">
        <v>1</v>
      </c>
      <c r="D1520" s="18" t="s">
        <v>2898</v>
      </c>
      <c r="E1520" s="18" t="s">
        <v>2899</v>
      </c>
      <c r="F1520" s="18" t="s">
        <v>1621</v>
      </c>
      <c r="G1520" s="59">
        <v>887.74</v>
      </c>
      <c r="H1520" s="59">
        <v>887.74</v>
      </c>
      <c r="I1520" s="18" t="s">
        <v>2729</v>
      </c>
      <c r="J1520" s="18" t="s">
        <v>115</v>
      </c>
      <c r="K1520" s="18" t="s">
        <v>2897</v>
      </c>
      <c r="L1520" s="30"/>
    </row>
    <row r="1521" spans="1:12" hidden="1" x14ac:dyDescent="0.25">
      <c r="A1521" s="18" t="s">
        <v>27</v>
      </c>
      <c r="B1521" s="57">
        <v>6.134259259259259E-4</v>
      </c>
      <c r="C1521" s="58">
        <v>1</v>
      </c>
      <c r="D1521" s="18" t="s">
        <v>2483</v>
      </c>
      <c r="E1521" s="18" t="s">
        <v>2484</v>
      </c>
      <c r="F1521" s="18" t="s">
        <v>1621</v>
      </c>
      <c r="G1521" s="59">
        <v>7.1</v>
      </c>
      <c r="H1521" s="59">
        <v>7.1</v>
      </c>
      <c r="I1521" s="18" t="s">
        <v>367</v>
      </c>
      <c r="J1521" s="18" t="s">
        <v>367</v>
      </c>
      <c r="K1521" s="18" t="s">
        <v>2900</v>
      </c>
      <c r="L1521" s="30"/>
    </row>
    <row r="1522" spans="1:12" hidden="1" x14ac:dyDescent="0.25">
      <c r="A1522" s="18" t="s">
        <v>27</v>
      </c>
      <c r="B1522" s="57">
        <v>2.5925925925925925E-3</v>
      </c>
      <c r="C1522" s="58">
        <v>1</v>
      </c>
      <c r="D1522" s="18" t="s">
        <v>2249</v>
      </c>
      <c r="E1522" s="18" t="s">
        <v>2240</v>
      </c>
      <c r="F1522" s="18" t="s">
        <v>1621</v>
      </c>
      <c r="G1522" s="59">
        <v>402.54</v>
      </c>
      <c r="H1522" s="59">
        <v>402.54</v>
      </c>
      <c r="I1522" s="18" t="s">
        <v>829</v>
      </c>
      <c r="J1522" s="18" t="s">
        <v>1598</v>
      </c>
      <c r="K1522" s="18" t="s">
        <v>2900</v>
      </c>
      <c r="L1522" s="30"/>
    </row>
    <row r="1523" spans="1:12" hidden="1" x14ac:dyDescent="0.25">
      <c r="A1523" s="18" t="s">
        <v>27</v>
      </c>
      <c r="B1523" s="57">
        <v>1.1921296296296296E-3</v>
      </c>
      <c r="C1523" s="58">
        <v>1</v>
      </c>
      <c r="D1523" s="18" t="s">
        <v>2203</v>
      </c>
      <c r="E1523" s="18" t="s">
        <v>2204</v>
      </c>
      <c r="F1523" s="18" t="s">
        <v>1621</v>
      </c>
      <c r="G1523" s="59">
        <v>36.56</v>
      </c>
      <c r="H1523" s="59">
        <v>36.56</v>
      </c>
      <c r="I1523" s="18" t="s">
        <v>367</v>
      </c>
      <c r="J1523" s="18" t="s">
        <v>512</v>
      </c>
      <c r="K1523" s="18" t="s">
        <v>2900</v>
      </c>
      <c r="L1523" s="30"/>
    </row>
    <row r="1524" spans="1:12" hidden="1" x14ac:dyDescent="0.25">
      <c r="A1524" s="18" t="s">
        <v>27</v>
      </c>
      <c r="B1524" s="57">
        <v>1.4930555555555554E-3</v>
      </c>
      <c r="C1524" s="58">
        <v>1</v>
      </c>
      <c r="D1524" s="18" t="s">
        <v>2727</v>
      </c>
      <c r="E1524" s="18" t="s">
        <v>2728</v>
      </c>
      <c r="F1524" s="18" t="s">
        <v>1621</v>
      </c>
      <c r="G1524" s="59">
        <v>62.68</v>
      </c>
      <c r="H1524" s="59">
        <v>62.68</v>
      </c>
      <c r="I1524" s="18" t="s">
        <v>2729</v>
      </c>
      <c r="J1524" s="22" t="s">
        <v>512</v>
      </c>
      <c r="K1524" s="18" t="s">
        <v>2900</v>
      </c>
      <c r="L1524" s="30"/>
    </row>
    <row r="1525" spans="1:12" hidden="1" x14ac:dyDescent="0.25">
      <c r="A1525" s="18" t="s">
        <v>27</v>
      </c>
      <c r="B1525" s="57">
        <v>2.9976851851851853E-3</v>
      </c>
      <c r="C1525" s="58">
        <v>2</v>
      </c>
      <c r="D1525" s="18" t="s">
        <v>2741</v>
      </c>
      <c r="E1525" s="18" t="s">
        <v>2728</v>
      </c>
      <c r="F1525" s="18" t="s">
        <v>1621</v>
      </c>
      <c r="G1525" s="59">
        <v>62.68</v>
      </c>
      <c r="H1525" s="59">
        <v>125.36</v>
      </c>
      <c r="I1525" s="18" t="s">
        <v>2742</v>
      </c>
      <c r="J1525" s="22" t="s">
        <v>512</v>
      </c>
      <c r="K1525" s="18" t="s">
        <v>2900</v>
      </c>
      <c r="L1525" s="30"/>
    </row>
    <row r="1526" spans="1:12" hidden="1" x14ac:dyDescent="0.25">
      <c r="A1526" s="18" t="s">
        <v>27</v>
      </c>
      <c r="B1526" s="57">
        <v>4.1782407407407402E-3</v>
      </c>
      <c r="C1526" s="58">
        <v>1</v>
      </c>
      <c r="D1526" s="18" t="s">
        <v>2901</v>
      </c>
      <c r="E1526" s="18" t="s">
        <v>2902</v>
      </c>
      <c r="F1526" s="18" t="s">
        <v>1621</v>
      </c>
      <c r="G1526" s="59">
        <v>662.75</v>
      </c>
      <c r="H1526" s="59">
        <v>662.75</v>
      </c>
      <c r="I1526" s="18" t="s">
        <v>2729</v>
      </c>
      <c r="J1526" s="22" t="s">
        <v>115</v>
      </c>
      <c r="K1526" s="18" t="s">
        <v>2900</v>
      </c>
      <c r="L1526" s="30"/>
    </row>
    <row r="1527" spans="1:12" hidden="1" x14ac:dyDescent="0.25">
      <c r="A1527" s="18" t="s">
        <v>27</v>
      </c>
      <c r="B1527" s="57">
        <v>1.4351851851851852E-3</v>
      </c>
      <c r="C1527" s="58">
        <v>1</v>
      </c>
      <c r="D1527" s="18" t="s">
        <v>48</v>
      </c>
      <c r="E1527" s="18" t="s">
        <v>1119</v>
      </c>
      <c r="F1527" s="18" t="s">
        <v>1621</v>
      </c>
      <c r="G1527" s="59">
        <v>59.87</v>
      </c>
      <c r="H1527" s="59">
        <v>59.87</v>
      </c>
      <c r="I1527" s="18" t="s">
        <v>2430</v>
      </c>
      <c r="J1527" s="18" t="s">
        <v>44</v>
      </c>
      <c r="K1527" s="18" t="s">
        <v>2900</v>
      </c>
      <c r="L1527" s="30"/>
    </row>
    <row r="1528" spans="1:12" hidden="1" x14ac:dyDescent="0.25">
      <c r="A1528" s="18" t="s">
        <v>27</v>
      </c>
      <c r="B1528" s="57">
        <v>3.2870370370370371E-3</v>
      </c>
      <c r="C1528" s="58">
        <v>2</v>
      </c>
      <c r="D1528" s="18" t="s">
        <v>2352</v>
      </c>
      <c r="E1528" s="18" t="s">
        <v>2161</v>
      </c>
      <c r="F1528" s="18" t="s">
        <v>1621</v>
      </c>
      <c r="G1528" s="59">
        <v>79.45</v>
      </c>
      <c r="H1528" s="59">
        <v>158.9</v>
      </c>
      <c r="I1528" s="18" t="s">
        <v>147</v>
      </c>
      <c r="J1528" s="18" t="s">
        <v>512</v>
      </c>
      <c r="K1528" s="18" t="s">
        <v>2903</v>
      </c>
      <c r="L1528" s="30"/>
    </row>
    <row r="1529" spans="1:12" hidden="1" x14ac:dyDescent="0.25">
      <c r="A1529" s="18" t="s">
        <v>27</v>
      </c>
      <c r="B1529" s="57">
        <v>1.9328703703703704E-3</v>
      </c>
      <c r="C1529" s="58">
        <v>3</v>
      </c>
      <c r="D1529" s="18" t="s">
        <v>2114</v>
      </c>
      <c r="E1529" s="18" t="s">
        <v>2097</v>
      </c>
      <c r="F1529" s="18" t="s">
        <v>1621</v>
      </c>
      <c r="G1529" s="59">
        <v>12.44</v>
      </c>
      <c r="H1529" s="59">
        <v>37.32</v>
      </c>
      <c r="I1529" s="18" t="s">
        <v>367</v>
      </c>
      <c r="J1529" s="18" t="s">
        <v>368</v>
      </c>
      <c r="K1529" s="18" t="s">
        <v>2903</v>
      </c>
      <c r="L1529" s="30"/>
    </row>
    <row r="1530" spans="1:12" hidden="1" x14ac:dyDescent="0.25">
      <c r="A1530" s="18" t="s">
        <v>27</v>
      </c>
      <c r="B1530" s="57">
        <v>3.2060185185185182E-3</v>
      </c>
      <c r="C1530" s="58">
        <v>2</v>
      </c>
      <c r="D1530" s="18" t="s">
        <v>2600</v>
      </c>
      <c r="E1530" s="18" t="s">
        <v>2226</v>
      </c>
      <c r="F1530" s="18" t="s">
        <v>1621</v>
      </c>
      <c r="G1530" s="59">
        <v>63.26</v>
      </c>
      <c r="H1530" s="59">
        <v>126.52</v>
      </c>
      <c r="I1530" s="18" t="s">
        <v>367</v>
      </c>
      <c r="J1530" s="18" t="s">
        <v>1594</v>
      </c>
      <c r="K1530" s="18" t="s">
        <v>2903</v>
      </c>
      <c r="L1530" s="30"/>
    </row>
    <row r="1531" spans="1:12" hidden="1" x14ac:dyDescent="0.25">
      <c r="A1531" s="18" t="s">
        <v>27</v>
      </c>
      <c r="B1531" s="57">
        <v>3.5185185185185185E-3</v>
      </c>
      <c r="C1531" s="58">
        <v>1</v>
      </c>
      <c r="D1531" s="18" t="s">
        <v>2904</v>
      </c>
      <c r="E1531" s="18" t="s">
        <v>2880</v>
      </c>
      <c r="F1531" s="18" t="s">
        <v>1621</v>
      </c>
      <c r="G1531" s="59">
        <v>452.55</v>
      </c>
      <c r="H1531" s="59">
        <v>452.55</v>
      </c>
      <c r="I1531" s="18" t="s">
        <v>2742</v>
      </c>
      <c r="J1531" s="18" t="s">
        <v>512</v>
      </c>
      <c r="K1531" s="18" t="s">
        <v>2903</v>
      </c>
      <c r="L1531" s="30"/>
    </row>
    <row r="1532" spans="1:12" hidden="1" x14ac:dyDescent="0.25">
      <c r="A1532" s="18" t="s">
        <v>27</v>
      </c>
      <c r="B1532" s="57">
        <v>1.2048611111111111E-2</v>
      </c>
      <c r="C1532" s="58">
        <v>9</v>
      </c>
      <c r="D1532" s="18" t="s">
        <v>48</v>
      </c>
      <c r="E1532" s="18" t="s">
        <v>1119</v>
      </c>
      <c r="F1532" s="18" t="s">
        <v>1621</v>
      </c>
      <c r="G1532" s="59">
        <v>59.87</v>
      </c>
      <c r="H1532" s="59">
        <v>538.83000000000004</v>
      </c>
      <c r="I1532" s="18" t="s">
        <v>2892</v>
      </c>
      <c r="J1532" s="18" t="s">
        <v>44</v>
      </c>
      <c r="K1532" s="18" t="s">
        <v>2903</v>
      </c>
      <c r="L1532" s="30"/>
    </row>
    <row r="1533" spans="1:12" hidden="1" x14ac:dyDescent="0.25">
      <c r="A1533" s="18" t="s">
        <v>27</v>
      </c>
      <c r="B1533" s="57">
        <v>5.0925925925925921E-4</v>
      </c>
      <c r="C1533" s="58">
        <v>1</v>
      </c>
      <c r="D1533" s="18" t="s">
        <v>2113</v>
      </c>
      <c r="E1533" s="18" t="s">
        <v>2111</v>
      </c>
      <c r="F1533" s="18" t="s">
        <v>1621</v>
      </c>
      <c r="G1533" s="59">
        <v>8.3699999999999992</v>
      </c>
      <c r="H1533" s="59">
        <v>8.3699999999999992</v>
      </c>
      <c r="I1533" s="18" t="s">
        <v>1665</v>
      </c>
      <c r="J1533" s="18" t="s">
        <v>115</v>
      </c>
      <c r="K1533" s="18" t="s">
        <v>2905</v>
      </c>
      <c r="L1533" s="30"/>
    </row>
    <row r="1534" spans="1:12" hidden="1" x14ac:dyDescent="0.25">
      <c r="A1534" s="18" t="s">
        <v>27</v>
      </c>
      <c r="B1534" s="57">
        <v>1.5046296296296296E-3</v>
      </c>
      <c r="C1534" s="58">
        <v>2</v>
      </c>
      <c r="D1534" s="18" t="s">
        <v>2087</v>
      </c>
      <c r="E1534" s="18" t="s">
        <v>2088</v>
      </c>
      <c r="F1534" s="18" t="s">
        <v>1621</v>
      </c>
      <c r="G1534" s="59">
        <v>18.63</v>
      </c>
      <c r="H1534" s="59">
        <v>37.26</v>
      </c>
      <c r="I1534" s="18" t="s">
        <v>1672</v>
      </c>
      <c r="J1534" s="18" t="s">
        <v>115</v>
      </c>
      <c r="K1534" s="18" t="s">
        <v>2905</v>
      </c>
      <c r="L1534" s="30"/>
    </row>
    <row r="1535" spans="1:12" hidden="1" x14ac:dyDescent="0.25">
      <c r="A1535" s="18" t="s">
        <v>27</v>
      </c>
      <c r="B1535" s="57">
        <v>7.5231481481481482E-4</v>
      </c>
      <c r="C1535" s="58">
        <v>1</v>
      </c>
      <c r="D1535" s="18" t="s">
        <v>2744</v>
      </c>
      <c r="E1535" s="18" t="s">
        <v>2088</v>
      </c>
      <c r="F1535" s="18" t="s">
        <v>1621</v>
      </c>
      <c r="G1535" s="59">
        <v>18.63</v>
      </c>
      <c r="H1535" s="59">
        <v>18.63</v>
      </c>
      <c r="I1535" s="18" t="s">
        <v>131</v>
      </c>
      <c r="J1535" s="18" t="s">
        <v>115</v>
      </c>
      <c r="K1535" s="18" t="s">
        <v>2905</v>
      </c>
      <c r="L1535" s="30"/>
    </row>
    <row r="1536" spans="1:12" hidden="1" x14ac:dyDescent="0.25">
      <c r="A1536" s="18" t="s">
        <v>27</v>
      </c>
      <c r="B1536" s="57">
        <v>9.4907407407407408E-4</v>
      </c>
      <c r="C1536" s="58">
        <v>2</v>
      </c>
      <c r="D1536" s="18" t="s">
        <v>2413</v>
      </c>
      <c r="E1536" s="18" t="s">
        <v>2414</v>
      </c>
      <c r="F1536" s="18" t="s">
        <v>1621</v>
      </c>
      <c r="G1536" s="59">
        <v>3.3</v>
      </c>
      <c r="H1536" s="59">
        <v>6.6</v>
      </c>
      <c r="I1536" s="18" t="s">
        <v>1588</v>
      </c>
      <c r="J1536" s="18" t="s">
        <v>512</v>
      </c>
      <c r="K1536" s="18" t="s">
        <v>2905</v>
      </c>
      <c r="L1536" s="30"/>
    </row>
    <row r="1537" spans="1:12" hidden="1" x14ac:dyDescent="0.25">
      <c r="A1537" s="18" t="s">
        <v>27</v>
      </c>
      <c r="B1537" s="57">
        <v>1.1574074074074073E-3</v>
      </c>
      <c r="C1537" s="58">
        <v>2</v>
      </c>
      <c r="D1537" s="18" t="s">
        <v>2096</v>
      </c>
      <c r="E1537" s="18" t="s">
        <v>2097</v>
      </c>
      <c r="F1537" s="18" t="s">
        <v>1621</v>
      </c>
      <c r="G1537" s="59">
        <v>12.44</v>
      </c>
      <c r="H1537" s="59">
        <v>24.88</v>
      </c>
      <c r="I1537" s="18" t="s">
        <v>367</v>
      </c>
      <c r="J1537" s="18" t="s">
        <v>368</v>
      </c>
      <c r="K1537" s="18" t="s">
        <v>2905</v>
      </c>
      <c r="L1537" s="30"/>
    </row>
    <row r="1538" spans="1:12" hidden="1" x14ac:dyDescent="0.25">
      <c r="A1538" s="18" t="s">
        <v>27</v>
      </c>
      <c r="B1538" s="57">
        <v>3.0324074074074073E-3</v>
      </c>
      <c r="C1538" s="58">
        <v>8</v>
      </c>
      <c r="D1538" s="18" t="s">
        <v>2455</v>
      </c>
      <c r="E1538" s="18" t="s">
        <v>2456</v>
      </c>
      <c r="F1538" s="18" t="s">
        <v>1621</v>
      </c>
      <c r="G1538" s="59">
        <v>1.88</v>
      </c>
      <c r="H1538" s="59">
        <v>15.04</v>
      </c>
      <c r="I1538" s="18" t="s">
        <v>367</v>
      </c>
      <c r="J1538" s="18" t="s">
        <v>1592</v>
      </c>
      <c r="K1538" s="18" t="s">
        <v>2905</v>
      </c>
      <c r="L1538" s="30"/>
    </row>
    <row r="1539" spans="1:12" hidden="1" x14ac:dyDescent="0.25">
      <c r="A1539" s="18" t="s">
        <v>27</v>
      </c>
      <c r="B1539" s="57">
        <v>9.9537037037037042E-4</v>
      </c>
      <c r="C1539" s="58">
        <v>2</v>
      </c>
      <c r="D1539" s="18" t="s">
        <v>2169</v>
      </c>
      <c r="E1539" s="18" t="s">
        <v>2170</v>
      </c>
      <c r="F1539" s="18" t="s">
        <v>1621</v>
      </c>
      <c r="G1539" s="59">
        <v>3.71</v>
      </c>
      <c r="H1539" s="59">
        <v>7.42</v>
      </c>
      <c r="I1539" s="18" t="s">
        <v>367</v>
      </c>
      <c r="J1539" s="18" t="s">
        <v>368</v>
      </c>
      <c r="K1539" s="18" t="s">
        <v>2905</v>
      </c>
      <c r="L1539" s="30"/>
    </row>
    <row r="1540" spans="1:12" hidden="1" x14ac:dyDescent="0.25">
      <c r="A1540" s="18" t="s">
        <v>27</v>
      </c>
      <c r="B1540" s="57">
        <v>1.3541666666666667E-3</v>
      </c>
      <c r="C1540" s="58">
        <v>1</v>
      </c>
      <c r="D1540" s="18" t="s">
        <v>2322</v>
      </c>
      <c r="E1540" s="18" t="s">
        <v>2666</v>
      </c>
      <c r="F1540" s="18" t="s">
        <v>1621</v>
      </c>
      <c r="G1540" s="59">
        <v>129.21</v>
      </c>
      <c r="H1540" s="59">
        <v>129.21</v>
      </c>
      <c r="I1540" s="18" t="s">
        <v>1141</v>
      </c>
      <c r="J1540" s="18" t="s">
        <v>368</v>
      </c>
      <c r="K1540" s="18" t="s">
        <v>2905</v>
      </c>
      <c r="L1540" s="30"/>
    </row>
    <row r="1541" spans="1:12" hidden="1" x14ac:dyDescent="0.25">
      <c r="A1541" s="18" t="s">
        <v>27</v>
      </c>
      <c r="B1541" s="57">
        <v>1.1574074074074073E-3</v>
      </c>
      <c r="C1541" s="58">
        <v>1</v>
      </c>
      <c r="D1541" s="18" t="s">
        <v>2324</v>
      </c>
      <c r="E1541" s="18" t="s">
        <v>2325</v>
      </c>
      <c r="F1541" s="18" t="s">
        <v>1621</v>
      </c>
      <c r="G1541" s="59">
        <v>57.9</v>
      </c>
      <c r="H1541" s="59">
        <v>57.9</v>
      </c>
      <c r="I1541" s="18" t="s">
        <v>367</v>
      </c>
      <c r="J1541" s="18" t="s">
        <v>367</v>
      </c>
      <c r="K1541" s="18" t="s">
        <v>2905</v>
      </c>
      <c r="L1541" s="30"/>
    </row>
    <row r="1542" spans="1:12" hidden="1" x14ac:dyDescent="0.25">
      <c r="A1542" s="18" t="s">
        <v>27</v>
      </c>
      <c r="B1542" s="57">
        <v>1.9791666666666664E-3</v>
      </c>
      <c r="C1542" s="58">
        <v>1</v>
      </c>
      <c r="D1542" s="18" t="s">
        <v>2162</v>
      </c>
      <c r="E1542" s="18" t="s">
        <v>2163</v>
      </c>
      <c r="F1542" s="18" t="s">
        <v>1621</v>
      </c>
      <c r="G1542" s="59">
        <v>120.07</v>
      </c>
      <c r="H1542" s="59">
        <v>120.07</v>
      </c>
      <c r="I1542" s="18" t="s">
        <v>367</v>
      </c>
      <c r="J1542" s="18" t="s">
        <v>367</v>
      </c>
      <c r="K1542" s="18" t="s">
        <v>2905</v>
      </c>
      <c r="L1542" s="30"/>
    </row>
    <row r="1543" spans="1:12" hidden="1" x14ac:dyDescent="0.25">
      <c r="A1543" s="18" t="s">
        <v>27</v>
      </c>
      <c r="B1543" s="57">
        <v>7.9861111111111105E-4</v>
      </c>
      <c r="C1543" s="58">
        <v>1</v>
      </c>
      <c r="D1543" s="18" t="s">
        <v>2713</v>
      </c>
      <c r="E1543" s="18" t="s">
        <v>2599</v>
      </c>
      <c r="F1543" s="18" t="s">
        <v>1621</v>
      </c>
      <c r="G1543" s="59">
        <v>22.51</v>
      </c>
      <c r="H1543" s="59">
        <v>22.51</v>
      </c>
      <c r="I1543" s="18" t="s">
        <v>367</v>
      </c>
      <c r="J1543" s="18" t="s">
        <v>512</v>
      </c>
      <c r="K1543" s="18" t="s">
        <v>2905</v>
      </c>
      <c r="L1543" s="30"/>
    </row>
    <row r="1544" spans="1:12" hidden="1" x14ac:dyDescent="0.25">
      <c r="A1544" s="18" t="s">
        <v>27</v>
      </c>
      <c r="B1544" s="57">
        <v>1.1342592592592591E-3</v>
      </c>
      <c r="C1544" s="58">
        <v>1</v>
      </c>
      <c r="D1544" s="18" t="s">
        <v>2463</v>
      </c>
      <c r="E1544" s="18" t="s">
        <v>2049</v>
      </c>
      <c r="F1544" s="18" t="s">
        <v>1621</v>
      </c>
      <c r="G1544" s="59">
        <v>63.24</v>
      </c>
      <c r="H1544" s="59">
        <v>63.24</v>
      </c>
      <c r="I1544" s="18" t="s">
        <v>2763</v>
      </c>
      <c r="J1544" s="18" t="s">
        <v>44</v>
      </c>
      <c r="K1544" s="18" t="s">
        <v>2905</v>
      </c>
      <c r="L1544" s="30"/>
    </row>
    <row r="1545" spans="1:12" hidden="1" x14ac:dyDescent="0.25">
      <c r="A1545" s="18" t="s">
        <v>27</v>
      </c>
      <c r="B1545" s="57">
        <v>1.1342592592592591E-3</v>
      </c>
      <c r="C1545" s="58">
        <v>1</v>
      </c>
      <c r="D1545" s="18" t="s">
        <v>2448</v>
      </c>
      <c r="E1545" s="18" t="s">
        <v>2049</v>
      </c>
      <c r="F1545" s="18" t="s">
        <v>1621</v>
      </c>
      <c r="G1545" s="59">
        <v>63.24</v>
      </c>
      <c r="H1545" s="59">
        <v>63.24</v>
      </c>
      <c r="I1545" s="18" t="s">
        <v>2763</v>
      </c>
      <c r="J1545" s="18" t="s">
        <v>44</v>
      </c>
      <c r="K1545" s="18" t="s">
        <v>2905</v>
      </c>
      <c r="L1545" s="30"/>
    </row>
    <row r="1546" spans="1:12" hidden="1" x14ac:dyDescent="0.25">
      <c r="A1546" s="18" t="s">
        <v>27</v>
      </c>
      <c r="B1546" s="57">
        <v>9.4907407407407408E-4</v>
      </c>
      <c r="C1546" s="58">
        <v>2</v>
      </c>
      <c r="D1546" s="18" t="s">
        <v>2906</v>
      </c>
      <c r="E1546" s="18" t="s">
        <v>2414</v>
      </c>
      <c r="F1546" s="18" t="s">
        <v>1621</v>
      </c>
      <c r="G1546" s="59">
        <v>3.3</v>
      </c>
      <c r="H1546" s="59">
        <v>6.6</v>
      </c>
      <c r="I1546" s="18" t="s">
        <v>2763</v>
      </c>
      <c r="J1546" s="22" t="s">
        <v>512</v>
      </c>
      <c r="K1546" s="18" t="s">
        <v>2905</v>
      </c>
      <c r="L1546" s="30"/>
    </row>
    <row r="1547" spans="1:12" hidden="1" x14ac:dyDescent="0.25">
      <c r="A1547" s="18" t="s">
        <v>27</v>
      </c>
      <c r="B1547" s="57">
        <v>3.49537037037037E-3</v>
      </c>
      <c r="C1547" s="58">
        <v>1</v>
      </c>
      <c r="D1547" s="18" t="s">
        <v>2907</v>
      </c>
      <c r="E1547" s="18" t="s">
        <v>2902</v>
      </c>
      <c r="F1547" s="18" t="s">
        <v>1621</v>
      </c>
      <c r="G1547" s="59">
        <v>662.75</v>
      </c>
      <c r="H1547" s="59">
        <v>662.75</v>
      </c>
      <c r="I1547" s="18" t="s">
        <v>2742</v>
      </c>
      <c r="J1547" s="18" t="s">
        <v>115</v>
      </c>
      <c r="K1547" s="18" t="s">
        <v>2905</v>
      </c>
      <c r="L1547" s="30"/>
    </row>
    <row r="1548" spans="1:12" hidden="1" x14ac:dyDescent="0.25">
      <c r="A1548" s="18" t="s">
        <v>27</v>
      </c>
      <c r="B1548" s="57">
        <v>1.2037037037037036E-3</v>
      </c>
      <c r="C1548" s="58">
        <v>1</v>
      </c>
      <c r="D1548" s="18" t="s">
        <v>48</v>
      </c>
      <c r="E1548" s="18" t="s">
        <v>1119</v>
      </c>
      <c r="F1548" s="18" t="s">
        <v>1621</v>
      </c>
      <c r="G1548" s="59">
        <v>59.87</v>
      </c>
      <c r="H1548" s="59">
        <v>59.87</v>
      </c>
      <c r="I1548" s="18" t="s">
        <v>2430</v>
      </c>
      <c r="J1548" s="22" t="s">
        <v>44</v>
      </c>
      <c r="K1548" s="18" t="s">
        <v>2905</v>
      </c>
      <c r="L1548" s="30"/>
    </row>
    <row r="1549" spans="1:12" hidden="1" x14ac:dyDescent="0.25">
      <c r="A1549" s="18" t="s">
        <v>27</v>
      </c>
      <c r="B1549" s="57">
        <v>6.0185185185185179E-4</v>
      </c>
      <c r="C1549" s="58">
        <v>1</v>
      </c>
      <c r="D1549" s="18" t="s">
        <v>2483</v>
      </c>
      <c r="E1549" s="18" t="s">
        <v>2484</v>
      </c>
      <c r="F1549" s="18" t="s">
        <v>1621</v>
      </c>
      <c r="G1549" s="59">
        <v>7.1</v>
      </c>
      <c r="H1549" s="59">
        <v>7.1</v>
      </c>
      <c r="I1549" s="18" t="s">
        <v>367</v>
      </c>
      <c r="J1549" s="22" t="s">
        <v>367</v>
      </c>
      <c r="K1549" s="18" t="s">
        <v>2908</v>
      </c>
      <c r="L1549" s="30"/>
    </row>
    <row r="1550" spans="1:12" hidden="1" x14ac:dyDescent="0.25">
      <c r="A1550" s="18" t="s">
        <v>27</v>
      </c>
      <c r="B1550" s="57">
        <v>2.5694444444444445E-3</v>
      </c>
      <c r="C1550" s="58">
        <v>1</v>
      </c>
      <c r="D1550" s="18" t="s">
        <v>2249</v>
      </c>
      <c r="E1550" s="18" t="s">
        <v>2240</v>
      </c>
      <c r="F1550" s="18" t="s">
        <v>1621</v>
      </c>
      <c r="G1550" s="59">
        <v>402.54</v>
      </c>
      <c r="H1550" s="59">
        <v>402.54</v>
      </c>
      <c r="I1550" s="18" t="s">
        <v>829</v>
      </c>
      <c r="J1550" s="18" t="s">
        <v>1598</v>
      </c>
      <c r="K1550" s="18" t="s">
        <v>2908</v>
      </c>
      <c r="L1550" s="30"/>
    </row>
    <row r="1551" spans="1:12" hidden="1" x14ac:dyDescent="0.25">
      <c r="A1551" s="18" t="s">
        <v>27</v>
      </c>
      <c r="B1551" s="57">
        <v>9.4907407407407408E-4</v>
      </c>
      <c r="C1551" s="58">
        <v>1</v>
      </c>
      <c r="D1551" s="18" t="s">
        <v>2486</v>
      </c>
      <c r="E1551" s="18" t="s">
        <v>2487</v>
      </c>
      <c r="F1551" s="18" t="s">
        <v>1621</v>
      </c>
      <c r="G1551" s="59">
        <v>25.59</v>
      </c>
      <c r="H1551" s="59">
        <v>25.59</v>
      </c>
      <c r="I1551" s="18" t="s">
        <v>367</v>
      </c>
      <c r="J1551" s="18" t="s">
        <v>1594</v>
      </c>
      <c r="K1551" s="18" t="s">
        <v>2908</v>
      </c>
      <c r="L1551" s="30"/>
    </row>
    <row r="1552" spans="1:12" hidden="1" x14ac:dyDescent="0.25">
      <c r="A1552" s="18" t="s">
        <v>27</v>
      </c>
      <c r="B1552" s="57">
        <v>4.0625000000000001E-3</v>
      </c>
      <c r="C1552" s="58">
        <v>1</v>
      </c>
      <c r="D1552" s="18" t="s">
        <v>2909</v>
      </c>
      <c r="E1552" s="18" t="s">
        <v>2910</v>
      </c>
      <c r="F1552" s="18" t="s">
        <v>1621</v>
      </c>
      <c r="G1552" s="59">
        <v>751.8</v>
      </c>
      <c r="H1552" s="59">
        <v>751.8</v>
      </c>
      <c r="I1552" s="18" t="s">
        <v>2742</v>
      </c>
      <c r="J1552" s="18" t="s">
        <v>498</v>
      </c>
      <c r="K1552" s="18" t="s">
        <v>2908</v>
      </c>
      <c r="L1552" s="30"/>
    </row>
    <row r="1553" spans="1:12" hidden="1" x14ac:dyDescent="0.25">
      <c r="A1553" s="18" t="s">
        <v>27</v>
      </c>
      <c r="B1553" s="57">
        <v>2.8587962962962963E-3</v>
      </c>
      <c r="C1553" s="58">
        <v>2</v>
      </c>
      <c r="D1553" s="18" t="s">
        <v>48</v>
      </c>
      <c r="E1553" s="18" t="s">
        <v>1119</v>
      </c>
      <c r="F1553" s="18" t="s">
        <v>1621</v>
      </c>
      <c r="G1553" s="59">
        <v>59.87</v>
      </c>
      <c r="H1553" s="59">
        <v>119.74</v>
      </c>
      <c r="I1553" s="18" t="s">
        <v>2911</v>
      </c>
      <c r="J1553" s="18" t="s">
        <v>44</v>
      </c>
      <c r="K1553" s="18" t="s">
        <v>2908</v>
      </c>
      <c r="L1553" s="30"/>
    </row>
    <row r="1554" spans="1:12" hidden="1" x14ac:dyDescent="0.25">
      <c r="A1554" s="18" t="s">
        <v>27</v>
      </c>
      <c r="B1554" s="57">
        <v>4.1666666666666664E-4</v>
      </c>
      <c r="C1554" s="58">
        <v>1</v>
      </c>
      <c r="D1554" s="18" t="s">
        <v>2060</v>
      </c>
      <c r="E1554" s="18" t="s">
        <v>2061</v>
      </c>
      <c r="F1554" s="18" t="s">
        <v>1621</v>
      </c>
      <c r="G1554" s="59">
        <v>1.4</v>
      </c>
      <c r="H1554" s="59">
        <v>1.4</v>
      </c>
      <c r="I1554" s="18" t="s">
        <v>367</v>
      </c>
      <c r="J1554" s="18" t="s">
        <v>1593</v>
      </c>
      <c r="K1554" s="18" t="s">
        <v>2912</v>
      </c>
      <c r="L1554" s="30"/>
    </row>
    <row r="1555" spans="1:12" hidden="1" x14ac:dyDescent="0.25">
      <c r="A1555" s="18" t="s">
        <v>27</v>
      </c>
      <c r="B1555" s="57">
        <v>6.8287037037037036E-4</v>
      </c>
      <c r="C1555" s="58">
        <v>1</v>
      </c>
      <c r="D1555" s="18" t="s">
        <v>2096</v>
      </c>
      <c r="E1555" s="18" t="s">
        <v>2097</v>
      </c>
      <c r="F1555" s="18" t="s">
        <v>1621</v>
      </c>
      <c r="G1555" s="59">
        <v>12.44</v>
      </c>
      <c r="H1555" s="59">
        <v>12.44</v>
      </c>
      <c r="I1555" s="18" t="s">
        <v>367</v>
      </c>
      <c r="J1555" s="18" t="s">
        <v>368</v>
      </c>
      <c r="K1555" s="18" t="s">
        <v>2912</v>
      </c>
      <c r="L1555" s="30"/>
    </row>
    <row r="1556" spans="1:12" hidden="1" x14ac:dyDescent="0.25">
      <c r="A1556" s="18" t="s">
        <v>27</v>
      </c>
      <c r="B1556" s="57">
        <v>1.3541666666666667E-3</v>
      </c>
      <c r="C1556" s="58">
        <v>1</v>
      </c>
      <c r="D1556" s="18" t="s">
        <v>2246</v>
      </c>
      <c r="E1556" s="18" t="s">
        <v>2247</v>
      </c>
      <c r="F1556" s="18" t="s">
        <v>1621</v>
      </c>
      <c r="G1556" s="59">
        <v>91.88</v>
      </c>
      <c r="H1556" s="59">
        <v>91.88</v>
      </c>
      <c r="I1556" s="18" t="s">
        <v>367</v>
      </c>
      <c r="J1556" s="18" t="s">
        <v>427</v>
      </c>
      <c r="K1556" s="18" t="s">
        <v>2912</v>
      </c>
      <c r="L1556" s="30"/>
    </row>
    <row r="1557" spans="1:12" hidden="1" x14ac:dyDescent="0.25">
      <c r="A1557" s="18" t="s">
        <v>27</v>
      </c>
      <c r="B1557" s="57">
        <v>2.1527777777777778E-3</v>
      </c>
      <c r="C1557" s="58">
        <v>1</v>
      </c>
      <c r="D1557" s="18" t="s">
        <v>2340</v>
      </c>
      <c r="E1557" s="18" t="s">
        <v>2913</v>
      </c>
      <c r="F1557" s="18" t="s">
        <v>1621</v>
      </c>
      <c r="G1557" s="59">
        <v>204.52</v>
      </c>
      <c r="H1557" s="59">
        <v>204.52</v>
      </c>
      <c r="I1557" s="18" t="s">
        <v>829</v>
      </c>
      <c r="J1557" s="18" t="s">
        <v>1598</v>
      </c>
      <c r="K1557" s="18" t="s">
        <v>2912</v>
      </c>
      <c r="L1557" s="30"/>
    </row>
    <row r="1558" spans="1:12" hidden="1" x14ac:dyDescent="0.25">
      <c r="A1558" s="18" t="s">
        <v>27</v>
      </c>
      <c r="B1558" s="57">
        <v>1.6550925925925926E-3</v>
      </c>
      <c r="C1558" s="58">
        <v>1</v>
      </c>
      <c r="D1558" s="18" t="s">
        <v>2229</v>
      </c>
      <c r="E1558" s="18" t="s">
        <v>2230</v>
      </c>
      <c r="F1558" s="18" t="s">
        <v>1621</v>
      </c>
      <c r="G1558" s="59">
        <v>62.2</v>
      </c>
      <c r="H1558" s="59">
        <v>62.2</v>
      </c>
      <c r="I1558" s="18" t="s">
        <v>367</v>
      </c>
      <c r="J1558" s="18" t="s">
        <v>512</v>
      </c>
      <c r="K1558" s="18" t="s">
        <v>2912</v>
      </c>
      <c r="L1558" s="30"/>
    </row>
    <row r="1559" spans="1:12" hidden="1" x14ac:dyDescent="0.25">
      <c r="A1559" s="18" t="s">
        <v>27</v>
      </c>
      <c r="B1559" s="57">
        <v>4.0509259259259257E-3</v>
      </c>
      <c r="C1559" s="58">
        <v>1</v>
      </c>
      <c r="D1559" s="18" t="s">
        <v>2914</v>
      </c>
      <c r="E1559" s="18" t="s">
        <v>2890</v>
      </c>
      <c r="F1559" s="18" t="s">
        <v>1621</v>
      </c>
      <c r="G1559" s="59">
        <v>784.75</v>
      </c>
      <c r="H1559" s="59">
        <v>784.75</v>
      </c>
      <c r="I1559" s="18" t="s">
        <v>2742</v>
      </c>
      <c r="J1559" s="18" t="s">
        <v>498</v>
      </c>
      <c r="K1559" s="18" t="s">
        <v>2912</v>
      </c>
      <c r="L1559" s="30"/>
    </row>
    <row r="1560" spans="1:12" hidden="1" x14ac:dyDescent="0.25">
      <c r="A1560" s="18" t="s">
        <v>27</v>
      </c>
      <c r="B1560" s="57">
        <v>2.8356481481481479E-3</v>
      </c>
      <c r="C1560" s="58">
        <v>2</v>
      </c>
      <c r="D1560" s="18" t="s">
        <v>48</v>
      </c>
      <c r="E1560" s="18" t="s">
        <v>1119</v>
      </c>
      <c r="F1560" s="18" t="s">
        <v>1621</v>
      </c>
      <c r="G1560" s="59">
        <v>59.87</v>
      </c>
      <c r="H1560" s="59">
        <v>119.74</v>
      </c>
      <c r="I1560" s="18" t="s">
        <v>2911</v>
      </c>
      <c r="J1560" s="18" t="s">
        <v>44</v>
      </c>
      <c r="K1560" s="18" t="s">
        <v>2912</v>
      </c>
      <c r="L1560" s="30"/>
    </row>
    <row r="1561" spans="1:12" hidden="1" x14ac:dyDescent="0.25">
      <c r="A1561" s="18" t="s">
        <v>27</v>
      </c>
      <c r="B1561" s="57">
        <v>4.2013888888888891E-3</v>
      </c>
      <c r="C1561" s="58">
        <v>1</v>
      </c>
      <c r="D1561" s="18" t="s">
        <v>2915</v>
      </c>
      <c r="E1561" s="18" t="s">
        <v>2899</v>
      </c>
      <c r="F1561" s="18" t="s">
        <v>1621</v>
      </c>
      <c r="G1561" s="59">
        <v>887.74</v>
      </c>
      <c r="H1561" s="59">
        <v>887.74</v>
      </c>
      <c r="I1561" s="18" t="s">
        <v>2742</v>
      </c>
      <c r="J1561" s="18" t="s">
        <v>115</v>
      </c>
      <c r="K1561" s="18" t="s">
        <v>2916</v>
      </c>
      <c r="L1561" s="30"/>
    </row>
    <row r="1562" spans="1:12" hidden="1" x14ac:dyDescent="0.25">
      <c r="A1562" s="18" t="s">
        <v>27</v>
      </c>
      <c r="B1562" s="57">
        <v>1.1064814814814814E-2</v>
      </c>
      <c r="C1562" s="58">
        <v>8</v>
      </c>
      <c r="D1562" s="18" t="s">
        <v>48</v>
      </c>
      <c r="E1562" s="18" t="s">
        <v>1119</v>
      </c>
      <c r="F1562" s="18" t="s">
        <v>1621</v>
      </c>
      <c r="G1562" s="59">
        <v>59.87</v>
      </c>
      <c r="H1562" s="59">
        <v>478.96</v>
      </c>
      <c r="I1562" s="18" t="s">
        <v>2917</v>
      </c>
      <c r="J1562" s="18" t="s">
        <v>44</v>
      </c>
      <c r="K1562" s="18" t="s">
        <v>2916</v>
      </c>
      <c r="L1562" s="30"/>
    </row>
    <row r="1563" spans="1:12" hidden="1" x14ac:dyDescent="0.25">
      <c r="A1563" s="18" t="s">
        <v>27</v>
      </c>
      <c r="B1563" s="57">
        <v>7.2916666666666659E-4</v>
      </c>
      <c r="C1563" s="58">
        <v>1</v>
      </c>
      <c r="D1563" s="18" t="s">
        <v>1633</v>
      </c>
      <c r="E1563" s="18" t="s">
        <v>1634</v>
      </c>
      <c r="F1563" s="18" t="s">
        <v>1621</v>
      </c>
      <c r="G1563" s="59">
        <v>19.12</v>
      </c>
      <c r="H1563" s="59">
        <v>19.12</v>
      </c>
      <c r="I1563" s="18" t="s">
        <v>367</v>
      </c>
      <c r="J1563" s="18" t="s">
        <v>1599</v>
      </c>
      <c r="K1563" s="18" t="s">
        <v>2918</v>
      </c>
      <c r="L1563" s="30"/>
    </row>
    <row r="1564" spans="1:12" hidden="1" x14ac:dyDescent="0.25">
      <c r="A1564" s="18" t="s">
        <v>27</v>
      </c>
      <c r="B1564" s="57">
        <v>1.2326388888888888E-2</v>
      </c>
      <c r="C1564" s="58">
        <v>9</v>
      </c>
      <c r="D1564" s="18" t="s">
        <v>48</v>
      </c>
      <c r="E1564" s="18" t="s">
        <v>1119</v>
      </c>
      <c r="F1564" s="18" t="s">
        <v>1621</v>
      </c>
      <c r="G1564" s="59">
        <v>59.87</v>
      </c>
      <c r="H1564" s="59">
        <v>538.83000000000004</v>
      </c>
      <c r="I1564" s="18" t="s">
        <v>2892</v>
      </c>
      <c r="J1564" s="18" t="s">
        <v>44</v>
      </c>
      <c r="K1564" s="18" t="s">
        <v>2918</v>
      </c>
      <c r="L1564" s="30"/>
    </row>
    <row r="1565" spans="1:12" hidden="1" x14ac:dyDescent="0.25">
      <c r="A1565" s="18" t="s">
        <v>27</v>
      </c>
      <c r="B1565" s="57">
        <v>4.6759259259259254E-3</v>
      </c>
      <c r="C1565" s="58">
        <v>1</v>
      </c>
      <c r="D1565" s="18" t="s">
        <v>2919</v>
      </c>
      <c r="E1565" s="18" t="s">
        <v>2888</v>
      </c>
      <c r="F1565" s="18" t="s">
        <v>1621</v>
      </c>
      <c r="G1565" s="59">
        <v>709.01</v>
      </c>
      <c r="H1565" s="59">
        <v>709.01</v>
      </c>
      <c r="I1565" s="18" t="s">
        <v>2742</v>
      </c>
      <c r="J1565" s="18" t="s">
        <v>115</v>
      </c>
      <c r="K1565" s="18" t="s">
        <v>2918</v>
      </c>
      <c r="L1565" s="30"/>
    </row>
    <row r="1566" spans="1:12" hidden="1" x14ac:dyDescent="0.25">
      <c r="A1566" s="18" t="s">
        <v>27</v>
      </c>
      <c r="B1566" s="57">
        <v>3.8888888888888888E-3</v>
      </c>
      <c r="C1566" s="58">
        <v>1</v>
      </c>
      <c r="D1566" s="18" t="s">
        <v>2920</v>
      </c>
      <c r="E1566" s="18" t="s">
        <v>2883</v>
      </c>
      <c r="F1566" s="18" t="s">
        <v>1621</v>
      </c>
      <c r="G1566" s="59">
        <v>829.34</v>
      </c>
      <c r="H1566" s="59">
        <v>829.34</v>
      </c>
      <c r="I1566" s="18" t="s">
        <v>2763</v>
      </c>
      <c r="J1566" s="18" t="s">
        <v>512</v>
      </c>
      <c r="K1566" s="18" t="s">
        <v>2921</v>
      </c>
      <c r="L1566" s="30"/>
    </row>
    <row r="1567" spans="1:12" hidden="1" x14ac:dyDescent="0.25">
      <c r="A1567" s="18" t="s">
        <v>27</v>
      </c>
      <c r="B1567" s="57">
        <v>1.2129629629629629E-2</v>
      </c>
      <c r="C1567" s="58">
        <v>9</v>
      </c>
      <c r="D1567" s="18" t="s">
        <v>48</v>
      </c>
      <c r="E1567" s="18" t="s">
        <v>1119</v>
      </c>
      <c r="F1567" s="18" t="s">
        <v>1621</v>
      </c>
      <c r="G1567" s="59">
        <v>59.87</v>
      </c>
      <c r="H1567" s="59">
        <v>538.83000000000004</v>
      </c>
      <c r="I1567" s="18" t="s">
        <v>2892</v>
      </c>
      <c r="J1567" s="18" t="s">
        <v>44</v>
      </c>
      <c r="K1567" s="18" t="s">
        <v>2921</v>
      </c>
      <c r="L1567" s="30"/>
    </row>
    <row r="1568" spans="1:12" hidden="1" x14ac:dyDescent="0.25">
      <c r="A1568" s="18" t="s">
        <v>27</v>
      </c>
      <c r="B1568" s="57">
        <v>2.3611111111111111E-3</v>
      </c>
      <c r="C1568" s="58">
        <v>6</v>
      </c>
      <c r="D1568" s="18" t="s">
        <v>2455</v>
      </c>
      <c r="E1568" s="18" t="s">
        <v>2456</v>
      </c>
      <c r="F1568" s="18" t="s">
        <v>1621</v>
      </c>
      <c r="G1568" s="59">
        <v>1.88</v>
      </c>
      <c r="H1568" s="59">
        <v>11.28</v>
      </c>
      <c r="I1568" s="18" t="s">
        <v>367</v>
      </c>
      <c r="J1568" s="18" t="s">
        <v>1592</v>
      </c>
      <c r="K1568" s="18" t="s">
        <v>2922</v>
      </c>
      <c r="L1568" s="30"/>
    </row>
    <row r="1569" spans="1:12" hidden="1" x14ac:dyDescent="0.25">
      <c r="A1569" s="18" t="s">
        <v>27</v>
      </c>
      <c r="B1569" s="57">
        <v>3.3217592592592591E-3</v>
      </c>
      <c r="C1569" s="58">
        <v>1</v>
      </c>
      <c r="D1569" s="18" t="s">
        <v>2923</v>
      </c>
      <c r="E1569" s="18" t="s">
        <v>2924</v>
      </c>
      <c r="F1569" s="18" t="s">
        <v>1621</v>
      </c>
      <c r="G1569" s="59">
        <v>463.72</v>
      </c>
      <c r="H1569" s="59">
        <v>463.72</v>
      </c>
      <c r="I1569" s="18" t="s">
        <v>2763</v>
      </c>
      <c r="J1569" s="18" t="s">
        <v>512</v>
      </c>
      <c r="K1569" s="18" t="s">
        <v>2922</v>
      </c>
      <c r="L1569" s="30"/>
    </row>
    <row r="1570" spans="1:12" hidden="1" x14ac:dyDescent="0.25">
      <c r="A1570" s="18" t="s">
        <v>27</v>
      </c>
      <c r="B1570" s="57">
        <v>1.5081018518518518E-2</v>
      </c>
      <c r="C1570" s="58">
        <v>12</v>
      </c>
      <c r="D1570" s="18" t="s">
        <v>48</v>
      </c>
      <c r="E1570" s="18" t="s">
        <v>1119</v>
      </c>
      <c r="F1570" s="18" t="s">
        <v>1621</v>
      </c>
      <c r="G1570" s="59">
        <v>59.87</v>
      </c>
      <c r="H1570" s="59">
        <v>718.44</v>
      </c>
      <c r="I1570" s="18" t="s">
        <v>2925</v>
      </c>
      <c r="J1570" s="18" t="s">
        <v>44</v>
      </c>
      <c r="K1570" s="18" t="s">
        <v>2922</v>
      </c>
      <c r="L1570" s="30"/>
    </row>
    <row r="1571" spans="1:12" hidden="1" x14ac:dyDescent="0.25">
      <c r="A1571" s="18" t="s">
        <v>27</v>
      </c>
      <c r="B1571" s="57">
        <v>3.8888888888888888E-3</v>
      </c>
      <c r="C1571" s="58">
        <v>1</v>
      </c>
      <c r="D1571" s="18" t="s">
        <v>2920</v>
      </c>
      <c r="E1571" s="18" t="s">
        <v>2883</v>
      </c>
      <c r="F1571" s="18" t="s">
        <v>1621</v>
      </c>
      <c r="G1571" s="59">
        <v>829.34</v>
      </c>
      <c r="H1571" s="59">
        <v>829.34</v>
      </c>
      <c r="I1571" s="18" t="s">
        <v>2763</v>
      </c>
      <c r="J1571" s="18" t="s">
        <v>512</v>
      </c>
      <c r="K1571" s="18" t="s">
        <v>2926</v>
      </c>
      <c r="L1571" s="30"/>
    </row>
    <row r="1572" spans="1:12" hidden="1" x14ac:dyDescent="0.25">
      <c r="A1572" s="18" t="s">
        <v>27</v>
      </c>
      <c r="B1572" s="57">
        <v>1.2129629629629629E-2</v>
      </c>
      <c r="C1572" s="58">
        <v>9</v>
      </c>
      <c r="D1572" s="18" t="s">
        <v>48</v>
      </c>
      <c r="E1572" s="18" t="s">
        <v>1119</v>
      </c>
      <c r="F1572" s="18" t="s">
        <v>1621</v>
      </c>
      <c r="G1572" s="59">
        <v>59.87</v>
      </c>
      <c r="H1572" s="59">
        <v>538.83000000000004</v>
      </c>
      <c r="I1572" s="18" t="s">
        <v>2892</v>
      </c>
      <c r="J1572" s="18" t="s">
        <v>44</v>
      </c>
      <c r="K1572" s="18" t="s">
        <v>2926</v>
      </c>
      <c r="L1572" s="30"/>
    </row>
    <row r="1573" spans="1:12" hidden="1" x14ac:dyDescent="0.25">
      <c r="A1573" s="18" t="s">
        <v>27</v>
      </c>
      <c r="B1573" s="57">
        <v>3.8888888888888888E-3</v>
      </c>
      <c r="C1573" s="58">
        <v>1</v>
      </c>
      <c r="D1573" s="18" t="s">
        <v>2920</v>
      </c>
      <c r="E1573" s="18" t="s">
        <v>2883</v>
      </c>
      <c r="F1573" s="18" t="s">
        <v>1621</v>
      </c>
      <c r="G1573" s="59">
        <v>829.34</v>
      </c>
      <c r="H1573" s="59">
        <v>829.34</v>
      </c>
      <c r="I1573" s="18" t="s">
        <v>2763</v>
      </c>
      <c r="J1573" s="18" t="s">
        <v>512</v>
      </c>
      <c r="K1573" s="18" t="s">
        <v>2927</v>
      </c>
      <c r="L1573" s="30"/>
    </row>
    <row r="1574" spans="1:12" hidden="1" x14ac:dyDescent="0.25">
      <c r="A1574" s="18" t="s">
        <v>27</v>
      </c>
      <c r="B1574" s="57">
        <v>1.2129629629629629E-2</v>
      </c>
      <c r="C1574" s="58">
        <v>9</v>
      </c>
      <c r="D1574" s="18" t="s">
        <v>48</v>
      </c>
      <c r="E1574" s="18" t="s">
        <v>1119</v>
      </c>
      <c r="F1574" s="18" t="s">
        <v>1621</v>
      </c>
      <c r="G1574" s="59">
        <v>59.87</v>
      </c>
      <c r="H1574" s="59">
        <v>538.83000000000004</v>
      </c>
      <c r="I1574" s="18" t="s">
        <v>2892</v>
      </c>
      <c r="J1574" s="18" t="s">
        <v>44</v>
      </c>
      <c r="K1574" s="18" t="s">
        <v>2927</v>
      </c>
      <c r="L1574" s="30"/>
    </row>
    <row r="1575" spans="1:12" hidden="1" x14ac:dyDescent="0.25">
      <c r="A1575" s="18" t="s">
        <v>27</v>
      </c>
      <c r="B1575" s="57">
        <v>3.8888888888888888E-3</v>
      </c>
      <c r="C1575" s="58">
        <v>1</v>
      </c>
      <c r="D1575" s="18" t="s">
        <v>2920</v>
      </c>
      <c r="E1575" s="18" t="s">
        <v>2883</v>
      </c>
      <c r="F1575" s="18" t="s">
        <v>1621</v>
      </c>
      <c r="G1575" s="59">
        <v>829.34</v>
      </c>
      <c r="H1575" s="59">
        <v>829.34</v>
      </c>
      <c r="I1575" s="18" t="s">
        <v>2763</v>
      </c>
      <c r="J1575" s="18" t="s">
        <v>512</v>
      </c>
      <c r="K1575" s="18" t="s">
        <v>2928</v>
      </c>
      <c r="L1575" s="30"/>
    </row>
    <row r="1576" spans="1:12" hidden="1" x14ac:dyDescent="0.25">
      <c r="A1576" s="18" t="s">
        <v>27</v>
      </c>
      <c r="B1576" s="57">
        <v>1.2129629629629629E-2</v>
      </c>
      <c r="C1576" s="58">
        <v>9</v>
      </c>
      <c r="D1576" s="18" t="s">
        <v>48</v>
      </c>
      <c r="E1576" s="18" t="s">
        <v>1119</v>
      </c>
      <c r="F1576" s="18" t="s">
        <v>1621</v>
      </c>
      <c r="G1576" s="59">
        <v>59.87</v>
      </c>
      <c r="H1576" s="59">
        <v>538.83000000000004</v>
      </c>
      <c r="I1576" s="18" t="s">
        <v>2892</v>
      </c>
      <c r="J1576" s="18" t="s">
        <v>44</v>
      </c>
      <c r="K1576" s="18" t="s">
        <v>2928</v>
      </c>
      <c r="L1576" s="30"/>
    </row>
    <row r="1577" spans="1:12" hidden="1" x14ac:dyDescent="0.25">
      <c r="A1577" s="18" t="s">
        <v>27</v>
      </c>
      <c r="B1577" s="57">
        <v>3.8888888888888888E-3</v>
      </c>
      <c r="C1577" s="58">
        <v>1</v>
      </c>
      <c r="D1577" s="18" t="s">
        <v>2920</v>
      </c>
      <c r="E1577" s="18" t="s">
        <v>2883</v>
      </c>
      <c r="F1577" s="18" t="s">
        <v>1621</v>
      </c>
      <c r="G1577" s="59">
        <v>829.34</v>
      </c>
      <c r="H1577" s="59">
        <v>829.34</v>
      </c>
      <c r="I1577" s="18" t="s">
        <v>2763</v>
      </c>
      <c r="J1577" s="18" t="s">
        <v>512</v>
      </c>
      <c r="K1577" s="18" t="s">
        <v>2929</v>
      </c>
      <c r="L1577" s="30"/>
    </row>
    <row r="1578" spans="1:12" hidden="1" x14ac:dyDescent="0.25">
      <c r="A1578" s="18" t="s">
        <v>27</v>
      </c>
      <c r="B1578" s="57">
        <v>1.2129629629629629E-2</v>
      </c>
      <c r="C1578" s="58">
        <v>9</v>
      </c>
      <c r="D1578" s="18" t="s">
        <v>48</v>
      </c>
      <c r="E1578" s="18" t="s">
        <v>1119</v>
      </c>
      <c r="F1578" s="18" t="s">
        <v>1621</v>
      </c>
      <c r="G1578" s="59">
        <v>59.87</v>
      </c>
      <c r="H1578" s="59">
        <v>538.83000000000004</v>
      </c>
      <c r="I1578" s="18" t="s">
        <v>2892</v>
      </c>
      <c r="J1578" s="18" t="s">
        <v>44</v>
      </c>
      <c r="K1578" s="18" t="s">
        <v>2929</v>
      </c>
      <c r="L1578" s="30"/>
    </row>
    <row r="1579" spans="1:12" hidden="1" x14ac:dyDescent="0.25">
      <c r="A1579" s="18" t="s">
        <v>27</v>
      </c>
      <c r="B1579" s="57">
        <v>3.8888888888888888E-3</v>
      </c>
      <c r="C1579" s="58">
        <v>1</v>
      </c>
      <c r="D1579" s="18" t="s">
        <v>2920</v>
      </c>
      <c r="E1579" s="18" t="s">
        <v>2883</v>
      </c>
      <c r="F1579" s="18" t="s">
        <v>1621</v>
      </c>
      <c r="G1579" s="59">
        <v>829.34</v>
      </c>
      <c r="H1579" s="59">
        <v>829.34</v>
      </c>
      <c r="I1579" s="18" t="s">
        <v>2763</v>
      </c>
      <c r="J1579" s="18" t="s">
        <v>512</v>
      </c>
      <c r="K1579" s="18" t="s">
        <v>2930</v>
      </c>
      <c r="L1579" s="30"/>
    </row>
    <row r="1580" spans="1:12" hidden="1" x14ac:dyDescent="0.25">
      <c r="A1580" s="18" t="s">
        <v>27</v>
      </c>
      <c r="B1580" s="57">
        <v>1.2129629629629629E-2</v>
      </c>
      <c r="C1580" s="58">
        <v>9</v>
      </c>
      <c r="D1580" s="18" t="s">
        <v>48</v>
      </c>
      <c r="E1580" s="18" t="s">
        <v>1119</v>
      </c>
      <c r="F1580" s="18" t="s">
        <v>1621</v>
      </c>
      <c r="G1580" s="59">
        <v>59.87</v>
      </c>
      <c r="H1580" s="59">
        <v>538.83000000000004</v>
      </c>
      <c r="I1580" s="18" t="s">
        <v>2892</v>
      </c>
      <c r="J1580" s="18" t="s">
        <v>44</v>
      </c>
      <c r="K1580" s="18" t="s">
        <v>2930</v>
      </c>
      <c r="L1580" s="30"/>
    </row>
    <row r="1581" spans="1:12" hidden="1" x14ac:dyDescent="0.25">
      <c r="A1581" s="18" t="s">
        <v>27</v>
      </c>
      <c r="B1581" s="57">
        <v>3.8888888888888888E-3</v>
      </c>
      <c r="C1581" s="58">
        <v>1</v>
      </c>
      <c r="D1581" s="18" t="s">
        <v>2920</v>
      </c>
      <c r="E1581" s="18" t="s">
        <v>2883</v>
      </c>
      <c r="F1581" s="18" t="s">
        <v>1621</v>
      </c>
      <c r="G1581" s="59">
        <v>829.34</v>
      </c>
      <c r="H1581" s="59">
        <v>829.34</v>
      </c>
      <c r="I1581" s="18" t="s">
        <v>2763</v>
      </c>
      <c r="J1581" s="18" t="s">
        <v>512</v>
      </c>
      <c r="K1581" s="18" t="s">
        <v>2931</v>
      </c>
      <c r="L1581" s="30"/>
    </row>
    <row r="1582" spans="1:12" hidden="1" x14ac:dyDescent="0.25">
      <c r="A1582" s="18" t="s">
        <v>27</v>
      </c>
      <c r="B1582" s="57">
        <v>1.2129629629629629E-2</v>
      </c>
      <c r="C1582" s="58">
        <v>9</v>
      </c>
      <c r="D1582" s="18" t="s">
        <v>48</v>
      </c>
      <c r="E1582" s="18" t="s">
        <v>1119</v>
      </c>
      <c r="F1582" s="18" t="s">
        <v>1621</v>
      </c>
      <c r="G1582" s="59">
        <v>59.87</v>
      </c>
      <c r="H1582" s="59">
        <v>538.83000000000004</v>
      </c>
      <c r="I1582" s="18" t="s">
        <v>2932</v>
      </c>
      <c r="J1582" s="18" t="s">
        <v>44</v>
      </c>
      <c r="K1582" s="18" t="s">
        <v>2931</v>
      </c>
      <c r="L1582" s="30"/>
    </row>
    <row r="1583" spans="1:12" hidden="1" x14ac:dyDescent="0.25">
      <c r="A1583" s="18" t="s">
        <v>27</v>
      </c>
      <c r="B1583" s="57">
        <v>6.9097222222222216E-3</v>
      </c>
      <c r="C1583" s="58">
        <v>1</v>
      </c>
      <c r="D1583" s="18" t="s">
        <v>551</v>
      </c>
      <c r="E1583" s="18" t="s">
        <v>119</v>
      </c>
      <c r="F1583" s="18" t="s">
        <v>1621</v>
      </c>
      <c r="G1583" s="59">
        <v>1401.7</v>
      </c>
      <c r="H1583" s="59">
        <v>1401.7</v>
      </c>
      <c r="I1583" s="18" t="s">
        <v>550</v>
      </c>
      <c r="J1583" s="18" t="s">
        <v>512</v>
      </c>
      <c r="K1583" s="18" t="s">
        <v>2933</v>
      </c>
      <c r="L1583" s="30"/>
    </row>
    <row r="1584" spans="1:12" hidden="1" x14ac:dyDescent="0.25">
      <c r="A1584" s="18" t="s">
        <v>27</v>
      </c>
      <c r="B1584" s="57">
        <v>7.1759259259259259E-3</v>
      </c>
      <c r="C1584" s="58">
        <v>1</v>
      </c>
      <c r="D1584" s="18" t="s">
        <v>91</v>
      </c>
      <c r="E1584" s="18" t="s">
        <v>119</v>
      </c>
      <c r="F1584" s="18" t="s">
        <v>1621</v>
      </c>
      <c r="G1584" s="59">
        <v>1401.2</v>
      </c>
      <c r="H1584" s="59">
        <v>1401.2</v>
      </c>
      <c r="I1584" s="18" t="s">
        <v>133</v>
      </c>
      <c r="J1584" s="18" t="s">
        <v>512</v>
      </c>
      <c r="K1584" s="18" t="s">
        <v>2934</v>
      </c>
      <c r="L1584" s="30"/>
    </row>
    <row r="1585" spans="1:12" hidden="1" x14ac:dyDescent="0.25">
      <c r="A1585" s="18" t="s">
        <v>27</v>
      </c>
      <c r="B1585" s="57">
        <v>6.145833333333333E-3</v>
      </c>
      <c r="C1585" s="58">
        <v>1</v>
      </c>
      <c r="D1585" s="18" t="s">
        <v>2478</v>
      </c>
      <c r="E1585" s="18" t="s">
        <v>2472</v>
      </c>
      <c r="F1585" s="18" t="s">
        <v>1621</v>
      </c>
      <c r="G1585" s="59">
        <v>1226.8599999999999</v>
      </c>
      <c r="H1585" s="59">
        <v>1226.8599999999999</v>
      </c>
      <c r="I1585" s="18" t="s">
        <v>1665</v>
      </c>
      <c r="J1585" s="18" t="s">
        <v>498</v>
      </c>
      <c r="K1585" s="18" t="s">
        <v>2935</v>
      </c>
      <c r="L1585" s="30"/>
    </row>
    <row r="1586" spans="1:12" hidden="1" x14ac:dyDescent="0.25">
      <c r="A1586" s="18" t="s">
        <v>27</v>
      </c>
      <c r="B1586" s="57">
        <v>1.5162037037037036E-3</v>
      </c>
      <c r="C1586" s="58">
        <v>1</v>
      </c>
      <c r="D1586" s="18" t="s">
        <v>48</v>
      </c>
      <c r="E1586" s="18" t="s">
        <v>1119</v>
      </c>
      <c r="F1586" s="18" t="s">
        <v>1621</v>
      </c>
      <c r="G1586" s="59">
        <v>59.87</v>
      </c>
      <c r="H1586" s="59">
        <v>59.87</v>
      </c>
      <c r="I1586" s="18" t="s">
        <v>2936</v>
      </c>
      <c r="J1586" s="18" t="s">
        <v>44</v>
      </c>
      <c r="K1586" s="18" t="s">
        <v>2935</v>
      </c>
      <c r="L1586" s="30"/>
    </row>
    <row r="1587" spans="1:12" hidden="1" x14ac:dyDescent="0.25">
      <c r="A1587" s="18" t="s">
        <v>27</v>
      </c>
      <c r="B1587" s="57">
        <v>2.9594907407407407E-2</v>
      </c>
      <c r="C1587" s="58">
        <v>23</v>
      </c>
      <c r="D1587" s="18" t="s">
        <v>48</v>
      </c>
      <c r="E1587" s="18" t="s">
        <v>1119</v>
      </c>
      <c r="F1587" s="18" t="s">
        <v>1621</v>
      </c>
      <c r="G1587" s="59">
        <v>59.87</v>
      </c>
      <c r="H1587" s="59">
        <v>1377.01</v>
      </c>
      <c r="I1587" s="18" t="s">
        <v>53</v>
      </c>
      <c r="J1587" s="18" t="s">
        <v>44</v>
      </c>
      <c r="K1587" s="18" t="s">
        <v>2937</v>
      </c>
      <c r="L1587" s="30"/>
    </row>
    <row r="1588" spans="1:12" hidden="1" x14ac:dyDescent="0.25">
      <c r="A1588" s="18" t="s">
        <v>27</v>
      </c>
      <c r="B1588" s="57">
        <v>2.9594907407407407E-2</v>
      </c>
      <c r="C1588" s="58">
        <v>23</v>
      </c>
      <c r="D1588" s="18" t="s">
        <v>48</v>
      </c>
      <c r="E1588" s="18" t="s">
        <v>1119</v>
      </c>
      <c r="F1588" s="18" t="s">
        <v>1621</v>
      </c>
      <c r="G1588" s="59">
        <v>59.87</v>
      </c>
      <c r="H1588" s="59">
        <v>1377.01</v>
      </c>
      <c r="I1588" s="18" t="s">
        <v>53</v>
      </c>
      <c r="J1588" s="18" t="s">
        <v>44</v>
      </c>
      <c r="K1588" s="18" t="s">
        <v>2938</v>
      </c>
      <c r="L1588" s="30"/>
    </row>
    <row r="1589" spans="1:12" hidden="1" x14ac:dyDescent="0.25">
      <c r="A1589" s="18" t="s">
        <v>27</v>
      </c>
      <c r="B1589" s="57">
        <v>2.9594907407407407E-2</v>
      </c>
      <c r="C1589" s="58">
        <v>23</v>
      </c>
      <c r="D1589" s="18" t="s">
        <v>48</v>
      </c>
      <c r="E1589" s="18" t="s">
        <v>1119</v>
      </c>
      <c r="F1589" s="18" t="s">
        <v>1621</v>
      </c>
      <c r="G1589" s="59">
        <v>59.87</v>
      </c>
      <c r="H1589" s="59">
        <v>1377.01</v>
      </c>
      <c r="I1589" s="18" t="s">
        <v>53</v>
      </c>
      <c r="J1589" s="18" t="s">
        <v>44</v>
      </c>
      <c r="K1589" s="18" t="s">
        <v>2939</v>
      </c>
      <c r="L1589" s="30"/>
    </row>
    <row r="1590" spans="1:12" hidden="1" x14ac:dyDescent="0.25">
      <c r="A1590" s="18" t="s">
        <v>27</v>
      </c>
      <c r="B1590" s="57">
        <v>2.9594907407407407E-2</v>
      </c>
      <c r="C1590" s="58">
        <v>23</v>
      </c>
      <c r="D1590" s="18" t="s">
        <v>48</v>
      </c>
      <c r="E1590" s="18" t="s">
        <v>1119</v>
      </c>
      <c r="F1590" s="18" t="s">
        <v>1621</v>
      </c>
      <c r="G1590" s="59">
        <v>59.87</v>
      </c>
      <c r="H1590" s="59">
        <v>1377.01</v>
      </c>
      <c r="I1590" s="18" t="s">
        <v>53</v>
      </c>
      <c r="J1590" s="18" t="s">
        <v>44</v>
      </c>
      <c r="K1590" s="18" t="s">
        <v>2940</v>
      </c>
      <c r="L1590" s="30"/>
    </row>
    <row r="1591" spans="1:12" hidden="1" x14ac:dyDescent="0.25">
      <c r="A1591" s="18" t="s">
        <v>27</v>
      </c>
      <c r="B1591" s="57">
        <v>2.9594907407407407E-2</v>
      </c>
      <c r="C1591" s="58">
        <v>23</v>
      </c>
      <c r="D1591" s="18" t="s">
        <v>48</v>
      </c>
      <c r="E1591" s="18" t="s">
        <v>1119</v>
      </c>
      <c r="F1591" s="18" t="s">
        <v>1621</v>
      </c>
      <c r="G1591" s="59">
        <v>59.87</v>
      </c>
      <c r="H1591" s="59">
        <v>1377.01</v>
      </c>
      <c r="I1591" s="18" t="s">
        <v>2941</v>
      </c>
      <c r="J1591" s="18" t="s">
        <v>44</v>
      </c>
      <c r="K1591" s="18" t="s">
        <v>2942</v>
      </c>
      <c r="L1591" s="30"/>
    </row>
    <row r="1592" spans="1:12" hidden="1" x14ac:dyDescent="0.25">
      <c r="A1592" s="18" t="s">
        <v>27</v>
      </c>
      <c r="B1592" s="57">
        <v>2.9594907407407407E-2</v>
      </c>
      <c r="C1592" s="58">
        <v>23</v>
      </c>
      <c r="D1592" s="18" t="s">
        <v>48</v>
      </c>
      <c r="E1592" s="18" t="s">
        <v>1119</v>
      </c>
      <c r="F1592" s="18" t="s">
        <v>1621</v>
      </c>
      <c r="G1592" s="59">
        <v>59.87</v>
      </c>
      <c r="H1592" s="59">
        <v>1377.01</v>
      </c>
      <c r="I1592" s="18" t="s">
        <v>58</v>
      </c>
      <c r="J1592" s="18" t="s">
        <v>44</v>
      </c>
      <c r="K1592" s="18" t="s">
        <v>2943</v>
      </c>
      <c r="L1592" s="30"/>
    </row>
    <row r="1593" spans="1:12" hidden="1" x14ac:dyDescent="0.25">
      <c r="A1593" s="18" t="s">
        <v>27</v>
      </c>
      <c r="B1593" s="57">
        <v>2.9594907407407407E-2</v>
      </c>
      <c r="C1593" s="58">
        <v>23</v>
      </c>
      <c r="D1593" s="18" t="s">
        <v>48</v>
      </c>
      <c r="E1593" s="18" t="s">
        <v>1119</v>
      </c>
      <c r="F1593" s="18" t="s">
        <v>1621</v>
      </c>
      <c r="G1593" s="59">
        <v>59.87</v>
      </c>
      <c r="H1593" s="59">
        <v>1377.01</v>
      </c>
      <c r="I1593" s="18" t="s">
        <v>58</v>
      </c>
      <c r="J1593" s="18" t="s">
        <v>44</v>
      </c>
      <c r="K1593" s="18" t="s">
        <v>2944</v>
      </c>
      <c r="L1593" s="30"/>
    </row>
    <row r="1594" spans="1:12" hidden="1" x14ac:dyDescent="0.25">
      <c r="A1594" s="18" t="s">
        <v>27</v>
      </c>
      <c r="B1594" s="57">
        <v>2.9594907407407407E-2</v>
      </c>
      <c r="C1594" s="58">
        <v>23</v>
      </c>
      <c r="D1594" s="18" t="s">
        <v>48</v>
      </c>
      <c r="E1594" s="18" t="s">
        <v>1119</v>
      </c>
      <c r="F1594" s="18" t="s">
        <v>1621</v>
      </c>
      <c r="G1594" s="59">
        <v>59.87</v>
      </c>
      <c r="H1594" s="59">
        <v>1377.01</v>
      </c>
      <c r="I1594" s="18" t="s">
        <v>58</v>
      </c>
      <c r="J1594" s="18" t="s">
        <v>44</v>
      </c>
      <c r="K1594" s="18" t="s">
        <v>2945</v>
      </c>
      <c r="L1594" s="30"/>
    </row>
    <row r="1595" spans="1:12" hidden="1" x14ac:dyDescent="0.25">
      <c r="A1595" s="18" t="s">
        <v>27</v>
      </c>
      <c r="B1595" s="57">
        <v>2.9652777777777778E-2</v>
      </c>
      <c r="C1595" s="58">
        <v>23</v>
      </c>
      <c r="D1595" s="18" t="s">
        <v>48</v>
      </c>
      <c r="E1595" s="18" t="s">
        <v>1119</v>
      </c>
      <c r="F1595" s="18" t="s">
        <v>1621</v>
      </c>
      <c r="G1595" s="59">
        <v>59.87</v>
      </c>
      <c r="H1595" s="59">
        <v>1377.01</v>
      </c>
      <c r="I1595" s="18" t="s">
        <v>58</v>
      </c>
      <c r="J1595" s="18" t="s">
        <v>44</v>
      </c>
      <c r="K1595" s="18" t="s">
        <v>2946</v>
      </c>
      <c r="L1595" s="30"/>
    </row>
    <row r="1596" spans="1:12" hidden="1" x14ac:dyDescent="0.25">
      <c r="A1596" s="18" t="s">
        <v>27</v>
      </c>
      <c r="B1596" s="57">
        <v>2.9594907407407407E-2</v>
      </c>
      <c r="C1596" s="58">
        <v>23</v>
      </c>
      <c r="D1596" s="18" t="s">
        <v>48</v>
      </c>
      <c r="E1596" s="18" t="s">
        <v>1119</v>
      </c>
      <c r="F1596" s="18" t="s">
        <v>1621</v>
      </c>
      <c r="G1596" s="59">
        <v>59.87</v>
      </c>
      <c r="H1596" s="59">
        <v>1377.01</v>
      </c>
      <c r="I1596" s="18" t="s">
        <v>2947</v>
      </c>
      <c r="J1596" s="18" t="s">
        <v>44</v>
      </c>
      <c r="K1596" s="18" t="s">
        <v>2948</v>
      </c>
      <c r="L1596" s="30"/>
    </row>
    <row r="1597" spans="1:12" hidden="1" x14ac:dyDescent="0.25">
      <c r="A1597" s="18" t="s">
        <v>27</v>
      </c>
      <c r="B1597" s="57">
        <v>2.9652777777777778E-2</v>
      </c>
      <c r="C1597" s="58">
        <v>23</v>
      </c>
      <c r="D1597" s="18" t="s">
        <v>48</v>
      </c>
      <c r="E1597" s="18" t="s">
        <v>1119</v>
      </c>
      <c r="F1597" s="18" t="s">
        <v>1621</v>
      </c>
      <c r="G1597" s="59">
        <v>59.87</v>
      </c>
      <c r="H1597" s="59">
        <v>1377.01</v>
      </c>
      <c r="I1597" s="18" t="s">
        <v>2949</v>
      </c>
      <c r="J1597" s="18" t="s">
        <v>44</v>
      </c>
      <c r="K1597" s="18" t="s">
        <v>2950</v>
      </c>
      <c r="L1597" s="30"/>
    </row>
    <row r="1598" spans="1:12" hidden="1" x14ac:dyDescent="0.25">
      <c r="A1598" s="18" t="s">
        <v>27</v>
      </c>
      <c r="B1598" s="57">
        <v>5.4166666666666669E-3</v>
      </c>
      <c r="C1598" s="58">
        <v>3</v>
      </c>
      <c r="D1598" s="18" t="s">
        <v>2297</v>
      </c>
      <c r="E1598" s="18" t="s">
        <v>2226</v>
      </c>
      <c r="F1598" s="18" t="s">
        <v>1621</v>
      </c>
      <c r="G1598" s="59">
        <v>59.77</v>
      </c>
      <c r="H1598" s="59">
        <v>179.31</v>
      </c>
      <c r="I1598" s="18" t="s">
        <v>1672</v>
      </c>
      <c r="J1598" s="18" t="s">
        <v>512</v>
      </c>
      <c r="K1598" s="18" t="s">
        <v>2951</v>
      </c>
      <c r="L1598" s="30"/>
    </row>
    <row r="1599" spans="1:12" hidden="1" x14ac:dyDescent="0.25">
      <c r="A1599" s="18" t="s">
        <v>27</v>
      </c>
      <c r="B1599" s="57">
        <v>6.8287037037037036E-4</v>
      </c>
      <c r="C1599" s="58">
        <v>1</v>
      </c>
      <c r="D1599" s="18" t="s">
        <v>2328</v>
      </c>
      <c r="E1599" s="18" t="s">
        <v>2329</v>
      </c>
      <c r="F1599" s="18" t="s">
        <v>1621</v>
      </c>
      <c r="G1599" s="59">
        <v>14.31</v>
      </c>
      <c r="H1599" s="59">
        <v>14.31</v>
      </c>
      <c r="I1599" s="18" t="s">
        <v>367</v>
      </c>
      <c r="J1599" s="18" t="s">
        <v>367</v>
      </c>
      <c r="K1599" s="18" t="s">
        <v>2951</v>
      </c>
      <c r="L1599" s="30"/>
    </row>
    <row r="1600" spans="1:12" hidden="1" x14ac:dyDescent="0.25">
      <c r="A1600" s="18" t="s">
        <v>27</v>
      </c>
      <c r="B1600" s="57">
        <v>7.1759259259259259E-4</v>
      </c>
      <c r="C1600" s="58">
        <v>1</v>
      </c>
      <c r="D1600" s="18" t="s">
        <v>1633</v>
      </c>
      <c r="E1600" s="18" t="s">
        <v>1634</v>
      </c>
      <c r="F1600" s="18" t="s">
        <v>1621</v>
      </c>
      <c r="G1600" s="59">
        <v>19.12</v>
      </c>
      <c r="H1600" s="59">
        <v>19.12</v>
      </c>
      <c r="I1600" s="18" t="s">
        <v>367</v>
      </c>
      <c r="J1600" s="18" t="s">
        <v>1599</v>
      </c>
      <c r="K1600" s="18" t="s">
        <v>2951</v>
      </c>
      <c r="L1600" s="30"/>
    </row>
    <row r="1601" spans="1:12" hidden="1" x14ac:dyDescent="0.25">
      <c r="A1601" s="18" t="s">
        <v>27</v>
      </c>
      <c r="B1601" s="57">
        <v>2.0601851851851853E-3</v>
      </c>
      <c r="C1601" s="58">
        <v>1</v>
      </c>
      <c r="D1601" s="18" t="s">
        <v>2340</v>
      </c>
      <c r="E1601" s="18" t="s">
        <v>2913</v>
      </c>
      <c r="F1601" s="18" t="s">
        <v>1621</v>
      </c>
      <c r="G1601" s="59">
        <v>204.52</v>
      </c>
      <c r="H1601" s="59">
        <v>204.52</v>
      </c>
      <c r="I1601" s="18" t="s">
        <v>1141</v>
      </c>
      <c r="J1601" s="18" t="s">
        <v>1598</v>
      </c>
      <c r="K1601" s="18" t="s">
        <v>2951</v>
      </c>
      <c r="L1601" s="30"/>
    </row>
    <row r="1602" spans="1:12" hidden="1" x14ac:dyDescent="0.25">
      <c r="A1602" s="18" t="s">
        <v>27</v>
      </c>
      <c r="B1602" s="57">
        <v>4.1319444444444442E-3</v>
      </c>
      <c r="C1602" s="58">
        <v>2</v>
      </c>
      <c r="D1602" s="18" t="s">
        <v>2342</v>
      </c>
      <c r="E1602" s="18" t="s">
        <v>2913</v>
      </c>
      <c r="F1602" s="18" t="s">
        <v>1621</v>
      </c>
      <c r="G1602" s="59">
        <v>204.52</v>
      </c>
      <c r="H1602" s="59">
        <v>409.04</v>
      </c>
      <c r="I1602" s="18" t="s">
        <v>2778</v>
      </c>
      <c r="J1602" s="18" t="s">
        <v>1599</v>
      </c>
      <c r="K1602" s="18" t="s">
        <v>2951</v>
      </c>
      <c r="L1602" s="30"/>
    </row>
    <row r="1603" spans="1:12" hidden="1" x14ac:dyDescent="0.25">
      <c r="A1603" s="18" t="s">
        <v>27</v>
      </c>
      <c r="B1603" s="57">
        <v>1.0891203703703703E-2</v>
      </c>
      <c r="C1603" s="58">
        <v>8</v>
      </c>
      <c r="D1603" s="18" t="s">
        <v>48</v>
      </c>
      <c r="E1603" s="18" t="s">
        <v>1119</v>
      </c>
      <c r="F1603" s="18" t="s">
        <v>1621</v>
      </c>
      <c r="G1603" s="59">
        <v>59.87</v>
      </c>
      <c r="H1603" s="59">
        <v>478.96</v>
      </c>
      <c r="I1603" s="18" t="s">
        <v>2837</v>
      </c>
      <c r="J1603" s="18" t="s">
        <v>44</v>
      </c>
      <c r="K1603" s="18" t="s">
        <v>2951</v>
      </c>
      <c r="L1603" s="30"/>
    </row>
    <row r="1604" spans="1:12" hidden="1" x14ac:dyDescent="0.25">
      <c r="A1604" s="18" t="s">
        <v>27</v>
      </c>
      <c r="B1604" s="57">
        <v>7.8819444444444449E-3</v>
      </c>
      <c r="C1604" s="58">
        <v>1</v>
      </c>
      <c r="D1604" s="18" t="s">
        <v>1193</v>
      </c>
      <c r="E1604" s="18" t="s">
        <v>1191</v>
      </c>
      <c r="F1604" s="18" t="s">
        <v>1621</v>
      </c>
      <c r="G1604" s="59">
        <v>1331.41</v>
      </c>
      <c r="H1604" s="59">
        <v>1331.41</v>
      </c>
      <c r="I1604" s="18" t="s">
        <v>129</v>
      </c>
      <c r="J1604" s="18" t="s">
        <v>115</v>
      </c>
      <c r="K1604" s="18" t="s">
        <v>2952</v>
      </c>
      <c r="L1604" s="30"/>
    </row>
    <row r="1605" spans="1:12" hidden="1" x14ac:dyDescent="0.25">
      <c r="A1605" s="18" t="s">
        <v>27</v>
      </c>
      <c r="B1605" s="57">
        <v>3.9467592592592592E-3</v>
      </c>
      <c r="C1605" s="58">
        <v>1</v>
      </c>
      <c r="D1605" s="18" t="s">
        <v>2953</v>
      </c>
      <c r="E1605" s="18" t="s">
        <v>2883</v>
      </c>
      <c r="F1605" s="18" t="s">
        <v>1621</v>
      </c>
      <c r="G1605" s="59">
        <v>829.34</v>
      </c>
      <c r="H1605" s="59">
        <v>829.34</v>
      </c>
      <c r="I1605" s="18" t="s">
        <v>2742</v>
      </c>
      <c r="J1605" s="18" t="s">
        <v>512</v>
      </c>
      <c r="K1605" s="18" t="s">
        <v>2954</v>
      </c>
      <c r="L1605" s="30"/>
    </row>
    <row r="1606" spans="1:12" hidden="1" x14ac:dyDescent="0.25">
      <c r="A1606" s="18" t="s">
        <v>27</v>
      </c>
      <c r="B1606" s="57">
        <v>1.2326388888888888E-2</v>
      </c>
      <c r="C1606" s="58">
        <v>9</v>
      </c>
      <c r="D1606" s="18" t="s">
        <v>48</v>
      </c>
      <c r="E1606" s="18" t="s">
        <v>1119</v>
      </c>
      <c r="F1606" s="18" t="s">
        <v>1621</v>
      </c>
      <c r="G1606" s="59">
        <v>59.87</v>
      </c>
      <c r="H1606" s="59">
        <v>538.83000000000004</v>
      </c>
      <c r="I1606" s="18" t="s">
        <v>2955</v>
      </c>
      <c r="J1606" s="18" t="s">
        <v>44</v>
      </c>
      <c r="K1606" s="18" t="s">
        <v>2954</v>
      </c>
      <c r="L1606" s="30"/>
    </row>
    <row r="1607" spans="1:12" hidden="1" x14ac:dyDescent="0.25">
      <c r="A1607" s="18" t="s">
        <v>27</v>
      </c>
      <c r="B1607" s="57">
        <v>6.4814814814814813E-4</v>
      </c>
      <c r="C1607" s="58">
        <v>1</v>
      </c>
      <c r="D1607" s="18" t="s">
        <v>1721</v>
      </c>
      <c r="E1607" s="18" t="s">
        <v>1722</v>
      </c>
      <c r="F1607" s="18" t="s">
        <v>1637</v>
      </c>
      <c r="G1607" s="59">
        <v>25.81</v>
      </c>
      <c r="H1607" s="59">
        <v>25.81</v>
      </c>
      <c r="I1607" s="18" t="s">
        <v>367</v>
      </c>
      <c r="J1607" s="18" t="s">
        <v>368</v>
      </c>
      <c r="K1607" s="18" t="s">
        <v>2956</v>
      </c>
      <c r="L1607" s="30"/>
    </row>
    <row r="1608" spans="1:12" hidden="1" x14ac:dyDescent="0.25">
      <c r="A1608" s="18" t="s">
        <v>27</v>
      </c>
      <c r="B1608" s="57">
        <v>1.0300925925925926E-3</v>
      </c>
      <c r="C1608" s="58">
        <v>1</v>
      </c>
      <c r="D1608" s="18" t="s">
        <v>1772</v>
      </c>
      <c r="E1608" s="18" t="s">
        <v>1771</v>
      </c>
      <c r="F1608" s="18" t="s">
        <v>1637</v>
      </c>
      <c r="G1608" s="59">
        <v>163.43</v>
      </c>
      <c r="H1608" s="59">
        <v>163.43</v>
      </c>
      <c r="I1608" s="18" t="s">
        <v>367</v>
      </c>
      <c r="J1608" s="18" t="s">
        <v>367</v>
      </c>
      <c r="K1608" s="18" t="s">
        <v>2956</v>
      </c>
      <c r="L1608" s="30"/>
    </row>
    <row r="1609" spans="1:12" hidden="1" x14ac:dyDescent="0.25">
      <c r="A1609" s="18" t="s">
        <v>27</v>
      </c>
      <c r="B1609" s="57">
        <v>1.0763888888888889E-3</v>
      </c>
      <c r="C1609" s="58">
        <v>1</v>
      </c>
      <c r="D1609" s="18" t="s">
        <v>1770</v>
      </c>
      <c r="E1609" s="18" t="s">
        <v>1771</v>
      </c>
      <c r="F1609" s="18" t="s">
        <v>1637</v>
      </c>
      <c r="G1609" s="59">
        <v>163.43</v>
      </c>
      <c r="H1609" s="59">
        <v>163.43</v>
      </c>
      <c r="I1609" s="18" t="s">
        <v>367</v>
      </c>
      <c r="J1609" s="18" t="s">
        <v>367</v>
      </c>
      <c r="K1609" s="18" t="s">
        <v>2956</v>
      </c>
      <c r="L1609" s="30"/>
    </row>
    <row r="1610" spans="1:12" hidden="1" x14ac:dyDescent="0.25">
      <c r="A1610" s="18" t="s">
        <v>27</v>
      </c>
      <c r="B1610" s="57">
        <v>1.0381944444444444E-2</v>
      </c>
      <c r="C1610" s="58">
        <v>10</v>
      </c>
      <c r="D1610" s="18" t="s">
        <v>1635</v>
      </c>
      <c r="E1610" s="18" t="s">
        <v>1636</v>
      </c>
      <c r="F1610" s="18" t="s">
        <v>1637</v>
      </c>
      <c r="G1610" s="59">
        <v>34.479999999999997</v>
      </c>
      <c r="H1610" s="59">
        <v>344.8</v>
      </c>
      <c r="I1610" s="18" t="s">
        <v>1585</v>
      </c>
      <c r="J1610" s="18" t="s">
        <v>1585</v>
      </c>
      <c r="K1610" s="18" t="s">
        <v>2956</v>
      </c>
      <c r="L1610" s="30"/>
    </row>
    <row r="1611" spans="1:12" hidden="1" x14ac:dyDescent="0.25">
      <c r="A1611" s="18" t="s">
        <v>27</v>
      </c>
      <c r="B1611" s="57">
        <v>7.9861111111111105E-4</v>
      </c>
      <c r="C1611" s="58">
        <v>1</v>
      </c>
      <c r="D1611" s="18" t="s">
        <v>1753</v>
      </c>
      <c r="E1611" s="18" t="s">
        <v>1752</v>
      </c>
      <c r="F1611" s="18" t="s">
        <v>1637</v>
      </c>
      <c r="G1611" s="59">
        <v>43.53</v>
      </c>
      <c r="H1611" s="59">
        <v>43.53</v>
      </c>
      <c r="I1611" s="18" t="s">
        <v>367</v>
      </c>
      <c r="J1611" s="18" t="s">
        <v>512</v>
      </c>
      <c r="K1611" s="18" t="s">
        <v>2956</v>
      </c>
      <c r="L1611" s="30"/>
    </row>
    <row r="1612" spans="1:12" hidden="1" x14ac:dyDescent="0.25">
      <c r="A1612" s="18" t="s">
        <v>27</v>
      </c>
      <c r="B1612" s="57">
        <v>8.4490740740740739E-4</v>
      </c>
      <c r="C1612" s="58">
        <v>1</v>
      </c>
      <c r="D1612" s="18" t="s">
        <v>1779</v>
      </c>
      <c r="E1612" s="18" t="s">
        <v>1780</v>
      </c>
      <c r="F1612" s="18" t="s">
        <v>1637</v>
      </c>
      <c r="G1612" s="59">
        <v>39.36</v>
      </c>
      <c r="H1612" s="59">
        <v>39.36</v>
      </c>
      <c r="I1612" s="18" t="s">
        <v>367</v>
      </c>
      <c r="J1612" s="18" t="s">
        <v>512</v>
      </c>
      <c r="K1612" s="18" t="s">
        <v>2956</v>
      </c>
      <c r="L1612" s="30"/>
    </row>
    <row r="1613" spans="1:12" hidden="1" x14ac:dyDescent="0.25">
      <c r="A1613" s="18" t="s">
        <v>27</v>
      </c>
      <c r="B1613" s="57">
        <v>4.340277777777778E-3</v>
      </c>
      <c r="C1613" s="58">
        <v>4</v>
      </c>
      <c r="D1613" s="18" t="s">
        <v>2957</v>
      </c>
      <c r="E1613" s="18" t="s">
        <v>1771</v>
      </c>
      <c r="F1613" s="18" t="s">
        <v>1637</v>
      </c>
      <c r="G1613" s="59">
        <v>163.43</v>
      </c>
      <c r="H1613" s="59">
        <v>653.72</v>
      </c>
      <c r="I1613" s="18" t="s">
        <v>2823</v>
      </c>
      <c r="J1613" s="18" t="s">
        <v>2823</v>
      </c>
      <c r="K1613" s="18" t="s">
        <v>2956</v>
      </c>
      <c r="L1613" s="30"/>
    </row>
    <row r="1614" spans="1:12" hidden="1" x14ac:dyDescent="0.25">
      <c r="A1614" s="18" t="s">
        <v>27</v>
      </c>
      <c r="B1614" s="57">
        <v>4.1435185185185186E-3</v>
      </c>
      <c r="C1614" s="58">
        <v>4</v>
      </c>
      <c r="D1614" s="18" t="s">
        <v>2958</v>
      </c>
      <c r="E1614" s="18" t="s">
        <v>1771</v>
      </c>
      <c r="F1614" s="18" t="s">
        <v>1637</v>
      </c>
      <c r="G1614" s="59">
        <v>163.43</v>
      </c>
      <c r="H1614" s="59">
        <v>653.72</v>
      </c>
      <c r="I1614" s="18" t="s">
        <v>2823</v>
      </c>
      <c r="J1614" s="18" t="s">
        <v>2823</v>
      </c>
      <c r="K1614" s="18" t="s">
        <v>2956</v>
      </c>
      <c r="L1614" s="30"/>
    </row>
    <row r="1615" spans="1:12" hidden="1" x14ac:dyDescent="0.25">
      <c r="A1615" s="18" t="s">
        <v>27</v>
      </c>
      <c r="B1615" s="57">
        <v>2.6157407407407405E-3</v>
      </c>
      <c r="C1615" s="58">
        <v>4</v>
      </c>
      <c r="D1615" s="18" t="s">
        <v>2959</v>
      </c>
      <c r="E1615" s="18" t="s">
        <v>1722</v>
      </c>
      <c r="F1615" s="18" t="s">
        <v>1637</v>
      </c>
      <c r="G1615" s="59">
        <v>25.81</v>
      </c>
      <c r="H1615" s="59">
        <v>103.24</v>
      </c>
      <c r="I1615" s="18" t="s">
        <v>2823</v>
      </c>
      <c r="J1615" s="18" t="s">
        <v>2823</v>
      </c>
      <c r="K1615" s="18" t="s">
        <v>2956</v>
      </c>
      <c r="L1615" s="30"/>
    </row>
    <row r="1616" spans="1:12" hidden="1" x14ac:dyDescent="0.25">
      <c r="A1616" s="18" t="s">
        <v>27</v>
      </c>
      <c r="B1616" s="57">
        <v>3.1944444444444442E-3</v>
      </c>
      <c r="C1616" s="58">
        <v>4</v>
      </c>
      <c r="D1616" s="18" t="s">
        <v>2960</v>
      </c>
      <c r="E1616" s="18" t="s">
        <v>1752</v>
      </c>
      <c r="F1616" s="18" t="s">
        <v>1637</v>
      </c>
      <c r="G1616" s="59">
        <v>43.53</v>
      </c>
      <c r="H1616" s="59">
        <v>174.12</v>
      </c>
      <c r="I1616" s="18" t="s">
        <v>2823</v>
      </c>
      <c r="J1616" s="18" t="s">
        <v>2823</v>
      </c>
      <c r="K1616" s="18" t="s">
        <v>2956</v>
      </c>
      <c r="L1616" s="30"/>
    </row>
    <row r="1617" spans="1:12" hidden="1" x14ac:dyDescent="0.25">
      <c r="A1617" s="18" t="s">
        <v>27</v>
      </c>
      <c r="B1617" s="57">
        <v>3.3912037037037036E-3</v>
      </c>
      <c r="C1617" s="58">
        <v>4</v>
      </c>
      <c r="D1617" s="18" t="s">
        <v>2961</v>
      </c>
      <c r="E1617" s="18" t="s">
        <v>1780</v>
      </c>
      <c r="F1617" s="18" t="s">
        <v>1637</v>
      </c>
      <c r="G1617" s="59">
        <v>39.36</v>
      </c>
      <c r="H1617" s="59">
        <v>157.44</v>
      </c>
      <c r="I1617" s="18" t="s">
        <v>2823</v>
      </c>
      <c r="J1617" s="18" t="s">
        <v>2823</v>
      </c>
      <c r="K1617" s="18" t="s">
        <v>2956</v>
      </c>
      <c r="L1617" s="30"/>
    </row>
    <row r="1618" spans="1:12" hidden="1" x14ac:dyDescent="0.25">
      <c r="A1618" s="18" t="s">
        <v>27</v>
      </c>
      <c r="B1618" s="57">
        <v>1.3888888888888887E-3</v>
      </c>
      <c r="C1618" s="58">
        <v>1</v>
      </c>
      <c r="D1618" s="18" t="s">
        <v>2962</v>
      </c>
      <c r="E1618" s="18" t="s">
        <v>2963</v>
      </c>
      <c r="F1618" s="18" t="s">
        <v>1810</v>
      </c>
      <c r="G1618" s="59">
        <v>163.34</v>
      </c>
      <c r="H1618" s="59">
        <v>163.34</v>
      </c>
      <c r="I1618" s="18" t="s">
        <v>152</v>
      </c>
      <c r="J1618" s="18" t="s">
        <v>152</v>
      </c>
      <c r="K1618" s="18" t="s">
        <v>2964</v>
      </c>
      <c r="L1618" s="30"/>
    </row>
    <row r="1619" spans="1:12" hidden="1" x14ac:dyDescent="0.25">
      <c r="A1619" s="18" t="s">
        <v>27</v>
      </c>
      <c r="B1619" s="57">
        <v>1.3888888888888887E-3</v>
      </c>
      <c r="C1619" s="58">
        <v>1</v>
      </c>
      <c r="D1619" s="18" t="s">
        <v>2965</v>
      </c>
      <c r="E1619" s="18" t="s">
        <v>2963</v>
      </c>
      <c r="F1619" s="18" t="s">
        <v>1810</v>
      </c>
      <c r="G1619" s="59">
        <v>163.34</v>
      </c>
      <c r="H1619" s="59">
        <v>163.34</v>
      </c>
      <c r="I1619" s="18" t="s">
        <v>152</v>
      </c>
      <c r="J1619" s="18" t="s">
        <v>152</v>
      </c>
      <c r="K1619" s="18" t="s">
        <v>2964</v>
      </c>
      <c r="L1619" s="30"/>
    </row>
    <row r="1620" spans="1:12" hidden="1" x14ac:dyDescent="0.25">
      <c r="A1620" s="18" t="s">
        <v>27</v>
      </c>
      <c r="B1620" s="57">
        <v>1.3888888888888887E-3</v>
      </c>
      <c r="C1620" s="58">
        <v>1</v>
      </c>
      <c r="D1620" s="18" t="s">
        <v>2966</v>
      </c>
      <c r="E1620" s="18" t="s">
        <v>2963</v>
      </c>
      <c r="F1620" s="18" t="s">
        <v>1810</v>
      </c>
      <c r="G1620" s="59">
        <v>163.34</v>
      </c>
      <c r="H1620" s="59">
        <v>163.34</v>
      </c>
      <c r="I1620" s="18" t="s">
        <v>152</v>
      </c>
      <c r="J1620" s="18" t="s">
        <v>152</v>
      </c>
      <c r="K1620" s="18" t="s">
        <v>2964</v>
      </c>
      <c r="L1620" s="30"/>
    </row>
    <row r="1621" spans="1:12" hidden="1" x14ac:dyDescent="0.25">
      <c r="A1621" s="18" t="s">
        <v>27</v>
      </c>
      <c r="B1621" s="57">
        <v>1.2152777777777778E-3</v>
      </c>
      <c r="C1621" s="58">
        <v>1</v>
      </c>
      <c r="D1621" s="18" t="s">
        <v>2962</v>
      </c>
      <c r="E1621" s="18" t="s">
        <v>2963</v>
      </c>
      <c r="F1621" s="18" t="s">
        <v>1810</v>
      </c>
      <c r="G1621" s="59">
        <v>163.34</v>
      </c>
      <c r="H1621" s="59">
        <v>163.34</v>
      </c>
      <c r="I1621" s="18" t="s">
        <v>152</v>
      </c>
      <c r="J1621" s="18" t="s">
        <v>152</v>
      </c>
      <c r="K1621" s="18" t="s">
        <v>2967</v>
      </c>
      <c r="L1621" s="30"/>
    </row>
    <row r="1622" spans="1:12" hidden="1" x14ac:dyDescent="0.25">
      <c r="A1622" s="18" t="s">
        <v>27</v>
      </c>
      <c r="B1622" s="57">
        <v>1.6319444444444443E-3</v>
      </c>
      <c r="C1622" s="58">
        <v>3</v>
      </c>
      <c r="D1622" s="18" t="s">
        <v>2968</v>
      </c>
      <c r="E1622" s="18" t="s">
        <v>2969</v>
      </c>
      <c r="F1622" s="18" t="s">
        <v>1810</v>
      </c>
      <c r="G1622" s="59">
        <v>21.62</v>
      </c>
      <c r="H1622" s="59">
        <v>64.86</v>
      </c>
      <c r="I1622" s="18" t="s">
        <v>152</v>
      </c>
      <c r="J1622" s="18" t="s">
        <v>152</v>
      </c>
      <c r="K1622" s="18" t="s">
        <v>2967</v>
      </c>
      <c r="L1622" s="30"/>
    </row>
    <row r="1623" spans="1:12" hidden="1" x14ac:dyDescent="0.25">
      <c r="A1623" s="18" t="s">
        <v>27</v>
      </c>
      <c r="B1623" s="57">
        <v>1.2268518518518518E-3</v>
      </c>
      <c r="C1623" s="58">
        <v>1</v>
      </c>
      <c r="D1623" s="18" t="s">
        <v>2970</v>
      </c>
      <c r="E1623" s="18" t="s">
        <v>2971</v>
      </c>
      <c r="F1623" s="18" t="s">
        <v>1810</v>
      </c>
      <c r="G1623" s="59">
        <v>170.15</v>
      </c>
      <c r="H1623" s="59">
        <v>170.15</v>
      </c>
      <c r="I1623" s="18" t="s">
        <v>152</v>
      </c>
      <c r="J1623" s="18" t="s">
        <v>152</v>
      </c>
      <c r="K1623" s="18" t="s">
        <v>2967</v>
      </c>
      <c r="L1623" s="30"/>
    </row>
    <row r="1624" spans="1:12" hidden="1" x14ac:dyDescent="0.25">
      <c r="A1624" s="18" t="s">
        <v>27</v>
      </c>
      <c r="B1624" s="57">
        <v>7.407407407407407E-4</v>
      </c>
      <c r="C1624" s="58">
        <v>1</v>
      </c>
      <c r="D1624" s="18" t="s">
        <v>2972</v>
      </c>
      <c r="E1624" s="18" t="s">
        <v>1809</v>
      </c>
      <c r="F1624" s="18" t="s">
        <v>1810</v>
      </c>
      <c r="G1624" s="59">
        <v>55.45</v>
      </c>
      <c r="H1624" s="59">
        <v>55.45</v>
      </c>
      <c r="I1624" s="18" t="s">
        <v>2823</v>
      </c>
      <c r="J1624" s="18" t="s">
        <v>2823</v>
      </c>
      <c r="K1624" s="18" t="s">
        <v>2967</v>
      </c>
      <c r="L1624" s="30"/>
    </row>
    <row r="1625" spans="1:12" hidden="1" x14ac:dyDescent="0.25">
      <c r="A1625" s="18" t="s">
        <v>27</v>
      </c>
      <c r="B1625" s="57">
        <v>1.3310185185185185E-3</v>
      </c>
      <c r="C1625" s="58">
        <v>1</v>
      </c>
      <c r="D1625" s="18" t="s">
        <v>2962</v>
      </c>
      <c r="E1625" s="18" t="s">
        <v>2963</v>
      </c>
      <c r="F1625" s="18" t="s">
        <v>1810</v>
      </c>
      <c r="G1625" s="59">
        <v>163.34</v>
      </c>
      <c r="H1625" s="59">
        <v>163.34</v>
      </c>
      <c r="I1625" s="18" t="s">
        <v>152</v>
      </c>
      <c r="J1625" s="18" t="s">
        <v>152</v>
      </c>
      <c r="K1625" s="18" t="s">
        <v>2973</v>
      </c>
      <c r="L1625" s="30"/>
    </row>
    <row r="1626" spans="1:12" hidden="1" x14ac:dyDescent="0.25">
      <c r="A1626" s="18" t="s">
        <v>27</v>
      </c>
      <c r="B1626" s="57">
        <v>1.3310185185185185E-3</v>
      </c>
      <c r="C1626" s="58">
        <v>1</v>
      </c>
      <c r="D1626" s="18" t="s">
        <v>2965</v>
      </c>
      <c r="E1626" s="18" t="s">
        <v>2963</v>
      </c>
      <c r="F1626" s="18" t="s">
        <v>1810</v>
      </c>
      <c r="G1626" s="59">
        <v>163.34</v>
      </c>
      <c r="H1626" s="59">
        <v>163.34</v>
      </c>
      <c r="I1626" s="18" t="s">
        <v>152</v>
      </c>
      <c r="J1626" s="18" t="s">
        <v>152</v>
      </c>
      <c r="K1626" s="18" t="s">
        <v>2973</v>
      </c>
      <c r="L1626" s="30"/>
    </row>
    <row r="1627" spans="1:12" hidden="1" x14ac:dyDescent="0.25">
      <c r="A1627" s="18" t="s">
        <v>27</v>
      </c>
      <c r="B1627" s="57">
        <v>1.7939814814814815E-3</v>
      </c>
      <c r="C1627" s="58">
        <v>2</v>
      </c>
      <c r="D1627" s="18" t="s">
        <v>2974</v>
      </c>
      <c r="E1627" s="18" t="s">
        <v>2975</v>
      </c>
      <c r="F1627" s="18" t="s">
        <v>1810</v>
      </c>
      <c r="G1627" s="59">
        <v>81.95</v>
      </c>
      <c r="H1627" s="59">
        <v>163.9</v>
      </c>
      <c r="I1627" s="18" t="s">
        <v>152</v>
      </c>
      <c r="J1627" s="18" t="s">
        <v>152</v>
      </c>
      <c r="K1627" s="18" t="s">
        <v>2973</v>
      </c>
      <c r="L1627" s="30"/>
    </row>
    <row r="1628" spans="1:12" hidden="1" x14ac:dyDescent="0.25">
      <c r="A1628" s="18" t="s">
        <v>27</v>
      </c>
      <c r="B1628" s="57">
        <v>8.1018518518518516E-4</v>
      </c>
      <c r="C1628" s="58">
        <v>1</v>
      </c>
      <c r="D1628" s="18" t="s">
        <v>1840</v>
      </c>
      <c r="E1628" s="18" t="s">
        <v>1809</v>
      </c>
      <c r="F1628" s="18" t="s">
        <v>1810</v>
      </c>
      <c r="G1628" s="59">
        <v>55.45</v>
      </c>
      <c r="H1628" s="59">
        <v>55.45</v>
      </c>
      <c r="I1628" s="18" t="s">
        <v>147</v>
      </c>
      <c r="J1628" s="18" t="s">
        <v>115</v>
      </c>
      <c r="K1628" s="18" t="s">
        <v>2976</v>
      </c>
      <c r="L1628" s="30"/>
    </row>
    <row r="1629" spans="1:12" hidden="1" x14ac:dyDescent="0.25">
      <c r="A1629" s="18" t="s">
        <v>27</v>
      </c>
      <c r="B1629" s="57">
        <v>4.9189814814814816E-3</v>
      </c>
      <c r="C1629" s="58">
        <v>6</v>
      </c>
      <c r="D1629" s="18" t="s">
        <v>2972</v>
      </c>
      <c r="E1629" s="18" t="s">
        <v>1809</v>
      </c>
      <c r="F1629" s="18" t="s">
        <v>1810</v>
      </c>
      <c r="G1629" s="59">
        <v>55.45</v>
      </c>
      <c r="H1629" s="59">
        <v>332.7</v>
      </c>
      <c r="I1629" s="18" t="s">
        <v>2823</v>
      </c>
      <c r="J1629" s="18" t="s">
        <v>2823</v>
      </c>
      <c r="K1629" s="18" t="s">
        <v>2976</v>
      </c>
      <c r="L1629" s="30"/>
    </row>
    <row r="1630" spans="1:12" hidden="1" x14ac:dyDescent="0.25">
      <c r="A1630" s="18" t="s">
        <v>27</v>
      </c>
      <c r="B1630" s="57">
        <v>5.3819444444444444E-3</v>
      </c>
      <c r="C1630" s="58">
        <v>1</v>
      </c>
      <c r="D1630" s="18" t="s">
        <v>643</v>
      </c>
      <c r="E1630" s="18" t="s">
        <v>644</v>
      </c>
      <c r="F1630" s="18" t="s">
        <v>1810</v>
      </c>
      <c r="G1630" s="59">
        <v>452.32</v>
      </c>
      <c r="H1630" s="59">
        <v>452.32</v>
      </c>
      <c r="I1630" s="18" t="s">
        <v>152</v>
      </c>
      <c r="J1630" s="18" t="s">
        <v>152</v>
      </c>
      <c r="K1630" s="18" t="s">
        <v>2977</v>
      </c>
      <c r="L1630" s="30"/>
    </row>
    <row r="1631" spans="1:12" hidden="1" x14ac:dyDescent="0.25">
      <c r="A1631" s="18" t="s">
        <v>27</v>
      </c>
      <c r="B1631" s="57">
        <v>5.3819444444444444E-3</v>
      </c>
      <c r="C1631" s="58">
        <v>1</v>
      </c>
      <c r="D1631" s="18" t="s">
        <v>643</v>
      </c>
      <c r="E1631" s="18" t="s">
        <v>644</v>
      </c>
      <c r="F1631" s="18" t="s">
        <v>1810</v>
      </c>
      <c r="G1631" s="59">
        <v>452.32</v>
      </c>
      <c r="H1631" s="59">
        <v>452.32</v>
      </c>
      <c r="I1631" s="18" t="s">
        <v>152</v>
      </c>
      <c r="J1631" s="18" t="s">
        <v>152</v>
      </c>
      <c r="K1631" s="18" t="s">
        <v>2978</v>
      </c>
      <c r="L1631" s="30"/>
    </row>
    <row r="1632" spans="1:12" hidden="1" x14ac:dyDescent="0.25">
      <c r="A1632" s="18" t="s">
        <v>27</v>
      </c>
      <c r="B1632" s="57">
        <v>5.393518518518518E-3</v>
      </c>
      <c r="C1632" s="58">
        <v>1</v>
      </c>
      <c r="D1632" s="18" t="s">
        <v>643</v>
      </c>
      <c r="E1632" s="18" t="s">
        <v>644</v>
      </c>
      <c r="F1632" s="18" t="s">
        <v>1810</v>
      </c>
      <c r="G1632" s="59">
        <v>452.32</v>
      </c>
      <c r="H1632" s="59">
        <v>452.32</v>
      </c>
      <c r="I1632" s="18" t="s">
        <v>152</v>
      </c>
      <c r="J1632" s="18" t="s">
        <v>152</v>
      </c>
      <c r="K1632" s="18" t="s">
        <v>2979</v>
      </c>
      <c r="L1632" s="30"/>
    </row>
    <row r="1633" spans="1:12" hidden="1" x14ac:dyDescent="0.25">
      <c r="A1633" s="18" t="s">
        <v>27</v>
      </c>
      <c r="B1633" s="57">
        <v>5.3819444444444444E-3</v>
      </c>
      <c r="C1633" s="58">
        <v>1</v>
      </c>
      <c r="D1633" s="18" t="s">
        <v>643</v>
      </c>
      <c r="E1633" s="18" t="s">
        <v>644</v>
      </c>
      <c r="F1633" s="18" t="s">
        <v>1810</v>
      </c>
      <c r="G1633" s="59">
        <v>452.32</v>
      </c>
      <c r="H1633" s="59">
        <v>452.32</v>
      </c>
      <c r="I1633" s="18" t="s">
        <v>152</v>
      </c>
      <c r="J1633" s="18" t="s">
        <v>152</v>
      </c>
      <c r="K1633" s="18" t="s">
        <v>2980</v>
      </c>
      <c r="L1633" s="30"/>
    </row>
    <row r="1634" spans="1:12" hidden="1" x14ac:dyDescent="0.25">
      <c r="A1634" s="18" t="s">
        <v>27</v>
      </c>
      <c r="B1634" s="57">
        <v>5.3819444444444444E-3</v>
      </c>
      <c r="C1634" s="58">
        <v>1</v>
      </c>
      <c r="D1634" s="18" t="s">
        <v>643</v>
      </c>
      <c r="E1634" s="18" t="s">
        <v>644</v>
      </c>
      <c r="F1634" s="18" t="s">
        <v>1810</v>
      </c>
      <c r="G1634" s="59">
        <v>452.32</v>
      </c>
      <c r="H1634" s="59">
        <v>452.32</v>
      </c>
      <c r="I1634" s="18" t="s">
        <v>152</v>
      </c>
      <c r="J1634" s="18" t="s">
        <v>152</v>
      </c>
      <c r="K1634" s="18" t="s">
        <v>2981</v>
      </c>
      <c r="L1634" s="30"/>
    </row>
    <row r="1635" spans="1:12" hidden="1" x14ac:dyDescent="0.25">
      <c r="A1635" s="18" t="s">
        <v>27</v>
      </c>
      <c r="B1635" s="57">
        <v>5.4282407407407404E-3</v>
      </c>
      <c r="C1635" s="58">
        <v>1</v>
      </c>
      <c r="D1635" s="18" t="s">
        <v>634</v>
      </c>
      <c r="E1635" s="18" t="s">
        <v>630</v>
      </c>
      <c r="F1635" s="18" t="s">
        <v>1810</v>
      </c>
      <c r="G1635" s="59">
        <v>469.18</v>
      </c>
      <c r="H1635" s="59">
        <v>469.18</v>
      </c>
      <c r="I1635" s="18" t="s">
        <v>152</v>
      </c>
      <c r="J1635" s="18" t="s">
        <v>152</v>
      </c>
      <c r="K1635" s="18" t="s">
        <v>2982</v>
      </c>
      <c r="L1635" s="30"/>
    </row>
    <row r="1636" spans="1:12" hidden="1" x14ac:dyDescent="0.25">
      <c r="A1636" s="18" t="s">
        <v>27</v>
      </c>
      <c r="B1636" s="57">
        <v>5.4282407407407404E-3</v>
      </c>
      <c r="C1636" s="58">
        <v>1</v>
      </c>
      <c r="D1636" s="18" t="s">
        <v>634</v>
      </c>
      <c r="E1636" s="18" t="s">
        <v>630</v>
      </c>
      <c r="F1636" s="18" t="s">
        <v>1810</v>
      </c>
      <c r="G1636" s="59">
        <v>469.18</v>
      </c>
      <c r="H1636" s="59">
        <v>469.18</v>
      </c>
      <c r="I1636" s="18" t="s">
        <v>152</v>
      </c>
      <c r="J1636" s="18" t="s">
        <v>152</v>
      </c>
      <c r="K1636" s="18" t="s">
        <v>2983</v>
      </c>
      <c r="L1636" s="30"/>
    </row>
    <row r="1637" spans="1:12" hidden="1" x14ac:dyDescent="0.25">
      <c r="A1637" s="18" t="s">
        <v>27</v>
      </c>
      <c r="B1637" s="57">
        <v>5.4282407407407404E-3</v>
      </c>
      <c r="C1637" s="58">
        <v>1</v>
      </c>
      <c r="D1637" s="18" t="s">
        <v>634</v>
      </c>
      <c r="E1637" s="18" t="s">
        <v>630</v>
      </c>
      <c r="F1637" s="18" t="s">
        <v>1810</v>
      </c>
      <c r="G1637" s="59">
        <v>469.18</v>
      </c>
      <c r="H1637" s="59">
        <v>469.18</v>
      </c>
      <c r="I1637" s="18" t="s">
        <v>152</v>
      </c>
      <c r="J1637" s="18" t="s">
        <v>152</v>
      </c>
      <c r="K1637" s="18" t="s">
        <v>2984</v>
      </c>
      <c r="L1637" s="30"/>
    </row>
    <row r="1638" spans="1:12" hidden="1" x14ac:dyDescent="0.25">
      <c r="A1638" s="18" t="s">
        <v>27</v>
      </c>
      <c r="B1638" s="57">
        <v>5.4282407407407404E-3</v>
      </c>
      <c r="C1638" s="58">
        <v>1</v>
      </c>
      <c r="D1638" s="18" t="s">
        <v>634</v>
      </c>
      <c r="E1638" s="18" t="s">
        <v>630</v>
      </c>
      <c r="F1638" s="18" t="s">
        <v>1810</v>
      </c>
      <c r="G1638" s="59">
        <v>469.18</v>
      </c>
      <c r="H1638" s="59">
        <v>469.18</v>
      </c>
      <c r="I1638" s="18" t="s">
        <v>152</v>
      </c>
      <c r="J1638" s="18" t="s">
        <v>152</v>
      </c>
      <c r="K1638" s="18" t="s">
        <v>2985</v>
      </c>
      <c r="L1638" s="30"/>
    </row>
    <row r="1639" spans="1:12" hidden="1" x14ac:dyDescent="0.25">
      <c r="A1639" s="18" t="s">
        <v>27</v>
      </c>
      <c r="B1639" s="57">
        <v>5.4398148148148149E-3</v>
      </c>
      <c r="C1639" s="58">
        <v>1</v>
      </c>
      <c r="D1639" s="18" t="s">
        <v>634</v>
      </c>
      <c r="E1639" s="18" t="s">
        <v>630</v>
      </c>
      <c r="F1639" s="18" t="s">
        <v>1810</v>
      </c>
      <c r="G1639" s="59">
        <v>469.18</v>
      </c>
      <c r="H1639" s="59">
        <v>469.18</v>
      </c>
      <c r="I1639" s="18" t="s">
        <v>152</v>
      </c>
      <c r="J1639" s="18" t="s">
        <v>152</v>
      </c>
      <c r="K1639" s="18" t="s">
        <v>2986</v>
      </c>
      <c r="L1639" s="30"/>
    </row>
    <row r="1640" spans="1:12" hidden="1" x14ac:dyDescent="0.25">
      <c r="A1640" s="18" t="s">
        <v>27</v>
      </c>
      <c r="B1640" s="57">
        <v>5.4166666666666669E-3</v>
      </c>
      <c r="C1640" s="58">
        <v>1</v>
      </c>
      <c r="D1640" s="18" t="s">
        <v>629</v>
      </c>
      <c r="E1640" s="18" t="s">
        <v>630</v>
      </c>
      <c r="F1640" s="18" t="s">
        <v>1810</v>
      </c>
      <c r="G1640" s="59">
        <v>469.18</v>
      </c>
      <c r="H1640" s="59">
        <v>469.18</v>
      </c>
      <c r="I1640" s="18" t="s">
        <v>152</v>
      </c>
      <c r="J1640" s="18" t="s">
        <v>152</v>
      </c>
      <c r="K1640" s="18" t="s">
        <v>2987</v>
      </c>
      <c r="L1640" s="30"/>
    </row>
    <row r="1641" spans="1:12" hidden="1" x14ac:dyDescent="0.25">
      <c r="A1641" s="18" t="s">
        <v>27</v>
      </c>
      <c r="B1641" s="57">
        <v>5.4166666666666669E-3</v>
      </c>
      <c r="C1641" s="58">
        <v>1</v>
      </c>
      <c r="D1641" s="18" t="s">
        <v>629</v>
      </c>
      <c r="E1641" s="18" t="s">
        <v>630</v>
      </c>
      <c r="F1641" s="18" t="s">
        <v>1810</v>
      </c>
      <c r="G1641" s="59">
        <v>469.18</v>
      </c>
      <c r="H1641" s="59">
        <v>469.18</v>
      </c>
      <c r="I1641" s="18" t="s">
        <v>152</v>
      </c>
      <c r="J1641" s="18" t="s">
        <v>152</v>
      </c>
      <c r="K1641" s="18" t="s">
        <v>2988</v>
      </c>
      <c r="L1641" s="30"/>
    </row>
    <row r="1642" spans="1:12" hidden="1" x14ac:dyDescent="0.25">
      <c r="A1642" s="18" t="s">
        <v>27</v>
      </c>
      <c r="B1642" s="57">
        <v>5.4166666666666669E-3</v>
      </c>
      <c r="C1642" s="58">
        <v>1</v>
      </c>
      <c r="D1642" s="18" t="s">
        <v>629</v>
      </c>
      <c r="E1642" s="18" t="s">
        <v>630</v>
      </c>
      <c r="F1642" s="18" t="s">
        <v>1810</v>
      </c>
      <c r="G1642" s="59">
        <v>469.18</v>
      </c>
      <c r="H1642" s="59">
        <v>469.18</v>
      </c>
      <c r="I1642" s="18" t="s">
        <v>152</v>
      </c>
      <c r="J1642" s="18" t="s">
        <v>152</v>
      </c>
      <c r="K1642" s="18" t="s">
        <v>2989</v>
      </c>
      <c r="L1642" s="30"/>
    </row>
    <row r="1643" spans="1:12" hidden="1" x14ac:dyDescent="0.25">
      <c r="A1643" s="18" t="s">
        <v>27</v>
      </c>
      <c r="B1643" s="57">
        <v>5.4166666666666669E-3</v>
      </c>
      <c r="C1643" s="58">
        <v>1</v>
      </c>
      <c r="D1643" s="18" t="s">
        <v>629</v>
      </c>
      <c r="E1643" s="18" t="s">
        <v>630</v>
      </c>
      <c r="F1643" s="18" t="s">
        <v>1810</v>
      </c>
      <c r="G1643" s="59">
        <v>469.18</v>
      </c>
      <c r="H1643" s="59">
        <v>469.18</v>
      </c>
      <c r="I1643" s="18" t="s">
        <v>152</v>
      </c>
      <c r="J1643" s="18" t="s">
        <v>152</v>
      </c>
      <c r="K1643" s="18" t="s">
        <v>2990</v>
      </c>
      <c r="L1643" s="30"/>
    </row>
    <row r="1644" spans="1:12" hidden="1" x14ac:dyDescent="0.25">
      <c r="A1644" s="18" t="s">
        <v>27</v>
      </c>
      <c r="B1644" s="57">
        <v>2.7777777777777775E-3</v>
      </c>
      <c r="C1644" s="58">
        <v>2</v>
      </c>
      <c r="D1644" s="18" t="s">
        <v>2966</v>
      </c>
      <c r="E1644" s="18" t="s">
        <v>2963</v>
      </c>
      <c r="F1644" s="18" t="s">
        <v>1810</v>
      </c>
      <c r="G1644" s="59">
        <v>163.34</v>
      </c>
      <c r="H1644" s="59">
        <v>326.68</v>
      </c>
      <c r="I1644" s="18" t="s">
        <v>152</v>
      </c>
      <c r="J1644" s="18" t="s">
        <v>152</v>
      </c>
      <c r="K1644" s="18" t="s">
        <v>2991</v>
      </c>
      <c r="L1644" s="30"/>
    </row>
    <row r="1645" spans="1:12" hidden="1" x14ac:dyDescent="0.25">
      <c r="A1645" s="18" t="s">
        <v>27</v>
      </c>
      <c r="B1645" s="57">
        <v>1.4004629629629629E-3</v>
      </c>
      <c r="C1645" s="58">
        <v>1</v>
      </c>
      <c r="D1645" s="18" t="s">
        <v>2992</v>
      </c>
      <c r="E1645" s="18" t="s">
        <v>2971</v>
      </c>
      <c r="F1645" s="18" t="s">
        <v>1810</v>
      </c>
      <c r="G1645" s="59">
        <v>170.15</v>
      </c>
      <c r="H1645" s="59">
        <v>170.15</v>
      </c>
      <c r="I1645" s="18" t="s">
        <v>152</v>
      </c>
      <c r="J1645" s="18" t="s">
        <v>152</v>
      </c>
      <c r="K1645" s="18" t="s">
        <v>2991</v>
      </c>
      <c r="L1645" s="30"/>
    </row>
    <row r="1646" spans="1:12" hidden="1" x14ac:dyDescent="0.25">
      <c r="A1646" s="18" t="s">
        <v>27</v>
      </c>
      <c r="B1646" s="57">
        <v>1.1921296296296296E-3</v>
      </c>
      <c r="C1646" s="58">
        <v>1</v>
      </c>
      <c r="D1646" s="18" t="s">
        <v>2993</v>
      </c>
      <c r="E1646" s="18" t="s">
        <v>2797</v>
      </c>
      <c r="F1646" s="18" t="s">
        <v>1810</v>
      </c>
      <c r="G1646" s="59">
        <v>160.62</v>
      </c>
      <c r="H1646" s="59">
        <v>160.62</v>
      </c>
      <c r="I1646" s="18" t="s">
        <v>152</v>
      </c>
      <c r="J1646" s="18" t="s">
        <v>152</v>
      </c>
      <c r="K1646" s="18" t="s">
        <v>2994</v>
      </c>
      <c r="L1646" s="30"/>
    </row>
    <row r="1647" spans="1:12" hidden="1" x14ac:dyDescent="0.25">
      <c r="A1647" s="18" t="s">
        <v>27</v>
      </c>
      <c r="B1647" s="57">
        <v>4.8726851851851848E-3</v>
      </c>
      <c r="C1647" s="58">
        <v>7</v>
      </c>
      <c r="D1647" s="18" t="s">
        <v>2822</v>
      </c>
      <c r="E1647" s="18" t="s">
        <v>1886</v>
      </c>
      <c r="F1647" s="18" t="s">
        <v>1810</v>
      </c>
      <c r="G1647" s="59">
        <v>37.49</v>
      </c>
      <c r="H1647" s="59">
        <v>262.43</v>
      </c>
      <c r="I1647" s="18" t="s">
        <v>2823</v>
      </c>
      <c r="J1647" s="18" t="s">
        <v>2823</v>
      </c>
      <c r="K1647" s="18" t="s">
        <v>2994</v>
      </c>
      <c r="L1647" s="30"/>
    </row>
    <row r="1648" spans="1:12" hidden="1" x14ac:dyDescent="0.25">
      <c r="A1648" s="18" t="s">
        <v>27</v>
      </c>
      <c r="B1648" s="57">
        <v>1.3888888888888887E-3</v>
      </c>
      <c r="C1648" s="58">
        <v>1</v>
      </c>
      <c r="D1648" s="18" t="s">
        <v>2965</v>
      </c>
      <c r="E1648" s="18" t="s">
        <v>2963</v>
      </c>
      <c r="F1648" s="18" t="s">
        <v>1810</v>
      </c>
      <c r="G1648" s="59">
        <v>163.34</v>
      </c>
      <c r="H1648" s="59">
        <v>163.34</v>
      </c>
      <c r="I1648" s="18" t="s">
        <v>152</v>
      </c>
      <c r="J1648" s="18" t="s">
        <v>152</v>
      </c>
      <c r="K1648" s="18" t="s">
        <v>2995</v>
      </c>
      <c r="L1648" s="30"/>
    </row>
    <row r="1649" spans="1:12" hidden="1" x14ac:dyDescent="0.25">
      <c r="A1649" s="18" t="s">
        <v>27</v>
      </c>
      <c r="B1649" s="57">
        <v>1.4004629629629629E-3</v>
      </c>
      <c r="C1649" s="58">
        <v>1</v>
      </c>
      <c r="D1649" s="18" t="s">
        <v>2992</v>
      </c>
      <c r="E1649" s="18" t="s">
        <v>2971</v>
      </c>
      <c r="F1649" s="18" t="s">
        <v>1810</v>
      </c>
      <c r="G1649" s="59">
        <v>170.15</v>
      </c>
      <c r="H1649" s="59">
        <v>170.15</v>
      </c>
      <c r="I1649" s="18" t="s">
        <v>152</v>
      </c>
      <c r="J1649" s="18" t="s">
        <v>152</v>
      </c>
      <c r="K1649" s="18" t="s">
        <v>2995</v>
      </c>
      <c r="L1649" s="30"/>
    </row>
    <row r="1650" spans="1:12" hidden="1" x14ac:dyDescent="0.25">
      <c r="A1650" s="18" t="s">
        <v>27</v>
      </c>
      <c r="B1650" s="57">
        <v>1.4004629629629629E-3</v>
      </c>
      <c r="C1650" s="58">
        <v>1</v>
      </c>
      <c r="D1650" s="18" t="s">
        <v>2970</v>
      </c>
      <c r="E1650" s="18" t="s">
        <v>2971</v>
      </c>
      <c r="F1650" s="18" t="s">
        <v>1810</v>
      </c>
      <c r="G1650" s="59">
        <v>170.15</v>
      </c>
      <c r="H1650" s="59">
        <v>170.15</v>
      </c>
      <c r="I1650" s="18" t="s">
        <v>152</v>
      </c>
      <c r="J1650" s="18" t="s">
        <v>152</v>
      </c>
      <c r="K1650" s="18" t="s">
        <v>2995</v>
      </c>
      <c r="L1650" s="30"/>
    </row>
    <row r="1651" spans="1:12" hidden="1" x14ac:dyDescent="0.25">
      <c r="A1651" s="18" t="s">
        <v>27</v>
      </c>
      <c r="B1651" s="57">
        <v>1.1921296296296296E-3</v>
      </c>
      <c r="C1651" s="58">
        <v>1</v>
      </c>
      <c r="D1651" s="18" t="s">
        <v>1953</v>
      </c>
      <c r="E1651" s="18" t="s">
        <v>1954</v>
      </c>
      <c r="F1651" s="18" t="s">
        <v>1810</v>
      </c>
      <c r="G1651" s="59">
        <v>233.73</v>
      </c>
      <c r="H1651" s="59">
        <v>233.73</v>
      </c>
      <c r="I1651" s="18" t="s">
        <v>1588</v>
      </c>
      <c r="J1651" s="18" t="s">
        <v>512</v>
      </c>
      <c r="K1651" s="18" t="s">
        <v>2996</v>
      </c>
      <c r="L1651" s="30"/>
    </row>
    <row r="1652" spans="1:12" hidden="1" x14ac:dyDescent="0.25">
      <c r="A1652" s="18" t="s">
        <v>27</v>
      </c>
      <c r="B1652" s="57">
        <v>1.7592592592592592E-3</v>
      </c>
      <c r="C1652" s="58">
        <v>6</v>
      </c>
      <c r="D1652" s="18" t="s">
        <v>1941</v>
      </c>
      <c r="E1652" s="18" t="s">
        <v>1942</v>
      </c>
      <c r="F1652" s="18" t="s">
        <v>1810</v>
      </c>
      <c r="G1652" s="59">
        <v>1.93</v>
      </c>
      <c r="H1652" s="59">
        <v>11.58</v>
      </c>
      <c r="I1652" s="18" t="s">
        <v>367</v>
      </c>
      <c r="J1652" s="18" t="s">
        <v>367</v>
      </c>
      <c r="K1652" s="18" t="s">
        <v>2996</v>
      </c>
      <c r="L1652" s="30"/>
    </row>
    <row r="1653" spans="1:12" hidden="1" x14ac:dyDescent="0.25">
      <c r="A1653" s="18" t="s">
        <v>27</v>
      </c>
      <c r="B1653" s="57">
        <v>3.5879629629629629E-4</v>
      </c>
      <c r="C1653" s="58">
        <v>1</v>
      </c>
      <c r="D1653" s="18" t="s">
        <v>1871</v>
      </c>
      <c r="E1653" s="18" t="s">
        <v>1845</v>
      </c>
      <c r="F1653" s="18" t="s">
        <v>1810</v>
      </c>
      <c r="G1653" s="59">
        <v>8.31</v>
      </c>
      <c r="H1653" s="59">
        <v>8.31</v>
      </c>
      <c r="I1653" s="18" t="s">
        <v>367</v>
      </c>
      <c r="J1653" s="18" t="s">
        <v>512</v>
      </c>
      <c r="K1653" s="18" t="s">
        <v>2996</v>
      </c>
      <c r="L1653" s="30"/>
    </row>
    <row r="1654" spans="1:12" hidden="1" x14ac:dyDescent="0.25">
      <c r="A1654" s="18" t="s">
        <v>27</v>
      </c>
      <c r="B1654" s="57">
        <v>1.1574074074074073E-3</v>
      </c>
      <c r="C1654" s="58">
        <v>2</v>
      </c>
      <c r="D1654" s="18" t="s">
        <v>1950</v>
      </c>
      <c r="E1654" s="18" t="s">
        <v>1951</v>
      </c>
      <c r="F1654" s="18" t="s">
        <v>1810</v>
      </c>
      <c r="G1654" s="59">
        <v>38.65</v>
      </c>
      <c r="H1654" s="59">
        <v>77.3</v>
      </c>
      <c r="I1654" s="18" t="s">
        <v>367</v>
      </c>
      <c r="J1654" s="18" t="s">
        <v>1594</v>
      </c>
      <c r="K1654" s="18" t="s">
        <v>2996</v>
      </c>
      <c r="L1654" s="30"/>
    </row>
    <row r="1655" spans="1:12" hidden="1" x14ac:dyDescent="0.25">
      <c r="A1655" s="18" t="s">
        <v>27</v>
      </c>
      <c r="B1655" s="57">
        <v>1.0300925925925926E-3</v>
      </c>
      <c r="C1655" s="58">
        <v>1</v>
      </c>
      <c r="D1655" s="18" t="s">
        <v>1914</v>
      </c>
      <c r="E1655" s="18" t="s">
        <v>1809</v>
      </c>
      <c r="F1655" s="18" t="s">
        <v>1810</v>
      </c>
      <c r="G1655" s="59">
        <v>49.45</v>
      </c>
      <c r="H1655" s="59">
        <v>49.45</v>
      </c>
      <c r="I1655" s="18" t="s">
        <v>367</v>
      </c>
      <c r="J1655" s="18" t="s">
        <v>1594</v>
      </c>
      <c r="K1655" s="18" t="s">
        <v>2996</v>
      </c>
      <c r="L1655" s="30"/>
    </row>
    <row r="1656" spans="1:12" hidden="1" x14ac:dyDescent="0.25">
      <c r="A1656" s="18" t="s">
        <v>27</v>
      </c>
      <c r="B1656" s="57">
        <v>8.2175925925925927E-4</v>
      </c>
      <c r="C1656" s="58">
        <v>1</v>
      </c>
      <c r="D1656" s="18" t="s">
        <v>1915</v>
      </c>
      <c r="E1656" s="18" t="s">
        <v>1916</v>
      </c>
      <c r="F1656" s="18" t="s">
        <v>1810</v>
      </c>
      <c r="G1656" s="59">
        <v>41.54</v>
      </c>
      <c r="H1656" s="59">
        <v>41.54</v>
      </c>
      <c r="I1656" s="18" t="s">
        <v>367</v>
      </c>
      <c r="J1656" s="18" t="s">
        <v>1594</v>
      </c>
      <c r="K1656" s="18" t="s">
        <v>2996</v>
      </c>
      <c r="L1656" s="30"/>
    </row>
    <row r="1657" spans="1:12" hidden="1" x14ac:dyDescent="0.25">
      <c r="A1657" s="18" t="s">
        <v>27</v>
      </c>
      <c r="B1657" s="57">
        <v>8.2175925925925927E-4</v>
      </c>
      <c r="C1657" s="58">
        <v>2</v>
      </c>
      <c r="D1657" s="18" t="s">
        <v>1908</v>
      </c>
      <c r="E1657" s="18" t="s">
        <v>2789</v>
      </c>
      <c r="F1657" s="18" t="s">
        <v>1810</v>
      </c>
      <c r="G1657" s="59">
        <v>9.57</v>
      </c>
      <c r="H1657" s="59">
        <v>19.14</v>
      </c>
      <c r="I1657" s="18" t="s">
        <v>1665</v>
      </c>
      <c r="J1657" s="18" t="s">
        <v>512</v>
      </c>
      <c r="K1657" s="18" t="s">
        <v>2997</v>
      </c>
      <c r="L1657" s="30"/>
    </row>
    <row r="1658" spans="1:12" hidden="1" x14ac:dyDescent="0.25">
      <c r="A1658" s="18" t="s">
        <v>27</v>
      </c>
      <c r="B1658" s="57">
        <v>6.5277777777777773E-3</v>
      </c>
      <c r="C1658" s="58">
        <v>11</v>
      </c>
      <c r="D1658" s="18" t="s">
        <v>1885</v>
      </c>
      <c r="E1658" s="18" t="s">
        <v>1886</v>
      </c>
      <c r="F1658" s="18" t="s">
        <v>1810</v>
      </c>
      <c r="G1658" s="59">
        <v>37.49</v>
      </c>
      <c r="H1658" s="59">
        <v>412.39</v>
      </c>
      <c r="I1658" s="18" t="s">
        <v>1672</v>
      </c>
      <c r="J1658" s="18" t="s">
        <v>115</v>
      </c>
      <c r="K1658" s="18" t="s">
        <v>2997</v>
      </c>
      <c r="L1658" s="30"/>
    </row>
    <row r="1659" spans="1:12" hidden="1" x14ac:dyDescent="0.25">
      <c r="A1659" s="18" t="s">
        <v>27</v>
      </c>
      <c r="B1659" s="57">
        <v>3.0324074074074073E-3</v>
      </c>
      <c r="C1659" s="58">
        <v>4</v>
      </c>
      <c r="D1659" s="18" t="s">
        <v>1885</v>
      </c>
      <c r="E1659" s="18" t="s">
        <v>1886</v>
      </c>
      <c r="F1659" s="18" t="s">
        <v>1810</v>
      </c>
      <c r="G1659" s="59">
        <v>37.49</v>
      </c>
      <c r="H1659" s="59">
        <v>149.96</v>
      </c>
      <c r="I1659" s="18" t="s">
        <v>1672</v>
      </c>
      <c r="J1659" s="18" t="s">
        <v>115</v>
      </c>
      <c r="K1659" s="18" t="s">
        <v>2998</v>
      </c>
      <c r="L1659" s="30"/>
    </row>
    <row r="1660" spans="1:12" hidden="1" x14ac:dyDescent="0.25">
      <c r="A1660" s="18" t="s">
        <v>27</v>
      </c>
      <c r="B1660" s="57">
        <v>3.2638888888888887E-3</v>
      </c>
      <c r="C1660" s="58">
        <v>2</v>
      </c>
      <c r="D1660" s="18" t="s">
        <v>1965</v>
      </c>
      <c r="E1660" s="18" t="s">
        <v>2999</v>
      </c>
      <c r="F1660" s="18" t="s">
        <v>1810</v>
      </c>
      <c r="G1660" s="59">
        <v>126.23</v>
      </c>
      <c r="H1660" s="59">
        <v>252.46</v>
      </c>
      <c r="I1660" s="18" t="s">
        <v>152</v>
      </c>
      <c r="J1660" s="18" t="s">
        <v>152</v>
      </c>
      <c r="K1660" s="18" t="s">
        <v>2998</v>
      </c>
      <c r="L1660" s="30"/>
    </row>
    <row r="1661" spans="1:12" hidden="1" x14ac:dyDescent="0.25">
      <c r="A1661" s="18" t="s">
        <v>27</v>
      </c>
      <c r="B1661" s="57">
        <v>7.5231481481481482E-4</v>
      </c>
      <c r="C1661" s="58">
        <v>1</v>
      </c>
      <c r="D1661" s="18" t="s">
        <v>2822</v>
      </c>
      <c r="E1661" s="18" t="s">
        <v>1886</v>
      </c>
      <c r="F1661" s="18" t="s">
        <v>1810</v>
      </c>
      <c r="G1661" s="59">
        <v>37.49</v>
      </c>
      <c r="H1661" s="59">
        <v>37.49</v>
      </c>
      <c r="I1661" s="18" t="s">
        <v>2823</v>
      </c>
      <c r="J1661" s="18" t="s">
        <v>2823</v>
      </c>
      <c r="K1661" s="18" t="s">
        <v>2998</v>
      </c>
      <c r="L1661" s="30"/>
    </row>
    <row r="1662" spans="1:12" hidden="1" x14ac:dyDescent="0.25">
      <c r="A1662" s="18" t="s">
        <v>27</v>
      </c>
      <c r="B1662" s="57">
        <v>5.3009259259259259E-3</v>
      </c>
      <c r="C1662" s="58">
        <v>3</v>
      </c>
      <c r="D1662" s="18" t="s">
        <v>1965</v>
      </c>
      <c r="E1662" s="18" t="s">
        <v>2999</v>
      </c>
      <c r="F1662" s="18" t="s">
        <v>1810</v>
      </c>
      <c r="G1662" s="59">
        <v>126.23</v>
      </c>
      <c r="H1662" s="59">
        <v>378.69</v>
      </c>
      <c r="I1662" s="18" t="s">
        <v>152</v>
      </c>
      <c r="J1662" s="18" t="s">
        <v>152</v>
      </c>
      <c r="K1662" s="18" t="s">
        <v>3000</v>
      </c>
      <c r="L1662" s="30"/>
    </row>
    <row r="1663" spans="1:12" hidden="1" x14ac:dyDescent="0.25">
      <c r="A1663" s="18" t="s">
        <v>27</v>
      </c>
      <c r="B1663" s="57">
        <v>8.2175925925925927E-4</v>
      </c>
      <c r="C1663" s="58">
        <v>1</v>
      </c>
      <c r="D1663" s="18" t="s">
        <v>2822</v>
      </c>
      <c r="E1663" s="18" t="s">
        <v>1886</v>
      </c>
      <c r="F1663" s="18" t="s">
        <v>1810</v>
      </c>
      <c r="G1663" s="59">
        <v>37.49</v>
      </c>
      <c r="H1663" s="59">
        <v>37.49</v>
      </c>
      <c r="I1663" s="18" t="s">
        <v>2823</v>
      </c>
      <c r="J1663" s="18" t="s">
        <v>2823</v>
      </c>
      <c r="K1663" s="18" t="s">
        <v>3000</v>
      </c>
      <c r="L1663" s="30"/>
    </row>
    <row r="1664" spans="1:12" hidden="1" x14ac:dyDescent="0.25">
      <c r="A1664" s="18" t="s">
        <v>27</v>
      </c>
      <c r="B1664" s="57">
        <v>1.1342592592592591E-3</v>
      </c>
      <c r="C1664" s="58">
        <v>2</v>
      </c>
      <c r="D1664" s="18" t="s">
        <v>3001</v>
      </c>
      <c r="E1664" s="18" t="s">
        <v>2789</v>
      </c>
      <c r="F1664" s="18" t="s">
        <v>1810</v>
      </c>
      <c r="G1664" s="59">
        <v>9.57</v>
      </c>
      <c r="H1664" s="59">
        <v>19.14</v>
      </c>
      <c r="I1664" s="18" t="s">
        <v>2823</v>
      </c>
      <c r="J1664" s="18" t="s">
        <v>2823</v>
      </c>
      <c r="K1664" s="18" t="s">
        <v>3000</v>
      </c>
      <c r="L1664" s="30"/>
    </row>
    <row r="1665" spans="1:12" hidden="1" x14ac:dyDescent="0.25">
      <c r="A1665" s="18" t="s">
        <v>27</v>
      </c>
      <c r="B1665" s="57">
        <v>5.4166666666666669E-3</v>
      </c>
      <c r="C1665" s="58">
        <v>1</v>
      </c>
      <c r="D1665" s="18" t="s">
        <v>629</v>
      </c>
      <c r="E1665" s="18" t="s">
        <v>630</v>
      </c>
      <c r="F1665" s="18" t="s">
        <v>1810</v>
      </c>
      <c r="G1665" s="59">
        <v>469.18</v>
      </c>
      <c r="H1665" s="59">
        <v>469.18</v>
      </c>
      <c r="I1665" s="18" t="s">
        <v>152</v>
      </c>
      <c r="J1665" s="18" t="s">
        <v>152</v>
      </c>
      <c r="K1665" s="18" t="s">
        <v>3002</v>
      </c>
      <c r="L1665" s="30"/>
    </row>
    <row r="1666" spans="1:12" hidden="1" x14ac:dyDescent="0.25">
      <c r="A1666" s="18" t="s">
        <v>27</v>
      </c>
      <c r="B1666" s="57">
        <v>8.5879629629629622E-3</v>
      </c>
      <c r="C1666" s="58">
        <v>1</v>
      </c>
      <c r="D1666" s="18" t="s">
        <v>3003</v>
      </c>
      <c r="E1666" s="18" t="s">
        <v>119</v>
      </c>
      <c r="F1666" s="18" t="s">
        <v>1621</v>
      </c>
      <c r="G1666" s="59">
        <v>1373.28</v>
      </c>
      <c r="H1666" s="59">
        <v>1373.28</v>
      </c>
      <c r="I1666" s="18" t="s">
        <v>129</v>
      </c>
      <c r="J1666" s="18" t="s">
        <v>512</v>
      </c>
      <c r="K1666" s="18" t="s">
        <v>3004</v>
      </c>
      <c r="L1666" s="30"/>
    </row>
    <row r="1667" spans="1:12" hidden="1" x14ac:dyDescent="0.25">
      <c r="A1667" s="18" t="s">
        <v>27</v>
      </c>
      <c r="B1667" s="57">
        <v>9.3055555555555548E-3</v>
      </c>
      <c r="C1667" s="58">
        <v>3</v>
      </c>
      <c r="D1667" s="18" t="s">
        <v>939</v>
      </c>
      <c r="E1667" s="18" t="s">
        <v>940</v>
      </c>
      <c r="F1667" s="18" t="s">
        <v>2509</v>
      </c>
      <c r="G1667" s="59">
        <v>334.77</v>
      </c>
      <c r="H1667" s="59">
        <v>1004.31</v>
      </c>
      <c r="I1667" s="18" t="s">
        <v>60</v>
      </c>
      <c r="J1667" s="18" t="s">
        <v>60</v>
      </c>
      <c r="K1667" s="18" t="s">
        <v>3005</v>
      </c>
      <c r="L1667" s="30"/>
    </row>
    <row r="1668" spans="1:12" hidden="1" x14ac:dyDescent="0.25">
      <c r="A1668" s="18" t="s">
        <v>27</v>
      </c>
      <c r="B1668" s="57">
        <v>3.1018518518518517E-3</v>
      </c>
      <c r="C1668" s="58">
        <v>1</v>
      </c>
      <c r="D1668" s="18" t="s">
        <v>939</v>
      </c>
      <c r="E1668" s="18" t="s">
        <v>940</v>
      </c>
      <c r="F1668" s="18" t="s">
        <v>2509</v>
      </c>
      <c r="G1668" s="59">
        <v>334.77</v>
      </c>
      <c r="H1668" s="59">
        <v>334.77</v>
      </c>
      <c r="I1668" s="18" t="s">
        <v>60</v>
      </c>
      <c r="J1668" s="18" t="s">
        <v>60</v>
      </c>
      <c r="K1668" s="18" t="s">
        <v>3006</v>
      </c>
      <c r="L1668" s="30"/>
    </row>
    <row r="1669" spans="1:12" hidden="1" x14ac:dyDescent="0.25">
      <c r="A1669" s="18" t="s">
        <v>27</v>
      </c>
      <c r="B1669" s="57">
        <v>6.2037037037037035E-3</v>
      </c>
      <c r="C1669" s="58">
        <v>2</v>
      </c>
      <c r="D1669" s="18" t="s">
        <v>2511</v>
      </c>
      <c r="E1669" s="18" t="s">
        <v>940</v>
      </c>
      <c r="F1669" s="18" t="s">
        <v>2509</v>
      </c>
      <c r="G1669" s="59">
        <v>334.77</v>
      </c>
      <c r="H1669" s="59">
        <v>669.54</v>
      </c>
      <c r="I1669" s="18" t="s">
        <v>60</v>
      </c>
      <c r="J1669" s="18" t="s">
        <v>60</v>
      </c>
      <c r="K1669" s="18" t="s">
        <v>3006</v>
      </c>
      <c r="L1669" s="30"/>
    </row>
    <row r="1670" spans="1:12" hidden="1" x14ac:dyDescent="0.25">
      <c r="A1670" s="18" t="s">
        <v>27</v>
      </c>
      <c r="B1670" s="57">
        <v>4.2013888888888891E-3</v>
      </c>
      <c r="C1670" s="58">
        <v>2</v>
      </c>
      <c r="D1670" s="18" t="s">
        <v>2520</v>
      </c>
      <c r="E1670" s="18" t="s">
        <v>3007</v>
      </c>
      <c r="F1670" s="18" t="s">
        <v>2509</v>
      </c>
      <c r="G1670" s="59">
        <v>100.54</v>
      </c>
      <c r="H1670" s="59">
        <v>201.08</v>
      </c>
      <c r="I1670" s="18" t="s">
        <v>60</v>
      </c>
      <c r="J1670" s="18" t="s">
        <v>60</v>
      </c>
      <c r="K1670" s="18" t="s">
        <v>3008</v>
      </c>
      <c r="L1670" s="30"/>
    </row>
    <row r="1671" spans="1:12" hidden="1" x14ac:dyDescent="0.25">
      <c r="A1671" s="18" t="s">
        <v>27</v>
      </c>
      <c r="B1671" s="57">
        <v>5.208333333333333E-3</v>
      </c>
      <c r="C1671" s="58">
        <v>2</v>
      </c>
      <c r="D1671" s="18" t="s">
        <v>2513</v>
      </c>
      <c r="E1671" s="18" t="s">
        <v>2517</v>
      </c>
      <c r="F1671" s="18" t="s">
        <v>2509</v>
      </c>
      <c r="G1671" s="59">
        <v>204.29</v>
      </c>
      <c r="H1671" s="59">
        <v>408.58</v>
      </c>
      <c r="I1671" s="18" t="s">
        <v>60</v>
      </c>
      <c r="J1671" s="18" t="s">
        <v>60</v>
      </c>
      <c r="K1671" s="18" t="s">
        <v>3008</v>
      </c>
      <c r="L1671" s="30"/>
    </row>
    <row r="1672" spans="1:12" hidden="1" x14ac:dyDescent="0.25">
      <c r="A1672" s="18" t="s">
        <v>27</v>
      </c>
      <c r="B1672" s="57">
        <v>2.6041666666666665E-3</v>
      </c>
      <c r="C1672" s="58">
        <v>1</v>
      </c>
      <c r="D1672" s="18" t="s">
        <v>2516</v>
      </c>
      <c r="E1672" s="18" t="s">
        <v>2517</v>
      </c>
      <c r="F1672" s="18" t="s">
        <v>2509</v>
      </c>
      <c r="G1672" s="59">
        <v>204.29</v>
      </c>
      <c r="H1672" s="59">
        <v>204.29</v>
      </c>
      <c r="I1672" s="18" t="s">
        <v>60</v>
      </c>
      <c r="J1672" s="18" t="s">
        <v>60</v>
      </c>
      <c r="K1672" s="18" t="s">
        <v>3008</v>
      </c>
      <c r="L1672" s="30"/>
    </row>
    <row r="1673" spans="1:12" hidden="1" x14ac:dyDescent="0.25">
      <c r="A1673" s="18" t="s">
        <v>27</v>
      </c>
      <c r="B1673" s="57">
        <v>2.3263888888888887E-3</v>
      </c>
      <c r="C1673" s="58">
        <v>1</v>
      </c>
      <c r="D1673" s="18" t="s">
        <v>3009</v>
      </c>
      <c r="E1673" s="18" t="s">
        <v>3010</v>
      </c>
      <c r="F1673" s="18" t="s">
        <v>2509</v>
      </c>
      <c r="G1673" s="59">
        <v>103.75</v>
      </c>
      <c r="H1673" s="59">
        <v>103.75</v>
      </c>
      <c r="I1673" s="18" t="s">
        <v>60</v>
      </c>
      <c r="J1673" s="18" t="s">
        <v>60</v>
      </c>
      <c r="K1673" s="18" t="s">
        <v>3008</v>
      </c>
      <c r="L1673" s="30"/>
    </row>
    <row r="1674" spans="1:12" hidden="1" x14ac:dyDescent="0.25">
      <c r="A1674" s="18" t="s">
        <v>27</v>
      </c>
      <c r="B1674" s="57">
        <v>2.662037037037037E-3</v>
      </c>
      <c r="C1674" s="58">
        <v>1</v>
      </c>
      <c r="D1674" s="18" t="s">
        <v>2516</v>
      </c>
      <c r="E1674" s="18" t="s">
        <v>2517</v>
      </c>
      <c r="F1674" s="18" t="s">
        <v>2509</v>
      </c>
      <c r="G1674" s="59">
        <v>204.29</v>
      </c>
      <c r="H1674" s="59">
        <v>204.29</v>
      </c>
      <c r="I1674" s="18" t="s">
        <v>60</v>
      </c>
      <c r="J1674" s="18" t="s">
        <v>60</v>
      </c>
      <c r="K1674" s="18" t="s">
        <v>3011</v>
      </c>
      <c r="L1674" s="30"/>
    </row>
    <row r="1675" spans="1:12" hidden="1" x14ac:dyDescent="0.25">
      <c r="A1675" s="18" t="s">
        <v>27</v>
      </c>
      <c r="B1675" s="57">
        <v>6.1111111111111106E-3</v>
      </c>
      <c r="C1675" s="58">
        <v>2</v>
      </c>
      <c r="D1675" s="18" t="s">
        <v>2511</v>
      </c>
      <c r="E1675" s="18" t="s">
        <v>940</v>
      </c>
      <c r="F1675" s="18" t="s">
        <v>2509</v>
      </c>
      <c r="G1675" s="59">
        <v>334.77</v>
      </c>
      <c r="H1675" s="59">
        <v>669.54</v>
      </c>
      <c r="I1675" s="18" t="s">
        <v>60</v>
      </c>
      <c r="J1675" s="18" t="s">
        <v>60</v>
      </c>
      <c r="K1675" s="18" t="s">
        <v>3011</v>
      </c>
      <c r="L1675" s="30"/>
    </row>
    <row r="1676" spans="1:12" hidden="1" x14ac:dyDescent="0.25">
      <c r="A1676" s="18" t="s">
        <v>27</v>
      </c>
      <c r="B1676" s="57">
        <v>2.3842592592592591E-3</v>
      </c>
      <c r="C1676" s="58">
        <v>1</v>
      </c>
      <c r="D1676" s="18" t="s">
        <v>3009</v>
      </c>
      <c r="E1676" s="18" t="s">
        <v>3010</v>
      </c>
      <c r="F1676" s="18" t="s">
        <v>2509</v>
      </c>
      <c r="G1676" s="59">
        <v>103.75</v>
      </c>
      <c r="H1676" s="59">
        <v>103.75</v>
      </c>
      <c r="I1676" s="18" t="s">
        <v>60</v>
      </c>
      <c r="J1676" s="18" t="s">
        <v>60</v>
      </c>
      <c r="K1676" s="18" t="s">
        <v>3011</v>
      </c>
      <c r="L1676" s="30"/>
    </row>
    <row r="1677" spans="1:12" hidden="1" x14ac:dyDescent="0.25">
      <c r="A1677" s="18" t="s">
        <v>27</v>
      </c>
      <c r="B1677" s="57">
        <v>2.6041666666666665E-3</v>
      </c>
      <c r="C1677" s="58">
        <v>1</v>
      </c>
      <c r="D1677" s="18" t="s">
        <v>2513</v>
      </c>
      <c r="E1677" s="18" t="s">
        <v>2517</v>
      </c>
      <c r="F1677" s="18" t="s">
        <v>2509</v>
      </c>
      <c r="G1677" s="59">
        <v>204.29</v>
      </c>
      <c r="H1677" s="59">
        <v>204.29</v>
      </c>
      <c r="I1677" s="18" t="s">
        <v>60</v>
      </c>
      <c r="J1677" s="18" t="s">
        <v>60</v>
      </c>
      <c r="K1677" s="18" t="s">
        <v>3012</v>
      </c>
      <c r="L1677" s="30"/>
    </row>
    <row r="1678" spans="1:12" hidden="1" x14ac:dyDescent="0.25">
      <c r="A1678" s="18" t="s">
        <v>27</v>
      </c>
      <c r="B1678" s="57">
        <v>2.3263888888888887E-3</v>
      </c>
      <c r="C1678" s="58">
        <v>1</v>
      </c>
      <c r="D1678" s="18" t="s">
        <v>3013</v>
      </c>
      <c r="E1678" s="18" t="s">
        <v>3010</v>
      </c>
      <c r="F1678" s="18" t="s">
        <v>2509</v>
      </c>
      <c r="G1678" s="59">
        <v>103.75</v>
      </c>
      <c r="H1678" s="59">
        <v>103.75</v>
      </c>
      <c r="I1678" s="18" t="s">
        <v>2823</v>
      </c>
      <c r="J1678" s="18" t="s">
        <v>2823</v>
      </c>
      <c r="K1678" s="18" t="s">
        <v>3012</v>
      </c>
      <c r="L1678" s="30"/>
    </row>
    <row r="1679" spans="1:12" hidden="1" x14ac:dyDescent="0.25">
      <c r="A1679" s="18" t="s">
        <v>27</v>
      </c>
      <c r="B1679" s="57">
        <v>4.2013888888888891E-3</v>
      </c>
      <c r="C1679" s="58">
        <v>2</v>
      </c>
      <c r="D1679" s="18" t="s">
        <v>3014</v>
      </c>
      <c r="E1679" s="18" t="s">
        <v>3007</v>
      </c>
      <c r="F1679" s="18" t="s">
        <v>2509</v>
      </c>
      <c r="G1679" s="59">
        <v>100.54</v>
      </c>
      <c r="H1679" s="59">
        <v>201.08</v>
      </c>
      <c r="I1679" s="18" t="s">
        <v>2823</v>
      </c>
      <c r="J1679" s="18" t="s">
        <v>2823</v>
      </c>
      <c r="K1679" s="18" t="s">
        <v>3012</v>
      </c>
      <c r="L1679" s="7"/>
    </row>
    <row r="1680" spans="1:12" hidden="1" x14ac:dyDescent="0.25">
      <c r="A1680" s="18" t="s">
        <v>27</v>
      </c>
      <c r="B1680" s="57">
        <v>2.6041666666666665E-3</v>
      </c>
      <c r="C1680" s="58">
        <v>1</v>
      </c>
      <c r="D1680" s="18" t="s">
        <v>2516</v>
      </c>
      <c r="E1680" s="18" t="s">
        <v>2517</v>
      </c>
      <c r="F1680" s="18" t="s">
        <v>2509</v>
      </c>
      <c r="G1680" s="59">
        <v>204.29</v>
      </c>
      <c r="H1680" s="59">
        <v>204.29</v>
      </c>
      <c r="I1680" s="18" t="s">
        <v>60</v>
      </c>
      <c r="J1680" s="18" t="s">
        <v>60</v>
      </c>
      <c r="K1680" s="18" t="s">
        <v>3012</v>
      </c>
      <c r="L1680" s="7"/>
    </row>
    <row r="1681" spans="1:12" hidden="1" x14ac:dyDescent="0.25">
      <c r="A1681" s="18" t="s">
        <v>27</v>
      </c>
      <c r="B1681" s="57">
        <v>2.6041666666666665E-3</v>
      </c>
      <c r="C1681" s="58">
        <v>1</v>
      </c>
      <c r="D1681" s="18" t="s">
        <v>3015</v>
      </c>
      <c r="E1681" s="18" t="s">
        <v>2517</v>
      </c>
      <c r="F1681" s="18" t="s">
        <v>2509</v>
      </c>
      <c r="G1681" s="59">
        <v>204.29</v>
      </c>
      <c r="H1681" s="59">
        <v>204.29</v>
      </c>
      <c r="I1681" s="18" t="s">
        <v>2823</v>
      </c>
      <c r="J1681" s="18" t="s">
        <v>2823</v>
      </c>
      <c r="K1681" s="18" t="s">
        <v>3012</v>
      </c>
      <c r="L1681" s="7"/>
    </row>
    <row r="1682" spans="1:12" hidden="1" x14ac:dyDescent="0.25">
      <c r="A1682" s="18"/>
      <c r="B1682" s="19"/>
      <c r="C1682" s="20"/>
      <c r="G1682" s="21"/>
      <c r="H1682" s="21"/>
      <c r="I1682" s="18"/>
      <c r="J1682" s="18"/>
      <c r="K1682" s="18"/>
      <c r="L1682" s="7"/>
    </row>
    <row r="1683" spans="1:12" hidden="1" x14ac:dyDescent="0.25">
      <c r="A1683" s="18"/>
      <c r="B1683" s="19"/>
      <c r="C1683" s="20"/>
      <c r="G1683" s="21"/>
      <c r="H1683" s="21"/>
      <c r="I1683" s="18"/>
      <c r="J1683" s="18"/>
      <c r="K1683" s="18"/>
      <c r="L1683" s="7"/>
    </row>
    <row r="1684" spans="1:12" hidden="1" x14ac:dyDescent="0.25">
      <c r="A1684" s="18"/>
      <c r="B1684" s="19"/>
      <c r="C1684" s="20"/>
      <c r="G1684" s="21"/>
      <c r="H1684" s="21"/>
      <c r="I1684" s="18"/>
      <c r="J1684" s="18"/>
      <c r="K1684" s="18"/>
      <c r="L1684" s="7"/>
    </row>
    <row r="1685" spans="1:12" hidden="1" x14ac:dyDescent="0.25">
      <c r="A1685" s="18"/>
      <c r="B1685" s="19"/>
      <c r="C1685" s="20"/>
      <c r="G1685" s="21"/>
      <c r="H1685" s="21"/>
      <c r="I1685" s="18"/>
      <c r="J1685" s="18"/>
      <c r="K1685" s="18"/>
      <c r="L1685" s="7"/>
    </row>
    <row r="1686" spans="1:12" hidden="1" x14ac:dyDescent="0.25">
      <c r="A1686" s="18"/>
      <c r="B1686" s="19"/>
      <c r="C1686" s="20"/>
      <c r="G1686" s="21"/>
      <c r="H1686" s="21"/>
      <c r="I1686" s="18"/>
      <c r="J1686" s="18"/>
      <c r="K1686" s="18"/>
      <c r="L1686" s="7"/>
    </row>
    <row r="1687" spans="1:12" hidden="1" x14ac:dyDescent="0.25">
      <c r="A1687" s="18"/>
      <c r="B1687" s="19"/>
      <c r="C1687" s="20"/>
      <c r="G1687" s="21"/>
      <c r="H1687" s="21"/>
      <c r="I1687" s="18"/>
      <c r="J1687" s="18"/>
      <c r="K1687" s="18"/>
      <c r="L1687" s="7"/>
    </row>
    <row r="1688" spans="1:12" hidden="1" x14ac:dyDescent="0.25">
      <c r="A1688" s="18"/>
      <c r="B1688" s="19"/>
      <c r="C1688" s="20"/>
      <c r="G1688" s="21"/>
      <c r="H1688" s="21"/>
      <c r="I1688" s="18"/>
      <c r="J1688" s="18"/>
      <c r="K1688" s="18"/>
      <c r="L1688" s="7"/>
    </row>
    <row r="1689" spans="1:12" hidden="1" x14ac:dyDescent="0.25">
      <c r="A1689" s="18"/>
      <c r="B1689" s="19"/>
      <c r="C1689" s="20"/>
      <c r="G1689" s="21"/>
      <c r="H1689" s="21"/>
      <c r="I1689" s="18"/>
      <c r="J1689" s="18"/>
      <c r="K1689" s="18"/>
      <c r="L1689" s="7"/>
    </row>
    <row r="1690" spans="1:12" hidden="1" x14ac:dyDescent="0.25">
      <c r="A1690" s="18"/>
      <c r="B1690" s="19"/>
      <c r="C1690" s="20"/>
      <c r="G1690" s="21"/>
      <c r="H1690" s="21"/>
      <c r="I1690" s="18"/>
      <c r="J1690" s="18"/>
      <c r="K1690" s="18"/>
      <c r="L1690" s="7"/>
    </row>
    <row r="1691" spans="1:12" hidden="1" x14ac:dyDescent="0.25">
      <c r="A1691" s="18"/>
      <c r="B1691" s="19"/>
      <c r="C1691" s="20"/>
      <c r="G1691" s="21"/>
      <c r="H1691" s="21"/>
      <c r="I1691" s="18"/>
      <c r="J1691" s="18"/>
      <c r="K1691" s="18"/>
      <c r="L1691" s="7"/>
    </row>
    <row r="1692" spans="1:12" hidden="1" x14ac:dyDescent="0.25">
      <c r="A1692" s="18"/>
      <c r="B1692" s="19"/>
      <c r="C1692" s="20"/>
      <c r="G1692" s="21"/>
      <c r="H1692" s="21"/>
      <c r="I1692" s="18"/>
      <c r="J1692" s="18"/>
      <c r="K1692" s="18"/>
      <c r="L1692" s="7"/>
    </row>
    <row r="1693" spans="1:12" hidden="1" x14ac:dyDescent="0.25">
      <c r="A1693" s="18"/>
      <c r="B1693" s="19"/>
      <c r="C1693" s="20"/>
      <c r="G1693" s="21"/>
      <c r="H1693" s="21"/>
      <c r="I1693" s="18"/>
      <c r="J1693" s="18"/>
      <c r="K1693" s="18"/>
      <c r="L1693" s="7"/>
    </row>
    <row r="1694" spans="1:12" hidden="1" x14ac:dyDescent="0.25">
      <c r="A1694" s="18"/>
      <c r="B1694" s="19"/>
      <c r="C1694" s="20"/>
      <c r="G1694" s="21"/>
      <c r="H1694" s="21"/>
      <c r="I1694" s="18"/>
      <c r="J1694" s="18"/>
      <c r="K1694" s="18"/>
      <c r="L1694" s="7"/>
    </row>
    <row r="1695" spans="1:12" hidden="1" x14ac:dyDescent="0.25">
      <c r="A1695" s="18"/>
      <c r="B1695" s="19"/>
      <c r="C1695" s="20"/>
      <c r="G1695" s="21"/>
      <c r="H1695" s="21"/>
      <c r="I1695" s="18"/>
      <c r="J1695" s="18"/>
      <c r="K1695" s="18"/>
      <c r="L1695" s="40"/>
    </row>
    <row r="1696" spans="1:12" hidden="1" x14ac:dyDescent="0.25">
      <c r="A1696" s="18"/>
      <c r="B1696" s="19"/>
      <c r="C1696" s="20"/>
      <c r="G1696" s="21"/>
      <c r="H1696" s="21"/>
      <c r="I1696" s="18"/>
      <c r="J1696" s="18"/>
      <c r="K1696" s="18"/>
      <c r="L1696" s="40"/>
    </row>
    <row r="1697" spans="1:12" hidden="1" x14ac:dyDescent="0.25">
      <c r="A1697" s="18"/>
      <c r="B1697" s="19"/>
      <c r="C1697" s="20"/>
      <c r="G1697" s="21"/>
      <c r="H1697" s="21"/>
      <c r="I1697" s="18"/>
      <c r="J1697" s="18"/>
      <c r="K1697" s="18"/>
      <c r="L1697" s="40"/>
    </row>
    <row r="1698" spans="1:12" hidden="1" x14ac:dyDescent="0.25">
      <c r="A1698" s="18"/>
      <c r="B1698" s="19"/>
      <c r="C1698" s="20"/>
      <c r="G1698" s="21"/>
      <c r="H1698" s="21"/>
      <c r="I1698" s="18"/>
      <c r="J1698" s="18"/>
      <c r="K1698" s="18"/>
      <c r="L1698" s="40"/>
    </row>
    <row r="1699" spans="1:12" hidden="1" x14ac:dyDescent="0.25">
      <c r="A1699" s="18"/>
      <c r="B1699" s="19"/>
      <c r="C1699" s="20"/>
      <c r="G1699" s="21"/>
      <c r="H1699" s="21"/>
      <c r="I1699" s="18"/>
      <c r="J1699" s="22"/>
      <c r="K1699" s="18"/>
      <c r="L1699" s="40"/>
    </row>
    <row r="1700" spans="1:12" hidden="1" x14ac:dyDescent="0.25">
      <c r="A1700" s="18"/>
      <c r="B1700" s="19"/>
      <c r="C1700" s="20"/>
      <c r="G1700" s="21"/>
      <c r="H1700" s="21"/>
      <c r="I1700" s="18"/>
      <c r="J1700" s="22"/>
      <c r="K1700" s="18"/>
      <c r="L1700" s="40"/>
    </row>
    <row r="1701" spans="1:12" hidden="1" x14ac:dyDescent="0.25">
      <c r="A1701" s="18"/>
      <c r="B1701" s="19"/>
      <c r="C1701" s="20"/>
      <c r="G1701" s="21"/>
      <c r="H1701" s="21"/>
      <c r="I1701" s="18"/>
      <c r="J1701" s="18"/>
      <c r="K1701" s="18"/>
      <c r="L1701" s="40"/>
    </row>
  </sheetData>
  <sheetProtection sort="0" autoFilter="0"/>
  <mergeCells count="2">
    <mergeCell ref="A2:L2"/>
    <mergeCell ref="A1:L1"/>
  </mergeCells>
  <pageMargins left="0.75" right="0.75" top="1" bottom="1" header="0.5" footer="0.5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AA3358"/>
  <sheetViews>
    <sheetView showGridLines="0" zoomScale="70" zoomScaleNormal="70" workbookViewId="0">
      <pane ySplit="4" topLeftCell="A5" activePane="bottomLeft" state="frozen"/>
      <selection pane="bottomLeft" activeCell="O3378" sqref="O3378"/>
    </sheetView>
  </sheetViews>
  <sheetFormatPr defaultColWidth="9.140625" defaultRowHeight="15" x14ac:dyDescent="0.25"/>
  <cols>
    <col min="1" max="1" width="12" customWidth="1"/>
    <col min="2" max="2" width="14" customWidth="1"/>
    <col min="3" max="3" width="12" customWidth="1"/>
    <col min="4" max="4" width="20" customWidth="1"/>
    <col min="5" max="6" width="10" customWidth="1"/>
    <col min="7" max="7" width="12" customWidth="1"/>
    <col min="8" max="8" width="26" customWidth="1"/>
    <col min="9" max="9" width="24" customWidth="1"/>
    <col min="10" max="10" width="12" customWidth="1"/>
    <col min="11" max="11" width="8" customWidth="1"/>
    <col min="12" max="12" width="18" customWidth="1"/>
    <col min="13" max="13" width="16" customWidth="1"/>
    <col min="14" max="14" width="27.42578125" bestFit="1" customWidth="1"/>
    <col min="15" max="15" width="14" style="24" customWidth="1"/>
    <col min="16" max="16" width="14" customWidth="1"/>
    <col min="17" max="17" width="10" customWidth="1"/>
    <col min="18" max="18" width="16" customWidth="1"/>
    <col min="19" max="20" width="12" style="51" customWidth="1"/>
    <col min="21" max="21" width="14" customWidth="1"/>
    <col min="22" max="22" width="20" customWidth="1"/>
    <col min="23" max="24" width="24" customWidth="1"/>
    <col min="26" max="26" width="19.28515625" bestFit="1" customWidth="1"/>
    <col min="27" max="27" width="16.140625" customWidth="1"/>
  </cols>
  <sheetData>
    <row r="1" spans="1:27" ht="18.75" x14ac:dyDescent="0.25">
      <c r="A1" s="64" t="s">
        <v>3016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7"/>
    </row>
    <row r="2" spans="1:27" x14ac:dyDescent="0.25">
      <c r="A2" s="61" t="s">
        <v>3017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</row>
    <row r="4" spans="1:27" ht="25.5" x14ac:dyDescent="0.25">
      <c r="A4" s="6" t="s">
        <v>3018</v>
      </c>
      <c r="B4" s="6" t="s">
        <v>14</v>
      </c>
      <c r="C4" s="6" t="s">
        <v>15</v>
      </c>
      <c r="D4" s="6" t="s">
        <v>16</v>
      </c>
      <c r="E4" s="6" t="s">
        <v>42</v>
      </c>
      <c r="F4" s="6" t="s">
        <v>43</v>
      </c>
      <c r="G4" s="6" t="s">
        <v>38</v>
      </c>
      <c r="H4" s="6" t="s">
        <v>1603</v>
      </c>
      <c r="I4" s="6" t="s">
        <v>1604</v>
      </c>
      <c r="J4" s="6" t="s">
        <v>109</v>
      </c>
      <c r="K4" s="6" t="s">
        <v>1602</v>
      </c>
      <c r="L4" s="6" t="s">
        <v>3019</v>
      </c>
      <c r="M4" s="6" t="s">
        <v>110</v>
      </c>
      <c r="N4" s="6" t="s">
        <v>36</v>
      </c>
      <c r="O4" s="38" t="s">
        <v>35</v>
      </c>
      <c r="P4" s="6" t="s">
        <v>32</v>
      </c>
      <c r="Q4" s="6" t="s">
        <v>33</v>
      </c>
      <c r="R4" s="6" t="s">
        <v>3020</v>
      </c>
      <c r="S4" s="50" t="s">
        <v>3021</v>
      </c>
      <c r="T4" s="50" t="s">
        <v>3022</v>
      </c>
      <c r="U4" s="6" t="s">
        <v>3023</v>
      </c>
      <c r="V4" s="6" t="s">
        <v>3024</v>
      </c>
      <c r="W4" s="6" t="s">
        <v>3025</v>
      </c>
      <c r="X4" s="6" t="s">
        <v>112</v>
      </c>
      <c r="Y4" s="8" t="s">
        <v>74</v>
      </c>
      <c r="Z4" s="6" t="s">
        <v>3026</v>
      </c>
      <c r="AA4" t="s">
        <v>3027</v>
      </c>
    </row>
    <row r="5" spans="1:27" x14ac:dyDescent="0.25">
      <c r="A5">
        <v>1</v>
      </c>
      <c r="B5" t="s">
        <v>24</v>
      </c>
      <c r="C5" t="s">
        <v>25</v>
      </c>
      <c r="D5">
        <v>13</v>
      </c>
      <c r="E5" t="s">
        <v>367</v>
      </c>
      <c r="F5" t="s">
        <v>367</v>
      </c>
      <c r="G5">
        <v>4465</v>
      </c>
      <c r="H5" t="s">
        <v>1608</v>
      </c>
      <c r="I5" t="s">
        <v>1609</v>
      </c>
      <c r="J5">
        <v>19</v>
      </c>
      <c r="K5">
        <v>8</v>
      </c>
      <c r="L5">
        <v>7.6388888888888886E-3</v>
      </c>
      <c r="M5" t="s">
        <v>117</v>
      </c>
      <c r="N5" t="s">
        <v>572</v>
      </c>
      <c r="O5" s="24">
        <v>46118</v>
      </c>
      <c r="P5">
        <v>605</v>
      </c>
      <c r="Q5" t="s">
        <v>34</v>
      </c>
      <c r="R5" s="24">
        <v>46136</v>
      </c>
      <c r="S5" s="51">
        <v>0.38541666666666669</v>
      </c>
      <c r="T5" s="51">
        <v>0.49375000000000002</v>
      </c>
      <c r="X5" t="s">
        <v>3028</v>
      </c>
      <c r="Y5" t="s">
        <v>3029</v>
      </c>
      <c r="Z5">
        <v>2777669</v>
      </c>
    </row>
    <row r="6" spans="1:27" x14ac:dyDescent="0.25">
      <c r="A6">
        <v>2</v>
      </c>
      <c r="B6" t="s">
        <v>24</v>
      </c>
      <c r="C6" t="s">
        <v>25</v>
      </c>
      <c r="D6">
        <v>13</v>
      </c>
      <c r="E6" t="s">
        <v>367</v>
      </c>
      <c r="F6" t="s">
        <v>367</v>
      </c>
      <c r="G6">
        <v>4465</v>
      </c>
      <c r="H6" t="s">
        <v>1613</v>
      </c>
      <c r="I6" t="s">
        <v>1614</v>
      </c>
      <c r="J6">
        <v>19</v>
      </c>
      <c r="K6">
        <v>12</v>
      </c>
      <c r="L6">
        <v>1.4340277777777776E-2</v>
      </c>
      <c r="M6" t="s">
        <v>117</v>
      </c>
      <c r="N6" t="s">
        <v>572</v>
      </c>
      <c r="O6" s="24">
        <v>46118</v>
      </c>
      <c r="P6">
        <v>605</v>
      </c>
      <c r="Q6" t="s">
        <v>34</v>
      </c>
      <c r="R6" s="24">
        <v>46136</v>
      </c>
      <c r="S6" s="51">
        <v>0.38541666666666669</v>
      </c>
      <c r="T6" s="51">
        <v>0.49375000000000002</v>
      </c>
      <c r="X6" t="s">
        <v>3028</v>
      </c>
      <c r="Y6" t="s">
        <v>3029</v>
      </c>
      <c r="Z6">
        <v>2777669</v>
      </c>
    </row>
    <row r="7" spans="1:27" x14ac:dyDescent="0.25">
      <c r="A7">
        <v>3</v>
      </c>
      <c r="B7" t="s">
        <v>24</v>
      </c>
      <c r="C7" t="s">
        <v>25</v>
      </c>
      <c r="D7">
        <v>13</v>
      </c>
      <c r="E7" t="s">
        <v>65</v>
      </c>
      <c r="F7" t="s">
        <v>1589</v>
      </c>
      <c r="G7">
        <v>4465</v>
      </c>
      <c r="H7" t="s">
        <v>1615</v>
      </c>
      <c r="I7" t="s">
        <v>1616</v>
      </c>
      <c r="J7">
        <v>19</v>
      </c>
      <c r="K7">
        <v>5</v>
      </c>
      <c r="L7">
        <v>3.5069444444444445E-3</v>
      </c>
      <c r="M7" t="s">
        <v>117</v>
      </c>
      <c r="N7" t="s">
        <v>572</v>
      </c>
      <c r="O7" s="24">
        <v>46118</v>
      </c>
      <c r="P7">
        <v>605</v>
      </c>
      <c r="Q7" t="s">
        <v>34</v>
      </c>
      <c r="R7" s="24">
        <v>46136</v>
      </c>
      <c r="S7" s="51">
        <v>0.38541666666666669</v>
      </c>
      <c r="T7" s="51">
        <v>0.49375000000000002</v>
      </c>
      <c r="X7" t="s">
        <v>3028</v>
      </c>
      <c r="Y7" t="s">
        <v>3029</v>
      </c>
      <c r="Z7">
        <v>2777669</v>
      </c>
    </row>
    <row r="8" spans="1:27" x14ac:dyDescent="0.25">
      <c r="A8">
        <v>4</v>
      </c>
      <c r="B8" t="s">
        <v>24</v>
      </c>
      <c r="C8" t="s">
        <v>25</v>
      </c>
      <c r="D8">
        <v>13</v>
      </c>
      <c r="E8" t="s">
        <v>65</v>
      </c>
      <c r="F8" t="s">
        <v>1589</v>
      </c>
      <c r="G8">
        <v>4465</v>
      </c>
      <c r="H8" t="s">
        <v>1617</v>
      </c>
      <c r="I8" t="s">
        <v>1618</v>
      </c>
      <c r="J8">
        <v>19</v>
      </c>
      <c r="K8">
        <v>5</v>
      </c>
      <c r="L8">
        <v>2.9513888888888888E-3</v>
      </c>
      <c r="M8" t="s">
        <v>117</v>
      </c>
      <c r="N8" t="s">
        <v>572</v>
      </c>
      <c r="O8" s="24">
        <v>46118</v>
      </c>
      <c r="P8">
        <v>605</v>
      </c>
      <c r="Q8" t="s">
        <v>34</v>
      </c>
      <c r="R8" s="24">
        <v>46136</v>
      </c>
      <c r="S8" s="51">
        <v>0.38541666666666669</v>
      </c>
      <c r="T8" s="51">
        <v>0.49375000000000002</v>
      </c>
      <c r="X8" t="s">
        <v>3028</v>
      </c>
      <c r="Y8" t="s">
        <v>3029</v>
      </c>
      <c r="Z8">
        <v>2777669</v>
      </c>
    </row>
    <row r="9" spans="1:27" x14ac:dyDescent="0.25">
      <c r="A9">
        <v>5</v>
      </c>
      <c r="B9" t="s">
        <v>24</v>
      </c>
      <c r="C9" t="s">
        <v>25</v>
      </c>
      <c r="D9">
        <v>13</v>
      </c>
      <c r="E9" t="s">
        <v>65</v>
      </c>
      <c r="F9" t="s">
        <v>368</v>
      </c>
      <c r="G9">
        <v>4057</v>
      </c>
      <c r="H9" t="s">
        <v>1625</v>
      </c>
      <c r="I9" t="s">
        <v>1626</v>
      </c>
      <c r="J9">
        <v>8</v>
      </c>
      <c r="K9">
        <v>2</v>
      </c>
      <c r="L9">
        <v>1.7129629629629628E-3</v>
      </c>
      <c r="M9" t="s">
        <v>117</v>
      </c>
      <c r="N9" t="s">
        <v>572</v>
      </c>
      <c r="O9" s="24">
        <v>46118</v>
      </c>
      <c r="P9">
        <v>605</v>
      </c>
      <c r="Q9" t="s">
        <v>34</v>
      </c>
      <c r="R9" s="24">
        <v>46136</v>
      </c>
      <c r="S9" s="51">
        <v>0.54305555555555551</v>
      </c>
      <c r="T9" s="51">
        <v>0.55000000000000004</v>
      </c>
      <c r="X9" t="s">
        <v>3030</v>
      </c>
      <c r="Y9" t="s">
        <v>3029</v>
      </c>
      <c r="Z9">
        <v>3219209</v>
      </c>
    </row>
    <row r="10" spans="1:27" x14ac:dyDescent="0.25">
      <c r="A10">
        <v>6</v>
      </c>
      <c r="B10" t="s">
        <v>24</v>
      </c>
      <c r="C10" t="s">
        <v>25</v>
      </c>
      <c r="D10">
        <v>13</v>
      </c>
      <c r="E10" t="s">
        <v>65</v>
      </c>
      <c r="F10" t="s">
        <v>65</v>
      </c>
      <c r="G10">
        <v>4518</v>
      </c>
      <c r="H10" t="s">
        <v>2085</v>
      </c>
      <c r="I10" t="s">
        <v>2086</v>
      </c>
      <c r="J10">
        <v>8</v>
      </c>
      <c r="K10">
        <v>1</v>
      </c>
      <c r="L10">
        <v>7.407407407407407E-4</v>
      </c>
      <c r="M10" t="s">
        <v>117</v>
      </c>
      <c r="N10" t="s">
        <v>239</v>
      </c>
      <c r="O10" s="24">
        <v>46114</v>
      </c>
      <c r="P10">
        <v>605</v>
      </c>
      <c r="Q10" t="s">
        <v>34</v>
      </c>
      <c r="R10" s="24">
        <v>46136</v>
      </c>
      <c r="S10" s="51">
        <v>0.42708333333333331</v>
      </c>
      <c r="T10" s="51">
        <v>0.44374999999999998</v>
      </c>
      <c r="X10" t="s">
        <v>3031</v>
      </c>
      <c r="Y10" t="s">
        <v>3029</v>
      </c>
      <c r="Z10">
        <v>1786246</v>
      </c>
    </row>
    <row r="11" spans="1:27" x14ac:dyDescent="0.25">
      <c r="A11">
        <v>7</v>
      </c>
      <c r="B11" t="s">
        <v>24</v>
      </c>
      <c r="C11" t="s">
        <v>25</v>
      </c>
      <c r="D11">
        <v>13</v>
      </c>
      <c r="E11" t="s">
        <v>150</v>
      </c>
      <c r="F11" t="s">
        <v>512</v>
      </c>
      <c r="G11">
        <v>3423</v>
      </c>
      <c r="H11" t="s">
        <v>1619</v>
      </c>
      <c r="I11" t="s">
        <v>1620</v>
      </c>
      <c r="J11">
        <v>8</v>
      </c>
      <c r="K11">
        <v>1</v>
      </c>
      <c r="L11">
        <v>5.9143518518518512E-3</v>
      </c>
      <c r="M11" t="s">
        <v>117</v>
      </c>
      <c r="N11" t="s">
        <v>159</v>
      </c>
      <c r="O11" s="24">
        <v>46109</v>
      </c>
      <c r="P11">
        <v>605</v>
      </c>
      <c r="Q11" t="s">
        <v>34</v>
      </c>
      <c r="R11" s="24">
        <v>46113</v>
      </c>
      <c r="S11" s="51">
        <v>6.9444444444444441E-3</v>
      </c>
      <c r="T11" s="51">
        <v>2.4305555555555556E-2</v>
      </c>
      <c r="X11" t="s">
        <v>164</v>
      </c>
      <c r="Y11" t="s">
        <v>3032</v>
      </c>
    </row>
    <row r="12" spans="1:27" x14ac:dyDescent="0.25">
      <c r="A12">
        <v>8</v>
      </c>
      <c r="B12" t="s">
        <v>24</v>
      </c>
      <c r="C12" t="s">
        <v>25</v>
      </c>
      <c r="D12">
        <v>13</v>
      </c>
      <c r="E12" t="s">
        <v>1588</v>
      </c>
      <c r="F12" t="s">
        <v>44</v>
      </c>
      <c r="G12">
        <v>3423</v>
      </c>
      <c r="H12" t="s">
        <v>1623</v>
      </c>
      <c r="I12" t="s">
        <v>1624</v>
      </c>
      <c r="J12">
        <v>8</v>
      </c>
      <c r="K12">
        <v>1</v>
      </c>
      <c r="L12">
        <v>1.6319444444444443E-3</v>
      </c>
      <c r="M12" t="s">
        <v>117</v>
      </c>
      <c r="N12" t="s">
        <v>159</v>
      </c>
      <c r="O12" s="24">
        <v>46109</v>
      </c>
      <c r="P12">
        <v>605</v>
      </c>
      <c r="Q12" t="s">
        <v>34</v>
      </c>
      <c r="R12" s="24">
        <v>46113</v>
      </c>
      <c r="S12" s="51">
        <v>6.9444444444444441E-3</v>
      </c>
      <c r="T12" s="51">
        <v>2.4305555555555556E-2</v>
      </c>
      <c r="X12" t="s">
        <v>164</v>
      </c>
      <c r="Y12" t="s">
        <v>3032</v>
      </c>
    </row>
    <row r="13" spans="1:27" x14ac:dyDescent="0.25">
      <c r="A13">
        <v>9</v>
      </c>
      <c r="B13" t="s">
        <v>24</v>
      </c>
      <c r="C13" t="s">
        <v>25</v>
      </c>
      <c r="D13">
        <v>13</v>
      </c>
      <c r="E13" t="s">
        <v>367</v>
      </c>
      <c r="F13" t="s">
        <v>367</v>
      </c>
      <c r="G13">
        <v>4255</v>
      </c>
      <c r="H13" t="s">
        <v>2416</v>
      </c>
      <c r="I13" t="s">
        <v>2329</v>
      </c>
      <c r="J13">
        <v>8</v>
      </c>
      <c r="K13">
        <v>2</v>
      </c>
      <c r="L13">
        <v>1.3541666666666667E-3</v>
      </c>
      <c r="M13" t="s">
        <v>117</v>
      </c>
      <c r="N13" t="s">
        <v>351</v>
      </c>
      <c r="O13" s="24">
        <v>46114</v>
      </c>
      <c r="P13">
        <v>606</v>
      </c>
      <c r="Q13" t="s">
        <v>34</v>
      </c>
      <c r="R13" s="24">
        <v>46136</v>
      </c>
      <c r="S13" s="51">
        <v>0.92013888888888884</v>
      </c>
      <c r="T13" s="51">
        <v>0.94791666666666663</v>
      </c>
      <c r="X13" t="s">
        <v>3033</v>
      </c>
      <c r="Y13" t="s">
        <v>3032</v>
      </c>
      <c r="Z13">
        <v>1742314</v>
      </c>
    </row>
    <row r="14" spans="1:27" x14ac:dyDescent="0.25">
      <c r="A14">
        <v>10</v>
      </c>
      <c r="B14" t="s">
        <v>24</v>
      </c>
      <c r="C14" t="s">
        <v>25</v>
      </c>
      <c r="D14">
        <v>13</v>
      </c>
      <c r="E14" t="s">
        <v>65</v>
      </c>
      <c r="F14" t="s">
        <v>512</v>
      </c>
      <c r="G14">
        <v>4068</v>
      </c>
      <c r="H14" t="s">
        <v>2337</v>
      </c>
      <c r="I14" t="s">
        <v>2286</v>
      </c>
      <c r="J14">
        <v>8</v>
      </c>
      <c r="K14">
        <v>1</v>
      </c>
      <c r="L14">
        <v>1.4814814814814814E-3</v>
      </c>
      <c r="M14" t="s">
        <v>117</v>
      </c>
      <c r="N14" t="s">
        <v>351</v>
      </c>
      <c r="O14" s="24">
        <v>46114</v>
      </c>
      <c r="P14">
        <v>606</v>
      </c>
      <c r="Q14" t="s">
        <v>34</v>
      </c>
      <c r="R14" s="24">
        <v>46136</v>
      </c>
      <c r="S14" s="51">
        <v>0.40625</v>
      </c>
      <c r="T14" s="51">
        <v>0.42291666666666666</v>
      </c>
      <c r="X14" t="s">
        <v>3034</v>
      </c>
      <c r="Y14" t="s">
        <v>3035</v>
      </c>
      <c r="Z14">
        <v>1742372</v>
      </c>
    </row>
    <row r="15" spans="1:27" x14ac:dyDescent="0.25">
      <c r="A15">
        <v>11</v>
      </c>
      <c r="B15" t="s">
        <v>24</v>
      </c>
      <c r="C15" t="s">
        <v>25</v>
      </c>
      <c r="D15">
        <v>13</v>
      </c>
      <c r="E15" t="s">
        <v>2094</v>
      </c>
      <c r="F15" t="s">
        <v>44</v>
      </c>
      <c r="G15">
        <v>3475</v>
      </c>
      <c r="H15" t="s">
        <v>48</v>
      </c>
      <c r="I15" t="s">
        <v>1119</v>
      </c>
      <c r="J15">
        <v>8</v>
      </c>
      <c r="K15">
        <v>3</v>
      </c>
      <c r="L15">
        <v>4.5949074074074069E-3</v>
      </c>
      <c r="M15" t="s">
        <v>117</v>
      </c>
      <c r="N15" t="s">
        <v>351</v>
      </c>
      <c r="O15" s="24">
        <v>46114</v>
      </c>
      <c r="P15">
        <v>606</v>
      </c>
      <c r="Q15" t="s">
        <v>34</v>
      </c>
      <c r="R15" s="24">
        <v>46136</v>
      </c>
      <c r="S15" s="51">
        <v>0.96527777777777779</v>
      </c>
      <c r="T15" s="51">
        <v>0.98958333333333337</v>
      </c>
      <c r="X15" t="s">
        <v>3036</v>
      </c>
      <c r="Y15" t="s">
        <v>3032</v>
      </c>
      <c r="Z15">
        <v>2784148</v>
      </c>
    </row>
    <row r="16" spans="1:27" x14ac:dyDescent="0.25">
      <c r="A16">
        <v>12</v>
      </c>
      <c r="B16" t="s">
        <v>24</v>
      </c>
      <c r="C16" t="s">
        <v>25</v>
      </c>
      <c r="D16">
        <v>13</v>
      </c>
      <c r="E16" t="s">
        <v>1585</v>
      </c>
      <c r="F16" t="s">
        <v>1585</v>
      </c>
      <c r="G16">
        <v>3350</v>
      </c>
      <c r="H16" t="s">
        <v>1635</v>
      </c>
      <c r="I16" t="s">
        <v>1636</v>
      </c>
      <c r="J16">
        <v>16</v>
      </c>
      <c r="K16">
        <v>4</v>
      </c>
      <c r="L16">
        <v>3.9930555555555552E-3</v>
      </c>
      <c r="M16" t="s">
        <v>117</v>
      </c>
      <c r="N16" t="s">
        <v>239</v>
      </c>
      <c r="O16" s="24">
        <v>46114</v>
      </c>
      <c r="P16">
        <v>605</v>
      </c>
      <c r="Q16" t="s">
        <v>34</v>
      </c>
      <c r="R16" s="24">
        <v>46136</v>
      </c>
      <c r="S16" s="51">
        <v>0.4513888888888889</v>
      </c>
      <c r="T16" s="51">
        <v>0.57430555555555551</v>
      </c>
      <c r="X16" t="s">
        <v>3037</v>
      </c>
      <c r="Y16" t="s">
        <v>3029</v>
      </c>
      <c r="Z16">
        <v>2777656</v>
      </c>
    </row>
    <row r="17" spans="1:26" x14ac:dyDescent="0.25">
      <c r="A17">
        <v>13</v>
      </c>
      <c r="B17" t="s">
        <v>24</v>
      </c>
      <c r="C17" t="s">
        <v>25</v>
      </c>
      <c r="D17">
        <v>13</v>
      </c>
      <c r="E17" t="s">
        <v>530</v>
      </c>
      <c r="F17" t="s">
        <v>530</v>
      </c>
      <c r="G17">
        <v>3350</v>
      </c>
      <c r="H17" t="s">
        <v>1639</v>
      </c>
      <c r="I17" t="s">
        <v>1640</v>
      </c>
      <c r="J17">
        <v>16</v>
      </c>
      <c r="K17">
        <v>12</v>
      </c>
      <c r="L17">
        <v>6.6435185185185182E-3</v>
      </c>
      <c r="M17" t="s">
        <v>117</v>
      </c>
      <c r="N17" t="s">
        <v>239</v>
      </c>
      <c r="O17" s="24">
        <v>46114</v>
      </c>
      <c r="P17">
        <v>605</v>
      </c>
      <c r="Q17" t="s">
        <v>34</v>
      </c>
      <c r="R17" s="24">
        <v>46136</v>
      </c>
      <c r="S17" s="51">
        <v>0.4513888888888889</v>
      </c>
      <c r="T17" s="51">
        <v>0.57430555555555551</v>
      </c>
      <c r="X17" t="s">
        <v>3037</v>
      </c>
      <c r="Y17" t="s">
        <v>3029</v>
      </c>
      <c r="Z17">
        <v>2777656</v>
      </c>
    </row>
    <row r="18" spans="1:26" x14ac:dyDescent="0.25">
      <c r="A18">
        <v>14</v>
      </c>
      <c r="B18" t="s">
        <v>24</v>
      </c>
      <c r="C18" t="s">
        <v>25</v>
      </c>
      <c r="D18">
        <v>13</v>
      </c>
      <c r="E18" t="s">
        <v>367</v>
      </c>
      <c r="F18" t="s">
        <v>1594</v>
      </c>
      <c r="G18">
        <v>3350</v>
      </c>
      <c r="H18" t="s">
        <v>1641</v>
      </c>
      <c r="I18" t="s">
        <v>1642</v>
      </c>
      <c r="J18">
        <v>16</v>
      </c>
      <c r="K18">
        <v>2</v>
      </c>
      <c r="L18">
        <v>1.1805555555555556E-3</v>
      </c>
      <c r="M18" t="s">
        <v>117</v>
      </c>
      <c r="N18" t="s">
        <v>239</v>
      </c>
      <c r="O18" s="24">
        <v>46114</v>
      </c>
      <c r="P18">
        <v>605</v>
      </c>
      <c r="Q18" t="s">
        <v>34</v>
      </c>
      <c r="R18" s="24">
        <v>46136</v>
      </c>
      <c r="S18" s="51">
        <v>0.4513888888888889</v>
      </c>
      <c r="T18" s="51">
        <v>0.57430555555555551</v>
      </c>
      <c r="X18" t="s">
        <v>3037</v>
      </c>
      <c r="Y18" t="s">
        <v>3029</v>
      </c>
      <c r="Z18">
        <v>2777656</v>
      </c>
    </row>
    <row r="19" spans="1:26" x14ac:dyDescent="0.25">
      <c r="A19">
        <v>15</v>
      </c>
      <c r="B19" t="s">
        <v>24</v>
      </c>
      <c r="C19" t="s">
        <v>25</v>
      </c>
      <c r="D19">
        <v>13</v>
      </c>
      <c r="E19" t="s">
        <v>65</v>
      </c>
      <c r="F19" t="s">
        <v>65</v>
      </c>
      <c r="G19">
        <v>3350</v>
      </c>
      <c r="H19" t="s">
        <v>1643</v>
      </c>
      <c r="I19" t="s">
        <v>1644</v>
      </c>
      <c r="J19">
        <v>16</v>
      </c>
      <c r="K19">
        <v>6</v>
      </c>
      <c r="L19">
        <v>3.460648148148148E-3</v>
      </c>
      <c r="M19" t="s">
        <v>117</v>
      </c>
      <c r="N19" t="s">
        <v>239</v>
      </c>
      <c r="O19" s="24">
        <v>46114</v>
      </c>
      <c r="P19">
        <v>605</v>
      </c>
      <c r="Q19" t="s">
        <v>34</v>
      </c>
      <c r="R19" s="24">
        <v>46136</v>
      </c>
      <c r="S19" s="51">
        <v>0.4513888888888889</v>
      </c>
      <c r="T19" s="51">
        <v>0.57430555555555551</v>
      </c>
      <c r="X19" t="s">
        <v>3037</v>
      </c>
      <c r="Y19" t="s">
        <v>3029</v>
      </c>
      <c r="Z19">
        <v>2777656</v>
      </c>
    </row>
    <row r="20" spans="1:26" x14ac:dyDescent="0.25">
      <c r="A20">
        <v>16</v>
      </c>
      <c r="B20" t="s">
        <v>24</v>
      </c>
      <c r="C20" t="s">
        <v>25</v>
      </c>
      <c r="D20">
        <v>13</v>
      </c>
      <c r="E20" t="s">
        <v>65</v>
      </c>
      <c r="F20" t="s">
        <v>1589</v>
      </c>
      <c r="G20">
        <v>3350</v>
      </c>
      <c r="H20" t="s">
        <v>1645</v>
      </c>
      <c r="I20" t="s">
        <v>1646</v>
      </c>
      <c r="J20">
        <v>16</v>
      </c>
      <c r="K20">
        <v>2</v>
      </c>
      <c r="L20">
        <v>9.2592592592592585E-4</v>
      </c>
      <c r="M20" t="s">
        <v>117</v>
      </c>
      <c r="N20" t="s">
        <v>239</v>
      </c>
      <c r="O20" s="24">
        <v>46114</v>
      </c>
      <c r="P20">
        <v>605</v>
      </c>
      <c r="Q20" t="s">
        <v>34</v>
      </c>
      <c r="R20" s="24">
        <v>46136</v>
      </c>
      <c r="S20" s="51">
        <v>0.4513888888888889</v>
      </c>
      <c r="T20" s="51">
        <v>0.57430555555555551</v>
      </c>
      <c r="X20" t="s">
        <v>3037</v>
      </c>
      <c r="Y20" t="s">
        <v>3029</v>
      </c>
      <c r="Z20">
        <v>2777656</v>
      </c>
    </row>
    <row r="21" spans="1:26" x14ac:dyDescent="0.25">
      <c r="A21">
        <v>17</v>
      </c>
      <c r="B21" t="s">
        <v>24</v>
      </c>
      <c r="C21" t="s">
        <v>25</v>
      </c>
      <c r="D21">
        <v>13</v>
      </c>
      <c r="E21" t="s">
        <v>65</v>
      </c>
      <c r="F21" t="s">
        <v>1589</v>
      </c>
      <c r="G21">
        <v>3350</v>
      </c>
      <c r="H21" t="s">
        <v>1647</v>
      </c>
      <c r="I21" t="s">
        <v>1648</v>
      </c>
      <c r="J21">
        <v>16</v>
      </c>
      <c r="K21">
        <v>1</v>
      </c>
      <c r="L21">
        <v>7.8703703703703705E-4</v>
      </c>
      <c r="M21" t="s">
        <v>117</v>
      </c>
      <c r="N21" t="s">
        <v>239</v>
      </c>
      <c r="O21" s="24">
        <v>46114</v>
      </c>
      <c r="P21">
        <v>605</v>
      </c>
      <c r="Q21" t="s">
        <v>34</v>
      </c>
      <c r="R21" s="24">
        <v>46136</v>
      </c>
      <c r="S21" s="51">
        <v>0.4513888888888889</v>
      </c>
      <c r="T21" s="51">
        <v>0.57430555555555551</v>
      </c>
      <c r="X21" t="s">
        <v>3037</v>
      </c>
      <c r="Y21" t="s">
        <v>3029</v>
      </c>
      <c r="Z21">
        <v>2777656</v>
      </c>
    </row>
    <row r="22" spans="1:26" x14ac:dyDescent="0.25">
      <c r="A22">
        <v>18</v>
      </c>
      <c r="B22" t="s">
        <v>24</v>
      </c>
      <c r="C22" t="s">
        <v>25</v>
      </c>
      <c r="D22">
        <v>13</v>
      </c>
      <c r="E22" t="s">
        <v>65</v>
      </c>
      <c r="F22" t="s">
        <v>1590</v>
      </c>
      <c r="G22">
        <v>3350</v>
      </c>
      <c r="H22" t="s">
        <v>1649</v>
      </c>
      <c r="I22" t="s">
        <v>1650</v>
      </c>
      <c r="J22">
        <v>16</v>
      </c>
      <c r="K22">
        <v>1</v>
      </c>
      <c r="L22">
        <v>7.2916666666666659E-4</v>
      </c>
      <c r="M22" t="s">
        <v>117</v>
      </c>
      <c r="N22" t="s">
        <v>239</v>
      </c>
      <c r="O22" s="24">
        <v>46114</v>
      </c>
      <c r="P22">
        <v>605</v>
      </c>
      <c r="Q22" t="s">
        <v>34</v>
      </c>
      <c r="R22" s="24">
        <v>46136</v>
      </c>
      <c r="S22" s="51">
        <v>0.4513888888888889</v>
      </c>
      <c r="T22" s="51">
        <v>0.57430555555555551</v>
      </c>
      <c r="X22" t="s">
        <v>3037</v>
      </c>
      <c r="Y22" t="s">
        <v>3029</v>
      </c>
      <c r="Z22">
        <v>2777656</v>
      </c>
    </row>
    <row r="23" spans="1:26" x14ac:dyDescent="0.25">
      <c r="A23">
        <v>19</v>
      </c>
      <c r="B23" t="s">
        <v>24</v>
      </c>
      <c r="C23" t="s">
        <v>25</v>
      </c>
      <c r="D23">
        <v>13</v>
      </c>
      <c r="E23" t="s">
        <v>65</v>
      </c>
      <c r="F23" t="s">
        <v>1589</v>
      </c>
      <c r="G23">
        <v>3350</v>
      </c>
      <c r="H23" t="s">
        <v>1651</v>
      </c>
      <c r="I23" t="s">
        <v>1652</v>
      </c>
      <c r="J23">
        <v>16</v>
      </c>
      <c r="K23">
        <v>1</v>
      </c>
      <c r="L23">
        <v>7.407407407407407E-4</v>
      </c>
      <c r="M23" t="s">
        <v>117</v>
      </c>
      <c r="N23" t="s">
        <v>239</v>
      </c>
      <c r="O23" s="24">
        <v>46114</v>
      </c>
      <c r="P23">
        <v>605</v>
      </c>
      <c r="Q23" t="s">
        <v>34</v>
      </c>
      <c r="R23" s="24">
        <v>46136</v>
      </c>
      <c r="S23" s="51">
        <v>0.4513888888888889</v>
      </c>
      <c r="T23" s="51">
        <v>0.57430555555555551</v>
      </c>
      <c r="X23" t="s">
        <v>3037</v>
      </c>
      <c r="Y23" t="s">
        <v>3029</v>
      </c>
      <c r="Z23">
        <v>2777656</v>
      </c>
    </row>
    <row r="24" spans="1:26" x14ac:dyDescent="0.25">
      <c r="A24">
        <v>20</v>
      </c>
      <c r="B24" t="s">
        <v>24</v>
      </c>
      <c r="C24" t="s">
        <v>25</v>
      </c>
      <c r="D24">
        <v>13</v>
      </c>
      <c r="E24" t="s">
        <v>65</v>
      </c>
      <c r="F24" t="s">
        <v>1590</v>
      </c>
      <c r="G24">
        <v>3350</v>
      </c>
      <c r="H24" t="s">
        <v>1653</v>
      </c>
      <c r="I24" t="s">
        <v>1650</v>
      </c>
      <c r="J24">
        <v>16</v>
      </c>
      <c r="K24">
        <v>1</v>
      </c>
      <c r="L24">
        <v>7.407407407407407E-4</v>
      </c>
      <c r="M24" t="s">
        <v>117</v>
      </c>
      <c r="N24" t="s">
        <v>239</v>
      </c>
      <c r="O24" s="24">
        <v>46114</v>
      </c>
      <c r="P24">
        <v>605</v>
      </c>
      <c r="Q24" t="s">
        <v>34</v>
      </c>
      <c r="R24" s="24">
        <v>46136</v>
      </c>
      <c r="S24" s="51">
        <v>0.4513888888888889</v>
      </c>
      <c r="T24" s="51">
        <v>0.57430555555555551</v>
      </c>
      <c r="X24" t="s">
        <v>3037</v>
      </c>
      <c r="Y24" t="s">
        <v>3029</v>
      </c>
      <c r="Z24">
        <v>2777656</v>
      </c>
    </row>
    <row r="25" spans="1:26" x14ac:dyDescent="0.25">
      <c r="A25">
        <v>21</v>
      </c>
      <c r="B25" t="s">
        <v>24</v>
      </c>
      <c r="C25" t="s">
        <v>25</v>
      </c>
      <c r="D25">
        <v>13</v>
      </c>
      <c r="E25" t="s">
        <v>65</v>
      </c>
      <c r="F25" t="s">
        <v>1589</v>
      </c>
      <c r="G25">
        <v>3350</v>
      </c>
      <c r="H25" t="s">
        <v>1654</v>
      </c>
      <c r="I25" t="s">
        <v>1655</v>
      </c>
      <c r="J25">
        <v>16</v>
      </c>
      <c r="K25">
        <v>1</v>
      </c>
      <c r="L25">
        <v>7.407407407407407E-4</v>
      </c>
      <c r="M25" t="s">
        <v>117</v>
      </c>
      <c r="N25" t="s">
        <v>239</v>
      </c>
      <c r="O25" s="24">
        <v>46114</v>
      </c>
      <c r="P25">
        <v>605</v>
      </c>
      <c r="Q25" t="s">
        <v>34</v>
      </c>
      <c r="R25" s="24">
        <v>46136</v>
      </c>
      <c r="S25" s="51">
        <v>0.4513888888888889</v>
      </c>
      <c r="T25" s="51">
        <v>0.57430555555555551</v>
      </c>
      <c r="X25" t="s">
        <v>3037</v>
      </c>
      <c r="Y25" t="s">
        <v>3029</v>
      </c>
      <c r="Z25">
        <v>2777656</v>
      </c>
    </row>
    <row r="26" spans="1:26" x14ac:dyDescent="0.25">
      <c r="A26">
        <v>22</v>
      </c>
      <c r="B26" t="s">
        <v>24</v>
      </c>
      <c r="C26" t="s">
        <v>25</v>
      </c>
      <c r="D26">
        <v>13</v>
      </c>
      <c r="E26" t="s">
        <v>65</v>
      </c>
      <c r="F26" t="s">
        <v>1591</v>
      </c>
      <c r="G26">
        <v>3350</v>
      </c>
      <c r="H26" t="s">
        <v>1656</v>
      </c>
      <c r="I26" t="s">
        <v>1648</v>
      </c>
      <c r="J26">
        <v>16</v>
      </c>
      <c r="K26">
        <v>1</v>
      </c>
      <c r="L26">
        <v>7.8703703703703705E-4</v>
      </c>
      <c r="M26" t="s">
        <v>117</v>
      </c>
      <c r="N26" t="s">
        <v>239</v>
      </c>
      <c r="O26" s="24">
        <v>46114</v>
      </c>
      <c r="P26">
        <v>605</v>
      </c>
      <c r="Q26" t="s">
        <v>34</v>
      </c>
      <c r="R26" s="24">
        <v>46136</v>
      </c>
      <c r="S26" s="51">
        <v>0.4513888888888889</v>
      </c>
      <c r="T26" s="51">
        <v>0.57430555555555551</v>
      </c>
      <c r="X26" t="s">
        <v>3037</v>
      </c>
      <c r="Y26" t="s">
        <v>3029</v>
      </c>
      <c r="Z26">
        <v>2777656</v>
      </c>
    </row>
    <row r="27" spans="1:26" x14ac:dyDescent="0.25">
      <c r="A27">
        <v>23</v>
      </c>
      <c r="B27" t="s">
        <v>24</v>
      </c>
      <c r="C27" t="s">
        <v>25</v>
      </c>
      <c r="D27">
        <v>13</v>
      </c>
      <c r="E27" t="s">
        <v>65</v>
      </c>
      <c r="F27" t="s">
        <v>1591</v>
      </c>
      <c r="G27">
        <v>3350</v>
      </c>
      <c r="H27" t="s">
        <v>1657</v>
      </c>
      <c r="I27" t="s">
        <v>1658</v>
      </c>
      <c r="J27">
        <v>16</v>
      </c>
      <c r="K27">
        <v>1</v>
      </c>
      <c r="L27">
        <v>6.5972222222222224E-4</v>
      </c>
      <c r="M27" t="s">
        <v>117</v>
      </c>
      <c r="N27" t="s">
        <v>239</v>
      </c>
      <c r="O27" s="24">
        <v>46114</v>
      </c>
      <c r="P27">
        <v>605</v>
      </c>
      <c r="Q27" t="s">
        <v>34</v>
      </c>
      <c r="R27" s="24">
        <v>46136</v>
      </c>
      <c r="S27" s="51">
        <v>0.4513888888888889</v>
      </c>
      <c r="T27" s="51">
        <v>0.57430555555555551</v>
      </c>
      <c r="X27" t="s">
        <v>3037</v>
      </c>
      <c r="Y27" t="s">
        <v>3029</v>
      </c>
      <c r="Z27">
        <v>2777656</v>
      </c>
    </row>
    <row r="28" spans="1:26" x14ac:dyDescent="0.25">
      <c r="A28">
        <v>24</v>
      </c>
      <c r="B28" t="s">
        <v>24</v>
      </c>
      <c r="C28" t="s">
        <v>25</v>
      </c>
      <c r="D28">
        <v>13</v>
      </c>
      <c r="E28" t="s">
        <v>65</v>
      </c>
      <c r="F28" t="s">
        <v>1591</v>
      </c>
      <c r="G28">
        <v>3350</v>
      </c>
      <c r="H28" t="s">
        <v>1659</v>
      </c>
      <c r="I28" t="s">
        <v>1660</v>
      </c>
      <c r="J28">
        <v>16</v>
      </c>
      <c r="K28">
        <v>1</v>
      </c>
      <c r="L28">
        <v>7.407407407407407E-4</v>
      </c>
      <c r="M28" t="s">
        <v>117</v>
      </c>
      <c r="N28" t="s">
        <v>239</v>
      </c>
      <c r="O28" s="24">
        <v>46114</v>
      </c>
      <c r="P28">
        <v>605</v>
      </c>
      <c r="Q28" t="s">
        <v>34</v>
      </c>
      <c r="R28" s="24">
        <v>46136</v>
      </c>
      <c r="S28" s="51">
        <v>0.4513888888888889</v>
      </c>
      <c r="T28" s="51">
        <v>0.57430555555555551</v>
      </c>
      <c r="X28" t="s">
        <v>3037</v>
      </c>
      <c r="Y28" t="s">
        <v>3029</v>
      </c>
      <c r="Z28">
        <v>2777656</v>
      </c>
    </row>
    <row r="29" spans="1:26" x14ac:dyDescent="0.25">
      <c r="A29">
        <v>25</v>
      </c>
      <c r="B29" t="s">
        <v>24</v>
      </c>
      <c r="C29" t="s">
        <v>25</v>
      </c>
      <c r="D29">
        <v>13</v>
      </c>
      <c r="E29" t="s">
        <v>65</v>
      </c>
      <c r="F29" t="s">
        <v>1598</v>
      </c>
      <c r="G29">
        <v>3350</v>
      </c>
      <c r="H29" t="s">
        <v>1661</v>
      </c>
      <c r="I29" t="s">
        <v>1662</v>
      </c>
      <c r="J29">
        <v>16</v>
      </c>
      <c r="K29">
        <v>2</v>
      </c>
      <c r="L29">
        <v>2.4884259259259256E-3</v>
      </c>
      <c r="M29" t="s">
        <v>117</v>
      </c>
      <c r="N29" t="s">
        <v>239</v>
      </c>
      <c r="O29" s="24">
        <v>46114</v>
      </c>
      <c r="P29">
        <v>605</v>
      </c>
      <c r="Q29" t="s">
        <v>34</v>
      </c>
      <c r="R29" s="24">
        <v>46136</v>
      </c>
      <c r="S29" s="51">
        <v>0.4513888888888889</v>
      </c>
      <c r="T29" s="51">
        <v>0.57430555555555551</v>
      </c>
      <c r="X29" t="s">
        <v>3037</v>
      </c>
      <c r="Y29" t="s">
        <v>3029</v>
      </c>
      <c r="Z29">
        <v>2777656</v>
      </c>
    </row>
    <row r="30" spans="1:26" x14ac:dyDescent="0.25">
      <c r="A30">
        <v>26</v>
      </c>
      <c r="B30" t="s">
        <v>24</v>
      </c>
      <c r="C30" t="s">
        <v>25</v>
      </c>
      <c r="D30">
        <v>13</v>
      </c>
      <c r="E30" t="s">
        <v>1665</v>
      </c>
      <c r="F30" t="s">
        <v>115</v>
      </c>
      <c r="G30">
        <v>3351</v>
      </c>
      <c r="H30" t="s">
        <v>1663</v>
      </c>
      <c r="I30" t="s">
        <v>1664</v>
      </c>
      <c r="J30">
        <v>16</v>
      </c>
      <c r="K30">
        <v>1</v>
      </c>
      <c r="L30">
        <v>1.5046296296296296E-3</v>
      </c>
      <c r="M30" t="s">
        <v>117</v>
      </c>
      <c r="N30" t="s">
        <v>239</v>
      </c>
      <c r="O30" s="24">
        <v>46114</v>
      </c>
      <c r="P30">
        <v>605</v>
      </c>
      <c r="Q30" t="s">
        <v>34</v>
      </c>
      <c r="R30" s="24">
        <v>46136</v>
      </c>
      <c r="S30" s="51">
        <v>0.38958333333333334</v>
      </c>
      <c r="T30" s="51">
        <v>0.44444444444444442</v>
      </c>
      <c r="X30" t="s">
        <v>3038</v>
      </c>
      <c r="Y30" t="s">
        <v>3029</v>
      </c>
      <c r="Z30">
        <v>2777656</v>
      </c>
    </row>
    <row r="31" spans="1:26" x14ac:dyDescent="0.25">
      <c r="A31">
        <v>27</v>
      </c>
      <c r="B31" t="s">
        <v>24</v>
      </c>
      <c r="C31" t="s">
        <v>25</v>
      </c>
      <c r="D31">
        <v>13</v>
      </c>
      <c r="E31" t="s">
        <v>1588</v>
      </c>
      <c r="F31" t="s">
        <v>1588</v>
      </c>
      <c r="G31">
        <v>3351</v>
      </c>
      <c r="H31" t="s">
        <v>1667</v>
      </c>
      <c r="I31" t="s">
        <v>1668</v>
      </c>
      <c r="J31">
        <v>16</v>
      </c>
      <c r="K31">
        <v>2</v>
      </c>
      <c r="L31">
        <v>1.4583333333333332E-3</v>
      </c>
      <c r="M31" t="s">
        <v>117</v>
      </c>
      <c r="N31" t="s">
        <v>239</v>
      </c>
      <c r="O31" s="24">
        <v>46114</v>
      </c>
      <c r="P31">
        <v>605</v>
      </c>
      <c r="Q31" t="s">
        <v>34</v>
      </c>
      <c r="R31" s="24">
        <v>46136</v>
      </c>
      <c r="S31" s="51">
        <v>0.38958333333333334</v>
      </c>
      <c r="T31" s="51">
        <v>0.44444444444444442</v>
      </c>
      <c r="X31" t="s">
        <v>3038</v>
      </c>
      <c r="Y31" t="s">
        <v>3029</v>
      </c>
      <c r="Z31">
        <v>2777656</v>
      </c>
    </row>
    <row r="32" spans="1:26" x14ac:dyDescent="0.25">
      <c r="A32">
        <v>28</v>
      </c>
      <c r="B32" t="s">
        <v>24</v>
      </c>
      <c r="C32" t="s">
        <v>25</v>
      </c>
      <c r="D32">
        <v>13</v>
      </c>
      <c r="E32" t="s">
        <v>1588</v>
      </c>
      <c r="F32" t="s">
        <v>1588</v>
      </c>
      <c r="G32">
        <v>3351</v>
      </c>
      <c r="H32" t="s">
        <v>1669</v>
      </c>
      <c r="I32" t="s">
        <v>1670</v>
      </c>
      <c r="J32">
        <v>16</v>
      </c>
      <c r="K32">
        <v>2</v>
      </c>
      <c r="L32">
        <v>1.4699074074074074E-3</v>
      </c>
      <c r="M32" t="s">
        <v>117</v>
      </c>
      <c r="N32" t="s">
        <v>239</v>
      </c>
      <c r="O32" s="24">
        <v>46114</v>
      </c>
      <c r="P32">
        <v>605</v>
      </c>
      <c r="Q32" t="s">
        <v>34</v>
      </c>
      <c r="R32" s="24">
        <v>46136</v>
      </c>
      <c r="S32" s="51">
        <v>0.38958333333333334</v>
      </c>
      <c r="T32" s="51">
        <v>0.44444444444444442</v>
      </c>
      <c r="X32" t="s">
        <v>3038</v>
      </c>
      <c r="Y32" t="s">
        <v>3029</v>
      </c>
      <c r="Z32">
        <v>2777656</v>
      </c>
    </row>
    <row r="33" spans="1:26" x14ac:dyDescent="0.25">
      <c r="A33">
        <v>29</v>
      </c>
      <c r="B33" t="s">
        <v>24</v>
      </c>
      <c r="C33" t="s">
        <v>25</v>
      </c>
      <c r="D33">
        <v>13</v>
      </c>
      <c r="E33" t="s">
        <v>1672</v>
      </c>
      <c r="F33" t="s">
        <v>115</v>
      </c>
      <c r="G33">
        <v>3351</v>
      </c>
      <c r="H33" t="s">
        <v>1671</v>
      </c>
      <c r="I33" t="s">
        <v>1664</v>
      </c>
      <c r="J33">
        <v>16</v>
      </c>
      <c r="K33">
        <v>1</v>
      </c>
      <c r="L33">
        <v>1.6435185185185185E-3</v>
      </c>
      <c r="M33" t="s">
        <v>117</v>
      </c>
      <c r="N33" t="s">
        <v>239</v>
      </c>
      <c r="O33" s="24">
        <v>46114</v>
      </c>
      <c r="P33">
        <v>605</v>
      </c>
      <c r="Q33" t="s">
        <v>34</v>
      </c>
      <c r="R33" s="24">
        <v>46136</v>
      </c>
      <c r="S33" s="51">
        <v>0.38958333333333334</v>
      </c>
      <c r="T33" s="51">
        <v>0.44444444444444442</v>
      </c>
      <c r="X33" t="s">
        <v>3038</v>
      </c>
      <c r="Y33" t="s">
        <v>3029</v>
      </c>
      <c r="Z33">
        <v>2777656</v>
      </c>
    </row>
    <row r="34" spans="1:26" x14ac:dyDescent="0.25">
      <c r="A34">
        <v>30</v>
      </c>
      <c r="B34" t="s">
        <v>24</v>
      </c>
      <c r="C34" t="s">
        <v>25</v>
      </c>
      <c r="D34">
        <v>13</v>
      </c>
      <c r="E34" t="s">
        <v>367</v>
      </c>
      <c r="F34" t="s">
        <v>368</v>
      </c>
      <c r="G34">
        <v>3351</v>
      </c>
      <c r="H34" t="s">
        <v>1673</v>
      </c>
      <c r="I34" t="s">
        <v>1674</v>
      </c>
      <c r="J34">
        <v>16</v>
      </c>
      <c r="K34">
        <v>1</v>
      </c>
      <c r="L34">
        <v>1.5162037037037036E-3</v>
      </c>
      <c r="M34" t="s">
        <v>117</v>
      </c>
      <c r="N34" t="s">
        <v>239</v>
      </c>
      <c r="O34" s="24">
        <v>46114</v>
      </c>
      <c r="P34">
        <v>605</v>
      </c>
      <c r="Q34" t="s">
        <v>34</v>
      </c>
      <c r="R34" s="24">
        <v>46136</v>
      </c>
      <c r="S34" s="51">
        <v>0.38958333333333334</v>
      </c>
      <c r="T34" s="51">
        <v>0.44444444444444442</v>
      </c>
      <c r="X34" t="s">
        <v>3038</v>
      </c>
      <c r="Y34" t="s">
        <v>3029</v>
      </c>
      <c r="Z34">
        <v>2777656</v>
      </c>
    </row>
    <row r="35" spans="1:26" x14ac:dyDescent="0.25">
      <c r="A35">
        <v>31</v>
      </c>
      <c r="B35" t="s">
        <v>24</v>
      </c>
      <c r="C35" t="s">
        <v>25</v>
      </c>
      <c r="D35">
        <v>13</v>
      </c>
      <c r="E35" t="s">
        <v>367</v>
      </c>
      <c r="F35" t="s">
        <v>368</v>
      </c>
      <c r="G35">
        <v>3351</v>
      </c>
      <c r="H35" t="s">
        <v>1675</v>
      </c>
      <c r="I35" t="s">
        <v>1676</v>
      </c>
      <c r="J35">
        <v>16</v>
      </c>
      <c r="K35">
        <v>1</v>
      </c>
      <c r="L35">
        <v>6.4814814814814813E-4</v>
      </c>
      <c r="M35" t="s">
        <v>117</v>
      </c>
      <c r="N35" t="s">
        <v>239</v>
      </c>
      <c r="O35" s="24">
        <v>46114</v>
      </c>
      <c r="P35">
        <v>605</v>
      </c>
      <c r="Q35" t="s">
        <v>34</v>
      </c>
      <c r="R35" s="24">
        <v>46136</v>
      </c>
      <c r="S35" s="51">
        <v>0.38958333333333334</v>
      </c>
      <c r="T35" s="51">
        <v>0.44444444444444442</v>
      </c>
      <c r="X35" t="s">
        <v>3038</v>
      </c>
      <c r="Y35" t="s">
        <v>3029</v>
      </c>
      <c r="Z35">
        <v>2777656</v>
      </c>
    </row>
    <row r="36" spans="1:26" x14ac:dyDescent="0.25">
      <c r="A36">
        <v>32</v>
      </c>
      <c r="B36" t="s">
        <v>24</v>
      </c>
      <c r="C36" t="s">
        <v>25</v>
      </c>
      <c r="D36">
        <v>13</v>
      </c>
      <c r="E36" t="s">
        <v>367</v>
      </c>
      <c r="F36" t="s">
        <v>368</v>
      </c>
      <c r="G36">
        <v>3351</v>
      </c>
      <c r="H36" t="s">
        <v>1677</v>
      </c>
      <c r="I36" t="s">
        <v>1674</v>
      </c>
      <c r="J36">
        <v>16</v>
      </c>
      <c r="K36">
        <v>1</v>
      </c>
      <c r="L36">
        <v>1.5162037037037036E-3</v>
      </c>
      <c r="M36" t="s">
        <v>117</v>
      </c>
      <c r="N36" t="s">
        <v>239</v>
      </c>
      <c r="O36" s="24">
        <v>46114</v>
      </c>
      <c r="P36">
        <v>605</v>
      </c>
      <c r="Q36" t="s">
        <v>34</v>
      </c>
      <c r="R36" s="24">
        <v>46136</v>
      </c>
      <c r="S36" s="51">
        <v>0.38958333333333334</v>
      </c>
      <c r="T36" s="51">
        <v>0.44444444444444442</v>
      </c>
      <c r="X36" t="s">
        <v>3038</v>
      </c>
      <c r="Y36" t="s">
        <v>3029</v>
      </c>
      <c r="Z36">
        <v>2777656</v>
      </c>
    </row>
    <row r="37" spans="1:26" x14ac:dyDescent="0.25">
      <c r="A37">
        <v>33</v>
      </c>
      <c r="B37" t="s">
        <v>24</v>
      </c>
      <c r="C37" t="s">
        <v>25</v>
      </c>
      <c r="D37">
        <v>13</v>
      </c>
      <c r="E37" t="s">
        <v>367</v>
      </c>
      <c r="F37" t="s">
        <v>368</v>
      </c>
      <c r="G37">
        <v>3351</v>
      </c>
      <c r="H37" t="s">
        <v>1678</v>
      </c>
      <c r="I37" t="s">
        <v>1679</v>
      </c>
      <c r="J37">
        <v>16</v>
      </c>
      <c r="K37">
        <v>1</v>
      </c>
      <c r="L37">
        <v>6.7129629629629625E-4</v>
      </c>
      <c r="M37" t="s">
        <v>117</v>
      </c>
      <c r="N37" t="s">
        <v>239</v>
      </c>
      <c r="O37" s="24">
        <v>46114</v>
      </c>
      <c r="P37">
        <v>605</v>
      </c>
      <c r="Q37" t="s">
        <v>34</v>
      </c>
      <c r="R37" s="24">
        <v>46136</v>
      </c>
      <c r="S37" s="51">
        <v>0.38958333333333334</v>
      </c>
      <c r="T37" s="51">
        <v>0.44444444444444442</v>
      </c>
      <c r="X37" t="s">
        <v>3038</v>
      </c>
      <c r="Y37" t="s">
        <v>3029</v>
      </c>
      <c r="Z37">
        <v>2777656</v>
      </c>
    </row>
    <row r="38" spans="1:26" x14ac:dyDescent="0.25">
      <c r="A38">
        <v>34</v>
      </c>
      <c r="B38" t="s">
        <v>24</v>
      </c>
      <c r="C38" t="s">
        <v>25</v>
      </c>
      <c r="D38">
        <v>13</v>
      </c>
      <c r="E38" t="s">
        <v>367</v>
      </c>
      <c r="F38" t="s">
        <v>368</v>
      </c>
      <c r="G38">
        <v>3351</v>
      </c>
      <c r="H38" t="s">
        <v>1680</v>
      </c>
      <c r="I38" t="s">
        <v>1679</v>
      </c>
      <c r="J38">
        <v>16</v>
      </c>
      <c r="K38">
        <v>1</v>
      </c>
      <c r="L38">
        <v>6.7129629629629625E-4</v>
      </c>
      <c r="M38" t="s">
        <v>117</v>
      </c>
      <c r="N38" t="s">
        <v>239</v>
      </c>
      <c r="O38" s="24">
        <v>46114</v>
      </c>
      <c r="P38">
        <v>605</v>
      </c>
      <c r="Q38" t="s">
        <v>34</v>
      </c>
      <c r="R38" s="24">
        <v>46136</v>
      </c>
      <c r="S38" s="51">
        <v>0.38958333333333334</v>
      </c>
      <c r="T38" s="51">
        <v>0.44444444444444442</v>
      </c>
      <c r="X38" t="s">
        <v>3038</v>
      </c>
      <c r="Y38" t="s">
        <v>3029</v>
      </c>
      <c r="Z38">
        <v>2777656</v>
      </c>
    </row>
    <row r="39" spans="1:26" x14ac:dyDescent="0.25">
      <c r="A39">
        <v>35</v>
      </c>
      <c r="B39" t="s">
        <v>24</v>
      </c>
      <c r="C39" t="s">
        <v>25</v>
      </c>
      <c r="D39">
        <v>13</v>
      </c>
      <c r="E39" t="s">
        <v>367</v>
      </c>
      <c r="F39" t="s">
        <v>368</v>
      </c>
      <c r="G39">
        <v>3351</v>
      </c>
      <c r="H39" t="s">
        <v>1681</v>
      </c>
      <c r="I39" t="s">
        <v>1676</v>
      </c>
      <c r="J39">
        <v>16</v>
      </c>
      <c r="K39">
        <v>1</v>
      </c>
      <c r="L39">
        <v>7.1759259259259259E-4</v>
      </c>
      <c r="M39" t="s">
        <v>117</v>
      </c>
      <c r="N39" t="s">
        <v>239</v>
      </c>
      <c r="O39" s="24">
        <v>46114</v>
      </c>
      <c r="P39">
        <v>605</v>
      </c>
      <c r="Q39" t="s">
        <v>34</v>
      </c>
      <c r="R39" s="24">
        <v>46136</v>
      </c>
      <c r="S39" s="51">
        <v>0.38958333333333334</v>
      </c>
      <c r="T39" s="51">
        <v>0.44444444444444442</v>
      </c>
      <c r="X39" t="s">
        <v>3038</v>
      </c>
      <c r="Y39" t="s">
        <v>3029</v>
      </c>
      <c r="Z39">
        <v>2777656</v>
      </c>
    </row>
    <row r="40" spans="1:26" x14ac:dyDescent="0.25">
      <c r="A40">
        <v>36</v>
      </c>
      <c r="B40" t="s">
        <v>24</v>
      </c>
      <c r="C40" t="s">
        <v>25</v>
      </c>
      <c r="D40">
        <v>13</v>
      </c>
      <c r="E40" t="s">
        <v>367</v>
      </c>
      <c r="F40" t="s">
        <v>367</v>
      </c>
      <c r="G40">
        <v>3351</v>
      </c>
      <c r="H40" t="s">
        <v>1682</v>
      </c>
      <c r="I40" t="s">
        <v>1683</v>
      </c>
      <c r="J40">
        <v>16</v>
      </c>
      <c r="K40">
        <v>1</v>
      </c>
      <c r="L40">
        <v>1.4004629629629629E-3</v>
      </c>
      <c r="M40" t="s">
        <v>117</v>
      </c>
      <c r="N40" t="s">
        <v>239</v>
      </c>
      <c r="O40" s="24">
        <v>46114</v>
      </c>
      <c r="P40">
        <v>605</v>
      </c>
      <c r="Q40" t="s">
        <v>34</v>
      </c>
      <c r="R40" s="24">
        <v>46136</v>
      </c>
      <c r="S40" s="51">
        <v>0.38958333333333334</v>
      </c>
      <c r="T40" s="51">
        <v>0.44444444444444442</v>
      </c>
      <c r="X40" t="s">
        <v>3038</v>
      </c>
      <c r="Y40" t="s">
        <v>3029</v>
      </c>
      <c r="Z40">
        <v>2777656</v>
      </c>
    </row>
    <row r="41" spans="1:26" x14ac:dyDescent="0.25">
      <c r="A41">
        <v>37</v>
      </c>
      <c r="B41" t="s">
        <v>24</v>
      </c>
      <c r="C41" t="s">
        <v>25</v>
      </c>
      <c r="D41">
        <v>13</v>
      </c>
      <c r="E41" t="s">
        <v>367</v>
      </c>
      <c r="F41" t="s">
        <v>367</v>
      </c>
      <c r="G41">
        <v>3351</v>
      </c>
      <c r="H41" t="s">
        <v>1684</v>
      </c>
      <c r="I41" t="s">
        <v>1685</v>
      </c>
      <c r="J41">
        <v>16</v>
      </c>
      <c r="K41">
        <v>1</v>
      </c>
      <c r="L41">
        <v>1.0879629629629629E-3</v>
      </c>
      <c r="M41" t="s">
        <v>117</v>
      </c>
      <c r="N41" t="s">
        <v>239</v>
      </c>
      <c r="O41" s="24">
        <v>46114</v>
      </c>
      <c r="P41">
        <v>605</v>
      </c>
      <c r="Q41" t="s">
        <v>34</v>
      </c>
      <c r="R41" s="24">
        <v>46136</v>
      </c>
      <c r="S41" s="51">
        <v>0.38958333333333334</v>
      </c>
      <c r="T41" s="51">
        <v>0.44444444444444442</v>
      </c>
      <c r="X41" t="s">
        <v>3038</v>
      </c>
      <c r="Y41" t="s">
        <v>3029</v>
      </c>
      <c r="Z41">
        <v>2777656</v>
      </c>
    </row>
    <row r="42" spans="1:26" x14ac:dyDescent="0.25">
      <c r="A42">
        <v>38</v>
      </c>
      <c r="B42" t="s">
        <v>24</v>
      </c>
      <c r="C42" t="s">
        <v>25</v>
      </c>
      <c r="D42">
        <v>13</v>
      </c>
      <c r="E42" t="s">
        <v>367</v>
      </c>
      <c r="F42" t="s">
        <v>367</v>
      </c>
      <c r="G42">
        <v>3351</v>
      </c>
      <c r="H42" t="s">
        <v>1686</v>
      </c>
      <c r="I42" t="s">
        <v>1685</v>
      </c>
      <c r="J42">
        <v>16</v>
      </c>
      <c r="K42">
        <v>1</v>
      </c>
      <c r="L42">
        <v>8.7962962962962962E-4</v>
      </c>
      <c r="M42" t="s">
        <v>117</v>
      </c>
      <c r="N42" t="s">
        <v>239</v>
      </c>
      <c r="O42" s="24">
        <v>46114</v>
      </c>
      <c r="P42">
        <v>605</v>
      </c>
      <c r="Q42" t="s">
        <v>34</v>
      </c>
      <c r="R42" s="24">
        <v>46136</v>
      </c>
      <c r="S42" s="51">
        <v>0.38958333333333334</v>
      </c>
      <c r="T42" s="51">
        <v>0.44444444444444442</v>
      </c>
      <c r="X42" t="s">
        <v>3038</v>
      </c>
      <c r="Y42" t="s">
        <v>3029</v>
      </c>
      <c r="Z42">
        <v>2777656</v>
      </c>
    </row>
    <row r="43" spans="1:26" x14ac:dyDescent="0.25">
      <c r="A43">
        <v>39</v>
      </c>
      <c r="B43" t="s">
        <v>24</v>
      </c>
      <c r="C43" t="s">
        <v>25</v>
      </c>
      <c r="D43">
        <v>13</v>
      </c>
      <c r="E43" t="s">
        <v>367</v>
      </c>
      <c r="F43" t="s">
        <v>367</v>
      </c>
      <c r="G43">
        <v>3351</v>
      </c>
      <c r="H43" t="s">
        <v>1687</v>
      </c>
      <c r="I43" t="s">
        <v>1683</v>
      </c>
      <c r="J43">
        <v>16</v>
      </c>
      <c r="K43">
        <v>1</v>
      </c>
      <c r="L43">
        <v>1.4004629629629629E-3</v>
      </c>
      <c r="M43" t="s">
        <v>117</v>
      </c>
      <c r="N43" t="s">
        <v>239</v>
      </c>
      <c r="O43" s="24">
        <v>46114</v>
      </c>
      <c r="P43">
        <v>605</v>
      </c>
      <c r="Q43" t="s">
        <v>34</v>
      </c>
      <c r="R43" s="24">
        <v>46136</v>
      </c>
      <c r="S43" s="51">
        <v>0.38958333333333334</v>
      </c>
      <c r="T43" s="51">
        <v>0.44444444444444442</v>
      </c>
      <c r="X43" t="s">
        <v>3038</v>
      </c>
      <c r="Y43" t="s">
        <v>3029</v>
      </c>
      <c r="Z43">
        <v>2777656</v>
      </c>
    </row>
    <row r="44" spans="1:26" x14ac:dyDescent="0.25">
      <c r="A44">
        <v>40</v>
      </c>
      <c r="B44" t="s">
        <v>24</v>
      </c>
      <c r="C44" t="s">
        <v>25</v>
      </c>
      <c r="D44">
        <v>13</v>
      </c>
      <c r="E44" t="s">
        <v>367</v>
      </c>
      <c r="F44" t="s">
        <v>512</v>
      </c>
      <c r="G44">
        <v>3351</v>
      </c>
      <c r="H44" t="s">
        <v>1688</v>
      </c>
      <c r="I44" t="s">
        <v>1689</v>
      </c>
      <c r="J44">
        <v>16</v>
      </c>
      <c r="K44">
        <v>1</v>
      </c>
      <c r="L44">
        <v>8.5648148148148139E-4</v>
      </c>
      <c r="M44" t="s">
        <v>117</v>
      </c>
      <c r="N44" t="s">
        <v>239</v>
      </c>
      <c r="O44" s="24">
        <v>46114</v>
      </c>
      <c r="P44">
        <v>605</v>
      </c>
      <c r="Q44" t="s">
        <v>34</v>
      </c>
      <c r="R44" s="24">
        <v>46136</v>
      </c>
      <c r="S44" s="51">
        <v>0.38958333333333334</v>
      </c>
      <c r="T44" s="51">
        <v>0.44444444444444442</v>
      </c>
      <c r="X44" t="s">
        <v>3038</v>
      </c>
      <c r="Y44" t="s">
        <v>3029</v>
      </c>
      <c r="Z44">
        <v>2777656</v>
      </c>
    </row>
    <row r="45" spans="1:26" x14ac:dyDescent="0.25">
      <c r="A45">
        <v>41</v>
      </c>
      <c r="B45" t="s">
        <v>24</v>
      </c>
      <c r="C45" t="s">
        <v>25</v>
      </c>
      <c r="D45">
        <v>13</v>
      </c>
      <c r="E45" t="s">
        <v>65</v>
      </c>
      <c r="F45" t="s">
        <v>512</v>
      </c>
      <c r="G45">
        <v>3351</v>
      </c>
      <c r="H45" t="s">
        <v>1690</v>
      </c>
      <c r="I45" t="s">
        <v>1674</v>
      </c>
      <c r="J45">
        <v>16</v>
      </c>
      <c r="K45">
        <v>1</v>
      </c>
      <c r="L45">
        <v>1.3310185185185185E-3</v>
      </c>
      <c r="M45" t="s">
        <v>117</v>
      </c>
      <c r="N45" t="s">
        <v>239</v>
      </c>
      <c r="O45" s="24">
        <v>46114</v>
      </c>
      <c r="P45">
        <v>605</v>
      </c>
      <c r="Q45" t="s">
        <v>34</v>
      </c>
      <c r="R45" s="24">
        <v>46136</v>
      </c>
      <c r="S45" s="51">
        <v>0.38958333333333334</v>
      </c>
      <c r="T45" s="51">
        <v>0.44444444444444442</v>
      </c>
      <c r="X45" t="s">
        <v>3038</v>
      </c>
      <c r="Y45" t="s">
        <v>3029</v>
      </c>
      <c r="Z45">
        <v>2777656</v>
      </c>
    </row>
    <row r="46" spans="1:26" x14ac:dyDescent="0.25">
      <c r="A46">
        <v>42</v>
      </c>
      <c r="B46" t="s">
        <v>24</v>
      </c>
      <c r="C46" t="s">
        <v>25</v>
      </c>
      <c r="D46">
        <v>13</v>
      </c>
      <c r="E46" t="s">
        <v>65</v>
      </c>
      <c r="F46" t="s">
        <v>512</v>
      </c>
      <c r="G46">
        <v>3351</v>
      </c>
      <c r="H46" t="s">
        <v>1691</v>
      </c>
      <c r="I46" t="s">
        <v>1674</v>
      </c>
      <c r="J46">
        <v>16</v>
      </c>
      <c r="K46">
        <v>1</v>
      </c>
      <c r="L46">
        <v>1.1574074074074073E-3</v>
      </c>
      <c r="M46" t="s">
        <v>117</v>
      </c>
      <c r="N46" t="s">
        <v>239</v>
      </c>
      <c r="O46" s="24">
        <v>46114</v>
      </c>
      <c r="P46">
        <v>605</v>
      </c>
      <c r="Q46" t="s">
        <v>34</v>
      </c>
      <c r="R46" s="24">
        <v>46136</v>
      </c>
      <c r="S46" s="51">
        <v>0.38958333333333334</v>
      </c>
      <c r="T46" s="51">
        <v>0.44444444444444442</v>
      </c>
      <c r="X46" t="s">
        <v>3038</v>
      </c>
      <c r="Y46" t="s">
        <v>3029</v>
      </c>
      <c r="Z46">
        <v>2777656</v>
      </c>
    </row>
    <row r="47" spans="1:26" x14ac:dyDescent="0.25">
      <c r="A47">
        <v>43</v>
      </c>
      <c r="B47" t="s">
        <v>24</v>
      </c>
      <c r="C47" t="s">
        <v>25</v>
      </c>
      <c r="D47">
        <v>13</v>
      </c>
      <c r="E47" t="s">
        <v>65</v>
      </c>
      <c r="F47" t="s">
        <v>512</v>
      </c>
      <c r="G47">
        <v>3351</v>
      </c>
      <c r="H47" t="s">
        <v>1692</v>
      </c>
      <c r="I47" t="s">
        <v>1693</v>
      </c>
      <c r="J47">
        <v>16</v>
      </c>
      <c r="K47">
        <v>1</v>
      </c>
      <c r="L47">
        <v>6.2500000000000001E-4</v>
      </c>
      <c r="M47" t="s">
        <v>117</v>
      </c>
      <c r="N47" t="s">
        <v>239</v>
      </c>
      <c r="O47" s="24">
        <v>46114</v>
      </c>
      <c r="P47">
        <v>605</v>
      </c>
      <c r="Q47" t="s">
        <v>34</v>
      </c>
      <c r="R47" s="24">
        <v>46136</v>
      </c>
      <c r="S47" s="51">
        <v>0.38958333333333334</v>
      </c>
      <c r="T47" s="51">
        <v>0.44444444444444442</v>
      </c>
      <c r="X47" t="s">
        <v>3038</v>
      </c>
      <c r="Y47" t="s">
        <v>3029</v>
      </c>
      <c r="Z47">
        <v>2777656</v>
      </c>
    </row>
    <row r="48" spans="1:26" x14ac:dyDescent="0.25">
      <c r="A48">
        <v>44</v>
      </c>
      <c r="B48" t="s">
        <v>24</v>
      </c>
      <c r="C48" t="s">
        <v>25</v>
      </c>
      <c r="D48">
        <v>13</v>
      </c>
      <c r="E48" t="s">
        <v>65</v>
      </c>
      <c r="F48" t="s">
        <v>512</v>
      </c>
      <c r="G48">
        <v>3351</v>
      </c>
      <c r="H48" t="s">
        <v>1694</v>
      </c>
      <c r="I48" t="s">
        <v>1693</v>
      </c>
      <c r="J48">
        <v>16</v>
      </c>
      <c r="K48">
        <v>1</v>
      </c>
      <c r="L48">
        <v>6.2500000000000001E-4</v>
      </c>
      <c r="M48" t="s">
        <v>117</v>
      </c>
      <c r="N48" t="s">
        <v>239</v>
      </c>
      <c r="O48" s="24">
        <v>46114</v>
      </c>
      <c r="P48">
        <v>605</v>
      </c>
      <c r="Q48" t="s">
        <v>34</v>
      </c>
      <c r="R48" s="24">
        <v>46136</v>
      </c>
      <c r="S48" s="51">
        <v>0.38958333333333334</v>
      </c>
      <c r="T48" s="51">
        <v>0.44444444444444442</v>
      </c>
      <c r="X48" t="s">
        <v>3038</v>
      </c>
      <c r="Y48" t="s">
        <v>3029</v>
      </c>
      <c r="Z48">
        <v>2777656</v>
      </c>
    </row>
    <row r="49" spans="1:26" x14ac:dyDescent="0.25">
      <c r="A49">
        <v>45</v>
      </c>
      <c r="B49" t="s">
        <v>24</v>
      </c>
      <c r="C49" t="s">
        <v>25</v>
      </c>
      <c r="D49">
        <v>13</v>
      </c>
      <c r="E49" t="s">
        <v>65</v>
      </c>
      <c r="F49" t="s">
        <v>368</v>
      </c>
      <c r="G49">
        <v>3351</v>
      </c>
      <c r="H49" t="s">
        <v>1695</v>
      </c>
      <c r="I49" t="s">
        <v>1696</v>
      </c>
      <c r="J49">
        <v>16</v>
      </c>
      <c r="K49">
        <v>1</v>
      </c>
      <c r="L49">
        <v>9.2592592592592585E-4</v>
      </c>
      <c r="M49" t="s">
        <v>117</v>
      </c>
      <c r="N49" t="s">
        <v>239</v>
      </c>
      <c r="O49" s="24">
        <v>46114</v>
      </c>
      <c r="P49">
        <v>605</v>
      </c>
      <c r="Q49" t="s">
        <v>34</v>
      </c>
      <c r="R49" s="24">
        <v>46136</v>
      </c>
      <c r="S49" s="51">
        <v>0.38958333333333334</v>
      </c>
      <c r="T49" s="51">
        <v>0.44444444444444442</v>
      </c>
      <c r="X49" t="s">
        <v>3038</v>
      </c>
      <c r="Y49" t="s">
        <v>3029</v>
      </c>
      <c r="Z49">
        <v>2777656</v>
      </c>
    </row>
    <row r="50" spans="1:26" x14ac:dyDescent="0.25">
      <c r="A50">
        <v>46</v>
      </c>
      <c r="B50" t="s">
        <v>24</v>
      </c>
      <c r="C50" t="s">
        <v>25</v>
      </c>
      <c r="D50">
        <v>13</v>
      </c>
      <c r="E50" t="s">
        <v>65</v>
      </c>
      <c r="F50" t="s">
        <v>1589</v>
      </c>
      <c r="G50">
        <v>3351</v>
      </c>
      <c r="H50" t="s">
        <v>1697</v>
      </c>
      <c r="I50" t="s">
        <v>1698</v>
      </c>
      <c r="J50">
        <v>16</v>
      </c>
      <c r="K50">
        <v>1</v>
      </c>
      <c r="L50">
        <v>5.5555555555555556E-4</v>
      </c>
      <c r="M50" t="s">
        <v>117</v>
      </c>
      <c r="N50" t="s">
        <v>239</v>
      </c>
      <c r="O50" s="24">
        <v>46114</v>
      </c>
      <c r="P50">
        <v>605</v>
      </c>
      <c r="Q50" t="s">
        <v>34</v>
      </c>
      <c r="R50" s="24">
        <v>46136</v>
      </c>
      <c r="S50" s="51">
        <v>0.38958333333333334</v>
      </c>
      <c r="T50" s="51">
        <v>0.44444444444444442</v>
      </c>
      <c r="X50" t="s">
        <v>3038</v>
      </c>
      <c r="Y50" t="s">
        <v>3029</v>
      </c>
      <c r="Z50">
        <v>2777656</v>
      </c>
    </row>
    <row r="51" spans="1:26" x14ac:dyDescent="0.25">
      <c r="A51">
        <v>47</v>
      </c>
      <c r="B51" t="s">
        <v>24</v>
      </c>
      <c r="C51" t="s">
        <v>25</v>
      </c>
      <c r="D51">
        <v>13</v>
      </c>
      <c r="E51" t="s">
        <v>65</v>
      </c>
      <c r="F51" t="s">
        <v>1589</v>
      </c>
      <c r="G51">
        <v>3351</v>
      </c>
      <c r="H51" t="s">
        <v>1699</v>
      </c>
      <c r="I51" t="s">
        <v>1700</v>
      </c>
      <c r="J51">
        <v>16</v>
      </c>
      <c r="K51">
        <v>1</v>
      </c>
      <c r="L51">
        <v>5.2083333333333333E-4</v>
      </c>
      <c r="M51" t="s">
        <v>117</v>
      </c>
      <c r="N51" t="s">
        <v>239</v>
      </c>
      <c r="O51" s="24">
        <v>46114</v>
      </c>
      <c r="P51">
        <v>605</v>
      </c>
      <c r="Q51" t="s">
        <v>34</v>
      </c>
      <c r="R51" s="24">
        <v>46136</v>
      </c>
      <c r="S51" s="51">
        <v>0.38958333333333334</v>
      </c>
      <c r="T51" s="51">
        <v>0.44444444444444442</v>
      </c>
      <c r="X51" t="s">
        <v>3038</v>
      </c>
      <c r="Y51" t="s">
        <v>3029</v>
      </c>
      <c r="Z51">
        <v>2777656</v>
      </c>
    </row>
    <row r="52" spans="1:26" x14ac:dyDescent="0.25">
      <c r="A52">
        <v>48</v>
      </c>
      <c r="B52" t="s">
        <v>24</v>
      </c>
      <c r="C52" t="s">
        <v>25</v>
      </c>
      <c r="D52">
        <v>13</v>
      </c>
      <c r="E52" t="s">
        <v>65</v>
      </c>
      <c r="F52" t="s">
        <v>1589</v>
      </c>
      <c r="G52">
        <v>3351</v>
      </c>
      <c r="H52" t="s">
        <v>1701</v>
      </c>
      <c r="I52" t="s">
        <v>1702</v>
      </c>
      <c r="J52">
        <v>16</v>
      </c>
      <c r="K52">
        <v>2</v>
      </c>
      <c r="L52">
        <v>1.0532407407407407E-3</v>
      </c>
      <c r="M52" t="s">
        <v>117</v>
      </c>
      <c r="N52" t="s">
        <v>239</v>
      </c>
      <c r="O52" s="24">
        <v>46114</v>
      </c>
      <c r="P52">
        <v>605</v>
      </c>
      <c r="Q52" t="s">
        <v>34</v>
      </c>
      <c r="R52" s="24">
        <v>46136</v>
      </c>
      <c r="S52" s="51">
        <v>0.38958333333333334</v>
      </c>
      <c r="T52" s="51">
        <v>0.44444444444444442</v>
      </c>
      <c r="X52" t="s">
        <v>3038</v>
      </c>
      <c r="Y52" t="s">
        <v>3029</v>
      </c>
      <c r="Z52">
        <v>2777656</v>
      </c>
    </row>
    <row r="53" spans="1:26" x14ac:dyDescent="0.25">
      <c r="A53">
        <v>49</v>
      </c>
      <c r="B53" t="s">
        <v>24</v>
      </c>
      <c r="C53" t="s">
        <v>25</v>
      </c>
      <c r="D53">
        <v>13</v>
      </c>
      <c r="E53" t="s">
        <v>65</v>
      </c>
      <c r="F53" t="s">
        <v>1591</v>
      </c>
      <c r="G53">
        <v>3351</v>
      </c>
      <c r="H53" t="s">
        <v>1703</v>
      </c>
      <c r="I53" t="s">
        <v>1700</v>
      </c>
      <c r="J53">
        <v>16</v>
      </c>
      <c r="K53">
        <v>1</v>
      </c>
      <c r="L53">
        <v>5.2083333333333333E-4</v>
      </c>
      <c r="M53" t="s">
        <v>117</v>
      </c>
      <c r="N53" t="s">
        <v>239</v>
      </c>
      <c r="O53" s="24">
        <v>46114</v>
      </c>
      <c r="P53">
        <v>605</v>
      </c>
      <c r="Q53" t="s">
        <v>34</v>
      </c>
      <c r="R53" s="24">
        <v>46136</v>
      </c>
      <c r="S53" s="51">
        <v>0.38958333333333334</v>
      </c>
      <c r="T53" s="51">
        <v>0.44444444444444442</v>
      </c>
      <c r="X53" t="s">
        <v>3038</v>
      </c>
      <c r="Y53" t="s">
        <v>3029</v>
      </c>
      <c r="Z53">
        <v>2777656</v>
      </c>
    </row>
    <row r="54" spans="1:26" x14ac:dyDescent="0.25">
      <c r="A54">
        <v>50</v>
      </c>
      <c r="B54" t="s">
        <v>24</v>
      </c>
      <c r="C54" t="s">
        <v>25</v>
      </c>
      <c r="D54">
        <v>13</v>
      </c>
      <c r="E54" t="s">
        <v>65</v>
      </c>
      <c r="F54" t="s">
        <v>1591</v>
      </c>
      <c r="G54">
        <v>3351</v>
      </c>
      <c r="H54" t="s">
        <v>1704</v>
      </c>
      <c r="I54" t="s">
        <v>1702</v>
      </c>
      <c r="J54">
        <v>16</v>
      </c>
      <c r="K54">
        <v>2</v>
      </c>
      <c r="L54">
        <v>1.0532407407407407E-3</v>
      </c>
      <c r="M54" t="s">
        <v>117</v>
      </c>
      <c r="N54" t="s">
        <v>239</v>
      </c>
      <c r="O54" s="24">
        <v>46114</v>
      </c>
      <c r="P54">
        <v>605</v>
      </c>
      <c r="Q54" t="s">
        <v>34</v>
      </c>
      <c r="R54" s="24">
        <v>46136</v>
      </c>
      <c r="S54" s="51">
        <v>0.38958333333333334</v>
      </c>
      <c r="T54" s="51">
        <v>0.44444444444444442</v>
      </c>
      <c r="X54" t="s">
        <v>3038</v>
      </c>
      <c r="Y54" t="s">
        <v>3029</v>
      </c>
      <c r="Z54">
        <v>2777656</v>
      </c>
    </row>
    <row r="55" spans="1:26" x14ac:dyDescent="0.25">
      <c r="A55">
        <v>51</v>
      </c>
      <c r="B55" t="s">
        <v>24</v>
      </c>
      <c r="C55" t="s">
        <v>25</v>
      </c>
      <c r="D55">
        <v>13</v>
      </c>
      <c r="E55" t="s">
        <v>65</v>
      </c>
      <c r="F55" t="s">
        <v>1591</v>
      </c>
      <c r="G55">
        <v>3351</v>
      </c>
      <c r="H55" t="s">
        <v>1705</v>
      </c>
      <c r="I55" t="s">
        <v>1706</v>
      </c>
      <c r="J55">
        <v>16</v>
      </c>
      <c r="K55">
        <v>2</v>
      </c>
      <c r="L55">
        <v>1.8518518518518517E-3</v>
      </c>
      <c r="M55" t="s">
        <v>117</v>
      </c>
      <c r="N55" t="s">
        <v>239</v>
      </c>
      <c r="O55" s="24">
        <v>46114</v>
      </c>
      <c r="P55">
        <v>605</v>
      </c>
      <c r="Q55" t="s">
        <v>34</v>
      </c>
      <c r="R55" s="24">
        <v>46136</v>
      </c>
      <c r="S55" s="51">
        <v>0.38958333333333334</v>
      </c>
      <c r="T55" s="51">
        <v>0.44444444444444442</v>
      </c>
      <c r="X55" t="s">
        <v>3038</v>
      </c>
      <c r="Y55" t="s">
        <v>3029</v>
      </c>
      <c r="Z55">
        <v>2777656</v>
      </c>
    </row>
    <row r="56" spans="1:26" x14ac:dyDescent="0.25">
      <c r="A56">
        <v>52</v>
      </c>
      <c r="B56" t="s">
        <v>24</v>
      </c>
      <c r="C56" t="s">
        <v>25</v>
      </c>
      <c r="D56">
        <v>13</v>
      </c>
      <c r="E56" t="s">
        <v>65</v>
      </c>
      <c r="F56" t="s">
        <v>1591</v>
      </c>
      <c r="G56">
        <v>3351</v>
      </c>
      <c r="H56" t="s">
        <v>1707</v>
      </c>
      <c r="I56" t="s">
        <v>1706</v>
      </c>
      <c r="J56">
        <v>16</v>
      </c>
      <c r="K56">
        <v>2</v>
      </c>
      <c r="L56">
        <v>1.8518518518518517E-3</v>
      </c>
      <c r="M56" t="s">
        <v>117</v>
      </c>
      <c r="N56" t="s">
        <v>239</v>
      </c>
      <c r="O56" s="24">
        <v>46114</v>
      </c>
      <c r="P56">
        <v>605</v>
      </c>
      <c r="Q56" t="s">
        <v>34</v>
      </c>
      <c r="R56" s="24">
        <v>46136</v>
      </c>
      <c r="S56" s="51">
        <v>0.38958333333333334</v>
      </c>
      <c r="T56" s="51">
        <v>0.44444444444444442</v>
      </c>
      <c r="X56" t="s">
        <v>3038</v>
      </c>
      <c r="Y56" t="s">
        <v>3029</v>
      </c>
      <c r="Z56">
        <v>2777656</v>
      </c>
    </row>
    <row r="57" spans="1:26" x14ac:dyDescent="0.25">
      <c r="A57">
        <v>53</v>
      </c>
      <c r="B57" t="s">
        <v>24</v>
      </c>
      <c r="C57" t="s">
        <v>25</v>
      </c>
      <c r="D57">
        <v>13</v>
      </c>
      <c r="E57" t="s">
        <v>65</v>
      </c>
      <c r="F57" t="s">
        <v>512</v>
      </c>
      <c r="G57">
        <v>3351</v>
      </c>
      <c r="H57" t="s">
        <v>1708</v>
      </c>
      <c r="I57" t="s">
        <v>1706</v>
      </c>
      <c r="J57">
        <v>16</v>
      </c>
      <c r="K57">
        <v>2</v>
      </c>
      <c r="L57">
        <v>1.8518518518518517E-3</v>
      </c>
      <c r="M57" t="s">
        <v>117</v>
      </c>
      <c r="N57" t="s">
        <v>239</v>
      </c>
      <c r="O57" s="24">
        <v>46114</v>
      </c>
      <c r="P57">
        <v>605</v>
      </c>
      <c r="Q57" t="s">
        <v>34</v>
      </c>
      <c r="R57" s="24">
        <v>46136</v>
      </c>
      <c r="S57" s="51">
        <v>0.38958333333333334</v>
      </c>
      <c r="T57" s="51">
        <v>0.44444444444444442</v>
      </c>
      <c r="X57" t="s">
        <v>3038</v>
      </c>
      <c r="Y57" t="s">
        <v>3029</v>
      </c>
      <c r="Z57">
        <v>2777656</v>
      </c>
    </row>
    <row r="58" spans="1:26" x14ac:dyDescent="0.25">
      <c r="A58">
        <v>54</v>
      </c>
      <c r="B58" t="s">
        <v>24</v>
      </c>
      <c r="C58" t="s">
        <v>25</v>
      </c>
      <c r="D58">
        <v>13</v>
      </c>
      <c r="E58" t="s">
        <v>65</v>
      </c>
      <c r="F58" t="s">
        <v>512</v>
      </c>
      <c r="G58">
        <v>3351</v>
      </c>
      <c r="H58" t="s">
        <v>1709</v>
      </c>
      <c r="I58" t="s">
        <v>1710</v>
      </c>
      <c r="J58">
        <v>16</v>
      </c>
      <c r="K58">
        <v>2</v>
      </c>
      <c r="L58">
        <v>1.9907407407407408E-3</v>
      </c>
      <c r="M58" t="s">
        <v>117</v>
      </c>
      <c r="N58" t="s">
        <v>239</v>
      </c>
      <c r="O58" s="24">
        <v>46114</v>
      </c>
      <c r="P58">
        <v>605</v>
      </c>
      <c r="Q58" t="s">
        <v>34</v>
      </c>
      <c r="R58" s="24">
        <v>46136</v>
      </c>
      <c r="S58" s="51">
        <v>0.38958333333333334</v>
      </c>
      <c r="T58" s="51">
        <v>0.44444444444444442</v>
      </c>
      <c r="X58" t="s">
        <v>3038</v>
      </c>
      <c r="Y58" t="s">
        <v>3029</v>
      </c>
      <c r="Z58">
        <v>2777656</v>
      </c>
    </row>
    <row r="59" spans="1:26" x14ac:dyDescent="0.25">
      <c r="A59">
        <v>55</v>
      </c>
      <c r="B59" t="s">
        <v>24</v>
      </c>
      <c r="C59" t="s">
        <v>25</v>
      </c>
      <c r="D59">
        <v>13</v>
      </c>
      <c r="E59" t="s">
        <v>530</v>
      </c>
      <c r="F59" t="s">
        <v>530</v>
      </c>
      <c r="G59">
        <v>3352</v>
      </c>
      <c r="H59" t="s">
        <v>1639</v>
      </c>
      <c r="I59" t="s">
        <v>1640</v>
      </c>
      <c r="J59">
        <v>16</v>
      </c>
      <c r="K59">
        <v>1</v>
      </c>
      <c r="L59">
        <v>5.3240740740740744E-4</v>
      </c>
      <c r="M59" t="s">
        <v>117</v>
      </c>
      <c r="N59" t="s">
        <v>239</v>
      </c>
      <c r="O59" s="24">
        <v>46114</v>
      </c>
      <c r="P59">
        <v>605</v>
      </c>
      <c r="Q59" t="s">
        <v>34</v>
      </c>
      <c r="R59" s="24">
        <v>46136</v>
      </c>
      <c r="S59" s="51">
        <v>0.61944444444444446</v>
      </c>
      <c r="T59" s="51">
        <v>0.67222222222222228</v>
      </c>
      <c r="X59" t="s">
        <v>3039</v>
      </c>
      <c r="Y59" t="s">
        <v>3029</v>
      </c>
      <c r="Z59">
        <v>2777656</v>
      </c>
    </row>
    <row r="60" spans="1:26" x14ac:dyDescent="0.25">
      <c r="A60">
        <v>56</v>
      </c>
      <c r="B60" t="s">
        <v>24</v>
      </c>
      <c r="C60" t="s">
        <v>25</v>
      </c>
      <c r="D60">
        <v>13</v>
      </c>
      <c r="E60" t="s">
        <v>530</v>
      </c>
      <c r="F60" t="s">
        <v>530</v>
      </c>
      <c r="G60">
        <v>3352</v>
      </c>
      <c r="H60" t="s">
        <v>1712</v>
      </c>
      <c r="I60" t="s">
        <v>1670</v>
      </c>
      <c r="J60">
        <v>16</v>
      </c>
      <c r="K60">
        <v>2</v>
      </c>
      <c r="L60">
        <v>1.1689814814814813E-3</v>
      </c>
      <c r="M60" t="s">
        <v>117</v>
      </c>
      <c r="N60" t="s">
        <v>239</v>
      </c>
      <c r="O60" s="24">
        <v>46114</v>
      </c>
      <c r="P60">
        <v>605</v>
      </c>
      <c r="Q60" t="s">
        <v>34</v>
      </c>
      <c r="R60" s="24">
        <v>46136</v>
      </c>
      <c r="S60" s="51">
        <v>0.61944444444444446</v>
      </c>
      <c r="T60" s="51">
        <v>0.67222222222222228</v>
      </c>
      <c r="X60" t="s">
        <v>3039</v>
      </c>
      <c r="Y60" t="s">
        <v>3029</v>
      </c>
      <c r="Z60">
        <v>2777656</v>
      </c>
    </row>
    <row r="61" spans="1:26" x14ac:dyDescent="0.25">
      <c r="A61">
        <v>57</v>
      </c>
      <c r="B61" t="s">
        <v>24</v>
      </c>
      <c r="C61" t="s">
        <v>25</v>
      </c>
      <c r="D61">
        <v>13</v>
      </c>
      <c r="E61" t="s">
        <v>1588</v>
      </c>
      <c r="F61" t="s">
        <v>1588</v>
      </c>
      <c r="G61">
        <v>3352</v>
      </c>
      <c r="H61" t="s">
        <v>1713</v>
      </c>
      <c r="I61" t="s">
        <v>1714</v>
      </c>
      <c r="J61">
        <v>16</v>
      </c>
      <c r="K61">
        <v>5</v>
      </c>
      <c r="L61">
        <v>2.8819444444444444E-3</v>
      </c>
      <c r="M61" t="s">
        <v>117</v>
      </c>
      <c r="N61" t="s">
        <v>239</v>
      </c>
      <c r="O61" s="24">
        <v>46114</v>
      </c>
      <c r="P61">
        <v>605</v>
      </c>
      <c r="Q61" t="s">
        <v>34</v>
      </c>
      <c r="R61" s="24">
        <v>46136</v>
      </c>
      <c r="S61" s="51">
        <v>0.61944444444444446</v>
      </c>
      <c r="T61" s="51">
        <v>0.67222222222222228</v>
      </c>
      <c r="X61" t="s">
        <v>3039</v>
      </c>
      <c r="Y61" t="s">
        <v>3029</v>
      </c>
      <c r="Z61">
        <v>2777656</v>
      </c>
    </row>
    <row r="62" spans="1:26" x14ac:dyDescent="0.25">
      <c r="A62">
        <v>58</v>
      </c>
      <c r="B62" t="s">
        <v>24</v>
      </c>
      <c r="C62" t="s">
        <v>25</v>
      </c>
      <c r="D62">
        <v>13</v>
      </c>
      <c r="E62" t="s">
        <v>1588</v>
      </c>
      <c r="F62" t="s">
        <v>512</v>
      </c>
      <c r="G62">
        <v>3352</v>
      </c>
      <c r="H62" t="s">
        <v>1715</v>
      </c>
      <c r="I62" t="s">
        <v>1716</v>
      </c>
      <c r="J62">
        <v>16</v>
      </c>
      <c r="K62">
        <v>2</v>
      </c>
      <c r="L62">
        <v>1.2962962962962963E-3</v>
      </c>
      <c r="M62" t="s">
        <v>117</v>
      </c>
      <c r="N62" t="s">
        <v>239</v>
      </c>
      <c r="O62" s="24">
        <v>46114</v>
      </c>
      <c r="P62">
        <v>605</v>
      </c>
      <c r="Q62" t="s">
        <v>34</v>
      </c>
      <c r="R62" s="24">
        <v>46136</v>
      </c>
      <c r="S62" s="51">
        <v>0.61944444444444446</v>
      </c>
      <c r="T62" s="51">
        <v>0.67222222222222228</v>
      </c>
      <c r="X62" t="s">
        <v>3039</v>
      </c>
      <c r="Y62" t="s">
        <v>3029</v>
      </c>
      <c r="Z62">
        <v>2777656</v>
      </c>
    </row>
    <row r="63" spans="1:26" x14ac:dyDescent="0.25">
      <c r="A63">
        <v>59</v>
      </c>
      <c r="B63" t="s">
        <v>24</v>
      </c>
      <c r="C63" t="s">
        <v>25</v>
      </c>
      <c r="D63">
        <v>13</v>
      </c>
      <c r="E63" t="s">
        <v>1588</v>
      </c>
      <c r="F63" t="s">
        <v>1588</v>
      </c>
      <c r="G63">
        <v>3352</v>
      </c>
      <c r="H63" t="s">
        <v>1717</v>
      </c>
      <c r="I63" t="s">
        <v>1718</v>
      </c>
      <c r="J63">
        <v>16</v>
      </c>
      <c r="K63">
        <v>4</v>
      </c>
      <c r="L63">
        <v>2.4768518518518516E-3</v>
      </c>
      <c r="M63" t="s">
        <v>117</v>
      </c>
      <c r="N63" t="s">
        <v>239</v>
      </c>
      <c r="O63" s="24">
        <v>46114</v>
      </c>
      <c r="P63">
        <v>605</v>
      </c>
      <c r="Q63" t="s">
        <v>34</v>
      </c>
      <c r="R63" s="24">
        <v>46136</v>
      </c>
      <c r="S63" s="51">
        <v>0.61944444444444446</v>
      </c>
      <c r="T63" s="51">
        <v>0.67222222222222228</v>
      </c>
      <c r="X63" t="s">
        <v>3039</v>
      </c>
      <c r="Y63" t="s">
        <v>3029</v>
      </c>
      <c r="Z63">
        <v>2777656</v>
      </c>
    </row>
    <row r="64" spans="1:26" x14ac:dyDescent="0.25">
      <c r="A64">
        <v>60</v>
      </c>
      <c r="B64" t="s">
        <v>24</v>
      </c>
      <c r="C64" t="s">
        <v>25</v>
      </c>
      <c r="D64">
        <v>13</v>
      </c>
      <c r="E64" t="s">
        <v>367</v>
      </c>
      <c r="F64" t="s">
        <v>368</v>
      </c>
      <c r="G64">
        <v>3352</v>
      </c>
      <c r="H64" t="s">
        <v>1719</v>
      </c>
      <c r="I64" t="s">
        <v>1720</v>
      </c>
      <c r="J64">
        <v>16</v>
      </c>
      <c r="K64">
        <v>1</v>
      </c>
      <c r="L64">
        <v>5.9027777777777778E-4</v>
      </c>
      <c r="M64" t="s">
        <v>117</v>
      </c>
      <c r="N64" t="s">
        <v>239</v>
      </c>
      <c r="O64" s="24">
        <v>46114</v>
      </c>
      <c r="P64">
        <v>605</v>
      </c>
      <c r="Q64" t="s">
        <v>34</v>
      </c>
      <c r="R64" s="24">
        <v>46136</v>
      </c>
      <c r="S64" s="51">
        <v>0.61944444444444446</v>
      </c>
      <c r="T64" s="51">
        <v>0.67222222222222228</v>
      </c>
      <c r="X64" t="s">
        <v>3039</v>
      </c>
      <c r="Y64" t="s">
        <v>3029</v>
      </c>
      <c r="Z64">
        <v>2777656</v>
      </c>
    </row>
    <row r="65" spans="1:26" x14ac:dyDescent="0.25">
      <c r="A65">
        <v>61</v>
      </c>
      <c r="B65" t="s">
        <v>24</v>
      </c>
      <c r="C65" t="s">
        <v>25</v>
      </c>
      <c r="D65">
        <v>13</v>
      </c>
      <c r="E65" t="s">
        <v>367</v>
      </c>
      <c r="F65" t="s">
        <v>368</v>
      </c>
      <c r="G65">
        <v>3352</v>
      </c>
      <c r="H65" t="s">
        <v>1721</v>
      </c>
      <c r="I65" t="s">
        <v>1722</v>
      </c>
      <c r="J65">
        <v>16</v>
      </c>
      <c r="K65">
        <v>2</v>
      </c>
      <c r="L65">
        <v>1.1342592592592591E-3</v>
      </c>
      <c r="M65" t="s">
        <v>117</v>
      </c>
      <c r="N65" t="s">
        <v>239</v>
      </c>
      <c r="O65" s="24">
        <v>46114</v>
      </c>
      <c r="P65">
        <v>605</v>
      </c>
      <c r="Q65" t="s">
        <v>34</v>
      </c>
      <c r="R65" s="24">
        <v>46136</v>
      </c>
      <c r="S65" s="51">
        <v>0.61944444444444446</v>
      </c>
      <c r="T65" s="51">
        <v>0.67222222222222228</v>
      </c>
      <c r="X65" t="s">
        <v>3039</v>
      </c>
      <c r="Y65" t="s">
        <v>3029</v>
      </c>
      <c r="Z65">
        <v>2777656</v>
      </c>
    </row>
    <row r="66" spans="1:26" x14ac:dyDescent="0.25">
      <c r="A66">
        <v>62</v>
      </c>
      <c r="B66" t="s">
        <v>24</v>
      </c>
      <c r="C66" t="s">
        <v>25</v>
      </c>
      <c r="D66">
        <v>13</v>
      </c>
      <c r="E66" t="s">
        <v>367</v>
      </c>
      <c r="F66" t="s">
        <v>1594</v>
      </c>
      <c r="G66">
        <v>3352</v>
      </c>
      <c r="H66" t="s">
        <v>1723</v>
      </c>
      <c r="I66" t="s">
        <v>1724</v>
      </c>
      <c r="J66">
        <v>16</v>
      </c>
      <c r="K66">
        <v>2</v>
      </c>
      <c r="L66">
        <v>1.5162037037037036E-3</v>
      </c>
      <c r="M66" t="s">
        <v>117</v>
      </c>
      <c r="N66" t="s">
        <v>239</v>
      </c>
      <c r="O66" s="24">
        <v>46114</v>
      </c>
      <c r="P66">
        <v>605</v>
      </c>
      <c r="Q66" t="s">
        <v>34</v>
      </c>
      <c r="R66" s="24">
        <v>46136</v>
      </c>
      <c r="S66" s="51">
        <v>0.61944444444444446</v>
      </c>
      <c r="T66" s="51">
        <v>0.67222222222222228</v>
      </c>
      <c r="X66" t="s">
        <v>3039</v>
      </c>
      <c r="Y66" t="s">
        <v>3029</v>
      </c>
      <c r="Z66">
        <v>2777656</v>
      </c>
    </row>
    <row r="67" spans="1:26" x14ac:dyDescent="0.25">
      <c r="A67">
        <v>63</v>
      </c>
      <c r="B67" t="s">
        <v>24</v>
      </c>
      <c r="C67" t="s">
        <v>25</v>
      </c>
      <c r="D67">
        <v>13</v>
      </c>
      <c r="E67" t="s">
        <v>367</v>
      </c>
      <c r="F67" t="s">
        <v>512</v>
      </c>
      <c r="G67">
        <v>3352</v>
      </c>
      <c r="H67" t="s">
        <v>1725</v>
      </c>
      <c r="I67" t="s">
        <v>1726</v>
      </c>
      <c r="J67">
        <v>16</v>
      </c>
      <c r="K67">
        <v>1</v>
      </c>
      <c r="L67">
        <v>7.5231481481481482E-4</v>
      </c>
      <c r="M67" t="s">
        <v>117</v>
      </c>
      <c r="N67" t="s">
        <v>239</v>
      </c>
      <c r="O67" s="24">
        <v>46114</v>
      </c>
      <c r="P67">
        <v>605</v>
      </c>
      <c r="Q67" t="s">
        <v>34</v>
      </c>
      <c r="R67" s="24">
        <v>46136</v>
      </c>
      <c r="S67" s="51">
        <v>0.61944444444444446</v>
      </c>
      <c r="T67" s="51">
        <v>0.67222222222222228</v>
      </c>
      <c r="X67" t="s">
        <v>3039</v>
      </c>
      <c r="Y67" t="s">
        <v>3029</v>
      </c>
      <c r="Z67">
        <v>2777656</v>
      </c>
    </row>
    <row r="68" spans="1:26" x14ac:dyDescent="0.25">
      <c r="A68">
        <v>64</v>
      </c>
      <c r="B68" t="s">
        <v>24</v>
      </c>
      <c r="C68" t="s">
        <v>25</v>
      </c>
      <c r="D68">
        <v>13</v>
      </c>
      <c r="E68" t="s">
        <v>367</v>
      </c>
      <c r="F68" t="s">
        <v>512</v>
      </c>
      <c r="G68">
        <v>3352</v>
      </c>
      <c r="H68" t="s">
        <v>1727</v>
      </c>
      <c r="I68" t="s">
        <v>1726</v>
      </c>
      <c r="J68">
        <v>16</v>
      </c>
      <c r="K68">
        <v>1</v>
      </c>
      <c r="L68">
        <v>9.1435185185185185E-4</v>
      </c>
      <c r="M68" t="s">
        <v>117</v>
      </c>
      <c r="N68" t="s">
        <v>239</v>
      </c>
      <c r="O68" s="24">
        <v>46114</v>
      </c>
      <c r="P68">
        <v>605</v>
      </c>
      <c r="Q68" t="s">
        <v>34</v>
      </c>
      <c r="R68" s="24">
        <v>46136</v>
      </c>
      <c r="S68" s="51">
        <v>0.61944444444444446</v>
      </c>
      <c r="T68" s="51">
        <v>0.67222222222222228</v>
      </c>
      <c r="X68" t="s">
        <v>3039</v>
      </c>
      <c r="Y68" t="s">
        <v>3029</v>
      </c>
      <c r="Z68">
        <v>2777656</v>
      </c>
    </row>
    <row r="69" spans="1:26" x14ac:dyDescent="0.25">
      <c r="A69">
        <v>65</v>
      </c>
      <c r="B69" t="s">
        <v>24</v>
      </c>
      <c r="C69" t="s">
        <v>25</v>
      </c>
      <c r="D69">
        <v>13</v>
      </c>
      <c r="E69" t="s">
        <v>65</v>
      </c>
      <c r="F69" t="s">
        <v>65</v>
      </c>
      <c r="G69">
        <v>3352</v>
      </c>
      <c r="H69" t="s">
        <v>1643</v>
      </c>
      <c r="I69" t="s">
        <v>1644</v>
      </c>
      <c r="J69">
        <v>16</v>
      </c>
      <c r="K69">
        <v>4</v>
      </c>
      <c r="L69">
        <v>2.2222222222222222E-3</v>
      </c>
      <c r="M69" t="s">
        <v>117</v>
      </c>
      <c r="N69" t="s">
        <v>239</v>
      </c>
      <c r="O69" s="24">
        <v>46114</v>
      </c>
      <c r="P69">
        <v>605</v>
      </c>
      <c r="Q69" t="s">
        <v>34</v>
      </c>
      <c r="R69" s="24">
        <v>46136</v>
      </c>
      <c r="S69" s="51">
        <v>0.61944444444444446</v>
      </c>
      <c r="T69" s="51">
        <v>0.67222222222222228</v>
      </c>
      <c r="X69" t="s">
        <v>3039</v>
      </c>
      <c r="Y69" t="s">
        <v>3029</v>
      </c>
      <c r="Z69">
        <v>2777656</v>
      </c>
    </row>
    <row r="70" spans="1:26" x14ac:dyDescent="0.25">
      <c r="A70">
        <v>66</v>
      </c>
      <c r="B70" t="s">
        <v>24</v>
      </c>
      <c r="C70" t="s">
        <v>25</v>
      </c>
      <c r="D70">
        <v>13</v>
      </c>
      <c r="E70" t="s">
        <v>65</v>
      </c>
      <c r="F70" t="s">
        <v>368</v>
      </c>
      <c r="G70">
        <v>3352</v>
      </c>
      <c r="H70" t="s">
        <v>1728</v>
      </c>
      <c r="I70" t="s">
        <v>1729</v>
      </c>
      <c r="J70">
        <v>16</v>
      </c>
      <c r="K70">
        <v>1</v>
      </c>
      <c r="L70">
        <v>1.1574074074074073E-3</v>
      </c>
      <c r="M70" t="s">
        <v>117</v>
      </c>
      <c r="N70" t="s">
        <v>239</v>
      </c>
      <c r="O70" s="24">
        <v>46114</v>
      </c>
      <c r="P70">
        <v>605</v>
      </c>
      <c r="Q70" t="s">
        <v>34</v>
      </c>
      <c r="R70" s="24">
        <v>46136</v>
      </c>
      <c r="S70" s="51">
        <v>0.61944444444444446</v>
      </c>
      <c r="T70" s="51">
        <v>0.67222222222222228</v>
      </c>
      <c r="X70" t="s">
        <v>3039</v>
      </c>
      <c r="Y70" t="s">
        <v>3029</v>
      </c>
      <c r="Z70">
        <v>2777656</v>
      </c>
    </row>
    <row r="71" spans="1:26" x14ac:dyDescent="0.25">
      <c r="A71">
        <v>67</v>
      </c>
      <c r="B71" t="s">
        <v>24</v>
      </c>
      <c r="C71" t="s">
        <v>25</v>
      </c>
      <c r="D71">
        <v>13</v>
      </c>
      <c r="E71" t="s">
        <v>65</v>
      </c>
      <c r="F71" t="s">
        <v>368</v>
      </c>
      <c r="G71">
        <v>3352</v>
      </c>
      <c r="H71" t="s">
        <v>1730</v>
      </c>
      <c r="I71" t="s">
        <v>1731</v>
      </c>
      <c r="J71">
        <v>16</v>
      </c>
      <c r="K71">
        <v>1</v>
      </c>
      <c r="L71">
        <v>1.1342592592592591E-3</v>
      </c>
      <c r="M71" t="s">
        <v>117</v>
      </c>
      <c r="N71" t="s">
        <v>239</v>
      </c>
      <c r="O71" s="24">
        <v>46114</v>
      </c>
      <c r="P71">
        <v>605</v>
      </c>
      <c r="Q71" t="s">
        <v>34</v>
      </c>
      <c r="R71" s="24">
        <v>46136</v>
      </c>
      <c r="S71" s="51">
        <v>0.61944444444444446</v>
      </c>
      <c r="T71" s="51">
        <v>0.67222222222222228</v>
      </c>
      <c r="X71" t="s">
        <v>3039</v>
      </c>
      <c r="Y71" t="s">
        <v>3029</v>
      </c>
      <c r="Z71">
        <v>2777656</v>
      </c>
    </row>
    <row r="72" spans="1:26" x14ac:dyDescent="0.25">
      <c r="A72">
        <v>68</v>
      </c>
      <c r="B72" t="s">
        <v>24</v>
      </c>
      <c r="C72" t="s">
        <v>25</v>
      </c>
      <c r="D72">
        <v>13</v>
      </c>
      <c r="E72" t="s">
        <v>65</v>
      </c>
      <c r="F72" t="s">
        <v>368</v>
      </c>
      <c r="G72">
        <v>3352</v>
      </c>
      <c r="H72" t="s">
        <v>1732</v>
      </c>
      <c r="I72" t="s">
        <v>1733</v>
      </c>
      <c r="J72">
        <v>16</v>
      </c>
      <c r="K72">
        <v>1</v>
      </c>
      <c r="L72">
        <v>1.1689814814814813E-3</v>
      </c>
      <c r="M72" t="s">
        <v>117</v>
      </c>
      <c r="N72" t="s">
        <v>239</v>
      </c>
      <c r="O72" s="24">
        <v>46114</v>
      </c>
      <c r="P72">
        <v>605</v>
      </c>
      <c r="Q72" t="s">
        <v>34</v>
      </c>
      <c r="R72" s="24">
        <v>46136</v>
      </c>
      <c r="S72" s="51">
        <v>0.61944444444444446</v>
      </c>
      <c r="T72" s="51">
        <v>0.67222222222222228</v>
      </c>
      <c r="X72" t="s">
        <v>3039</v>
      </c>
      <c r="Y72" t="s">
        <v>3029</v>
      </c>
      <c r="Z72">
        <v>2777656</v>
      </c>
    </row>
    <row r="73" spans="1:26" x14ac:dyDescent="0.25">
      <c r="A73">
        <v>69</v>
      </c>
      <c r="B73" t="s">
        <v>24</v>
      </c>
      <c r="C73" t="s">
        <v>25</v>
      </c>
      <c r="D73">
        <v>13</v>
      </c>
      <c r="E73" t="s">
        <v>65</v>
      </c>
      <c r="F73" t="s">
        <v>368</v>
      </c>
      <c r="G73">
        <v>3352</v>
      </c>
      <c r="H73" t="s">
        <v>1734</v>
      </c>
      <c r="I73" t="s">
        <v>1735</v>
      </c>
      <c r="J73">
        <v>16</v>
      </c>
      <c r="K73">
        <v>1</v>
      </c>
      <c r="L73">
        <v>1.1689814814814813E-3</v>
      </c>
      <c r="M73" t="s">
        <v>117</v>
      </c>
      <c r="N73" t="s">
        <v>239</v>
      </c>
      <c r="O73" s="24">
        <v>46114</v>
      </c>
      <c r="P73">
        <v>605</v>
      </c>
      <c r="Q73" t="s">
        <v>34</v>
      </c>
      <c r="R73" s="24">
        <v>46136</v>
      </c>
      <c r="S73" s="51">
        <v>0.61944444444444446</v>
      </c>
      <c r="T73" s="51">
        <v>0.67222222222222228</v>
      </c>
      <c r="X73" t="s">
        <v>3039</v>
      </c>
      <c r="Y73" t="s">
        <v>3029</v>
      </c>
      <c r="Z73">
        <v>2777656</v>
      </c>
    </row>
    <row r="74" spans="1:26" x14ac:dyDescent="0.25">
      <c r="A74">
        <v>70</v>
      </c>
      <c r="B74" t="s">
        <v>24</v>
      </c>
      <c r="C74" t="s">
        <v>25</v>
      </c>
      <c r="D74">
        <v>13</v>
      </c>
      <c r="E74" t="s">
        <v>65</v>
      </c>
      <c r="F74" t="s">
        <v>368</v>
      </c>
      <c r="G74">
        <v>3352</v>
      </c>
      <c r="H74" t="s">
        <v>1736</v>
      </c>
      <c r="I74" t="s">
        <v>1731</v>
      </c>
      <c r="J74">
        <v>16</v>
      </c>
      <c r="K74">
        <v>1</v>
      </c>
      <c r="L74">
        <v>1.1458333333333333E-3</v>
      </c>
      <c r="M74" t="s">
        <v>117</v>
      </c>
      <c r="N74" t="s">
        <v>239</v>
      </c>
      <c r="O74" s="24">
        <v>46114</v>
      </c>
      <c r="P74">
        <v>605</v>
      </c>
      <c r="Q74" t="s">
        <v>34</v>
      </c>
      <c r="R74" s="24">
        <v>46136</v>
      </c>
      <c r="S74" s="51">
        <v>0.61944444444444446</v>
      </c>
      <c r="T74" s="51">
        <v>0.67222222222222228</v>
      </c>
      <c r="X74" t="s">
        <v>3039</v>
      </c>
      <c r="Y74" t="s">
        <v>3029</v>
      </c>
      <c r="Z74">
        <v>2777656</v>
      </c>
    </row>
    <row r="75" spans="1:26" x14ac:dyDescent="0.25">
      <c r="A75">
        <v>71</v>
      </c>
      <c r="B75" t="s">
        <v>24</v>
      </c>
      <c r="C75" t="s">
        <v>25</v>
      </c>
      <c r="D75">
        <v>13</v>
      </c>
      <c r="E75" t="s">
        <v>65</v>
      </c>
      <c r="F75" t="s">
        <v>368</v>
      </c>
      <c r="G75">
        <v>3352</v>
      </c>
      <c r="H75" t="s">
        <v>1737</v>
      </c>
      <c r="I75" t="s">
        <v>1729</v>
      </c>
      <c r="J75">
        <v>16</v>
      </c>
      <c r="K75">
        <v>1</v>
      </c>
      <c r="L75">
        <v>1.3194444444444445E-3</v>
      </c>
      <c r="M75" t="s">
        <v>117</v>
      </c>
      <c r="N75" t="s">
        <v>239</v>
      </c>
      <c r="O75" s="24">
        <v>46114</v>
      </c>
      <c r="P75">
        <v>605</v>
      </c>
      <c r="Q75" t="s">
        <v>34</v>
      </c>
      <c r="R75" s="24">
        <v>46136</v>
      </c>
      <c r="S75" s="51">
        <v>0.61944444444444446</v>
      </c>
      <c r="T75" s="51">
        <v>0.67222222222222228</v>
      </c>
      <c r="X75" t="s">
        <v>3039</v>
      </c>
      <c r="Y75" t="s">
        <v>3029</v>
      </c>
      <c r="Z75">
        <v>2777656</v>
      </c>
    </row>
    <row r="76" spans="1:26" x14ac:dyDescent="0.25">
      <c r="A76">
        <v>72</v>
      </c>
      <c r="B76" t="s">
        <v>24</v>
      </c>
      <c r="C76" t="s">
        <v>25</v>
      </c>
      <c r="D76">
        <v>13</v>
      </c>
      <c r="E76" t="s">
        <v>65</v>
      </c>
      <c r="F76" t="s">
        <v>368</v>
      </c>
      <c r="G76">
        <v>3352</v>
      </c>
      <c r="H76" t="s">
        <v>1738</v>
      </c>
      <c r="I76" t="s">
        <v>1739</v>
      </c>
      <c r="J76">
        <v>16</v>
      </c>
      <c r="K76">
        <v>8</v>
      </c>
      <c r="L76">
        <v>4.7337962962962958E-3</v>
      </c>
      <c r="M76" t="s">
        <v>117</v>
      </c>
      <c r="N76" t="s">
        <v>239</v>
      </c>
      <c r="O76" s="24">
        <v>46114</v>
      </c>
      <c r="P76">
        <v>605</v>
      </c>
      <c r="Q76" t="s">
        <v>34</v>
      </c>
      <c r="R76" s="24">
        <v>46136</v>
      </c>
      <c r="S76" s="51">
        <v>0.61944444444444446</v>
      </c>
      <c r="T76" s="51">
        <v>0.67222222222222228</v>
      </c>
      <c r="X76" t="s">
        <v>3039</v>
      </c>
      <c r="Y76" t="s">
        <v>3029</v>
      </c>
      <c r="Z76">
        <v>2777656</v>
      </c>
    </row>
    <row r="77" spans="1:26" x14ac:dyDescent="0.25">
      <c r="A77">
        <v>73</v>
      </c>
      <c r="B77" t="s">
        <v>24</v>
      </c>
      <c r="C77" t="s">
        <v>25</v>
      </c>
      <c r="D77">
        <v>13</v>
      </c>
      <c r="E77" t="s">
        <v>65</v>
      </c>
      <c r="F77" t="s">
        <v>1589</v>
      </c>
      <c r="G77">
        <v>3352</v>
      </c>
      <c r="H77" t="s">
        <v>1701</v>
      </c>
      <c r="I77" t="s">
        <v>1702</v>
      </c>
      <c r="J77">
        <v>16</v>
      </c>
      <c r="K77">
        <v>2</v>
      </c>
      <c r="L77">
        <v>9.2592592592592585E-4</v>
      </c>
      <c r="M77" t="s">
        <v>117</v>
      </c>
      <c r="N77" t="s">
        <v>239</v>
      </c>
      <c r="O77" s="24">
        <v>46114</v>
      </c>
      <c r="P77">
        <v>605</v>
      </c>
      <c r="Q77" t="s">
        <v>34</v>
      </c>
      <c r="R77" s="24">
        <v>46136</v>
      </c>
      <c r="S77" s="51">
        <v>0.61944444444444446</v>
      </c>
      <c r="T77" s="51">
        <v>0.67222222222222228</v>
      </c>
      <c r="X77" t="s">
        <v>3039</v>
      </c>
      <c r="Y77" t="s">
        <v>3029</v>
      </c>
      <c r="Z77">
        <v>2777656</v>
      </c>
    </row>
    <row r="78" spans="1:26" x14ac:dyDescent="0.25">
      <c r="A78">
        <v>74</v>
      </c>
      <c r="B78" t="s">
        <v>24</v>
      </c>
      <c r="C78" t="s">
        <v>25</v>
      </c>
      <c r="D78">
        <v>13</v>
      </c>
      <c r="E78" t="s">
        <v>65</v>
      </c>
      <c r="F78" t="s">
        <v>1591</v>
      </c>
      <c r="G78">
        <v>3352</v>
      </c>
      <c r="H78" t="s">
        <v>1740</v>
      </c>
      <c r="I78" t="s">
        <v>1741</v>
      </c>
      <c r="J78">
        <v>16</v>
      </c>
      <c r="K78">
        <v>2</v>
      </c>
      <c r="L78">
        <v>1.1458333333333333E-3</v>
      </c>
      <c r="M78" t="s">
        <v>117</v>
      </c>
      <c r="N78" t="s">
        <v>239</v>
      </c>
      <c r="O78" s="24">
        <v>46114</v>
      </c>
      <c r="P78">
        <v>605</v>
      </c>
      <c r="Q78" t="s">
        <v>34</v>
      </c>
      <c r="R78" s="24">
        <v>46136</v>
      </c>
      <c r="S78" s="51">
        <v>0.61944444444444446</v>
      </c>
      <c r="T78" s="51">
        <v>0.67222222222222228</v>
      </c>
      <c r="X78" t="s">
        <v>3039</v>
      </c>
      <c r="Y78" t="s">
        <v>3029</v>
      </c>
      <c r="Z78">
        <v>2777656</v>
      </c>
    </row>
    <row r="79" spans="1:26" x14ac:dyDescent="0.25">
      <c r="A79">
        <v>75</v>
      </c>
      <c r="B79" t="s">
        <v>24</v>
      </c>
      <c r="C79" t="s">
        <v>25</v>
      </c>
      <c r="D79">
        <v>13</v>
      </c>
      <c r="E79" t="s">
        <v>65</v>
      </c>
      <c r="F79" t="s">
        <v>1596</v>
      </c>
      <c r="G79">
        <v>3352</v>
      </c>
      <c r="H79" t="s">
        <v>1742</v>
      </c>
      <c r="I79" t="s">
        <v>1743</v>
      </c>
      <c r="J79">
        <v>16</v>
      </c>
      <c r="K79">
        <v>1</v>
      </c>
      <c r="L79">
        <v>7.407407407407407E-4</v>
      </c>
      <c r="M79" t="s">
        <v>117</v>
      </c>
      <c r="N79" t="s">
        <v>239</v>
      </c>
      <c r="O79" s="24">
        <v>46114</v>
      </c>
      <c r="P79">
        <v>605</v>
      </c>
      <c r="Q79" t="s">
        <v>34</v>
      </c>
      <c r="R79" s="24">
        <v>46136</v>
      </c>
      <c r="S79" s="51">
        <v>0.61944444444444446</v>
      </c>
      <c r="T79" s="51">
        <v>0.67222222222222228</v>
      </c>
      <c r="X79" t="s">
        <v>3039</v>
      </c>
      <c r="Y79" t="s">
        <v>3029</v>
      </c>
      <c r="Z79">
        <v>2777656</v>
      </c>
    </row>
    <row r="80" spans="1:26" x14ac:dyDescent="0.25">
      <c r="A80">
        <v>76</v>
      </c>
      <c r="B80" t="s">
        <v>24</v>
      </c>
      <c r="C80" t="s">
        <v>25</v>
      </c>
      <c r="D80">
        <v>13</v>
      </c>
      <c r="E80" t="s">
        <v>65</v>
      </c>
      <c r="F80" t="s">
        <v>1597</v>
      </c>
      <c r="G80">
        <v>3352</v>
      </c>
      <c r="H80" t="s">
        <v>1744</v>
      </c>
      <c r="I80" t="s">
        <v>1745</v>
      </c>
      <c r="J80">
        <v>16</v>
      </c>
      <c r="K80">
        <v>1</v>
      </c>
      <c r="L80">
        <v>9.3749999999999997E-4</v>
      </c>
      <c r="M80" t="s">
        <v>117</v>
      </c>
      <c r="N80" t="s">
        <v>239</v>
      </c>
      <c r="O80" s="24">
        <v>46114</v>
      </c>
      <c r="P80">
        <v>605</v>
      </c>
      <c r="Q80" t="s">
        <v>34</v>
      </c>
      <c r="R80" s="24">
        <v>46136</v>
      </c>
      <c r="S80" s="51">
        <v>0.61944444444444446</v>
      </c>
      <c r="T80" s="51">
        <v>0.67222222222222228</v>
      </c>
      <c r="X80" t="s">
        <v>3039</v>
      </c>
      <c r="Y80" t="s">
        <v>3029</v>
      </c>
      <c r="Z80">
        <v>2777656</v>
      </c>
    </row>
    <row r="81" spans="1:26" x14ac:dyDescent="0.25">
      <c r="A81">
        <v>77</v>
      </c>
      <c r="B81" t="s">
        <v>24</v>
      </c>
      <c r="C81" t="s">
        <v>25</v>
      </c>
      <c r="D81">
        <v>13</v>
      </c>
      <c r="E81" t="s">
        <v>65</v>
      </c>
      <c r="F81" t="s">
        <v>512</v>
      </c>
      <c r="G81">
        <v>3352</v>
      </c>
      <c r="H81" t="s">
        <v>1746</v>
      </c>
      <c r="I81" t="s">
        <v>1747</v>
      </c>
      <c r="J81">
        <v>16</v>
      </c>
      <c r="K81">
        <v>2</v>
      </c>
      <c r="L81">
        <v>1.2847222222222223E-3</v>
      </c>
      <c r="M81" t="s">
        <v>117</v>
      </c>
      <c r="N81" t="s">
        <v>239</v>
      </c>
      <c r="O81" s="24">
        <v>46114</v>
      </c>
      <c r="P81">
        <v>605</v>
      </c>
      <c r="Q81" t="s">
        <v>34</v>
      </c>
      <c r="R81" s="24">
        <v>46136</v>
      </c>
      <c r="S81" s="51">
        <v>0.61944444444444446</v>
      </c>
      <c r="T81" s="51">
        <v>0.67222222222222228</v>
      </c>
      <c r="X81" t="s">
        <v>3039</v>
      </c>
      <c r="Y81" t="s">
        <v>3029</v>
      </c>
      <c r="Z81">
        <v>2777656</v>
      </c>
    </row>
    <row r="82" spans="1:26" x14ac:dyDescent="0.25">
      <c r="A82">
        <v>78</v>
      </c>
      <c r="B82" t="s">
        <v>24</v>
      </c>
      <c r="C82" t="s">
        <v>25</v>
      </c>
      <c r="D82">
        <v>13</v>
      </c>
      <c r="E82" t="s">
        <v>1585</v>
      </c>
      <c r="F82" t="s">
        <v>1585</v>
      </c>
      <c r="G82">
        <v>3353</v>
      </c>
      <c r="H82" t="s">
        <v>1635</v>
      </c>
      <c r="I82" t="s">
        <v>1636</v>
      </c>
      <c r="J82">
        <v>16</v>
      </c>
      <c r="K82">
        <v>2</v>
      </c>
      <c r="L82">
        <v>2.1412037037037038E-3</v>
      </c>
      <c r="M82" t="s">
        <v>117</v>
      </c>
      <c r="N82" t="s">
        <v>239</v>
      </c>
      <c r="O82" s="24">
        <v>46114</v>
      </c>
      <c r="P82">
        <v>605</v>
      </c>
      <c r="Q82" t="s">
        <v>34</v>
      </c>
      <c r="R82" s="24">
        <v>46136</v>
      </c>
      <c r="S82" s="51">
        <v>0.37013888888888891</v>
      </c>
      <c r="T82" s="51">
        <v>0.38819444444444445</v>
      </c>
      <c r="X82" t="s">
        <v>3040</v>
      </c>
      <c r="Y82" t="s">
        <v>3029</v>
      </c>
      <c r="Z82">
        <v>2777669</v>
      </c>
    </row>
    <row r="83" spans="1:26" x14ac:dyDescent="0.25">
      <c r="A83">
        <v>79</v>
      </c>
      <c r="B83" t="s">
        <v>24</v>
      </c>
      <c r="C83" t="s">
        <v>25</v>
      </c>
      <c r="D83">
        <v>13</v>
      </c>
      <c r="E83" t="s">
        <v>367</v>
      </c>
      <c r="F83" t="s">
        <v>512</v>
      </c>
      <c r="G83">
        <v>3353</v>
      </c>
      <c r="H83" t="s">
        <v>1749</v>
      </c>
      <c r="I83" t="s">
        <v>1747</v>
      </c>
      <c r="J83">
        <v>16</v>
      </c>
      <c r="K83">
        <v>2</v>
      </c>
      <c r="L83">
        <v>1.261574074074074E-3</v>
      </c>
      <c r="M83" t="s">
        <v>117</v>
      </c>
      <c r="N83" t="s">
        <v>239</v>
      </c>
      <c r="O83" s="24">
        <v>46114</v>
      </c>
      <c r="P83">
        <v>605</v>
      </c>
      <c r="Q83" t="s">
        <v>34</v>
      </c>
      <c r="R83" s="24">
        <v>46136</v>
      </c>
      <c r="S83" s="51">
        <v>0.37013888888888891</v>
      </c>
      <c r="T83" s="51">
        <v>0.38819444444444445</v>
      </c>
      <c r="X83" t="s">
        <v>3040</v>
      </c>
      <c r="Y83" t="s">
        <v>3029</v>
      </c>
      <c r="Z83">
        <v>2777669</v>
      </c>
    </row>
    <row r="84" spans="1:26" x14ac:dyDescent="0.25">
      <c r="A84">
        <v>80</v>
      </c>
      <c r="B84" t="s">
        <v>24</v>
      </c>
      <c r="C84" t="s">
        <v>25</v>
      </c>
      <c r="D84">
        <v>13</v>
      </c>
      <c r="E84" t="s">
        <v>367</v>
      </c>
      <c r="F84" t="s">
        <v>512</v>
      </c>
      <c r="G84">
        <v>3353</v>
      </c>
      <c r="H84" t="s">
        <v>1750</v>
      </c>
      <c r="I84" t="s">
        <v>1747</v>
      </c>
      <c r="J84">
        <v>16</v>
      </c>
      <c r="K84">
        <v>2</v>
      </c>
      <c r="L84">
        <v>1.261574074074074E-3</v>
      </c>
      <c r="M84" t="s">
        <v>117</v>
      </c>
      <c r="N84" t="s">
        <v>239</v>
      </c>
      <c r="O84" s="24">
        <v>46114</v>
      </c>
      <c r="P84">
        <v>605</v>
      </c>
      <c r="Q84" t="s">
        <v>34</v>
      </c>
      <c r="R84" s="24">
        <v>46136</v>
      </c>
      <c r="S84" s="51">
        <v>0.37013888888888891</v>
      </c>
      <c r="T84" s="51">
        <v>0.38819444444444445</v>
      </c>
      <c r="X84" t="s">
        <v>3040</v>
      </c>
      <c r="Y84" t="s">
        <v>3029</v>
      </c>
      <c r="Z84">
        <v>2777669</v>
      </c>
    </row>
    <row r="85" spans="1:26" x14ac:dyDescent="0.25">
      <c r="A85">
        <v>81</v>
      </c>
      <c r="B85" t="s">
        <v>24</v>
      </c>
      <c r="C85" t="s">
        <v>25</v>
      </c>
      <c r="D85">
        <v>13</v>
      </c>
      <c r="E85" t="s">
        <v>367</v>
      </c>
      <c r="F85" t="s">
        <v>512</v>
      </c>
      <c r="G85">
        <v>3353</v>
      </c>
      <c r="H85" t="s">
        <v>1751</v>
      </c>
      <c r="I85" t="s">
        <v>1752</v>
      </c>
      <c r="J85">
        <v>16</v>
      </c>
      <c r="K85">
        <v>3</v>
      </c>
      <c r="L85">
        <v>3.0902777777777777E-3</v>
      </c>
      <c r="M85" t="s">
        <v>117</v>
      </c>
      <c r="N85" t="s">
        <v>239</v>
      </c>
      <c r="O85" s="24">
        <v>46114</v>
      </c>
      <c r="P85">
        <v>605</v>
      </c>
      <c r="Q85" t="s">
        <v>34</v>
      </c>
      <c r="R85" s="24">
        <v>46136</v>
      </c>
      <c r="S85" s="51">
        <v>0.37013888888888891</v>
      </c>
      <c r="T85" s="51">
        <v>0.38819444444444445</v>
      </c>
      <c r="X85" t="s">
        <v>3040</v>
      </c>
      <c r="Y85" t="s">
        <v>3029</v>
      </c>
      <c r="Z85">
        <v>2777669</v>
      </c>
    </row>
    <row r="86" spans="1:26" x14ac:dyDescent="0.25">
      <c r="A86">
        <v>82</v>
      </c>
      <c r="B86" t="s">
        <v>24</v>
      </c>
      <c r="C86" t="s">
        <v>25</v>
      </c>
      <c r="D86">
        <v>13</v>
      </c>
      <c r="E86" t="s">
        <v>367</v>
      </c>
      <c r="F86" t="s">
        <v>512</v>
      </c>
      <c r="G86">
        <v>3353</v>
      </c>
      <c r="H86" t="s">
        <v>1753</v>
      </c>
      <c r="I86" t="s">
        <v>1752</v>
      </c>
      <c r="J86">
        <v>16</v>
      </c>
      <c r="K86">
        <v>3</v>
      </c>
      <c r="L86">
        <v>2.3263888888888887E-3</v>
      </c>
      <c r="M86" t="s">
        <v>117</v>
      </c>
      <c r="N86" t="s">
        <v>239</v>
      </c>
      <c r="O86" s="24">
        <v>46114</v>
      </c>
      <c r="P86">
        <v>605</v>
      </c>
      <c r="Q86" t="s">
        <v>34</v>
      </c>
      <c r="R86" s="24">
        <v>46136</v>
      </c>
      <c r="S86" s="51">
        <v>0.37013888888888891</v>
      </c>
      <c r="T86" s="51">
        <v>0.38819444444444445</v>
      </c>
      <c r="X86" t="s">
        <v>3040</v>
      </c>
      <c r="Y86" t="s">
        <v>3029</v>
      </c>
      <c r="Z86">
        <v>2777669</v>
      </c>
    </row>
    <row r="87" spans="1:26" x14ac:dyDescent="0.25">
      <c r="A87">
        <v>83</v>
      </c>
      <c r="B87" t="s">
        <v>24</v>
      </c>
      <c r="C87" t="s">
        <v>25</v>
      </c>
      <c r="D87">
        <v>13</v>
      </c>
      <c r="E87" t="s">
        <v>65</v>
      </c>
      <c r="F87" t="s">
        <v>368</v>
      </c>
      <c r="G87">
        <v>3353</v>
      </c>
      <c r="H87" t="s">
        <v>1695</v>
      </c>
      <c r="I87" t="s">
        <v>1696</v>
      </c>
      <c r="J87">
        <v>16</v>
      </c>
      <c r="K87">
        <v>1</v>
      </c>
      <c r="L87">
        <v>9.0277777777777774E-4</v>
      </c>
      <c r="M87" t="s">
        <v>117</v>
      </c>
      <c r="N87" t="s">
        <v>239</v>
      </c>
      <c r="O87" s="24">
        <v>46114</v>
      </c>
      <c r="P87">
        <v>605</v>
      </c>
      <c r="Q87" t="s">
        <v>34</v>
      </c>
      <c r="R87" s="24">
        <v>46136</v>
      </c>
      <c r="S87" s="51">
        <v>0.37013888888888891</v>
      </c>
      <c r="T87" s="51">
        <v>0.38819444444444445</v>
      </c>
      <c r="X87" t="s">
        <v>3040</v>
      </c>
      <c r="Y87" t="s">
        <v>3029</v>
      </c>
      <c r="Z87">
        <v>2777669</v>
      </c>
    </row>
    <row r="88" spans="1:26" x14ac:dyDescent="0.25">
      <c r="A88">
        <v>84</v>
      </c>
      <c r="B88" t="s">
        <v>24</v>
      </c>
      <c r="C88" t="s">
        <v>25</v>
      </c>
      <c r="D88">
        <v>13</v>
      </c>
      <c r="E88" t="s">
        <v>65</v>
      </c>
      <c r="F88" t="s">
        <v>1589</v>
      </c>
      <c r="G88">
        <v>3353</v>
      </c>
      <c r="H88" t="s">
        <v>1754</v>
      </c>
      <c r="I88" t="s">
        <v>1755</v>
      </c>
      <c r="J88">
        <v>16</v>
      </c>
      <c r="K88">
        <v>1</v>
      </c>
      <c r="L88">
        <v>4.3981481481481481E-4</v>
      </c>
      <c r="M88" t="s">
        <v>117</v>
      </c>
      <c r="N88" t="s">
        <v>239</v>
      </c>
      <c r="O88" s="24">
        <v>46114</v>
      </c>
      <c r="P88">
        <v>605</v>
      </c>
      <c r="Q88" t="s">
        <v>34</v>
      </c>
      <c r="R88" s="24">
        <v>46136</v>
      </c>
      <c r="S88" s="51">
        <v>0.37013888888888891</v>
      </c>
      <c r="T88" s="51">
        <v>0.38819444444444445</v>
      </c>
      <c r="X88" t="s">
        <v>3040</v>
      </c>
      <c r="Y88" t="s">
        <v>3029</v>
      </c>
      <c r="Z88">
        <v>2777669</v>
      </c>
    </row>
    <row r="89" spans="1:26" x14ac:dyDescent="0.25">
      <c r="A89">
        <v>85</v>
      </c>
      <c r="B89" t="s">
        <v>24</v>
      </c>
      <c r="C89" t="s">
        <v>25</v>
      </c>
      <c r="D89">
        <v>13</v>
      </c>
      <c r="E89" t="s">
        <v>65</v>
      </c>
      <c r="F89" t="s">
        <v>1589</v>
      </c>
      <c r="G89">
        <v>3353</v>
      </c>
      <c r="H89" t="s">
        <v>1756</v>
      </c>
      <c r="I89" t="s">
        <v>1757</v>
      </c>
      <c r="J89">
        <v>16</v>
      </c>
      <c r="K89">
        <v>1</v>
      </c>
      <c r="L89">
        <v>1.1226851851851851E-3</v>
      </c>
      <c r="M89" t="s">
        <v>117</v>
      </c>
      <c r="N89" t="s">
        <v>239</v>
      </c>
      <c r="O89" s="24">
        <v>46114</v>
      </c>
      <c r="P89">
        <v>605</v>
      </c>
      <c r="Q89" t="s">
        <v>34</v>
      </c>
      <c r="R89" s="24">
        <v>46136</v>
      </c>
      <c r="S89" s="51">
        <v>0.37013888888888891</v>
      </c>
      <c r="T89" s="51">
        <v>0.38819444444444445</v>
      </c>
      <c r="X89" t="s">
        <v>3040</v>
      </c>
      <c r="Y89" t="s">
        <v>3029</v>
      </c>
      <c r="Z89">
        <v>2777669</v>
      </c>
    </row>
    <row r="90" spans="1:26" x14ac:dyDescent="0.25">
      <c r="A90">
        <v>86</v>
      </c>
      <c r="B90" t="s">
        <v>24</v>
      </c>
      <c r="C90" t="s">
        <v>25</v>
      </c>
      <c r="D90">
        <v>13</v>
      </c>
      <c r="E90" t="s">
        <v>65</v>
      </c>
      <c r="F90" t="s">
        <v>1589</v>
      </c>
      <c r="G90">
        <v>3353</v>
      </c>
      <c r="H90" t="s">
        <v>1701</v>
      </c>
      <c r="I90" t="s">
        <v>1702</v>
      </c>
      <c r="J90">
        <v>16</v>
      </c>
      <c r="K90">
        <v>1</v>
      </c>
      <c r="L90">
        <v>5.0925925925925921E-4</v>
      </c>
      <c r="M90" t="s">
        <v>117</v>
      </c>
      <c r="N90" t="s">
        <v>239</v>
      </c>
      <c r="O90" s="24">
        <v>46114</v>
      </c>
      <c r="P90">
        <v>605</v>
      </c>
      <c r="Q90" t="s">
        <v>34</v>
      </c>
      <c r="R90" s="24">
        <v>46136</v>
      </c>
      <c r="S90" s="51">
        <v>0.37013888888888891</v>
      </c>
      <c r="T90" s="51">
        <v>0.38819444444444445</v>
      </c>
      <c r="X90" t="s">
        <v>3040</v>
      </c>
      <c r="Y90" t="s">
        <v>3029</v>
      </c>
      <c r="Z90">
        <v>2777669</v>
      </c>
    </row>
    <row r="91" spans="1:26" x14ac:dyDescent="0.25">
      <c r="A91">
        <v>87</v>
      </c>
      <c r="B91" t="s">
        <v>24</v>
      </c>
      <c r="C91" t="s">
        <v>25</v>
      </c>
      <c r="D91">
        <v>13</v>
      </c>
      <c r="E91" t="s">
        <v>65</v>
      </c>
      <c r="F91" t="s">
        <v>1591</v>
      </c>
      <c r="G91">
        <v>3353</v>
      </c>
      <c r="H91" t="s">
        <v>1758</v>
      </c>
      <c r="I91" t="s">
        <v>1755</v>
      </c>
      <c r="J91">
        <v>16</v>
      </c>
      <c r="K91">
        <v>1</v>
      </c>
      <c r="L91">
        <v>4.3981481481481481E-4</v>
      </c>
      <c r="M91" t="s">
        <v>117</v>
      </c>
      <c r="N91" t="s">
        <v>239</v>
      </c>
      <c r="O91" s="24">
        <v>46114</v>
      </c>
      <c r="P91">
        <v>605</v>
      </c>
      <c r="Q91" t="s">
        <v>34</v>
      </c>
      <c r="R91" s="24">
        <v>46136</v>
      </c>
      <c r="S91" s="51">
        <v>0.37013888888888891</v>
      </c>
      <c r="T91" s="51">
        <v>0.38819444444444445</v>
      </c>
      <c r="X91" t="s">
        <v>3040</v>
      </c>
      <c r="Y91" t="s">
        <v>3029</v>
      </c>
      <c r="Z91">
        <v>2777669</v>
      </c>
    </row>
    <row r="92" spans="1:26" x14ac:dyDescent="0.25">
      <c r="A92">
        <v>88</v>
      </c>
      <c r="B92" t="s">
        <v>24</v>
      </c>
      <c r="C92" t="s">
        <v>25</v>
      </c>
      <c r="D92">
        <v>13</v>
      </c>
      <c r="E92" t="s">
        <v>65</v>
      </c>
      <c r="F92" t="s">
        <v>1589</v>
      </c>
      <c r="G92">
        <v>3353</v>
      </c>
      <c r="H92" t="s">
        <v>1759</v>
      </c>
      <c r="I92" t="s">
        <v>1760</v>
      </c>
      <c r="J92">
        <v>16</v>
      </c>
      <c r="K92">
        <v>1</v>
      </c>
      <c r="L92">
        <v>7.0601851851851847E-4</v>
      </c>
      <c r="M92" t="s">
        <v>117</v>
      </c>
      <c r="N92" t="s">
        <v>239</v>
      </c>
      <c r="O92" s="24">
        <v>46114</v>
      </c>
      <c r="P92">
        <v>605</v>
      </c>
      <c r="Q92" t="s">
        <v>34</v>
      </c>
      <c r="R92" s="24">
        <v>46136</v>
      </c>
      <c r="S92" s="51">
        <v>0.37013888888888891</v>
      </c>
      <c r="T92" s="51">
        <v>0.38819444444444445</v>
      </c>
      <c r="X92" t="s">
        <v>3040</v>
      </c>
      <c r="Y92" t="s">
        <v>3029</v>
      </c>
      <c r="Z92">
        <v>2777669</v>
      </c>
    </row>
    <row r="93" spans="1:26" x14ac:dyDescent="0.25">
      <c r="A93">
        <v>89</v>
      </c>
      <c r="B93" t="s">
        <v>24</v>
      </c>
      <c r="C93" t="s">
        <v>25</v>
      </c>
      <c r="D93">
        <v>13</v>
      </c>
      <c r="E93" t="s">
        <v>65</v>
      </c>
      <c r="F93" t="s">
        <v>1591</v>
      </c>
      <c r="G93">
        <v>3353</v>
      </c>
      <c r="H93" t="s">
        <v>1761</v>
      </c>
      <c r="I93" t="s">
        <v>1698</v>
      </c>
      <c r="J93">
        <v>16</v>
      </c>
      <c r="K93">
        <v>1</v>
      </c>
      <c r="L93">
        <v>5.4398148148148144E-4</v>
      </c>
      <c r="M93" t="s">
        <v>117</v>
      </c>
      <c r="N93" t="s">
        <v>239</v>
      </c>
      <c r="O93" s="24">
        <v>46114</v>
      </c>
      <c r="P93">
        <v>605</v>
      </c>
      <c r="Q93" t="s">
        <v>34</v>
      </c>
      <c r="R93" s="24">
        <v>46136</v>
      </c>
      <c r="S93" s="51">
        <v>0.37013888888888891</v>
      </c>
      <c r="T93" s="51">
        <v>0.38819444444444445</v>
      </c>
      <c r="X93" t="s">
        <v>3040</v>
      </c>
      <c r="Y93" t="s">
        <v>3029</v>
      </c>
      <c r="Z93">
        <v>2777669</v>
      </c>
    </row>
    <row r="94" spans="1:26" x14ac:dyDescent="0.25">
      <c r="A94">
        <v>90</v>
      </c>
      <c r="B94" t="s">
        <v>24</v>
      </c>
      <c r="C94" t="s">
        <v>25</v>
      </c>
      <c r="D94">
        <v>13</v>
      </c>
      <c r="E94" t="s">
        <v>65</v>
      </c>
      <c r="F94" t="s">
        <v>1591</v>
      </c>
      <c r="G94">
        <v>3353</v>
      </c>
      <c r="H94" t="s">
        <v>1704</v>
      </c>
      <c r="I94" t="s">
        <v>1702</v>
      </c>
      <c r="J94">
        <v>16</v>
      </c>
      <c r="K94">
        <v>3</v>
      </c>
      <c r="L94">
        <v>1.5509259259259259E-3</v>
      </c>
      <c r="M94" t="s">
        <v>117</v>
      </c>
      <c r="N94" t="s">
        <v>239</v>
      </c>
      <c r="O94" s="24">
        <v>46114</v>
      </c>
      <c r="P94">
        <v>605</v>
      </c>
      <c r="Q94" t="s">
        <v>34</v>
      </c>
      <c r="R94" s="24">
        <v>46136</v>
      </c>
      <c r="S94" s="51">
        <v>0.37013888888888891</v>
      </c>
      <c r="T94" s="51">
        <v>0.38819444444444445</v>
      </c>
      <c r="X94" t="s">
        <v>3040</v>
      </c>
      <c r="Y94" t="s">
        <v>3029</v>
      </c>
      <c r="Z94">
        <v>2777669</v>
      </c>
    </row>
    <row r="95" spans="1:26" x14ac:dyDescent="0.25">
      <c r="A95">
        <v>91</v>
      </c>
      <c r="B95" t="s">
        <v>24</v>
      </c>
      <c r="C95" t="s">
        <v>25</v>
      </c>
      <c r="D95">
        <v>13</v>
      </c>
      <c r="E95" t="s">
        <v>65</v>
      </c>
      <c r="F95" t="s">
        <v>1591</v>
      </c>
      <c r="G95">
        <v>3353</v>
      </c>
      <c r="H95" t="s">
        <v>1762</v>
      </c>
      <c r="I95" t="s">
        <v>1757</v>
      </c>
      <c r="J95">
        <v>16</v>
      </c>
      <c r="K95">
        <v>1</v>
      </c>
      <c r="L95">
        <v>1.1226851851851851E-3</v>
      </c>
      <c r="M95" t="s">
        <v>117</v>
      </c>
      <c r="N95" t="s">
        <v>239</v>
      </c>
      <c r="O95" s="24">
        <v>46114</v>
      </c>
      <c r="P95">
        <v>605</v>
      </c>
      <c r="Q95" t="s">
        <v>34</v>
      </c>
      <c r="R95" s="24">
        <v>46136</v>
      </c>
      <c r="S95" s="51">
        <v>0.37013888888888891</v>
      </c>
      <c r="T95" s="51">
        <v>0.38819444444444445</v>
      </c>
      <c r="X95" t="s">
        <v>3040</v>
      </c>
      <c r="Y95" t="s">
        <v>3029</v>
      </c>
      <c r="Z95">
        <v>2777669</v>
      </c>
    </row>
    <row r="96" spans="1:26" x14ac:dyDescent="0.25">
      <c r="A96">
        <v>92</v>
      </c>
      <c r="B96" t="s">
        <v>24</v>
      </c>
      <c r="C96" t="s">
        <v>25</v>
      </c>
      <c r="D96">
        <v>13</v>
      </c>
      <c r="E96" t="s">
        <v>65</v>
      </c>
      <c r="F96" t="s">
        <v>1591</v>
      </c>
      <c r="G96">
        <v>3353</v>
      </c>
      <c r="H96" t="s">
        <v>1763</v>
      </c>
      <c r="I96" t="s">
        <v>1764</v>
      </c>
      <c r="J96">
        <v>16</v>
      </c>
      <c r="K96">
        <v>1</v>
      </c>
      <c r="L96">
        <v>1.5509259259259259E-3</v>
      </c>
      <c r="M96" t="s">
        <v>117</v>
      </c>
      <c r="N96" t="s">
        <v>239</v>
      </c>
      <c r="O96" s="24">
        <v>46114</v>
      </c>
      <c r="P96">
        <v>605</v>
      </c>
      <c r="Q96" t="s">
        <v>34</v>
      </c>
      <c r="R96" s="24">
        <v>46136</v>
      </c>
      <c r="S96" s="51">
        <v>0.37013888888888891</v>
      </c>
      <c r="T96" s="51">
        <v>0.38819444444444445</v>
      </c>
      <c r="X96" t="s">
        <v>3040</v>
      </c>
      <c r="Y96" t="s">
        <v>3029</v>
      </c>
      <c r="Z96">
        <v>2777669</v>
      </c>
    </row>
    <row r="97" spans="1:26" x14ac:dyDescent="0.25">
      <c r="A97">
        <v>93</v>
      </c>
      <c r="B97" t="s">
        <v>24</v>
      </c>
      <c r="C97" t="s">
        <v>25</v>
      </c>
      <c r="D97">
        <v>13</v>
      </c>
      <c r="E97" t="s">
        <v>65</v>
      </c>
      <c r="F97" t="s">
        <v>512</v>
      </c>
      <c r="G97">
        <v>3353</v>
      </c>
      <c r="H97" t="s">
        <v>1765</v>
      </c>
      <c r="I97" t="s">
        <v>1706</v>
      </c>
      <c r="J97">
        <v>16</v>
      </c>
      <c r="K97">
        <v>2</v>
      </c>
      <c r="L97">
        <v>1.8171296296296295E-3</v>
      </c>
      <c r="M97" t="s">
        <v>117</v>
      </c>
      <c r="N97" t="s">
        <v>239</v>
      </c>
      <c r="O97" s="24">
        <v>46114</v>
      </c>
      <c r="P97">
        <v>605</v>
      </c>
      <c r="Q97" t="s">
        <v>34</v>
      </c>
      <c r="R97" s="24">
        <v>46136</v>
      </c>
      <c r="S97" s="51">
        <v>0.37013888888888891</v>
      </c>
      <c r="T97" s="51">
        <v>0.38819444444444445</v>
      </c>
      <c r="X97" t="s">
        <v>3040</v>
      </c>
      <c r="Y97" t="s">
        <v>3029</v>
      </c>
      <c r="Z97">
        <v>2777669</v>
      </c>
    </row>
    <row r="98" spans="1:26" x14ac:dyDescent="0.25">
      <c r="A98">
        <v>94</v>
      </c>
      <c r="B98" t="s">
        <v>24</v>
      </c>
      <c r="C98" t="s">
        <v>25</v>
      </c>
      <c r="D98">
        <v>13</v>
      </c>
      <c r="E98" t="s">
        <v>1585</v>
      </c>
      <c r="F98" t="s">
        <v>1585</v>
      </c>
      <c r="G98">
        <v>3355</v>
      </c>
      <c r="H98" t="s">
        <v>1635</v>
      </c>
      <c r="I98" t="s">
        <v>1636</v>
      </c>
      <c r="J98">
        <v>16</v>
      </c>
      <c r="K98">
        <v>6</v>
      </c>
      <c r="L98">
        <v>6.9907407407407401E-3</v>
      </c>
      <c r="M98" t="s">
        <v>117</v>
      </c>
      <c r="N98" t="s">
        <v>239</v>
      </c>
      <c r="O98" s="24">
        <v>46114</v>
      </c>
      <c r="P98">
        <v>605</v>
      </c>
      <c r="Q98" t="s">
        <v>34</v>
      </c>
      <c r="R98" s="24">
        <v>46136</v>
      </c>
      <c r="S98" s="51">
        <v>0.3923611111111111</v>
      </c>
      <c r="T98" s="51">
        <v>0.4284722222222222</v>
      </c>
      <c r="X98" t="s">
        <v>3041</v>
      </c>
      <c r="Y98" t="s">
        <v>3029</v>
      </c>
      <c r="Z98">
        <v>2777669</v>
      </c>
    </row>
    <row r="99" spans="1:26" x14ac:dyDescent="0.25">
      <c r="A99">
        <v>95</v>
      </c>
      <c r="B99" t="s">
        <v>24</v>
      </c>
      <c r="C99" t="s">
        <v>25</v>
      </c>
      <c r="D99">
        <v>13</v>
      </c>
      <c r="E99" t="s">
        <v>65</v>
      </c>
      <c r="F99" t="s">
        <v>512</v>
      </c>
      <c r="G99">
        <v>3355</v>
      </c>
      <c r="H99" t="s">
        <v>1767</v>
      </c>
      <c r="I99" t="s">
        <v>1768</v>
      </c>
      <c r="J99">
        <v>16</v>
      </c>
      <c r="K99">
        <v>1</v>
      </c>
      <c r="L99">
        <v>9.1435185185185185E-4</v>
      </c>
      <c r="M99" t="s">
        <v>117</v>
      </c>
      <c r="N99" t="s">
        <v>239</v>
      </c>
      <c r="O99" s="24">
        <v>46114</v>
      </c>
      <c r="P99">
        <v>605</v>
      </c>
      <c r="Q99" t="s">
        <v>34</v>
      </c>
      <c r="R99" s="24">
        <v>46136</v>
      </c>
      <c r="S99" s="51">
        <v>0.3923611111111111</v>
      </c>
      <c r="T99" s="51">
        <v>0.4284722222222222</v>
      </c>
      <c r="X99" t="s">
        <v>3041</v>
      </c>
      <c r="Y99" t="s">
        <v>3029</v>
      </c>
      <c r="Z99">
        <v>2777669</v>
      </c>
    </row>
    <row r="100" spans="1:26" x14ac:dyDescent="0.25">
      <c r="A100">
        <v>96</v>
      </c>
      <c r="B100" t="s">
        <v>24</v>
      </c>
      <c r="C100" t="s">
        <v>25</v>
      </c>
      <c r="D100">
        <v>13</v>
      </c>
      <c r="E100" t="s">
        <v>65</v>
      </c>
      <c r="F100" t="s">
        <v>512</v>
      </c>
      <c r="G100">
        <v>3355</v>
      </c>
      <c r="H100" t="s">
        <v>1769</v>
      </c>
      <c r="I100" t="s">
        <v>1741</v>
      </c>
      <c r="J100">
        <v>16</v>
      </c>
      <c r="K100">
        <v>1</v>
      </c>
      <c r="L100">
        <v>6.8287037037037036E-4</v>
      </c>
      <c r="M100" t="s">
        <v>117</v>
      </c>
      <c r="N100" t="s">
        <v>239</v>
      </c>
      <c r="O100" s="24">
        <v>46114</v>
      </c>
      <c r="P100">
        <v>605</v>
      </c>
      <c r="Q100" t="s">
        <v>34</v>
      </c>
      <c r="R100" s="24">
        <v>46136</v>
      </c>
      <c r="S100" s="51">
        <v>0.3923611111111111</v>
      </c>
      <c r="T100" s="51">
        <v>0.4284722222222222</v>
      </c>
      <c r="X100" t="s">
        <v>3041</v>
      </c>
      <c r="Y100" t="s">
        <v>3029</v>
      </c>
      <c r="Z100">
        <v>2777669</v>
      </c>
    </row>
    <row r="101" spans="1:26" x14ac:dyDescent="0.25">
      <c r="A101">
        <v>97</v>
      </c>
      <c r="B101" t="s">
        <v>24</v>
      </c>
      <c r="C101" t="s">
        <v>25</v>
      </c>
      <c r="D101">
        <v>13</v>
      </c>
      <c r="E101" t="s">
        <v>367</v>
      </c>
      <c r="F101" t="s">
        <v>367</v>
      </c>
      <c r="G101">
        <v>3355</v>
      </c>
      <c r="H101" t="s">
        <v>1770</v>
      </c>
      <c r="I101" t="s">
        <v>1771</v>
      </c>
      <c r="J101">
        <v>16</v>
      </c>
      <c r="K101">
        <v>1</v>
      </c>
      <c r="L101">
        <v>1.1226851851851851E-3</v>
      </c>
      <c r="M101" t="s">
        <v>117</v>
      </c>
      <c r="N101" t="s">
        <v>239</v>
      </c>
      <c r="O101" s="24">
        <v>46114</v>
      </c>
      <c r="P101">
        <v>605</v>
      </c>
      <c r="Q101" t="s">
        <v>34</v>
      </c>
      <c r="R101" s="24">
        <v>46136</v>
      </c>
      <c r="S101" s="51">
        <v>0.3923611111111111</v>
      </c>
      <c r="T101" s="51">
        <v>0.4284722222222222</v>
      </c>
      <c r="X101" t="s">
        <v>3041</v>
      </c>
      <c r="Y101" t="s">
        <v>3029</v>
      </c>
      <c r="Z101">
        <v>2777669</v>
      </c>
    </row>
    <row r="102" spans="1:26" x14ac:dyDescent="0.25">
      <c r="A102">
        <v>98</v>
      </c>
      <c r="B102" t="s">
        <v>24</v>
      </c>
      <c r="C102" t="s">
        <v>25</v>
      </c>
      <c r="D102">
        <v>13</v>
      </c>
      <c r="E102" t="s">
        <v>367</v>
      </c>
      <c r="F102" t="s">
        <v>367</v>
      </c>
      <c r="G102">
        <v>3355</v>
      </c>
      <c r="H102" t="s">
        <v>1772</v>
      </c>
      <c r="I102" t="s">
        <v>1771</v>
      </c>
      <c r="J102">
        <v>16</v>
      </c>
      <c r="K102">
        <v>1</v>
      </c>
      <c r="L102">
        <v>1.0648148148148149E-3</v>
      </c>
      <c r="M102" t="s">
        <v>117</v>
      </c>
      <c r="N102" t="s">
        <v>239</v>
      </c>
      <c r="O102" s="24">
        <v>46114</v>
      </c>
      <c r="P102">
        <v>605</v>
      </c>
      <c r="Q102" t="s">
        <v>34</v>
      </c>
      <c r="R102" s="24">
        <v>46136</v>
      </c>
      <c r="S102" s="51">
        <v>0.3923611111111111</v>
      </c>
      <c r="T102" s="51">
        <v>0.4284722222222222</v>
      </c>
      <c r="X102" t="s">
        <v>3041</v>
      </c>
      <c r="Y102" t="s">
        <v>3029</v>
      </c>
      <c r="Z102">
        <v>2777669</v>
      </c>
    </row>
    <row r="103" spans="1:26" x14ac:dyDescent="0.25">
      <c r="A103">
        <v>99</v>
      </c>
      <c r="B103" t="s">
        <v>24</v>
      </c>
      <c r="C103" t="s">
        <v>25</v>
      </c>
      <c r="D103">
        <v>13</v>
      </c>
      <c r="E103" t="s">
        <v>367</v>
      </c>
      <c r="F103" t="s">
        <v>512</v>
      </c>
      <c r="G103">
        <v>3355</v>
      </c>
      <c r="H103" t="s">
        <v>1773</v>
      </c>
      <c r="I103" t="s">
        <v>1774</v>
      </c>
      <c r="J103">
        <v>16</v>
      </c>
      <c r="K103">
        <v>2</v>
      </c>
      <c r="L103">
        <v>3.0787037037037037E-3</v>
      </c>
      <c r="M103" t="s">
        <v>117</v>
      </c>
      <c r="N103" t="s">
        <v>239</v>
      </c>
      <c r="O103" s="24">
        <v>46114</v>
      </c>
      <c r="P103">
        <v>605</v>
      </c>
      <c r="Q103" t="s">
        <v>34</v>
      </c>
      <c r="R103" s="24">
        <v>46136</v>
      </c>
      <c r="S103" s="51">
        <v>0.3923611111111111</v>
      </c>
      <c r="T103" s="51">
        <v>0.4284722222222222</v>
      </c>
      <c r="X103" t="s">
        <v>3041</v>
      </c>
      <c r="Y103" t="s">
        <v>3029</v>
      </c>
      <c r="Z103">
        <v>2777669</v>
      </c>
    </row>
    <row r="104" spans="1:26" x14ac:dyDescent="0.25">
      <c r="A104">
        <v>100</v>
      </c>
      <c r="B104" t="s">
        <v>24</v>
      </c>
      <c r="C104" t="s">
        <v>25</v>
      </c>
      <c r="D104">
        <v>13</v>
      </c>
      <c r="E104" t="s">
        <v>367</v>
      </c>
      <c r="F104" t="s">
        <v>512</v>
      </c>
      <c r="G104">
        <v>3355</v>
      </c>
      <c r="H104" t="s">
        <v>1775</v>
      </c>
      <c r="I104" t="s">
        <v>1776</v>
      </c>
      <c r="J104">
        <v>16</v>
      </c>
      <c r="K104">
        <v>1</v>
      </c>
      <c r="L104">
        <v>1.6203703703703703E-3</v>
      </c>
      <c r="M104" t="s">
        <v>117</v>
      </c>
      <c r="N104" t="s">
        <v>239</v>
      </c>
      <c r="O104" s="24">
        <v>46114</v>
      </c>
      <c r="P104">
        <v>605</v>
      </c>
      <c r="Q104" t="s">
        <v>34</v>
      </c>
      <c r="R104" s="24">
        <v>46136</v>
      </c>
      <c r="S104" s="51">
        <v>0.3923611111111111</v>
      </c>
      <c r="T104" s="51">
        <v>0.4284722222222222</v>
      </c>
      <c r="X104" t="s">
        <v>3041</v>
      </c>
      <c r="Y104" t="s">
        <v>3029</v>
      </c>
      <c r="Z104">
        <v>2777669</v>
      </c>
    </row>
    <row r="105" spans="1:26" x14ac:dyDescent="0.25">
      <c r="A105">
        <v>101</v>
      </c>
      <c r="B105" t="s">
        <v>24</v>
      </c>
      <c r="C105" t="s">
        <v>25</v>
      </c>
      <c r="D105">
        <v>13</v>
      </c>
      <c r="E105" t="s">
        <v>65</v>
      </c>
      <c r="F105" t="s">
        <v>512</v>
      </c>
      <c r="G105">
        <v>3355</v>
      </c>
      <c r="H105" t="s">
        <v>1777</v>
      </c>
      <c r="I105" t="s">
        <v>1778</v>
      </c>
      <c r="J105">
        <v>16</v>
      </c>
      <c r="K105">
        <v>1</v>
      </c>
      <c r="L105">
        <v>1.1805555555555556E-3</v>
      </c>
      <c r="M105" t="s">
        <v>117</v>
      </c>
      <c r="N105" t="s">
        <v>239</v>
      </c>
      <c r="O105" s="24">
        <v>46114</v>
      </c>
      <c r="P105">
        <v>605</v>
      </c>
      <c r="Q105" t="s">
        <v>34</v>
      </c>
      <c r="R105" s="24">
        <v>46136</v>
      </c>
      <c r="S105" s="51">
        <v>0.3923611111111111</v>
      </c>
      <c r="T105" s="51">
        <v>0.4284722222222222</v>
      </c>
      <c r="X105" t="s">
        <v>3041</v>
      </c>
      <c r="Y105" t="s">
        <v>3029</v>
      </c>
      <c r="Z105">
        <v>2777669</v>
      </c>
    </row>
    <row r="106" spans="1:26" x14ac:dyDescent="0.25">
      <c r="A106">
        <v>102</v>
      </c>
      <c r="B106" t="s">
        <v>24</v>
      </c>
      <c r="C106" t="s">
        <v>25</v>
      </c>
      <c r="D106">
        <v>13</v>
      </c>
      <c r="E106" t="s">
        <v>367</v>
      </c>
      <c r="F106" t="s">
        <v>512</v>
      </c>
      <c r="G106">
        <v>3355</v>
      </c>
      <c r="H106" t="s">
        <v>1779</v>
      </c>
      <c r="I106" t="s">
        <v>1780</v>
      </c>
      <c r="J106">
        <v>16</v>
      </c>
      <c r="K106">
        <v>1</v>
      </c>
      <c r="L106">
        <v>8.6805555555555551E-4</v>
      </c>
      <c r="M106" t="s">
        <v>117</v>
      </c>
      <c r="N106" t="s">
        <v>239</v>
      </c>
      <c r="O106" s="24">
        <v>46114</v>
      </c>
      <c r="P106">
        <v>605</v>
      </c>
      <c r="Q106" t="s">
        <v>34</v>
      </c>
      <c r="R106" s="24">
        <v>46136</v>
      </c>
      <c r="S106" s="51">
        <v>0.3923611111111111</v>
      </c>
      <c r="T106" s="51">
        <v>0.4284722222222222</v>
      </c>
      <c r="X106" t="s">
        <v>3041</v>
      </c>
      <c r="Y106" t="s">
        <v>3029</v>
      </c>
      <c r="Z106">
        <v>2777669</v>
      </c>
    </row>
    <row r="107" spans="1:26" x14ac:dyDescent="0.25">
      <c r="A107">
        <v>103</v>
      </c>
      <c r="B107" t="s">
        <v>24</v>
      </c>
      <c r="C107" t="s">
        <v>25</v>
      </c>
      <c r="D107">
        <v>13</v>
      </c>
      <c r="E107" t="s">
        <v>1585</v>
      </c>
      <c r="F107" t="s">
        <v>1585</v>
      </c>
      <c r="G107">
        <v>3356</v>
      </c>
      <c r="H107" t="s">
        <v>1635</v>
      </c>
      <c r="I107" t="s">
        <v>1636</v>
      </c>
      <c r="J107">
        <v>16</v>
      </c>
      <c r="K107">
        <v>1</v>
      </c>
      <c r="L107">
        <v>1.0532407407407407E-3</v>
      </c>
      <c r="M107" t="s">
        <v>117</v>
      </c>
      <c r="N107" t="s">
        <v>239</v>
      </c>
      <c r="O107" s="24">
        <v>46114</v>
      </c>
      <c r="P107">
        <v>605</v>
      </c>
      <c r="Q107" t="s">
        <v>34</v>
      </c>
      <c r="R107" s="24">
        <v>46136</v>
      </c>
      <c r="S107" s="51">
        <v>0.86458333333333337</v>
      </c>
      <c r="T107" s="51">
        <v>0.97916666666666663</v>
      </c>
      <c r="X107" t="s">
        <v>3042</v>
      </c>
      <c r="Y107" t="s">
        <v>3032</v>
      </c>
      <c r="Z107">
        <v>2777669</v>
      </c>
    </row>
    <row r="108" spans="1:26" x14ac:dyDescent="0.25">
      <c r="A108">
        <v>104</v>
      </c>
      <c r="B108" t="s">
        <v>24</v>
      </c>
      <c r="C108" t="s">
        <v>25</v>
      </c>
      <c r="D108">
        <v>13</v>
      </c>
      <c r="E108" t="s">
        <v>530</v>
      </c>
      <c r="F108" t="s">
        <v>530</v>
      </c>
      <c r="G108">
        <v>3356</v>
      </c>
      <c r="H108" t="s">
        <v>1782</v>
      </c>
      <c r="I108" t="s">
        <v>1668</v>
      </c>
      <c r="J108">
        <v>16</v>
      </c>
      <c r="K108">
        <v>2</v>
      </c>
      <c r="L108">
        <v>1.261574074074074E-3</v>
      </c>
      <c r="M108" t="s">
        <v>117</v>
      </c>
      <c r="N108" t="s">
        <v>239</v>
      </c>
      <c r="O108" s="24">
        <v>46114</v>
      </c>
      <c r="P108">
        <v>605</v>
      </c>
      <c r="Q108" t="s">
        <v>34</v>
      </c>
      <c r="R108" s="24">
        <v>46136</v>
      </c>
      <c r="S108" s="51">
        <v>0.86458333333333337</v>
      </c>
      <c r="T108" s="51">
        <v>0.97916666666666663</v>
      </c>
      <c r="X108" t="s">
        <v>3042</v>
      </c>
      <c r="Y108" t="s">
        <v>3032</v>
      </c>
      <c r="Z108">
        <v>2777669</v>
      </c>
    </row>
    <row r="109" spans="1:26" x14ac:dyDescent="0.25">
      <c r="A109">
        <v>105</v>
      </c>
      <c r="B109" t="s">
        <v>24</v>
      </c>
      <c r="C109" t="s">
        <v>25</v>
      </c>
      <c r="D109">
        <v>13</v>
      </c>
      <c r="E109" t="s">
        <v>367</v>
      </c>
      <c r="F109" t="s">
        <v>368</v>
      </c>
      <c r="G109">
        <v>3356</v>
      </c>
      <c r="H109" t="s">
        <v>1783</v>
      </c>
      <c r="I109" t="s">
        <v>1679</v>
      </c>
      <c r="J109">
        <v>16</v>
      </c>
      <c r="K109">
        <v>1</v>
      </c>
      <c r="L109">
        <v>6.3657407407407402E-4</v>
      </c>
      <c r="M109" t="s">
        <v>117</v>
      </c>
      <c r="N109" t="s">
        <v>239</v>
      </c>
      <c r="O109" s="24">
        <v>46114</v>
      </c>
      <c r="P109">
        <v>605</v>
      </c>
      <c r="Q109" t="s">
        <v>34</v>
      </c>
      <c r="R109" s="24">
        <v>46136</v>
      </c>
      <c r="S109" s="51">
        <v>0.86458333333333337</v>
      </c>
      <c r="T109" s="51">
        <v>0.97916666666666663</v>
      </c>
      <c r="X109" t="s">
        <v>3042</v>
      </c>
      <c r="Y109" t="s">
        <v>3032</v>
      </c>
      <c r="Z109">
        <v>2777669</v>
      </c>
    </row>
    <row r="110" spans="1:26" x14ac:dyDescent="0.25">
      <c r="A110">
        <v>106</v>
      </c>
      <c r="B110" t="s">
        <v>24</v>
      </c>
      <c r="C110" t="s">
        <v>25</v>
      </c>
      <c r="D110">
        <v>13</v>
      </c>
      <c r="E110" t="s">
        <v>367</v>
      </c>
      <c r="F110" t="s">
        <v>368</v>
      </c>
      <c r="G110">
        <v>3356</v>
      </c>
      <c r="H110" t="s">
        <v>1784</v>
      </c>
      <c r="I110" t="s">
        <v>1785</v>
      </c>
      <c r="J110">
        <v>16</v>
      </c>
      <c r="K110">
        <v>1</v>
      </c>
      <c r="L110">
        <v>7.407407407407407E-4</v>
      </c>
      <c r="M110" t="s">
        <v>117</v>
      </c>
      <c r="N110" t="s">
        <v>239</v>
      </c>
      <c r="O110" s="24">
        <v>46114</v>
      </c>
      <c r="P110">
        <v>605</v>
      </c>
      <c r="Q110" t="s">
        <v>34</v>
      </c>
      <c r="R110" s="24">
        <v>46136</v>
      </c>
      <c r="S110" s="51">
        <v>0.86458333333333337</v>
      </c>
      <c r="T110" s="51">
        <v>0.97916666666666663</v>
      </c>
      <c r="X110" t="s">
        <v>3042</v>
      </c>
      <c r="Y110" t="s">
        <v>3032</v>
      </c>
      <c r="Z110">
        <v>2777669</v>
      </c>
    </row>
    <row r="111" spans="1:26" x14ac:dyDescent="0.25">
      <c r="A111">
        <v>107</v>
      </c>
      <c r="B111" t="s">
        <v>24</v>
      </c>
      <c r="C111" t="s">
        <v>25</v>
      </c>
      <c r="D111">
        <v>13</v>
      </c>
      <c r="E111" t="s">
        <v>367</v>
      </c>
      <c r="F111" t="s">
        <v>368</v>
      </c>
      <c r="G111">
        <v>3356</v>
      </c>
      <c r="H111" t="s">
        <v>1786</v>
      </c>
      <c r="I111" t="s">
        <v>1679</v>
      </c>
      <c r="J111">
        <v>16</v>
      </c>
      <c r="K111">
        <v>1</v>
      </c>
      <c r="L111">
        <v>6.3657407407407402E-4</v>
      </c>
      <c r="M111" t="s">
        <v>117</v>
      </c>
      <c r="N111" t="s">
        <v>239</v>
      </c>
      <c r="O111" s="24">
        <v>46114</v>
      </c>
      <c r="P111">
        <v>605</v>
      </c>
      <c r="Q111" t="s">
        <v>34</v>
      </c>
      <c r="R111" s="24">
        <v>46136</v>
      </c>
      <c r="S111" s="51">
        <v>0.86458333333333337</v>
      </c>
      <c r="T111" s="51">
        <v>0.97916666666666663</v>
      </c>
      <c r="X111" t="s">
        <v>3042</v>
      </c>
      <c r="Y111" t="s">
        <v>3032</v>
      </c>
      <c r="Z111">
        <v>2777669</v>
      </c>
    </row>
    <row r="112" spans="1:26" x14ac:dyDescent="0.25">
      <c r="A112">
        <v>108</v>
      </c>
      <c r="B112" t="s">
        <v>24</v>
      </c>
      <c r="C112" t="s">
        <v>25</v>
      </c>
      <c r="D112">
        <v>13</v>
      </c>
      <c r="E112" t="s">
        <v>367</v>
      </c>
      <c r="F112" t="s">
        <v>368</v>
      </c>
      <c r="G112">
        <v>3356</v>
      </c>
      <c r="H112" t="s">
        <v>1787</v>
      </c>
      <c r="I112" t="s">
        <v>1785</v>
      </c>
      <c r="J112">
        <v>16</v>
      </c>
      <c r="K112">
        <v>1</v>
      </c>
      <c r="L112">
        <v>7.407407407407407E-4</v>
      </c>
      <c r="M112" t="s">
        <v>117</v>
      </c>
      <c r="N112" t="s">
        <v>239</v>
      </c>
      <c r="O112" s="24">
        <v>46114</v>
      </c>
      <c r="P112">
        <v>605</v>
      </c>
      <c r="Q112" t="s">
        <v>34</v>
      </c>
      <c r="R112" s="24">
        <v>46136</v>
      </c>
      <c r="S112" s="51">
        <v>0.86458333333333337</v>
      </c>
      <c r="T112" s="51">
        <v>0.97916666666666663</v>
      </c>
      <c r="X112" t="s">
        <v>3042</v>
      </c>
      <c r="Y112" t="s">
        <v>3032</v>
      </c>
      <c r="Z112">
        <v>2777669</v>
      </c>
    </row>
    <row r="113" spans="1:26" x14ac:dyDescent="0.25">
      <c r="A113">
        <v>109</v>
      </c>
      <c r="B113" t="s">
        <v>24</v>
      </c>
      <c r="C113" t="s">
        <v>25</v>
      </c>
      <c r="D113">
        <v>13</v>
      </c>
      <c r="E113" t="s">
        <v>367</v>
      </c>
      <c r="F113" t="s">
        <v>427</v>
      </c>
      <c r="G113">
        <v>3356</v>
      </c>
      <c r="H113" t="s">
        <v>1788</v>
      </c>
      <c r="I113" t="s">
        <v>1789</v>
      </c>
      <c r="J113">
        <v>16</v>
      </c>
      <c r="K113">
        <v>1</v>
      </c>
      <c r="L113">
        <v>1.3425925925925925E-3</v>
      </c>
      <c r="M113" t="s">
        <v>117</v>
      </c>
      <c r="N113" t="s">
        <v>239</v>
      </c>
      <c r="O113" s="24">
        <v>46114</v>
      </c>
      <c r="P113">
        <v>605</v>
      </c>
      <c r="Q113" t="s">
        <v>34</v>
      </c>
      <c r="R113" s="24">
        <v>46136</v>
      </c>
      <c r="S113" s="51">
        <v>0.86458333333333337</v>
      </c>
      <c r="T113" s="51">
        <v>0.97916666666666663</v>
      </c>
      <c r="X113" t="s">
        <v>3042</v>
      </c>
      <c r="Y113" t="s">
        <v>3032</v>
      </c>
      <c r="Z113">
        <v>2777669</v>
      </c>
    </row>
    <row r="114" spans="1:26" x14ac:dyDescent="0.25">
      <c r="A114">
        <v>110</v>
      </c>
      <c r="B114" t="s">
        <v>24</v>
      </c>
      <c r="C114" t="s">
        <v>25</v>
      </c>
      <c r="D114">
        <v>13</v>
      </c>
      <c r="E114" t="s">
        <v>367</v>
      </c>
      <c r="F114" t="s">
        <v>427</v>
      </c>
      <c r="G114">
        <v>3356</v>
      </c>
      <c r="H114" t="s">
        <v>1790</v>
      </c>
      <c r="I114" t="s">
        <v>1791</v>
      </c>
      <c r="J114">
        <v>16</v>
      </c>
      <c r="K114">
        <v>1</v>
      </c>
      <c r="L114">
        <v>1.3541666666666667E-3</v>
      </c>
      <c r="M114" t="s">
        <v>117</v>
      </c>
      <c r="N114" t="s">
        <v>239</v>
      </c>
      <c r="O114" s="24">
        <v>46114</v>
      </c>
      <c r="P114">
        <v>605</v>
      </c>
      <c r="Q114" t="s">
        <v>34</v>
      </c>
      <c r="R114" s="24">
        <v>46136</v>
      </c>
      <c r="S114" s="51">
        <v>0.86458333333333337</v>
      </c>
      <c r="T114" s="51">
        <v>0.97916666666666663</v>
      </c>
      <c r="X114" t="s">
        <v>3042</v>
      </c>
      <c r="Y114" t="s">
        <v>3032</v>
      </c>
      <c r="Z114">
        <v>2777669</v>
      </c>
    </row>
    <row r="115" spans="1:26" x14ac:dyDescent="0.25">
      <c r="A115">
        <v>111</v>
      </c>
      <c r="B115" t="s">
        <v>24</v>
      </c>
      <c r="C115" t="s">
        <v>25</v>
      </c>
      <c r="D115">
        <v>13</v>
      </c>
      <c r="E115" t="s">
        <v>367</v>
      </c>
      <c r="F115" t="s">
        <v>512</v>
      </c>
      <c r="G115">
        <v>3356</v>
      </c>
      <c r="H115" t="s">
        <v>1792</v>
      </c>
      <c r="I115" t="s">
        <v>1752</v>
      </c>
      <c r="J115">
        <v>16</v>
      </c>
      <c r="K115">
        <v>2</v>
      </c>
      <c r="L115">
        <v>1.4930555555555554E-3</v>
      </c>
      <c r="M115" t="s">
        <v>117</v>
      </c>
      <c r="N115" t="s">
        <v>239</v>
      </c>
      <c r="O115" s="24">
        <v>46114</v>
      </c>
      <c r="P115">
        <v>605</v>
      </c>
      <c r="Q115" t="s">
        <v>34</v>
      </c>
      <c r="R115" s="24">
        <v>46136</v>
      </c>
      <c r="S115" s="51">
        <v>0.86458333333333337</v>
      </c>
      <c r="T115" s="51">
        <v>0.97916666666666663</v>
      </c>
      <c r="X115" t="s">
        <v>3042</v>
      </c>
      <c r="Y115" t="s">
        <v>3032</v>
      </c>
      <c r="Z115">
        <v>2777669</v>
      </c>
    </row>
    <row r="116" spans="1:26" x14ac:dyDescent="0.25">
      <c r="A116">
        <v>112</v>
      </c>
      <c r="B116" t="s">
        <v>24</v>
      </c>
      <c r="C116" t="s">
        <v>25</v>
      </c>
      <c r="D116">
        <v>13</v>
      </c>
      <c r="E116" t="s">
        <v>367</v>
      </c>
      <c r="F116" t="s">
        <v>1594</v>
      </c>
      <c r="G116">
        <v>3356</v>
      </c>
      <c r="H116" t="s">
        <v>1793</v>
      </c>
      <c r="I116" t="s">
        <v>1642</v>
      </c>
      <c r="J116">
        <v>16</v>
      </c>
      <c r="K116">
        <v>2</v>
      </c>
      <c r="L116">
        <v>1.2152777777777778E-3</v>
      </c>
      <c r="M116" t="s">
        <v>117</v>
      </c>
      <c r="N116" t="s">
        <v>239</v>
      </c>
      <c r="O116" s="24">
        <v>46114</v>
      </c>
      <c r="P116">
        <v>605</v>
      </c>
      <c r="Q116" t="s">
        <v>34</v>
      </c>
      <c r="R116" s="24">
        <v>46136</v>
      </c>
      <c r="S116" s="51">
        <v>0.86458333333333337</v>
      </c>
      <c r="T116" s="51">
        <v>0.97916666666666663</v>
      </c>
      <c r="X116" t="s">
        <v>3042</v>
      </c>
      <c r="Y116" t="s">
        <v>3032</v>
      </c>
      <c r="Z116">
        <v>2777669</v>
      </c>
    </row>
    <row r="117" spans="1:26" x14ac:dyDescent="0.25">
      <c r="A117">
        <v>113</v>
      </c>
      <c r="B117" t="s">
        <v>24</v>
      </c>
      <c r="C117" t="s">
        <v>25</v>
      </c>
      <c r="D117">
        <v>13</v>
      </c>
      <c r="E117" t="s">
        <v>65</v>
      </c>
      <c r="F117" t="s">
        <v>512</v>
      </c>
      <c r="G117">
        <v>3356</v>
      </c>
      <c r="H117" t="s">
        <v>1794</v>
      </c>
      <c r="I117" t="s">
        <v>1795</v>
      </c>
      <c r="J117">
        <v>16</v>
      </c>
      <c r="K117">
        <v>1</v>
      </c>
      <c r="L117">
        <v>6.134259259259259E-4</v>
      </c>
      <c r="M117" t="s">
        <v>117</v>
      </c>
      <c r="N117" t="s">
        <v>239</v>
      </c>
      <c r="O117" s="24">
        <v>46114</v>
      </c>
      <c r="P117">
        <v>605</v>
      </c>
      <c r="Q117" t="s">
        <v>34</v>
      </c>
      <c r="R117" s="24">
        <v>46136</v>
      </c>
      <c r="S117" s="51">
        <v>0.86458333333333337</v>
      </c>
      <c r="T117" s="51">
        <v>0.97916666666666663</v>
      </c>
      <c r="X117" t="s">
        <v>3042</v>
      </c>
      <c r="Y117" t="s">
        <v>3032</v>
      </c>
      <c r="Z117">
        <v>2777669</v>
      </c>
    </row>
    <row r="118" spans="1:26" x14ac:dyDescent="0.25">
      <c r="A118">
        <v>114</v>
      </c>
      <c r="B118" t="s">
        <v>24</v>
      </c>
      <c r="C118" t="s">
        <v>25</v>
      </c>
      <c r="D118">
        <v>13</v>
      </c>
      <c r="E118" t="s">
        <v>65</v>
      </c>
      <c r="F118" t="s">
        <v>512</v>
      </c>
      <c r="G118">
        <v>3356</v>
      </c>
      <c r="H118" t="s">
        <v>1796</v>
      </c>
      <c r="I118" t="s">
        <v>1795</v>
      </c>
      <c r="J118">
        <v>16</v>
      </c>
      <c r="K118">
        <v>1</v>
      </c>
      <c r="L118">
        <v>6.134259259259259E-4</v>
      </c>
      <c r="M118" t="s">
        <v>117</v>
      </c>
      <c r="N118" t="s">
        <v>239</v>
      </c>
      <c r="O118" s="24">
        <v>46114</v>
      </c>
      <c r="P118">
        <v>605</v>
      </c>
      <c r="Q118" t="s">
        <v>34</v>
      </c>
      <c r="R118" s="24">
        <v>46136</v>
      </c>
      <c r="S118" s="51">
        <v>0.86458333333333337</v>
      </c>
      <c r="T118" s="51">
        <v>0.97916666666666663</v>
      </c>
      <c r="X118" t="s">
        <v>3042</v>
      </c>
      <c r="Y118" t="s">
        <v>3032</v>
      </c>
      <c r="Z118">
        <v>2777669</v>
      </c>
    </row>
    <row r="119" spans="1:26" x14ac:dyDescent="0.25">
      <c r="A119">
        <v>115</v>
      </c>
      <c r="B119" t="s">
        <v>24</v>
      </c>
      <c r="C119" t="s">
        <v>25</v>
      </c>
      <c r="D119">
        <v>13</v>
      </c>
      <c r="E119" t="s">
        <v>65</v>
      </c>
      <c r="F119" t="s">
        <v>512</v>
      </c>
      <c r="G119">
        <v>3356</v>
      </c>
      <c r="H119" t="s">
        <v>1797</v>
      </c>
      <c r="I119" t="s">
        <v>1795</v>
      </c>
      <c r="J119">
        <v>16</v>
      </c>
      <c r="K119">
        <v>1</v>
      </c>
      <c r="L119">
        <v>6.134259259259259E-4</v>
      </c>
      <c r="M119" t="s">
        <v>117</v>
      </c>
      <c r="N119" t="s">
        <v>239</v>
      </c>
      <c r="O119" s="24">
        <v>46114</v>
      </c>
      <c r="P119">
        <v>605</v>
      </c>
      <c r="Q119" t="s">
        <v>34</v>
      </c>
      <c r="R119" s="24">
        <v>46136</v>
      </c>
      <c r="S119" s="51">
        <v>0.86458333333333337</v>
      </c>
      <c r="T119" s="51">
        <v>0.97916666666666663</v>
      </c>
      <c r="X119" t="s">
        <v>3042</v>
      </c>
      <c r="Y119" t="s">
        <v>3032</v>
      </c>
      <c r="Z119">
        <v>2777669</v>
      </c>
    </row>
    <row r="120" spans="1:26" x14ac:dyDescent="0.25">
      <c r="A120">
        <v>116</v>
      </c>
      <c r="B120" t="s">
        <v>24</v>
      </c>
      <c r="C120" t="s">
        <v>25</v>
      </c>
      <c r="D120">
        <v>13</v>
      </c>
      <c r="E120" t="s">
        <v>65</v>
      </c>
      <c r="F120" t="s">
        <v>512</v>
      </c>
      <c r="G120">
        <v>3356</v>
      </c>
      <c r="H120" t="s">
        <v>1798</v>
      </c>
      <c r="I120" t="s">
        <v>1795</v>
      </c>
      <c r="J120">
        <v>16</v>
      </c>
      <c r="K120">
        <v>1</v>
      </c>
      <c r="L120">
        <v>6.134259259259259E-4</v>
      </c>
      <c r="M120" t="s">
        <v>117</v>
      </c>
      <c r="N120" t="s">
        <v>239</v>
      </c>
      <c r="O120" s="24">
        <v>46114</v>
      </c>
      <c r="P120">
        <v>605</v>
      </c>
      <c r="Q120" t="s">
        <v>34</v>
      </c>
      <c r="R120" s="24">
        <v>46136</v>
      </c>
      <c r="S120" s="51">
        <v>0.86458333333333337</v>
      </c>
      <c r="T120" s="51">
        <v>0.97916666666666663</v>
      </c>
      <c r="X120" t="s">
        <v>3042</v>
      </c>
      <c r="Y120" t="s">
        <v>3032</v>
      </c>
      <c r="Z120">
        <v>2777669</v>
      </c>
    </row>
    <row r="121" spans="1:26" x14ac:dyDescent="0.25">
      <c r="A121">
        <v>117</v>
      </c>
      <c r="B121" t="s">
        <v>24</v>
      </c>
      <c r="C121" t="s">
        <v>25</v>
      </c>
      <c r="D121">
        <v>13</v>
      </c>
      <c r="E121" t="s">
        <v>65</v>
      </c>
      <c r="F121" t="s">
        <v>1591</v>
      </c>
      <c r="G121">
        <v>3356</v>
      </c>
      <c r="H121" t="s">
        <v>1799</v>
      </c>
      <c r="I121" t="s">
        <v>1768</v>
      </c>
      <c r="J121">
        <v>16</v>
      </c>
      <c r="K121">
        <v>4</v>
      </c>
      <c r="L121">
        <v>3.9930555555555552E-3</v>
      </c>
      <c r="M121" t="s">
        <v>117</v>
      </c>
      <c r="N121" t="s">
        <v>239</v>
      </c>
      <c r="O121" s="24">
        <v>46114</v>
      </c>
      <c r="P121">
        <v>605</v>
      </c>
      <c r="Q121" t="s">
        <v>34</v>
      </c>
      <c r="R121" s="24">
        <v>46136</v>
      </c>
      <c r="S121" s="51">
        <v>0.86458333333333337</v>
      </c>
      <c r="T121" s="51">
        <v>0.97916666666666663</v>
      </c>
      <c r="X121" t="s">
        <v>3042</v>
      </c>
      <c r="Y121" t="s">
        <v>3032</v>
      </c>
      <c r="Z121">
        <v>2777669</v>
      </c>
    </row>
    <row r="122" spans="1:26" x14ac:dyDescent="0.25">
      <c r="A122">
        <v>118</v>
      </c>
      <c r="B122" t="s">
        <v>24</v>
      </c>
      <c r="C122" t="s">
        <v>25</v>
      </c>
      <c r="D122">
        <v>13</v>
      </c>
      <c r="E122" t="s">
        <v>65</v>
      </c>
      <c r="F122" t="s">
        <v>1591</v>
      </c>
      <c r="G122">
        <v>3356</v>
      </c>
      <c r="H122" t="s">
        <v>1800</v>
      </c>
      <c r="I122" t="s">
        <v>1747</v>
      </c>
      <c r="J122">
        <v>16</v>
      </c>
      <c r="K122">
        <v>2</v>
      </c>
      <c r="L122">
        <v>1.2268518518518518E-3</v>
      </c>
      <c r="M122" t="s">
        <v>117</v>
      </c>
      <c r="N122" t="s">
        <v>239</v>
      </c>
      <c r="O122" s="24">
        <v>46114</v>
      </c>
      <c r="P122">
        <v>605</v>
      </c>
      <c r="Q122" t="s">
        <v>34</v>
      </c>
      <c r="R122" s="24">
        <v>46136</v>
      </c>
      <c r="S122" s="51">
        <v>0.86458333333333337</v>
      </c>
      <c r="T122" s="51">
        <v>0.97916666666666663</v>
      </c>
      <c r="X122" t="s">
        <v>3042</v>
      </c>
      <c r="Y122" t="s">
        <v>3032</v>
      </c>
      <c r="Z122">
        <v>2777669</v>
      </c>
    </row>
    <row r="123" spans="1:26" x14ac:dyDescent="0.25">
      <c r="A123">
        <v>119</v>
      </c>
      <c r="B123" t="s">
        <v>24</v>
      </c>
      <c r="C123" t="s">
        <v>25</v>
      </c>
      <c r="D123">
        <v>13</v>
      </c>
      <c r="E123" t="s">
        <v>65</v>
      </c>
      <c r="F123" t="s">
        <v>1591</v>
      </c>
      <c r="G123">
        <v>3356</v>
      </c>
      <c r="H123" t="s">
        <v>1801</v>
      </c>
      <c r="I123" t="s">
        <v>1710</v>
      </c>
      <c r="J123">
        <v>16</v>
      </c>
      <c r="K123">
        <v>2</v>
      </c>
      <c r="L123">
        <v>2.2685185185185182E-3</v>
      </c>
      <c r="M123" t="s">
        <v>117</v>
      </c>
      <c r="N123" t="s">
        <v>239</v>
      </c>
      <c r="O123" s="24">
        <v>46114</v>
      </c>
      <c r="P123">
        <v>605</v>
      </c>
      <c r="Q123" t="s">
        <v>34</v>
      </c>
      <c r="R123" s="24">
        <v>46136</v>
      </c>
      <c r="S123" s="51">
        <v>0.86458333333333337</v>
      </c>
      <c r="T123" s="51">
        <v>0.97916666666666663</v>
      </c>
      <c r="X123" t="s">
        <v>3042</v>
      </c>
      <c r="Y123" t="s">
        <v>3032</v>
      </c>
      <c r="Z123">
        <v>2777669</v>
      </c>
    </row>
    <row r="124" spans="1:26" x14ac:dyDescent="0.25">
      <c r="A124">
        <v>120</v>
      </c>
      <c r="B124" t="s">
        <v>24</v>
      </c>
      <c r="C124" t="s">
        <v>25</v>
      </c>
      <c r="D124">
        <v>13</v>
      </c>
      <c r="E124" t="s">
        <v>65</v>
      </c>
      <c r="F124" t="s">
        <v>1598</v>
      </c>
      <c r="G124">
        <v>3356</v>
      </c>
      <c r="H124" t="s">
        <v>1802</v>
      </c>
      <c r="I124" t="s">
        <v>1803</v>
      </c>
      <c r="J124">
        <v>16</v>
      </c>
      <c r="K124">
        <v>1</v>
      </c>
      <c r="L124">
        <v>1.4120370370370369E-3</v>
      </c>
      <c r="M124" t="s">
        <v>117</v>
      </c>
      <c r="N124" t="s">
        <v>239</v>
      </c>
      <c r="O124" s="24">
        <v>46114</v>
      </c>
      <c r="P124">
        <v>605</v>
      </c>
      <c r="Q124" t="s">
        <v>34</v>
      </c>
      <c r="R124" s="24">
        <v>46136</v>
      </c>
      <c r="S124" s="51">
        <v>0.86458333333333337</v>
      </c>
      <c r="T124" s="51">
        <v>0.97916666666666663</v>
      </c>
      <c r="X124" t="s">
        <v>3042</v>
      </c>
      <c r="Y124" t="s">
        <v>3032</v>
      </c>
      <c r="Z124">
        <v>2777669</v>
      </c>
    </row>
    <row r="125" spans="1:26" x14ac:dyDescent="0.25">
      <c r="A125">
        <v>121</v>
      </c>
      <c r="B125" t="s">
        <v>24</v>
      </c>
      <c r="C125" t="s">
        <v>25</v>
      </c>
      <c r="D125">
        <v>13</v>
      </c>
      <c r="E125" t="s">
        <v>65</v>
      </c>
      <c r="F125" t="s">
        <v>1599</v>
      </c>
      <c r="G125">
        <v>3356</v>
      </c>
      <c r="H125" t="s">
        <v>1804</v>
      </c>
      <c r="I125" t="s">
        <v>1803</v>
      </c>
      <c r="J125">
        <v>16</v>
      </c>
      <c r="K125">
        <v>1</v>
      </c>
      <c r="L125">
        <v>1.4120370370370369E-3</v>
      </c>
      <c r="M125" t="s">
        <v>117</v>
      </c>
      <c r="N125" t="s">
        <v>239</v>
      </c>
      <c r="O125" s="24">
        <v>46114</v>
      </c>
      <c r="P125">
        <v>605</v>
      </c>
      <c r="Q125" t="s">
        <v>34</v>
      </c>
      <c r="R125" s="24">
        <v>46136</v>
      </c>
      <c r="S125" s="51">
        <v>0.86458333333333337</v>
      </c>
      <c r="T125" s="51">
        <v>0.97916666666666663</v>
      </c>
      <c r="X125" t="s">
        <v>3042</v>
      </c>
      <c r="Y125" t="s">
        <v>3032</v>
      </c>
      <c r="Z125">
        <v>2777669</v>
      </c>
    </row>
    <row r="126" spans="1:26" x14ac:dyDescent="0.25">
      <c r="A126">
        <v>122</v>
      </c>
      <c r="B126" t="s">
        <v>24</v>
      </c>
      <c r="C126" t="s">
        <v>25</v>
      </c>
      <c r="D126">
        <v>13</v>
      </c>
      <c r="E126" t="s">
        <v>65</v>
      </c>
      <c r="F126" t="s">
        <v>1599</v>
      </c>
      <c r="G126">
        <v>3356</v>
      </c>
      <c r="H126" t="s">
        <v>1805</v>
      </c>
      <c r="I126" t="s">
        <v>1662</v>
      </c>
      <c r="J126">
        <v>16</v>
      </c>
      <c r="K126">
        <v>1</v>
      </c>
      <c r="L126">
        <v>1.2847222222222223E-3</v>
      </c>
      <c r="M126" t="s">
        <v>117</v>
      </c>
      <c r="N126" t="s">
        <v>239</v>
      </c>
      <c r="O126" s="24">
        <v>46114</v>
      </c>
      <c r="P126">
        <v>605</v>
      </c>
      <c r="Q126" t="s">
        <v>34</v>
      </c>
      <c r="R126" s="24">
        <v>46136</v>
      </c>
      <c r="S126" s="51">
        <v>0.86458333333333337</v>
      </c>
      <c r="T126" s="51">
        <v>0.97916666666666663</v>
      </c>
      <c r="X126" t="s">
        <v>3042</v>
      </c>
      <c r="Y126" t="s">
        <v>3032</v>
      </c>
      <c r="Z126">
        <v>2777669</v>
      </c>
    </row>
    <row r="127" spans="1:26" x14ac:dyDescent="0.25">
      <c r="A127">
        <v>123</v>
      </c>
      <c r="B127" t="s">
        <v>24</v>
      </c>
      <c r="C127" t="s">
        <v>25</v>
      </c>
      <c r="D127">
        <v>13</v>
      </c>
      <c r="E127" t="s">
        <v>65</v>
      </c>
      <c r="F127" t="s">
        <v>1599</v>
      </c>
      <c r="G127">
        <v>3356</v>
      </c>
      <c r="H127" t="s">
        <v>1806</v>
      </c>
      <c r="I127" t="s">
        <v>1807</v>
      </c>
      <c r="J127">
        <v>16</v>
      </c>
      <c r="K127">
        <v>1</v>
      </c>
      <c r="L127">
        <v>1.5972222222222221E-3</v>
      </c>
      <c r="M127" t="s">
        <v>117</v>
      </c>
      <c r="N127" t="s">
        <v>239</v>
      </c>
      <c r="O127" s="24">
        <v>46114</v>
      </c>
      <c r="P127">
        <v>605</v>
      </c>
      <c r="Q127" t="s">
        <v>34</v>
      </c>
      <c r="R127" s="24">
        <v>46136</v>
      </c>
      <c r="S127" s="51">
        <v>0.86458333333333337</v>
      </c>
      <c r="T127" s="51">
        <v>0.97916666666666663</v>
      </c>
      <c r="X127" t="s">
        <v>3042</v>
      </c>
      <c r="Y127" t="s">
        <v>3032</v>
      </c>
      <c r="Z127">
        <v>2777669</v>
      </c>
    </row>
    <row r="128" spans="1:26" x14ac:dyDescent="0.25">
      <c r="A128">
        <v>124</v>
      </c>
      <c r="B128" t="s">
        <v>24</v>
      </c>
      <c r="C128" t="s">
        <v>25</v>
      </c>
      <c r="D128">
        <v>13</v>
      </c>
      <c r="E128" t="s">
        <v>65</v>
      </c>
      <c r="F128" t="s">
        <v>512</v>
      </c>
      <c r="G128">
        <v>3356</v>
      </c>
      <c r="H128" t="s">
        <v>1767</v>
      </c>
      <c r="I128" t="s">
        <v>1768</v>
      </c>
      <c r="J128">
        <v>16</v>
      </c>
      <c r="K128">
        <v>1</v>
      </c>
      <c r="L128">
        <v>8.2175925925925927E-4</v>
      </c>
      <c r="M128" t="s">
        <v>117</v>
      </c>
      <c r="N128" t="s">
        <v>239</v>
      </c>
      <c r="O128" s="24">
        <v>46114</v>
      </c>
      <c r="P128">
        <v>605</v>
      </c>
      <c r="Q128" t="s">
        <v>34</v>
      </c>
      <c r="R128" s="24">
        <v>46136</v>
      </c>
      <c r="S128" s="51">
        <v>0.86458333333333337</v>
      </c>
      <c r="T128" s="51">
        <v>0.97916666666666663</v>
      </c>
      <c r="X128" t="s">
        <v>3042</v>
      </c>
      <c r="Y128" t="s">
        <v>3032</v>
      </c>
      <c r="Z128">
        <v>2777669</v>
      </c>
    </row>
    <row r="129" spans="1:26" x14ac:dyDescent="0.25">
      <c r="A129">
        <v>125</v>
      </c>
      <c r="B129" t="s">
        <v>24</v>
      </c>
      <c r="C129" t="s">
        <v>25</v>
      </c>
      <c r="D129">
        <v>13</v>
      </c>
      <c r="E129" t="s">
        <v>367</v>
      </c>
      <c r="F129" t="s">
        <v>512</v>
      </c>
      <c r="G129">
        <v>3356</v>
      </c>
      <c r="H129" t="s">
        <v>1779</v>
      </c>
      <c r="I129" t="s">
        <v>1780</v>
      </c>
      <c r="J129">
        <v>16</v>
      </c>
      <c r="K129">
        <v>1</v>
      </c>
      <c r="L129">
        <v>7.8703703703703705E-4</v>
      </c>
      <c r="M129" t="s">
        <v>117</v>
      </c>
      <c r="N129" t="s">
        <v>239</v>
      </c>
      <c r="O129" s="24">
        <v>46114</v>
      </c>
      <c r="P129">
        <v>605</v>
      </c>
      <c r="Q129" t="s">
        <v>34</v>
      </c>
      <c r="R129" s="24">
        <v>46136</v>
      </c>
      <c r="S129" s="51">
        <v>0.86458333333333337</v>
      </c>
      <c r="T129" s="51">
        <v>0.97916666666666663</v>
      </c>
      <c r="X129" t="s">
        <v>3042</v>
      </c>
      <c r="Y129" t="s">
        <v>3032</v>
      </c>
      <c r="Z129">
        <v>2777669</v>
      </c>
    </row>
    <row r="130" spans="1:26" x14ac:dyDescent="0.25">
      <c r="A130">
        <v>126</v>
      </c>
      <c r="B130" t="s">
        <v>24</v>
      </c>
      <c r="C130" t="s">
        <v>25</v>
      </c>
      <c r="D130">
        <v>13</v>
      </c>
      <c r="E130" t="s">
        <v>150</v>
      </c>
      <c r="F130" t="s">
        <v>115</v>
      </c>
      <c r="G130">
        <v>4520</v>
      </c>
      <c r="H130" t="s">
        <v>1808</v>
      </c>
      <c r="I130" t="s">
        <v>1809</v>
      </c>
      <c r="J130">
        <v>12</v>
      </c>
      <c r="K130">
        <v>6</v>
      </c>
      <c r="L130">
        <v>6.8055555555555551E-3</v>
      </c>
      <c r="M130" t="s">
        <v>117</v>
      </c>
      <c r="N130" t="s">
        <v>663</v>
      </c>
      <c r="O130" s="24">
        <v>46125</v>
      </c>
      <c r="P130">
        <v>606</v>
      </c>
      <c r="Q130" t="s">
        <v>34</v>
      </c>
      <c r="R130" s="24">
        <v>46136</v>
      </c>
      <c r="S130" s="51">
        <v>0.83750000000000002</v>
      </c>
      <c r="T130" s="51">
        <v>0.86875000000000002</v>
      </c>
      <c r="X130" t="s">
        <v>3043</v>
      </c>
      <c r="Y130" t="s">
        <v>3032</v>
      </c>
      <c r="Z130">
        <v>3215737</v>
      </c>
    </row>
    <row r="131" spans="1:26" x14ac:dyDescent="0.25">
      <c r="A131">
        <v>127</v>
      </c>
      <c r="B131" t="s">
        <v>24</v>
      </c>
      <c r="C131" t="s">
        <v>25</v>
      </c>
      <c r="D131">
        <v>13</v>
      </c>
      <c r="E131" t="s">
        <v>152</v>
      </c>
      <c r="F131" t="s">
        <v>152</v>
      </c>
      <c r="G131">
        <v>4520</v>
      </c>
      <c r="H131" t="s">
        <v>1812</v>
      </c>
      <c r="I131" t="s">
        <v>1813</v>
      </c>
      <c r="J131">
        <v>12</v>
      </c>
      <c r="K131">
        <v>1</v>
      </c>
      <c r="L131">
        <v>1.3356481481481481E-2</v>
      </c>
      <c r="M131" t="s">
        <v>117</v>
      </c>
      <c r="N131" t="s">
        <v>663</v>
      </c>
      <c r="O131" s="24">
        <v>46125</v>
      </c>
      <c r="P131">
        <v>606</v>
      </c>
      <c r="Q131" t="s">
        <v>34</v>
      </c>
      <c r="R131" s="24">
        <v>46136</v>
      </c>
      <c r="S131" s="51">
        <v>0.83750000000000002</v>
      </c>
      <c r="T131" s="51">
        <v>0.86875000000000002</v>
      </c>
      <c r="X131" t="s">
        <v>3043</v>
      </c>
      <c r="Y131" t="s">
        <v>3032</v>
      </c>
      <c r="Z131">
        <v>3215737</v>
      </c>
    </row>
    <row r="132" spans="1:26" x14ac:dyDescent="0.25">
      <c r="A132">
        <v>128</v>
      </c>
      <c r="B132" t="s">
        <v>24</v>
      </c>
      <c r="C132" t="s">
        <v>25</v>
      </c>
      <c r="D132">
        <v>13</v>
      </c>
      <c r="E132" t="s">
        <v>367</v>
      </c>
      <c r="F132" t="s">
        <v>367</v>
      </c>
      <c r="G132">
        <v>4520</v>
      </c>
      <c r="H132" t="s">
        <v>1814</v>
      </c>
      <c r="I132" t="s">
        <v>1815</v>
      </c>
      <c r="J132">
        <v>12</v>
      </c>
      <c r="K132">
        <v>1</v>
      </c>
      <c r="L132">
        <v>8.7962962962962962E-4</v>
      </c>
      <c r="M132" t="s">
        <v>117</v>
      </c>
      <c r="N132" t="s">
        <v>663</v>
      </c>
      <c r="O132" s="24">
        <v>46125</v>
      </c>
      <c r="P132">
        <v>606</v>
      </c>
      <c r="Q132" t="s">
        <v>34</v>
      </c>
      <c r="R132" s="24">
        <v>46136</v>
      </c>
      <c r="S132" s="51">
        <v>0.83750000000000002</v>
      </c>
      <c r="T132" s="51">
        <v>0.86875000000000002</v>
      </c>
      <c r="X132" t="s">
        <v>3043</v>
      </c>
      <c r="Y132" t="s">
        <v>3032</v>
      </c>
      <c r="Z132">
        <v>3215737</v>
      </c>
    </row>
    <row r="133" spans="1:26" x14ac:dyDescent="0.25">
      <c r="A133">
        <v>129</v>
      </c>
      <c r="B133" t="s">
        <v>24</v>
      </c>
      <c r="C133" t="s">
        <v>25</v>
      </c>
      <c r="D133">
        <v>13</v>
      </c>
      <c r="E133" t="s">
        <v>65</v>
      </c>
      <c r="F133" t="s">
        <v>1591</v>
      </c>
      <c r="G133">
        <v>4520</v>
      </c>
      <c r="H133" t="s">
        <v>1816</v>
      </c>
      <c r="I133" t="s">
        <v>1815</v>
      </c>
      <c r="J133">
        <v>12</v>
      </c>
      <c r="K133">
        <v>1</v>
      </c>
      <c r="L133">
        <v>1.0763888888888889E-3</v>
      </c>
      <c r="M133" t="s">
        <v>117</v>
      </c>
      <c r="N133" t="s">
        <v>663</v>
      </c>
      <c r="O133" s="24">
        <v>46125</v>
      </c>
      <c r="P133">
        <v>606</v>
      </c>
      <c r="Q133" t="s">
        <v>34</v>
      </c>
      <c r="R133" s="24">
        <v>46136</v>
      </c>
      <c r="S133" s="51">
        <v>0.83750000000000002</v>
      </c>
      <c r="T133" s="51">
        <v>0.86875000000000002</v>
      </c>
      <c r="X133" t="s">
        <v>3043</v>
      </c>
      <c r="Y133" t="s">
        <v>3032</v>
      </c>
      <c r="Z133">
        <v>3215737</v>
      </c>
    </row>
    <row r="134" spans="1:26" x14ac:dyDescent="0.25">
      <c r="A134">
        <v>130</v>
      </c>
      <c r="B134" t="s">
        <v>24</v>
      </c>
      <c r="C134" t="s">
        <v>25</v>
      </c>
      <c r="D134">
        <v>13</v>
      </c>
      <c r="E134" t="s">
        <v>152</v>
      </c>
      <c r="F134" t="s">
        <v>152</v>
      </c>
      <c r="G134">
        <v>4521</v>
      </c>
      <c r="H134" t="s">
        <v>1812</v>
      </c>
      <c r="I134" t="s">
        <v>1813</v>
      </c>
      <c r="J134">
        <v>12</v>
      </c>
      <c r="K134">
        <v>1</v>
      </c>
      <c r="L134">
        <v>1.4409722222222221E-2</v>
      </c>
      <c r="M134" t="s">
        <v>117</v>
      </c>
      <c r="N134" t="s">
        <v>572</v>
      </c>
      <c r="O134" s="24">
        <v>46118</v>
      </c>
      <c r="P134">
        <v>605</v>
      </c>
      <c r="Q134" t="s">
        <v>34</v>
      </c>
      <c r="R134" s="24">
        <v>46136</v>
      </c>
      <c r="S134" s="51">
        <v>3.472222222222222E-3</v>
      </c>
      <c r="T134" s="51">
        <v>4.1666666666666664E-2</v>
      </c>
      <c r="X134" t="s">
        <v>3044</v>
      </c>
      <c r="Y134" t="s">
        <v>3032</v>
      </c>
      <c r="Z134">
        <v>3219212</v>
      </c>
    </row>
    <row r="135" spans="1:26" x14ac:dyDescent="0.25">
      <c r="A135">
        <v>131</v>
      </c>
      <c r="B135" t="s">
        <v>24</v>
      </c>
      <c r="C135" t="s">
        <v>25</v>
      </c>
      <c r="D135">
        <v>13</v>
      </c>
      <c r="E135" t="s">
        <v>65</v>
      </c>
      <c r="F135" t="s">
        <v>368</v>
      </c>
      <c r="G135">
        <v>4521</v>
      </c>
      <c r="H135" t="s">
        <v>1818</v>
      </c>
      <c r="I135" t="s">
        <v>1819</v>
      </c>
      <c r="J135">
        <v>12</v>
      </c>
      <c r="K135">
        <v>1</v>
      </c>
      <c r="L135">
        <v>8.9120370370370362E-4</v>
      </c>
      <c r="M135" t="s">
        <v>117</v>
      </c>
      <c r="N135" t="s">
        <v>572</v>
      </c>
      <c r="O135" s="24">
        <v>46118</v>
      </c>
      <c r="P135">
        <v>605</v>
      </c>
      <c r="Q135" t="s">
        <v>34</v>
      </c>
      <c r="R135" s="24">
        <v>46136</v>
      </c>
      <c r="S135" s="51">
        <v>3.472222222222222E-3</v>
      </c>
      <c r="T135" s="51">
        <v>4.1666666666666664E-2</v>
      </c>
      <c r="X135" t="s">
        <v>3044</v>
      </c>
      <c r="Y135" t="s">
        <v>3032</v>
      </c>
      <c r="Z135">
        <v>3219212</v>
      </c>
    </row>
    <row r="136" spans="1:26" x14ac:dyDescent="0.25">
      <c r="A136">
        <v>132</v>
      </c>
      <c r="B136" t="s">
        <v>24</v>
      </c>
      <c r="C136" t="s">
        <v>25</v>
      </c>
      <c r="D136">
        <v>13</v>
      </c>
      <c r="E136" t="s">
        <v>65</v>
      </c>
      <c r="F136" t="s">
        <v>368</v>
      </c>
      <c r="G136">
        <v>4521</v>
      </c>
      <c r="H136" t="s">
        <v>1820</v>
      </c>
      <c r="I136" t="s">
        <v>1821</v>
      </c>
      <c r="J136">
        <v>12</v>
      </c>
      <c r="K136">
        <v>1</v>
      </c>
      <c r="L136">
        <v>9.7222222222222219E-4</v>
      </c>
      <c r="M136" t="s">
        <v>117</v>
      </c>
      <c r="N136" t="s">
        <v>572</v>
      </c>
      <c r="O136" s="24">
        <v>46118</v>
      </c>
      <c r="P136">
        <v>605</v>
      </c>
      <c r="Q136" t="s">
        <v>34</v>
      </c>
      <c r="R136" s="24">
        <v>46136</v>
      </c>
      <c r="S136" s="51">
        <v>3.472222222222222E-3</v>
      </c>
      <c r="T136" s="51">
        <v>4.1666666666666664E-2</v>
      </c>
      <c r="X136" t="s">
        <v>3044</v>
      </c>
      <c r="Y136" t="s">
        <v>3032</v>
      </c>
      <c r="Z136">
        <v>3219212</v>
      </c>
    </row>
    <row r="137" spans="1:26" x14ac:dyDescent="0.25">
      <c r="A137">
        <v>133</v>
      </c>
      <c r="B137" t="s">
        <v>24</v>
      </c>
      <c r="C137" t="s">
        <v>25</v>
      </c>
      <c r="D137">
        <v>13</v>
      </c>
      <c r="E137" t="s">
        <v>65</v>
      </c>
      <c r="F137" t="s">
        <v>368</v>
      </c>
      <c r="G137">
        <v>4521</v>
      </c>
      <c r="H137" t="s">
        <v>1822</v>
      </c>
      <c r="I137" t="s">
        <v>1821</v>
      </c>
      <c r="J137">
        <v>12</v>
      </c>
      <c r="K137">
        <v>1</v>
      </c>
      <c r="L137">
        <v>7.9861111111111105E-4</v>
      </c>
      <c r="M137" t="s">
        <v>117</v>
      </c>
      <c r="N137" t="s">
        <v>572</v>
      </c>
      <c r="O137" s="24">
        <v>46118</v>
      </c>
      <c r="P137">
        <v>605</v>
      </c>
      <c r="Q137" t="s">
        <v>34</v>
      </c>
      <c r="R137" s="24">
        <v>46136</v>
      </c>
      <c r="S137" s="51">
        <v>3.472222222222222E-3</v>
      </c>
      <c r="T137" s="51">
        <v>4.1666666666666664E-2</v>
      </c>
      <c r="X137" t="s">
        <v>3044</v>
      </c>
      <c r="Y137" t="s">
        <v>3032</v>
      </c>
      <c r="Z137">
        <v>3219212</v>
      </c>
    </row>
    <row r="138" spans="1:26" x14ac:dyDescent="0.25">
      <c r="A138">
        <v>134</v>
      </c>
      <c r="B138" t="s">
        <v>24</v>
      </c>
      <c r="C138" t="s">
        <v>25</v>
      </c>
      <c r="D138">
        <v>13</v>
      </c>
      <c r="E138" t="s">
        <v>65</v>
      </c>
      <c r="F138" t="s">
        <v>368</v>
      </c>
      <c r="G138">
        <v>4521</v>
      </c>
      <c r="H138" t="s">
        <v>1823</v>
      </c>
      <c r="I138" t="s">
        <v>1824</v>
      </c>
      <c r="J138">
        <v>12</v>
      </c>
      <c r="K138">
        <v>1</v>
      </c>
      <c r="L138">
        <v>7.9861111111111105E-4</v>
      </c>
      <c r="M138" t="s">
        <v>117</v>
      </c>
      <c r="N138" t="s">
        <v>572</v>
      </c>
      <c r="O138" s="24">
        <v>46118</v>
      </c>
      <c r="P138">
        <v>605</v>
      </c>
      <c r="Q138" t="s">
        <v>34</v>
      </c>
      <c r="R138" s="24">
        <v>46136</v>
      </c>
      <c r="S138" s="51">
        <v>3.472222222222222E-3</v>
      </c>
      <c r="T138" s="51">
        <v>4.1666666666666664E-2</v>
      </c>
      <c r="X138" t="s">
        <v>3044</v>
      </c>
      <c r="Y138" t="s">
        <v>3032</v>
      </c>
      <c r="Z138">
        <v>3219212</v>
      </c>
    </row>
    <row r="139" spans="1:26" x14ac:dyDescent="0.25">
      <c r="A139">
        <v>135</v>
      </c>
      <c r="B139" t="s">
        <v>24</v>
      </c>
      <c r="C139" t="s">
        <v>25</v>
      </c>
      <c r="D139">
        <v>13</v>
      </c>
      <c r="E139" t="s">
        <v>65</v>
      </c>
      <c r="F139" t="s">
        <v>368</v>
      </c>
      <c r="G139">
        <v>4521</v>
      </c>
      <c r="H139" t="s">
        <v>1825</v>
      </c>
      <c r="I139" t="s">
        <v>1824</v>
      </c>
      <c r="J139">
        <v>12</v>
      </c>
      <c r="K139">
        <v>1</v>
      </c>
      <c r="L139">
        <v>9.9537037037037042E-4</v>
      </c>
      <c r="M139" t="s">
        <v>117</v>
      </c>
      <c r="N139" t="s">
        <v>572</v>
      </c>
      <c r="O139" s="24">
        <v>46118</v>
      </c>
      <c r="P139">
        <v>605</v>
      </c>
      <c r="Q139" t="s">
        <v>34</v>
      </c>
      <c r="R139" s="24">
        <v>46136</v>
      </c>
      <c r="S139" s="51">
        <v>3.472222222222222E-3</v>
      </c>
      <c r="T139" s="51">
        <v>4.1666666666666664E-2</v>
      </c>
      <c r="X139" t="s">
        <v>3044</v>
      </c>
      <c r="Y139" t="s">
        <v>3032</v>
      </c>
      <c r="Z139">
        <v>3219212</v>
      </c>
    </row>
    <row r="140" spans="1:26" x14ac:dyDescent="0.25">
      <c r="A140">
        <v>136</v>
      </c>
      <c r="B140" t="s">
        <v>24</v>
      </c>
      <c r="C140" t="s">
        <v>25</v>
      </c>
      <c r="D140">
        <v>13</v>
      </c>
      <c r="E140" t="s">
        <v>65</v>
      </c>
      <c r="F140" t="s">
        <v>368</v>
      </c>
      <c r="G140">
        <v>4521</v>
      </c>
      <c r="H140" t="s">
        <v>1826</v>
      </c>
      <c r="I140" t="s">
        <v>1827</v>
      </c>
      <c r="J140">
        <v>12</v>
      </c>
      <c r="K140">
        <v>1</v>
      </c>
      <c r="L140">
        <v>9.4907407407407408E-4</v>
      </c>
      <c r="M140" t="s">
        <v>117</v>
      </c>
      <c r="N140" t="s">
        <v>572</v>
      </c>
      <c r="O140" s="24">
        <v>46118</v>
      </c>
      <c r="P140">
        <v>605</v>
      </c>
      <c r="Q140" t="s">
        <v>34</v>
      </c>
      <c r="R140" s="24">
        <v>46136</v>
      </c>
      <c r="S140" s="51">
        <v>3.472222222222222E-3</v>
      </c>
      <c r="T140" s="51">
        <v>4.1666666666666664E-2</v>
      </c>
      <c r="X140" t="s">
        <v>3044</v>
      </c>
      <c r="Y140" t="s">
        <v>3032</v>
      </c>
      <c r="Z140">
        <v>3219212</v>
      </c>
    </row>
    <row r="141" spans="1:26" x14ac:dyDescent="0.25">
      <c r="A141">
        <v>137</v>
      </c>
      <c r="B141" t="s">
        <v>24</v>
      </c>
      <c r="C141" t="s">
        <v>25</v>
      </c>
      <c r="D141">
        <v>13</v>
      </c>
      <c r="E141" t="s">
        <v>65</v>
      </c>
      <c r="F141" t="s">
        <v>368</v>
      </c>
      <c r="G141">
        <v>4521</v>
      </c>
      <c r="H141" t="s">
        <v>1828</v>
      </c>
      <c r="I141" t="s">
        <v>1827</v>
      </c>
      <c r="J141">
        <v>12</v>
      </c>
      <c r="K141">
        <v>1</v>
      </c>
      <c r="L141">
        <v>7.6388888888888882E-4</v>
      </c>
      <c r="M141" t="s">
        <v>117</v>
      </c>
      <c r="N141" t="s">
        <v>572</v>
      </c>
      <c r="O141" s="24">
        <v>46118</v>
      </c>
      <c r="P141">
        <v>605</v>
      </c>
      <c r="Q141" t="s">
        <v>34</v>
      </c>
      <c r="R141" s="24">
        <v>46136</v>
      </c>
      <c r="S141" s="51">
        <v>3.472222222222222E-3</v>
      </c>
      <c r="T141" s="51">
        <v>4.1666666666666664E-2</v>
      </c>
      <c r="X141" t="s">
        <v>3044</v>
      </c>
      <c r="Y141" t="s">
        <v>3032</v>
      </c>
      <c r="Z141">
        <v>3219212</v>
      </c>
    </row>
    <row r="142" spans="1:26" x14ac:dyDescent="0.25">
      <c r="A142">
        <v>138</v>
      </c>
      <c r="B142" t="s">
        <v>24</v>
      </c>
      <c r="C142" t="s">
        <v>25</v>
      </c>
      <c r="D142">
        <v>13</v>
      </c>
      <c r="E142" t="s">
        <v>65</v>
      </c>
      <c r="F142" t="s">
        <v>1591</v>
      </c>
      <c r="G142">
        <v>4521</v>
      </c>
      <c r="H142" t="s">
        <v>1829</v>
      </c>
      <c r="I142" t="s">
        <v>1830</v>
      </c>
      <c r="J142">
        <v>12</v>
      </c>
      <c r="K142">
        <v>1</v>
      </c>
      <c r="L142">
        <v>1.1342592592592591E-3</v>
      </c>
      <c r="M142" t="s">
        <v>117</v>
      </c>
      <c r="N142" t="s">
        <v>572</v>
      </c>
      <c r="O142" s="24">
        <v>46118</v>
      </c>
      <c r="P142">
        <v>605</v>
      </c>
      <c r="Q142" t="s">
        <v>34</v>
      </c>
      <c r="R142" s="24">
        <v>46136</v>
      </c>
      <c r="S142" s="51">
        <v>3.472222222222222E-3</v>
      </c>
      <c r="T142" s="51">
        <v>4.1666666666666664E-2</v>
      </c>
      <c r="X142" t="s">
        <v>3044</v>
      </c>
      <c r="Y142" t="s">
        <v>3032</v>
      </c>
      <c r="Z142">
        <v>3219212</v>
      </c>
    </row>
    <row r="143" spans="1:26" x14ac:dyDescent="0.25">
      <c r="A143">
        <v>139</v>
      </c>
      <c r="B143" t="s">
        <v>24</v>
      </c>
      <c r="C143" t="s">
        <v>25</v>
      </c>
      <c r="D143">
        <v>13</v>
      </c>
      <c r="E143" t="s">
        <v>1665</v>
      </c>
      <c r="F143" t="s">
        <v>512</v>
      </c>
      <c r="G143">
        <v>4523</v>
      </c>
      <c r="H143" t="s">
        <v>1831</v>
      </c>
      <c r="I143" t="s">
        <v>1830</v>
      </c>
      <c r="J143">
        <v>12</v>
      </c>
      <c r="K143">
        <v>1</v>
      </c>
      <c r="L143">
        <v>1.2037037037037036E-3</v>
      </c>
      <c r="M143" t="s">
        <v>117</v>
      </c>
      <c r="N143" t="s">
        <v>572</v>
      </c>
      <c r="O143" s="24">
        <v>46118</v>
      </c>
      <c r="P143">
        <v>605</v>
      </c>
      <c r="Q143" t="s">
        <v>34</v>
      </c>
      <c r="R143" s="24">
        <v>46136</v>
      </c>
      <c r="S143" s="51">
        <v>0.61805555555555558</v>
      </c>
      <c r="T143" s="51">
        <v>0.65625</v>
      </c>
      <c r="X143" t="s">
        <v>3045</v>
      </c>
      <c r="Y143" t="s">
        <v>3029</v>
      </c>
      <c r="Z143">
        <v>1781401</v>
      </c>
    </row>
    <row r="144" spans="1:26" x14ac:dyDescent="0.25">
      <c r="A144">
        <v>140</v>
      </c>
      <c r="B144" t="s">
        <v>24</v>
      </c>
      <c r="C144" t="s">
        <v>25</v>
      </c>
      <c r="D144">
        <v>13</v>
      </c>
      <c r="E144" t="s">
        <v>152</v>
      </c>
      <c r="F144" t="s">
        <v>152</v>
      </c>
      <c r="G144">
        <v>4523</v>
      </c>
      <c r="H144" t="s">
        <v>1812</v>
      </c>
      <c r="I144" t="s">
        <v>1813</v>
      </c>
      <c r="J144">
        <v>12</v>
      </c>
      <c r="K144">
        <v>1</v>
      </c>
      <c r="L144">
        <v>1.4710648148148148E-2</v>
      </c>
      <c r="M144" t="s">
        <v>117</v>
      </c>
      <c r="N144" t="s">
        <v>572</v>
      </c>
      <c r="O144" s="24">
        <v>46118</v>
      </c>
      <c r="P144">
        <v>605</v>
      </c>
      <c r="Q144" t="s">
        <v>34</v>
      </c>
      <c r="R144" s="24">
        <v>46136</v>
      </c>
      <c r="S144" s="51">
        <v>0.61805555555555558</v>
      </c>
      <c r="T144" s="51">
        <v>0.65625</v>
      </c>
      <c r="X144" t="s">
        <v>3045</v>
      </c>
      <c r="Y144" t="s">
        <v>3029</v>
      </c>
      <c r="Z144">
        <v>1781401</v>
      </c>
    </row>
    <row r="145" spans="1:26" x14ac:dyDescent="0.25">
      <c r="A145">
        <v>141</v>
      </c>
      <c r="B145" t="s">
        <v>24</v>
      </c>
      <c r="C145" t="s">
        <v>25</v>
      </c>
      <c r="D145">
        <v>13</v>
      </c>
      <c r="E145" t="s">
        <v>65</v>
      </c>
      <c r="F145" t="s">
        <v>368</v>
      </c>
      <c r="G145">
        <v>4523</v>
      </c>
      <c r="H145" t="s">
        <v>1833</v>
      </c>
      <c r="I145" t="s">
        <v>1834</v>
      </c>
      <c r="J145">
        <v>12</v>
      </c>
      <c r="K145">
        <v>1</v>
      </c>
      <c r="L145">
        <v>1.1342592592592591E-3</v>
      </c>
      <c r="M145" t="s">
        <v>117</v>
      </c>
      <c r="N145" t="s">
        <v>572</v>
      </c>
      <c r="O145" s="24">
        <v>46118</v>
      </c>
      <c r="P145">
        <v>605</v>
      </c>
      <c r="Q145" t="s">
        <v>34</v>
      </c>
      <c r="R145" s="24">
        <v>46136</v>
      </c>
      <c r="S145" s="51">
        <v>0.61805555555555558</v>
      </c>
      <c r="T145" s="51">
        <v>0.65625</v>
      </c>
      <c r="X145" t="s">
        <v>3045</v>
      </c>
      <c r="Y145" t="s">
        <v>3029</v>
      </c>
      <c r="Z145">
        <v>1781401</v>
      </c>
    </row>
    <row r="146" spans="1:26" x14ac:dyDescent="0.25">
      <c r="A146">
        <v>142</v>
      </c>
      <c r="B146" t="s">
        <v>24</v>
      </c>
      <c r="C146" t="s">
        <v>25</v>
      </c>
      <c r="D146">
        <v>13</v>
      </c>
      <c r="E146" t="s">
        <v>65</v>
      </c>
      <c r="F146" t="s">
        <v>368</v>
      </c>
      <c r="G146">
        <v>4523</v>
      </c>
      <c r="H146" t="s">
        <v>1835</v>
      </c>
      <c r="I146" t="s">
        <v>1836</v>
      </c>
      <c r="J146">
        <v>12</v>
      </c>
      <c r="K146">
        <v>1</v>
      </c>
      <c r="L146">
        <v>1.1805555555555556E-3</v>
      </c>
      <c r="M146" t="s">
        <v>117</v>
      </c>
      <c r="N146" t="s">
        <v>572</v>
      </c>
      <c r="O146" s="24">
        <v>46118</v>
      </c>
      <c r="P146">
        <v>605</v>
      </c>
      <c r="Q146" t="s">
        <v>34</v>
      </c>
      <c r="R146" s="24">
        <v>46136</v>
      </c>
      <c r="S146" s="51">
        <v>0.61805555555555558</v>
      </c>
      <c r="T146" s="51">
        <v>0.65625</v>
      </c>
      <c r="X146" t="s">
        <v>3045</v>
      </c>
      <c r="Y146" t="s">
        <v>3029</v>
      </c>
      <c r="Z146">
        <v>1781401</v>
      </c>
    </row>
    <row r="147" spans="1:26" x14ac:dyDescent="0.25">
      <c r="A147">
        <v>143</v>
      </c>
      <c r="B147" t="s">
        <v>24</v>
      </c>
      <c r="C147" t="s">
        <v>25</v>
      </c>
      <c r="D147">
        <v>13</v>
      </c>
      <c r="E147" t="s">
        <v>65</v>
      </c>
      <c r="F147" t="s">
        <v>368</v>
      </c>
      <c r="G147">
        <v>4523</v>
      </c>
      <c r="H147" t="s">
        <v>1837</v>
      </c>
      <c r="I147" t="s">
        <v>1838</v>
      </c>
      <c r="J147">
        <v>12</v>
      </c>
      <c r="K147">
        <v>1</v>
      </c>
      <c r="L147">
        <v>1.2384259259259258E-3</v>
      </c>
      <c r="M147" t="s">
        <v>117</v>
      </c>
      <c r="N147" t="s">
        <v>572</v>
      </c>
      <c r="O147" s="24">
        <v>46118</v>
      </c>
      <c r="P147">
        <v>605</v>
      </c>
      <c r="Q147" t="s">
        <v>34</v>
      </c>
      <c r="R147" s="24">
        <v>46136</v>
      </c>
      <c r="S147" s="51">
        <v>0.61805555555555558</v>
      </c>
      <c r="T147" s="51">
        <v>0.65625</v>
      </c>
      <c r="X147" t="s">
        <v>3045</v>
      </c>
      <c r="Y147" t="s">
        <v>3029</v>
      </c>
      <c r="Z147">
        <v>1781401</v>
      </c>
    </row>
    <row r="148" spans="1:26" x14ac:dyDescent="0.25">
      <c r="A148">
        <v>144</v>
      </c>
      <c r="B148" t="s">
        <v>24</v>
      </c>
      <c r="C148" t="s">
        <v>25</v>
      </c>
      <c r="D148">
        <v>13</v>
      </c>
      <c r="E148" t="s">
        <v>65</v>
      </c>
      <c r="F148" t="s">
        <v>368</v>
      </c>
      <c r="G148">
        <v>4523</v>
      </c>
      <c r="H148" t="s">
        <v>1839</v>
      </c>
      <c r="I148" t="s">
        <v>1819</v>
      </c>
      <c r="J148">
        <v>12</v>
      </c>
      <c r="K148">
        <v>1</v>
      </c>
      <c r="L148">
        <v>1.0995370370370369E-3</v>
      </c>
      <c r="M148" t="s">
        <v>117</v>
      </c>
      <c r="N148" t="s">
        <v>572</v>
      </c>
      <c r="O148" s="24">
        <v>46118</v>
      </c>
      <c r="P148">
        <v>605</v>
      </c>
      <c r="Q148" t="s">
        <v>34</v>
      </c>
      <c r="R148" s="24">
        <v>46136</v>
      </c>
      <c r="S148" s="51">
        <v>0.61805555555555558</v>
      </c>
      <c r="T148" s="51">
        <v>0.65625</v>
      </c>
      <c r="X148" t="s">
        <v>3045</v>
      </c>
      <c r="Y148" t="s">
        <v>3029</v>
      </c>
      <c r="Z148">
        <v>1781401</v>
      </c>
    </row>
    <row r="149" spans="1:26" x14ac:dyDescent="0.25">
      <c r="A149">
        <v>145</v>
      </c>
      <c r="B149" t="s">
        <v>24</v>
      </c>
      <c r="C149" t="s">
        <v>25</v>
      </c>
      <c r="D149">
        <v>13</v>
      </c>
      <c r="E149" t="s">
        <v>147</v>
      </c>
      <c r="F149" t="s">
        <v>115</v>
      </c>
      <c r="G149">
        <v>4524</v>
      </c>
      <c r="H149" t="s">
        <v>1840</v>
      </c>
      <c r="I149" t="s">
        <v>1809</v>
      </c>
      <c r="J149">
        <v>12</v>
      </c>
      <c r="K149">
        <v>7</v>
      </c>
      <c r="L149">
        <v>6.3194444444444444E-3</v>
      </c>
      <c r="M149" t="s">
        <v>117</v>
      </c>
      <c r="N149" t="s">
        <v>663</v>
      </c>
      <c r="O149" s="24">
        <v>46125</v>
      </c>
      <c r="P149">
        <v>606</v>
      </c>
      <c r="Q149" t="s">
        <v>34</v>
      </c>
      <c r="R149" s="24">
        <v>46136</v>
      </c>
      <c r="S149" s="51">
        <v>0.79722222222222228</v>
      </c>
      <c r="T149" s="51">
        <v>0.83611111111111114</v>
      </c>
      <c r="X149" t="s">
        <v>3046</v>
      </c>
      <c r="Y149" t="s">
        <v>3032</v>
      </c>
      <c r="Z149">
        <v>2777698</v>
      </c>
    </row>
    <row r="150" spans="1:26" x14ac:dyDescent="0.25">
      <c r="A150">
        <v>146</v>
      </c>
      <c r="B150" t="s">
        <v>24</v>
      </c>
      <c r="C150" t="s">
        <v>25</v>
      </c>
      <c r="D150">
        <v>13</v>
      </c>
      <c r="E150" t="s">
        <v>152</v>
      </c>
      <c r="F150" t="s">
        <v>152</v>
      </c>
      <c r="G150">
        <v>4524</v>
      </c>
      <c r="H150" t="s">
        <v>1812</v>
      </c>
      <c r="I150" t="s">
        <v>1813</v>
      </c>
      <c r="J150">
        <v>12</v>
      </c>
      <c r="K150">
        <v>1</v>
      </c>
      <c r="L150">
        <v>1.4467592592592593E-2</v>
      </c>
      <c r="M150" t="s">
        <v>117</v>
      </c>
      <c r="N150" t="s">
        <v>663</v>
      </c>
      <c r="O150" s="24">
        <v>46125</v>
      </c>
      <c r="P150">
        <v>606</v>
      </c>
      <c r="Q150" t="s">
        <v>34</v>
      </c>
      <c r="R150" s="24">
        <v>46136</v>
      </c>
      <c r="S150" s="51">
        <v>0.79722222222222228</v>
      </c>
      <c r="T150" s="51">
        <v>0.83611111111111114</v>
      </c>
      <c r="X150" t="s">
        <v>3046</v>
      </c>
      <c r="Y150" t="s">
        <v>3032</v>
      </c>
      <c r="Z150">
        <v>2777698</v>
      </c>
    </row>
    <row r="151" spans="1:26" x14ac:dyDescent="0.25">
      <c r="A151">
        <v>147</v>
      </c>
      <c r="B151" t="s">
        <v>24</v>
      </c>
      <c r="C151" t="s">
        <v>25</v>
      </c>
      <c r="D151">
        <v>13</v>
      </c>
      <c r="E151" t="s">
        <v>367</v>
      </c>
      <c r="F151" t="s">
        <v>512</v>
      </c>
      <c r="G151">
        <v>4524</v>
      </c>
      <c r="H151" t="s">
        <v>1842</v>
      </c>
      <c r="I151" t="s">
        <v>1843</v>
      </c>
      <c r="J151">
        <v>12</v>
      </c>
      <c r="K151">
        <v>1</v>
      </c>
      <c r="L151">
        <v>4.9768518518518521E-4</v>
      </c>
      <c r="M151" t="s">
        <v>117</v>
      </c>
      <c r="N151" t="s">
        <v>663</v>
      </c>
      <c r="O151" s="24">
        <v>46125</v>
      </c>
      <c r="P151">
        <v>606</v>
      </c>
      <c r="Q151" t="s">
        <v>34</v>
      </c>
      <c r="R151" s="24">
        <v>46136</v>
      </c>
      <c r="S151" s="51">
        <v>0.79722222222222228</v>
      </c>
      <c r="T151" s="51">
        <v>0.83611111111111114</v>
      </c>
      <c r="X151" t="s">
        <v>3046</v>
      </c>
      <c r="Y151" t="s">
        <v>3032</v>
      </c>
      <c r="Z151">
        <v>2777698</v>
      </c>
    </row>
    <row r="152" spans="1:26" x14ac:dyDescent="0.25">
      <c r="A152">
        <v>148</v>
      </c>
      <c r="B152" t="s">
        <v>24</v>
      </c>
      <c r="C152" t="s">
        <v>25</v>
      </c>
      <c r="D152">
        <v>13</v>
      </c>
      <c r="E152" t="s">
        <v>367</v>
      </c>
      <c r="F152" t="s">
        <v>512</v>
      </c>
      <c r="G152">
        <v>4524</v>
      </c>
      <c r="H152" t="s">
        <v>1844</v>
      </c>
      <c r="I152" t="s">
        <v>1845</v>
      </c>
      <c r="J152">
        <v>12</v>
      </c>
      <c r="K152">
        <v>1</v>
      </c>
      <c r="L152">
        <v>4.282407407407407E-4</v>
      </c>
      <c r="M152" t="s">
        <v>117</v>
      </c>
      <c r="N152" t="s">
        <v>663</v>
      </c>
      <c r="O152" s="24">
        <v>46125</v>
      </c>
      <c r="P152">
        <v>606</v>
      </c>
      <c r="Q152" t="s">
        <v>34</v>
      </c>
      <c r="R152" s="24">
        <v>46136</v>
      </c>
      <c r="S152" s="51">
        <v>0.79722222222222228</v>
      </c>
      <c r="T152" s="51">
        <v>0.83611111111111114</v>
      </c>
      <c r="X152" t="s">
        <v>3046</v>
      </c>
      <c r="Y152" t="s">
        <v>3032</v>
      </c>
      <c r="Z152">
        <v>2777698</v>
      </c>
    </row>
    <row r="153" spans="1:26" x14ac:dyDescent="0.25">
      <c r="A153">
        <v>149</v>
      </c>
      <c r="B153" t="s">
        <v>24</v>
      </c>
      <c r="C153" t="s">
        <v>25</v>
      </c>
      <c r="D153">
        <v>13</v>
      </c>
      <c r="E153" t="s">
        <v>152</v>
      </c>
      <c r="F153" t="s">
        <v>152</v>
      </c>
      <c r="G153">
        <v>4656</v>
      </c>
      <c r="H153" t="s">
        <v>1846</v>
      </c>
      <c r="I153" t="s">
        <v>1813</v>
      </c>
      <c r="J153">
        <v>12</v>
      </c>
      <c r="K153">
        <v>1</v>
      </c>
      <c r="L153">
        <v>1.579861111111111E-2</v>
      </c>
      <c r="M153" t="s">
        <v>117</v>
      </c>
      <c r="N153" t="s">
        <v>239</v>
      </c>
      <c r="O153" s="24">
        <v>46114</v>
      </c>
      <c r="P153">
        <v>605</v>
      </c>
      <c r="Q153" t="s">
        <v>34</v>
      </c>
      <c r="R153" s="24">
        <v>46136</v>
      </c>
      <c r="S153" s="51">
        <v>1.3888888888888888E-2</v>
      </c>
      <c r="T153" s="51">
        <v>4.1666666666666664E-2</v>
      </c>
      <c r="X153" t="s">
        <v>3047</v>
      </c>
      <c r="Y153" t="s">
        <v>3032</v>
      </c>
      <c r="Z153">
        <v>1781401</v>
      </c>
    </row>
    <row r="154" spans="1:26" x14ac:dyDescent="0.25">
      <c r="A154">
        <v>150</v>
      </c>
      <c r="B154" t="s">
        <v>24</v>
      </c>
      <c r="C154" t="s">
        <v>25</v>
      </c>
      <c r="D154">
        <v>13</v>
      </c>
      <c r="E154" t="s">
        <v>367</v>
      </c>
      <c r="F154" t="s">
        <v>512</v>
      </c>
      <c r="G154">
        <v>4656</v>
      </c>
      <c r="H154" t="s">
        <v>1848</v>
      </c>
      <c r="I154" t="s">
        <v>1849</v>
      </c>
      <c r="J154">
        <v>12</v>
      </c>
      <c r="K154">
        <v>2</v>
      </c>
      <c r="L154">
        <v>2.5694444444444445E-3</v>
      </c>
      <c r="M154" t="s">
        <v>117</v>
      </c>
      <c r="N154" t="s">
        <v>239</v>
      </c>
      <c r="O154" s="24">
        <v>46114</v>
      </c>
      <c r="P154">
        <v>605</v>
      </c>
      <c r="Q154" t="s">
        <v>34</v>
      </c>
      <c r="R154" s="24">
        <v>46136</v>
      </c>
      <c r="S154" s="51">
        <v>1.3888888888888888E-2</v>
      </c>
      <c r="T154" s="51">
        <v>4.1666666666666664E-2</v>
      </c>
      <c r="X154" t="s">
        <v>3047</v>
      </c>
      <c r="Y154" t="s">
        <v>3032</v>
      </c>
      <c r="Z154">
        <v>1781401</v>
      </c>
    </row>
    <row r="155" spans="1:26" x14ac:dyDescent="0.25">
      <c r="A155">
        <v>151</v>
      </c>
      <c r="B155" t="s">
        <v>24</v>
      </c>
      <c r="C155" t="s">
        <v>25</v>
      </c>
      <c r="D155">
        <v>13</v>
      </c>
      <c r="E155" t="s">
        <v>152</v>
      </c>
      <c r="F155" t="s">
        <v>152</v>
      </c>
      <c r="G155">
        <v>4657</v>
      </c>
      <c r="H155" t="s">
        <v>1812</v>
      </c>
      <c r="I155" t="s">
        <v>1813</v>
      </c>
      <c r="J155">
        <v>12</v>
      </c>
      <c r="K155">
        <v>1</v>
      </c>
      <c r="L155">
        <v>1.417824074074074E-2</v>
      </c>
      <c r="M155" t="s">
        <v>117</v>
      </c>
      <c r="N155" t="s">
        <v>572</v>
      </c>
      <c r="O155" s="24">
        <v>46118</v>
      </c>
      <c r="P155">
        <v>605</v>
      </c>
      <c r="Q155" t="s">
        <v>34</v>
      </c>
      <c r="R155" s="24">
        <v>46136</v>
      </c>
      <c r="S155" s="51">
        <v>0.54513888888888884</v>
      </c>
      <c r="T155" s="51">
        <v>0.60069444444444442</v>
      </c>
      <c r="X155" t="s">
        <v>3048</v>
      </c>
      <c r="Y155" t="s">
        <v>3029</v>
      </c>
      <c r="Z155">
        <v>1781401</v>
      </c>
    </row>
    <row r="156" spans="1:26" x14ac:dyDescent="0.25">
      <c r="A156">
        <v>152</v>
      </c>
      <c r="B156" t="s">
        <v>24</v>
      </c>
      <c r="C156" t="s">
        <v>25</v>
      </c>
      <c r="D156">
        <v>13</v>
      </c>
      <c r="E156" t="s">
        <v>367</v>
      </c>
      <c r="F156" t="s">
        <v>1593</v>
      </c>
      <c r="G156">
        <v>4657</v>
      </c>
      <c r="H156" t="s">
        <v>1851</v>
      </c>
      <c r="I156" t="s">
        <v>1852</v>
      </c>
      <c r="J156">
        <v>12</v>
      </c>
      <c r="K156">
        <v>1</v>
      </c>
      <c r="L156">
        <v>9.837962962962962E-4</v>
      </c>
      <c r="M156" t="s">
        <v>117</v>
      </c>
      <c r="N156" t="s">
        <v>572</v>
      </c>
      <c r="O156" s="24">
        <v>46118</v>
      </c>
      <c r="P156">
        <v>605</v>
      </c>
      <c r="Q156" t="s">
        <v>34</v>
      </c>
      <c r="R156" s="24">
        <v>46136</v>
      </c>
      <c r="S156" s="51">
        <v>0.54513888888888884</v>
      </c>
      <c r="T156" s="51">
        <v>0.60069444444444442</v>
      </c>
      <c r="X156" t="s">
        <v>3048</v>
      </c>
      <c r="Y156" t="s">
        <v>3029</v>
      </c>
      <c r="Z156">
        <v>1781401</v>
      </c>
    </row>
    <row r="157" spans="1:26" x14ac:dyDescent="0.25">
      <c r="A157">
        <v>153</v>
      </c>
      <c r="B157" t="s">
        <v>24</v>
      </c>
      <c r="C157" t="s">
        <v>25</v>
      </c>
      <c r="D157">
        <v>13</v>
      </c>
      <c r="E157" t="s">
        <v>367</v>
      </c>
      <c r="F157" t="s">
        <v>1594</v>
      </c>
      <c r="G157">
        <v>4657</v>
      </c>
      <c r="H157" t="s">
        <v>1853</v>
      </c>
      <c r="I157" t="s">
        <v>1854</v>
      </c>
      <c r="J157">
        <v>12</v>
      </c>
      <c r="K157">
        <v>1</v>
      </c>
      <c r="L157">
        <v>4.3981481481481481E-4</v>
      </c>
      <c r="M157" t="s">
        <v>117</v>
      </c>
      <c r="N157" t="s">
        <v>572</v>
      </c>
      <c r="O157" s="24">
        <v>46118</v>
      </c>
      <c r="P157">
        <v>605</v>
      </c>
      <c r="Q157" t="s">
        <v>34</v>
      </c>
      <c r="R157" s="24">
        <v>46136</v>
      </c>
      <c r="S157" s="51">
        <v>0.54513888888888884</v>
      </c>
      <c r="T157" s="51">
        <v>0.60069444444444442</v>
      </c>
      <c r="X157" t="s">
        <v>3048</v>
      </c>
      <c r="Y157" t="s">
        <v>3029</v>
      </c>
      <c r="Z157">
        <v>1781401</v>
      </c>
    </row>
    <row r="158" spans="1:26" x14ac:dyDescent="0.25">
      <c r="A158">
        <v>154</v>
      </c>
      <c r="B158" t="s">
        <v>24</v>
      </c>
      <c r="C158" t="s">
        <v>25</v>
      </c>
      <c r="D158">
        <v>13</v>
      </c>
      <c r="E158" t="s">
        <v>65</v>
      </c>
      <c r="F158" t="s">
        <v>368</v>
      </c>
      <c r="G158">
        <v>4657</v>
      </c>
      <c r="H158" t="s">
        <v>1855</v>
      </c>
      <c r="I158" t="s">
        <v>1856</v>
      </c>
      <c r="J158">
        <v>12</v>
      </c>
      <c r="K158">
        <v>1</v>
      </c>
      <c r="L158">
        <v>9.1435185185185185E-4</v>
      </c>
      <c r="M158" t="s">
        <v>117</v>
      </c>
      <c r="N158" t="s">
        <v>572</v>
      </c>
      <c r="O158" s="24">
        <v>46118</v>
      </c>
      <c r="P158">
        <v>605</v>
      </c>
      <c r="Q158" t="s">
        <v>34</v>
      </c>
      <c r="R158" s="24">
        <v>46136</v>
      </c>
      <c r="S158" s="51">
        <v>0.54513888888888884</v>
      </c>
      <c r="T158" s="51">
        <v>0.60069444444444442</v>
      </c>
      <c r="X158" t="s">
        <v>3048</v>
      </c>
      <c r="Y158" t="s">
        <v>3029</v>
      </c>
      <c r="Z158">
        <v>1781401</v>
      </c>
    </row>
    <row r="159" spans="1:26" x14ac:dyDescent="0.25">
      <c r="A159">
        <v>155</v>
      </c>
      <c r="B159" t="s">
        <v>24</v>
      </c>
      <c r="C159" t="s">
        <v>25</v>
      </c>
      <c r="D159">
        <v>13</v>
      </c>
      <c r="E159" t="s">
        <v>65</v>
      </c>
      <c r="F159" t="s">
        <v>368</v>
      </c>
      <c r="G159">
        <v>4657</v>
      </c>
      <c r="H159" t="s">
        <v>1857</v>
      </c>
      <c r="I159" t="s">
        <v>1856</v>
      </c>
      <c r="J159">
        <v>12</v>
      </c>
      <c r="K159">
        <v>1</v>
      </c>
      <c r="L159">
        <v>9.1435185185185185E-4</v>
      </c>
      <c r="M159" t="s">
        <v>117</v>
      </c>
      <c r="N159" t="s">
        <v>572</v>
      </c>
      <c r="O159" s="24">
        <v>46118</v>
      </c>
      <c r="P159">
        <v>605</v>
      </c>
      <c r="Q159" t="s">
        <v>34</v>
      </c>
      <c r="R159" s="24">
        <v>46136</v>
      </c>
      <c r="S159" s="51">
        <v>0.54513888888888884</v>
      </c>
      <c r="T159" s="51">
        <v>0.60069444444444442</v>
      </c>
      <c r="X159" t="s">
        <v>3048</v>
      </c>
      <c r="Y159" t="s">
        <v>3029</v>
      </c>
      <c r="Z159">
        <v>1781401</v>
      </c>
    </row>
    <row r="160" spans="1:26" x14ac:dyDescent="0.25">
      <c r="A160">
        <v>156</v>
      </c>
      <c r="B160" t="s">
        <v>24</v>
      </c>
      <c r="C160" t="s">
        <v>25</v>
      </c>
      <c r="D160">
        <v>13</v>
      </c>
      <c r="E160" t="s">
        <v>65</v>
      </c>
      <c r="F160" t="s">
        <v>368</v>
      </c>
      <c r="G160">
        <v>4657</v>
      </c>
      <c r="H160" t="s">
        <v>1858</v>
      </c>
      <c r="I160" t="s">
        <v>1856</v>
      </c>
      <c r="J160">
        <v>12</v>
      </c>
      <c r="K160">
        <v>1</v>
      </c>
      <c r="L160">
        <v>7.5231481481481482E-4</v>
      </c>
      <c r="M160" t="s">
        <v>117</v>
      </c>
      <c r="N160" t="s">
        <v>572</v>
      </c>
      <c r="O160" s="24">
        <v>46118</v>
      </c>
      <c r="P160">
        <v>605</v>
      </c>
      <c r="Q160" t="s">
        <v>34</v>
      </c>
      <c r="R160" s="24">
        <v>46136</v>
      </c>
      <c r="S160" s="51">
        <v>0.54513888888888884</v>
      </c>
      <c r="T160" s="51">
        <v>0.60069444444444442</v>
      </c>
      <c r="X160" t="s">
        <v>3048</v>
      </c>
      <c r="Y160" t="s">
        <v>3029</v>
      </c>
      <c r="Z160">
        <v>1781401</v>
      </c>
    </row>
    <row r="161" spans="1:26" x14ac:dyDescent="0.25">
      <c r="A161">
        <v>157</v>
      </c>
      <c r="B161" t="s">
        <v>24</v>
      </c>
      <c r="C161" t="s">
        <v>25</v>
      </c>
      <c r="D161">
        <v>13</v>
      </c>
      <c r="E161" t="s">
        <v>65</v>
      </c>
      <c r="F161" t="s">
        <v>368</v>
      </c>
      <c r="G161">
        <v>4657</v>
      </c>
      <c r="H161" t="s">
        <v>1859</v>
      </c>
      <c r="I161" t="s">
        <v>1860</v>
      </c>
      <c r="J161">
        <v>12</v>
      </c>
      <c r="K161">
        <v>1</v>
      </c>
      <c r="L161">
        <v>9.1435185185185185E-4</v>
      </c>
      <c r="M161" t="s">
        <v>117</v>
      </c>
      <c r="N161" t="s">
        <v>572</v>
      </c>
      <c r="O161" s="24">
        <v>46118</v>
      </c>
      <c r="P161">
        <v>605</v>
      </c>
      <c r="Q161" t="s">
        <v>34</v>
      </c>
      <c r="R161" s="24">
        <v>46136</v>
      </c>
      <c r="S161" s="51">
        <v>0.54513888888888884</v>
      </c>
      <c r="T161" s="51">
        <v>0.60069444444444442</v>
      </c>
      <c r="X161" t="s">
        <v>3048</v>
      </c>
      <c r="Y161" t="s">
        <v>3029</v>
      </c>
      <c r="Z161">
        <v>1781401</v>
      </c>
    </row>
    <row r="162" spans="1:26" x14ac:dyDescent="0.25">
      <c r="A162">
        <v>158</v>
      </c>
      <c r="B162" t="s">
        <v>24</v>
      </c>
      <c r="C162" t="s">
        <v>25</v>
      </c>
      <c r="D162">
        <v>13</v>
      </c>
      <c r="E162" t="s">
        <v>65</v>
      </c>
      <c r="F162" t="s">
        <v>368</v>
      </c>
      <c r="G162">
        <v>4657</v>
      </c>
      <c r="H162" t="s">
        <v>1861</v>
      </c>
      <c r="I162" t="s">
        <v>1856</v>
      </c>
      <c r="J162">
        <v>12</v>
      </c>
      <c r="K162">
        <v>1</v>
      </c>
      <c r="L162">
        <v>7.5231481481481482E-4</v>
      </c>
      <c r="M162" t="s">
        <v>117</v>
      </c>
      <c r="N162" t="s">
        <v>572</v>
      </c>
      <c r="O162" s="24">
        <v>46118</v>
      </c>
      <c r="P162">
        <v>605</v>
      </c>
      <c r="Q162" t="s">
        <v>34</v>
      </c>
      <c r="R162" s="24">
        <v>46136</v>
      </c>
      <c r="S162" s="51">
        <v>0.54513888888888884</v>
      </c>
      <c r="T162" s="51">
        <v>0.60069444444444442</v>
      </c>
      <c r="X162" t="s">
        <v>3048</v>
      </c>
      <c r="Y162" t="s">
        <v>3029</v>
      </c>
      <c r="Z162">
        <v>1781401</v>
      </c>
    </row>
    <row r="163" spans="1:26" x14ac:dyDescent="0.25">
      <c r="A163">
        <v>159</v>
      </c>
      <c r="B163" t="s">
        <v>24</v>
      </c>
      <c r="C163" t="s">
        <v>25</v>
      </c>
      <c r="D163">
        <v>13</v>
      </c>
      <c r="E163" t="s">
        <v>65</v>
      </c>
      <c r="F163" t="s">
        <v>368</v>
      </c>
      <c r="G163">
        <v>4657</v>
      </c>
      <c r="H163" t="s">
        <v>1862</v>
      </c>
      <c r="I163" t="s">
        <v>1856</v>
      </c>
      <c r="J163">
        <v>12</v>
      </c>
      <c r="K163">
        <v>1</v>
      </c>
      <c r="L163">
        <v>7.5231481481481482E-4</v>
      </c>
      <c r="M163" t="s">
        <v>117</v>
      </c>
      <c r="N163" t="s">
        <v>572</v>
      </c>
      <c r="O163" s="24">
        <v>46118</v>
      </c>
      <c r="P163">
        <v>605</v>
      </c>
      <c r="Q163" t="s">
        <v>34</v>
      </c>
      <c r="R163" s="24">
        <v>46136</v>
      </c>
      <c r="S163" s="51">
        <v>0.54513888888888884</v>
      </c>
      <c r="T163" s="51">
        <v>0.60069444444444442</v>
      </c>
      <c r="X163" t="s">
        <v>3048</v>
      </c>
      <c r="Y163" t="s">
        <v>3029</v>
      </c>
      <c r="Z163">
        <v>1781401</v>
      </c>
    </row>
    <row r="164" spans="1:26" x14ac:dyDescent="0.25">
      <c r="A164">
        <v>160</v>
      </c>
      <c r="B164" t="s">
        <v>24</v>
      </c>
      <c r="C164" t="s">
        <v>25</v>
      </c>
      <c r="D164">
        <v>13</v>
      </c>
      <c r="E164" t="s">
        <v>65</v>
      </c>
      <c r="F164" t="s">
        <v>368</v>
      </c>
      <c r="G164">
        <v>4657</v>
      </c>
      <c r="H164" t="s">
        <v>1863</v>
      </c>
      <c r="I164" t="s">
        <v>1856</v>
      </c>
      <c r="J164">
        <v>12</v>
      </c>
      <c r="K164">
        <v>1</v>
      </c>
      <c r="L164">
        <v>9.1435185185185185E-4</v>
      </c>
      <c r="M164" t="s">
        <v>117</v>
      </c>
      <c r="N164" t="s">
        <v>572</v>
      </c>
      <c r="O164" s="24">
        <v>46118</v>
      </c>
      <c r="P164">
        <v>605</v>
      </c>
      <c r="Q164" t="s">
        <v>34</v>
      </c>
      <c r="R164" s="24">
        <v>46136</v>
      </c>
      <c r="S164" s="51">
        <v>0.54513888888888884</v>
      </c>
      <c r="T164" s="51">
        <v>0.60069444444444442</v>
      </c>
      <c r="X164" t="s">
        <v>3048</v>
      </c>
      <c r="Y164" t="s">
        <v>3029</v>
      </c>
      <c r="Z164">
        <v>1781401</v>
      </c>
    </row>
    <row r="165" spans="1:26" x14ac:dyDescent="0.25">
      <c r="A165">
        <v>161</v>
      </c>
      <c r="B165" t="s">
        <v>24</v>
      </c>
      <c r="C165" t="s">
        <v>25</v>
      </c>
      <c r="D165">
        <v>13</v>
      </c>
      <c r="E165" t="s">
        <v>65</v>
      </c>
      <c r="F165" t="s">
        <v>368</v>
      </c>
      <c r="G165">
        <v>4657</v>
      </c>
      <c r="H165" t="s">
        <v>1864</v>
      </c>
      <c r="I165" t="s">
        <v>1865</v>
      </c>
      <c r="J165">
        <v>12</v>
      </c>
      <c r="K165">
        <v>1</v>
      </c>
      <c r="L165">
        <v>7.5231481481481482E-4</v>
      </c>
      <c r="M165" t="s">
        <v>117</v>
      </c>
      <c r="N165" t="s">
        <v>572</v>
      </c>
      <c r="O165" s="24">
        <v>46118</v>
      </c>
      <c r="P165">
        <v>605</v>
      </c>
      <c r="Q165" t="s">
        <v>34</v>
      </c>
      <c r="R165" s="24">
        <v>46136</v>
      </c>
      <c r="S165" s="51">
        <v>0.54513888888888884</v>
      </c>
      <c r="T165" s="51">
        <v>0.60069444444444442</v>
      </c>
      <c r="X165" t="s">
        <v>3048</v>
      </c>
      <c r="Y165" t="s">
        <v>3029</v>
      </c>
      <c r="Z165">
        <v>1781401</v>
      </c>
    </row>
    <row r="166" spans="1:26" x14ac:dyDescent="0.25">
      <c r="A166">
        <v>162</v>
      </c>
      <c r="B166" t="s">
        <v>24</v>
      </c>
      <c r="C166" t="s">
        <v>25</v>
      </c>
      <c r="D166">
        <v>13</v>
      </c>
      <c r="E166" t="s">
        <v>65</v>
      </c>
      <c r="F166" t="s">
        <v>1590</v>
      </c>
      <c r="G166">
        <v>4657</v>
      </c>
      <c r="H166" t="s">
        <v>1866</v>
      </c>
      <c r="I166" t="s">
        <v>1867</v>
      </c>
      <c r="J166">
        <v>12</v>
      </c>
      <c r="K166">
        <v>1</v>
      </c>
      <c r="L166">
        <v>4.282407407407407E-4</v>
      </c>
      <c r="M166" t="s">
        <v>117</v>
      </c>
      <c r="N166" t="s">
        <v>572</v>
      </c>
      <c r="O166" s="24">
        <v>46118</v>
      </c>
      <c r="P166">
        <v>605</v>
      </c>
      <c r="Q166" t="s">
        <v>34</v>
      </c>
      <c r="R166" s="24">
        <v>46136</v>
      </c>
      <c r="S166" s="51">
        <v>0.54513888888888884</v>
      </c>
      <c r="T166" s="51">
        <v>0.60069444444444442</v>
      </c>
      <c r="X166" t="s">
        <v>3048</v>
      </c>
      <c r="Y166" t="s">
        <v>3029</v>
      </c>
      <c r="Z166">
        <v>1781401</v>
      </c>
    </row>
    <row r="167" spans="1:26" x14ac:dyDescent="0.25">
      <c r="A167">
        <v>163</v>
      </c>
      <c r="B167" t="s">
        <v>24</v>
      </c>
      <c r="C167" t="s">
        <v>25</v>
      </c>
      <c r="D167">
        <v>13</v>
      </c>
      <c r="E167" t="s">
        <v>550</v>
      </c>
      <c r="F167" t="s">
        <v>550</v>
      </c>
      <c r="G167">
        <v>4658</v>
      </c>
      <c r="H167" t="s">
        <v>1868</v>
      </c>
      <c r="I167" t="s">
        <v>1869</v>
      </c>
      <c r="J167">
        <v>12</v>
      </c>
      <c r="K167">
        <v>1</v>
      </c>
      <c r="L167">
        <v>1.4398148148148148E-2</v>
      </c>
      <c r="M167" t="s">
        <v>117</v>
      </c>
      <c r="N167" t="s">
        <v>663</v>
      </c>
      <c r="O167" s="24">
        <v>46125</v>
      </c>
      <c r="P167">
        <v>606</v>
      </c>
      <c r="Q167" t="s">
        <v>34</v>
      </c>
      <c r="R167" s="24">
        <v>46136</v>
      </c>
      <c r="S167" s="51">
        <v>0.65486111111111112</v>
      </c>
      <c r="T167" s="51">
        <v>0.68819444444444444</v>
      </c>
      <c r="X167" t="s">
        <v>3049</v>
      </c>
      <c r="Y167" t="s">
        <v>3029</v>
      </c>
      <c r="Z167">
        <v>2777698</v>
      </c>
    </row>
    <row r="168" spans="1:26" x14ac:dyDescent="0.25">
      <c r="A168">
        <v>164</v>
      </c>
      <c r="B168" t="s">
        <v>24</v>
      </c>
      <c r="C168" t="s">
        <v>25</v>
      </c>
      <c r="D168">
        <v>13</v>
      </c>
      <c r="E168" t="s">
        <v>147</v>
      </c>
      <c r="F168" t="s">
        <v>115</v>
      </c>
      <c r="G168">
        <v>4658</v>
      </c>
      <c r="H168" t="s">
        <v>1840</v>
      </c>
      <c r="I168" t="s">
        <v>1809</v>
      </c>
      <c r="J168">
        <v>12</v>
      </c>
      <c r="K168">
        <v>7</v>
      </c>
      <c r="L168">
        <v>6.3078703703703699E-3</v>
      </c>
      <c r="M168" t="s">
        <v>117</v>
      </c>
      <c r="N168" t="s">
        <v>663</v>
      </c>
      <c r="O168" s="24">
        <v>46125</v>
      </c>
      <c r="P168">
        <v>606</v>
      </c>
      <c r="Q168" t="s">
        <v>34</v>
      </c>
      <c r="R168" s="24">
        <v>46136</v>
      </c>
      <c r="S168" s="51">
        <v>0.65486111111111112</v>
      </c>
      <c r="T168" s="51">
        <v>0.68819444444444444</v>
      </c>
      <c r="X168" t="s">
        <v>3049</v>
      </c>
      <c r="Y168" t="s">
        <v>3029</v>
      </c>
      <c r="Z168">
        <v>2777698</v>
      </c>
    </row>
    <row r="169" spans="1:26" x14ac:dyDescent="0.25">
      <c r="A169">
        <v>165</v>
      </c>
      <c r="B169" t="s">
        <v>24</v>
      </c>
      <c r="C169" t="s">
        <v>25</v>
      </c>
      <c r="D169">
        <v>13</v>
      </c>
      <c r="E169" t="s">
        <v>367</v>
      </c>
      <c r="F169" t="s">
        <v>512</v>
      </c>
      <c r="G169">
        <v>4658</v>
      </c>
      <c r="H169" t="s">
        <v>1871</v>
      </c>
      <c r="I169" t="s">
        <v>1845</v>
      </c>
      <c r="J169">
        <v>12</v>
      </c>
      <c r="K169">
        <v>1</v>
      </c>
      <c r="L169">
        <v>4.282407407407407E-4</v>
      </c>
      <c r="M169" t="s">
        <v>117</v>
      </c>
      <c r="N169" t="s">
        <v>663</v>
      </c>
      <c r="O169" s="24">
        <v>46125</v>
      </c>
      <c r="P169">
        <v>606</v>
      </c>
      <c r="Q169" t="s">
        <v>34</v>
      </c>
      <c r="R169" s="24">
        <v>46136</v>
      </c>
      <c r="S169" s="51">
        <v>0.65486111111111112</v>
      </c>
      <c r="T169" s="51">
        <v>0.68819444444444444</v>
      </c>
      <c r="X169" t="s">
        <v>3049</v>
      </c>
      <c r="Y169" t="s">
        <v>3029</v>
      </c>
      <c r="Z169">
        <v>2777698</v>
      </c>
    </row>
    <row r="170" spans="1:26" x14ac:dyDescent="0.25">
      <c r="A170">
        <v>166</v>
      </c>
      <c r="B170" t="s">
        <v>24</v>
      </c>
      <c r="C170" t="s">
        <v>25</v>
      </c>
      <c r="D170">
        <v>13</v>
      </c>
      <c r="E170" t="s">
        <v>65</v>
      </c>
      <c r="F170" t="s">
        <v>512</v>
      </c>
      <c r="G170">
        <v>4658</v>
      </c>
      <c r="H170" t="s">
        <v>1872</v>
      </c>
      <c r="I170" t="s">
        <v>1873</v>
      </c>
      <c r="J170">
        <v>12</v>
      </c>
      <c r="K170">
        <v>1</v>
      </c>
      <c r="L170">
        <v>5.6712962962962956E-4</v>
      </c>
      <c r="M170" t="s">
        <v>117</v>
      </c>
      <c r="N170" t="s">
        <v>663</v>
      </c>
      <c r="O170" s="24">
        <v>46125</v>
      </c>
      <c r="P170">
        <v>606</v>
      </c>
      <c r="Q170" t="s">
        <v>34</v>
      </c>
      <c r="R170" s="24">
        <v>46136</v>
      </c>
      <c r="S170" s="51">
        <v>0.65486111111111112</v>
      </c>
      <c r="T170" s="51">
        <v>0.68819444444444444</v>
      </c>
      <c r="X170" t="s">
        <v>3049</v>
      </c>
      <c r="Y170" t="s">
        <v>3029</v>
      </c>
      <c r="Z170">
        <v>2777698</v>
      </c>
    </row>
    <row r="171" spans="1:26" x14ac:dyDescent="0.25">
      <c r="A171">
        <v>167</v>
      </c>
      <c r="B171" t="s">
        <v>24</v>
      </c>
      <c r="C171" t="s">
        <v>25</v>
      </c>
      <c r="D171">
        <v>13</v>
      </c>
      <c r="E171" t="s">
        <v>1665</v>
      </c>
      <c r="F171" t="s">
        <v>512</v>
      </c>
      <c r="G171">
        <v>3367</v>
      </c>
      <c r="H171" t="s">
        <v>1831</v>
      </c>
      <c r="I171" t="s">
        <v>1830</v>
      </c>
      <c r="J171">
        <v>12</v>
      </c>
      <c r="K171">
        <v>1</v>
      </c>
      <c r="L171">
        <v>1.0532407407407407E-3</v>
      </c>
      <c r="M171" t="s">
        <v>117</v>
      </c>
      <c r="N171" t="s">
        <v>572</v>
      </c>
      <c r="O171" s="24">
        <v>46118</v>
      </c>
      <c r="P171">
        <v>605</v>
      </c>
      <c r="Q171" t="s">
        <v>34</v>
      </c>
      <c r="R171" s="24">
        <v>46136</v>
      </c>
      <c r="S171" s="51">
        <v>4.5138888888888888E-2</v>
      </c>
      <c r="T171" s="51">
        <v>8.7499999999999994E-2</v>
      </c>
      <c r="X171" t="s">
        <v>3050</v>
      </c>
      <c r="Y171" t="s">
        <v>3032</v>
      </c>
      <c r="Z171">
        <v>2777698</v>
      </c>
    </row>
    <row r="172" spans="1:26" x14ac:dyDescent="0.25">
      <c r="A172">
        <v>168</v>
      </c>
      <c r="B172" t="s">
        <v>24</v>
      </c>
      <c r="C172" t="s">
        <v>25</v>
      </c>
      <c r="D172">
        <v>13</v>
      </c>
      <c r="E172" t="s">
        <v>511</v>
      </c>
      <c r="F172" t="s">
        <v>511</v>
      </c>
      <c r="G172">
        <v>3367</v>
      </c>
      <c r="H172" t="s">
        <v>1875</v>
      </c>
      <c r="I172" t="s">
        <v>1813</v>
      </c>
      <c r="J172">
        <v>12</v>
      </c>
      <c r="K172">
        <v>1</v>
      </c>
      <c r="L172">
        <v>1.3425925925925926E-2</v>
      </c>
      <c r="M172" t="s">
        <v>117</v>
      </c>
      <c r="N172" t="s">
        <v>572</v>
      </c>
      <c r="O172" s="24">
        <v>46118</v>
      </c>
      <c r="P172">
        <v>605</v>
      </c>
      <c r="Q172" t="s">
        <v>34</v>
      </c>
      <c r="R172" s="24">
        <v>46136</v>
      </c>
      <c r="S172" s="51">
        <v>4.5138888888888888E-2</v>
      </c>
      <c r="T172" s="51">
        <v>8.7499999999999994E-2</v>
      </c>
      <c r="X172" t="s">
        <v>3050</v>
      </c>
      <c r="Y172" t="s">
        <v>3032</v>
      </c>
      <c r="Z172">
        <v>2777698</v>
      </c>
    </row>
    <row r="173" spans="1:26" x14ac:dyDescent="0.25">
      <c r="A173">
        <v>169</v>
      </c>
      <c r="B173" t="s">
        <v>24</v>
      </c>
      <c r="C173" t="s">
        <v>25</v>
      </c>
      <c r="D173">
        <v>13</v>
      </c>
      <c r="E173" t="s">
        <v>150</v>
      </c>
      <c r="F173" t="s">
        <v>115</v>
      </c>
      <c r="G173">
        <v>3367</v>
      </c>
      <c r="H173" t="s">
        <v>1808</v>
      </c>
      <c r="I173" t="s">
        <v>1809</v>
      </c>
      <c r="J173">
        <v>12</v>
      </c>
      <c r="K173">
        <v>5</v>
      </c>
      <c r="L173">
        <v>5.4398148148148149E-3</v>
      </c>
      <c r="M173" t="s">
        <v>117</v>
      </c>
      <c r="N173" t="s">
        <v>572</v>
      </c>
      <c r="O173" s="24">
        <v>46118</v>
      </c>
      <c r="P173">
        <v>605</v>
      </c>
      <c r="Q173" t="s">
        <v>34</v>
      </c>
      <c r="R173" s="24">
        <v>46136</v>
      </c>
      <c r="S173" s="51">
        <v>4.5138888888888888E-2</v>
      </c>
      <c r="T173" s="51">
        <v>8.7499999999999994E-2</v>
      </c>
      <c r="X173" t="s">
        <v>3050</v>
      </c>
      <c r="Y173" t="s">
        <v>3032</v>
      </c>
      <c r="Z173">
        <v>2777698</v>
      </c>
    </row>
    <row r="174" spans="1:26" x14ac:dyDescent="0.25">
      <c r="A174">
        <v>170</v>
      </c>
      <c r="B174" t="s">
        <v>24</v>
      </c>
      <c r="C174" t="s">
        <v>25</v>
      </c>
      <c r="D174">
        <v>13</v>
      </c>
      <c r="E174" t="s">
        <v>367</v>
      </c>
      <c r="F174" t="s">
        <v>1594</v>
      </c>
      <c r="G174">
        <v>3367</v>
      </c>
      <c r="H174" t="s">
        <v>1876</v>
      </c>
      <c r="I174" t="s">
        <v>1877</v>
      </c>
      <c r="J174">
        <v>12</v>
      </c>
      <c r="K174">
        <v>2</v>
      </c>
      <c r="L174">
        <v>1.0416666666666667E-3</v>
      </c>
      <c r="M174" t="s">
        <v>117</v>
      </c>
      <c r="N174" t="s">
        <v>572</v>
      </c>
      <c r="O174" s="24">
        <v>46118</v>
      </c>
      <c r="P174">
        <v>605</v>
      </c>
      <c r="Q174" t="s">
        <v>34</v>
      </c>
      <c r="R174" s="24">
        <v>46136</v>
      </c>
      <c r="S174" s="51">
        <v>4.5138888888888888E-2</v>
      </c>
      <c r="T174" s="51">
        <v>8.7499999999999994E-2</v>
      </c>
      <c r="X174" t="s">
        <v>3050</v>
      </c>
      <c r="Y174" t="s">
        <v>3032</v>
      </c>
      <c r="Z174">
        <v>2777698</v>
      </c>
    </row>
    <row r="175" spans="1:26" x14ac:dyDescent="0.25">
      <c r="A175">
        <v>171</v>
      </c>
      <c r="B175" t="s">
        <v>24</v>
      </c>
      <c r="C175" t="s">
        <v>25</v>
      </c>
      <c r="D175">
        <v>13</v>
      </c>
      <c r="E175" t="s">
        <v>367</v>
      </c>
      <c r="F175" t="s">
        <v>1594</v>
      </c>
      <c r="G175">
        <v>3367</v>
      </c>
      <c r="H175" t="s">
        <v>1853</v>
      </c>
      <c r="I175" t="s">
        <v>1854</v>
      </c>
      <c r="J175">
        <v>12</v>
      </c>
      <c r="K175">
        <v>1</v>
      </c>
      <c r="L175">
        <v>3.9351851851851852E-4</v>
      </c>
      <c r="M175" t="s">
        <v>117</v>
      </c>
      <c r="N175" t="s">
        <v>572</v>
      </c>
      <c r="O175" s="24">
        <v>46118</v>
      </c>
      <c r="P175">
        <v>605</v>
      </c>
      <c r="Q175" t="s">
        <v>34</v>
      </c>
      <c r="R175" s="24">
        <v>46136</v>
      </c>
      <c r="S175" s="51">
        <v>4.5138888888888888E-2</v>
      </c>
      <c r="T175" s="51">
        <v>8.7499999999999994E-2</v>
      </c>
      <c r="X175" t="s">
        <v>3050</v>
      </c>
      <c r="Y175" t="s">
        <v>3032</v>
      </c>
      <c r="Z175">
        <v>2777698</v>
      </c>
    </row>
    <row r="176" spans="1:26" x14ac:dyDescent="0.25">
      <c r="A176">
        <v>172</v>
      </c>
      <c r="B176" t="s">
        <v>24</v>
      </c>
      <c r="C176" t="s">
        <v>25</v>
      </c>
      <c r="D176">
        <v>13</v>
      </c>
      <c r="E176" t="s">
        <v>65</v>
      </c>
      <c r="F176" t="s">
        <v>1590</v>
      </c>
      <c r="G176">
        <v>3367</v>
      </c>
      <c r="H176" t="s">
        <v>1878</v>
      </c>
      <c r="I176" t="s">
        <v>1879</v>
      </c>
      <c r="J176">
        <v>12</v>
      </c>
      <c r="K176">
        <v>1</v>
      </c>
      <c r="L176">
        <v>4.282407407407407E-4</v>
      </c>
      <c r="M176" t="s">
        <v>117</v>
      </c>
      <c r="N176" t="s">
        <v>572</v>
      </c>
      <c r="O176" s="24">
        <v>46118</v>
      </c>
      <c r="P176">
        <v>605</v>
      </c>
      <c r="Q176" t="s">
        <v>34</v>
      </c>
      <c r="R176" s="24">
        <v>46136</v>
      </c>
      <c r="S176" s="51">
        <v>4.5138888888888888E-2</v>
      </c>
      <c r="T176" s="51">
        <v>8.7499999999999994E-2</v>
      </c>
      <c r="X176" t="s">
        <v>3050</v>
      </c>
      <c r="Y176" t="s">
        <v>3032</v>
      </c>
      <c r="Z176">
        <v>2777698</v>
      </c>
    </row>
    <row r="177" spans="1:26" x14ac:dyDescent="0.25">
      <c r="A177">
        <v>173</v>
      </c>
      <c r="B177" t="s">
        <v>24</v>
      </c>
      <c r="C177" t="s">
        <v>25</v>
      </c>
      <c r="D177">
        <v>13</v>
      </c>
      <c r="E177" t="s">
        <v>65</v>
      </c>
      <c r="F177" t="s">
        <v>1590</v>
      </c>
      <c r="G177">
        <v>3367</v>
      </c>
      <c r="H177" t="s">
        <v>1880</v>
      </c>
      <c r="I177" t="s">
        <v>1881</v>
      </c>
      <c r="J177">
        <v>12</v>
      </c>
      <c r="K177">
        <v>1</v>
      </c>
      <c r="L177">
        <v>4.1666666666666664E-4</v>
      </c>
      <c r="M177" t="s">
        <v>117</v>
      </c>
      <c r="N177" t="s">
        <v>572</v>
      </c>
      <c r="O177" s="24">
        <v>46118</v>
      </c>
      <c r="P177">
        <v>605</v>
      </c>
      <c r="Q177" t="s">
        <v>34</v>
      </c>
      <c r="R177" s="24">
        <v>46136</v>
      </c>
      <c r="S177" s="51">
        <v>4.5138888888888888E-2</v>
      </c>
      <c r="T177" s="51">
        <v>8.7499999999999994E-2</v>
      </c>
      <c r="X177" t="s">
        <v>3050</v>
      </c>
      <c r="Y177" t="s">
        <v>3032</v>
      </c>
      <c r="Z177">
        <v>2777698</v>
      </c>
    </row>
    <row r="178" spans="1:26" x14ac:dyDescent="0.25">
      <c r="A178">
        <v>174</v>
      </c>
      <c r="B178" t="s">
        <v>24</v>
      </c>
      <c r="C178" t="s">
        <v>25</v>
      </c>
      <c r="D178">
        <v>13</v>
      </c>
      <c r="E178" t="s">
        <v>65</v>
      </c>
      <c r="F178" t="s">
        <v>368</v>
      </c>
      <c r="G178">
        <v>3367</v>
      </c>
      <c r="H178" t="s">
        <v>1882</v>
      </c>
      <c r="I178" t="s">
        <v>1883</v>
      </c>
      <c r="J178">
        <v>12</v>
      </c>
      <c r="K178">
        <v>1</v>
      </c>
      <c r="L178">
        <v>9.0277777777777774E-4</v>
      </c>
      <c r="M178" t="s">
        <v>117</v>
      </c>
      <c r="N178" t="s">
        <v>572</v>
      </c>
      <c r="O178" s="24">
        <v>46118</v>
      </c>
      <c r="P178">
        <v>605</v>
      </c>
      <c r="Q178" t="s">
        <v>34</v>
      </c>
      <c r="R178" s="24">
        <v>46136</v>
      </c>
      <c r="S178" s="51">
        <v>4.5138888888888888E-2</v>
      </c>
      <c r="T178" s="51">
        <v>8.7499999999999994E-2</v>
      </c>
      <c r="X178" t="s">
        <v>3050</v>
      </c>
      <c r="Y178" t="s">
        <v>3032</v>
      </c>
      <c r="Z178">
        <v>2777698</v>
      </c>
    </row>
    <row r="179" spans="1:26" x14ac:dyDescent="0.25">
      <c r="A179">
        <v>175</v>
      </c>
      <c r="B179" t="s">
        <v>24</v>
      </c>
      <c r="C179" t="s">
        <v>25</v>
      </c>
      <c r="D179">
        <v>13</v>
      </c>
      <c r="E179" t="s">
        <v>65</v>
      </c>
      <c r="F179" t="s">
        <v>368</v>
      </c>
      <c r="G179">
        <v>3367</v>
      </c>
      <c r="H179" t="s">
        <v>1884</v>
      </c>
      <c r="I179" t="s">
        <v>1883</v>
      </c>
      <c r="J179">
        <v>12</v>
      </c>
      <c r="K179">
        <v>1</v>
      </c>
      <c r="L179">
        <v>7.5231481481481482E-4</v>
      </c>
      <c r="M179" t="s">
        <v>117</v>
      </c>
      <c r="N179" t="s">
        <v>572</v>
      </c>
      <c r="O179" s="24">
        <v>46118</v>
      </c>
      <c r="P179">
        <v>605</v>
      </c>
      <c r="Q179" t="s">
        <v>34</v>
      </c>
      <c r="R179" s="24">
        <v>46136</v>
      </c>
      <c r="S179" s="51">
        <v>4.5138888888888888E-2</v>
      </c>
      <c r="T179" s="51">
        <v>8.7499999999999994E-2</v>
      </c>
      <c r="X179" t="s">
        <v>3050</v>
      </c>
      <c r="Y179" t="s">
        <v>3032</v>
      </c>
      <c r="Z179">
        <v>2777698</v>
      </c>
    </row>
    <row r="180" spans="1:26" x14ac:dyDescent="0.25">
      <c r="A180">
        <v>176</v>
      </c>
      <c r="B180" t="s">
        <v>24</v>
      </c>
      <c r="C180" t="s">
        <v>25</v>
      </c>
      <c r="D180">
        <v>13</v>
      </c>
      <c r="E180" t="s">
        <v>1672</v>
      </c>
      <c r="F180" t="s">
        <v>115</v>
      </c>
      <c r="G180">
        <v>3368</v>
      </c>
      <c r="H180" t="s">
        <v>1885</v>
      </c>
      <c r="I180" t="s">
        <v>1886</v>
      </c>
      <c r="J180">
        <v>12</v>
      </c>
      <c r="K180">
        <v>1</v>
      </c>
      <c r="L180">
        <v>9.3749999999999997E-4</v>
      </c>
      <c r="M180" t="s">
        <v>117</v>
      </c>
      <c r="N180" t="s">
        <v>572</v>
      </c>
      <c r="O180" s="24">
        <v>46118</v>
      </c>
      <c r="P180">
        <v>605</v>
      </c>
      <c r="Q180" t="s">
        <v>34</v>
      </c>
      <c r="R180" s="24">
        <v>46136</v>
      </c>
      <c r="S180" s="51">
        <v>0.95833333333333337</v>
      </c>
      <c r="T180" s="51">
        <v>0.99791666666666667</v>
      </c>
      <c r="X180" t="s">
        <v>3051</v>
      </c>
      <c r="Y180" t="s">
        <v>3032</v>
      </c>
      <c r="Z180">
        <v>2777698</v>
      </c>
    </row>
    <row r="181" spans="1:26" x14ac:dyDescent="0.25">
      <c r="A181">
        <v>177</v>
      </c>
      <c r="B181" t="s">
        <v>24</v>
      </c>
      <c r="C181" t="s">
        <v>25</v>
      </c>
      <c r="D181">
        <v>13</v>
      </c>
      <c r="E181" t="s">
        <v>1583</v>
      </c>
      <c r="F181" t="s">
        <v>1583</v>
      </c>
      <c r="G181">
        <v>3368</v>
      </c>
      <c r="H181" t="s">
        <v>1888</v>
      </c>
      <c r="I181" t="s">
        <v>1889</v>
      </c>
      <c r="J181">
        <v>12</v>
      </c>
      <c r="K181">
        <v>6</v>
      </c>
      <c r="L181">
        <v>4.4212962962962964E-3</v>
      </c>
      <c r="M181" t="s">
        <v>117</v>
      </c>
      <c r="N181" t="s">
        <v>572</v>
      </c>
      <c r="O181" s="24">
        <v>46118</v>
      </c>
      <c r="P181">
        <v>605</v>
      </c>
      <c r="Q181" t="s">
        <v>34</v>
      </c>
      <c r="R181" s="24">
        <v>46136</v>
      </c>
      <c r="S181" s="51">
        <v>0.95833333333333337</v>
      </c>
      <c r="T181" s="51">
        <v>0.99791666666666667</v>
      </c>
      <c r="X181" t="s">
        <v>3051</v>
      </c>
      <c r="Y181" t="s">
        <v>3032</v>
      </c>
      <c r="Z181">
        <v>2777698</v>
      </c>
    </row>
    <row r="182" spans="1:26" x14ac:dyDescent="0.25">
      <c r="A182">
        <v>178</v>
      </c>
      <c r="B182" t="s">
        <v>24</v>
      </c>
      <c r="C182" t="s">
        <v>25</v>
      </c>
      <c r="D182">
        <v>13</v>
      </c>
      <c r="E182" t="s">
        <v>65</v>
      </c>
      <c r="F182" t="s">
        <v>368</v>
      </c>
      <c r="G182">
        <v>3368</v>
      </c>
      <c r="H182" t="s">
        <v>1890</v>
      </c>
      <c r="I182" t="s">
        <v>1891</v>
      </c>
      <c r="J182">
        <v>12</v>
      </c>
      <c r="K182">
        <v>1</v>
      </c>
      <c r="L182">
        <v>1.6203703703703703E-2</v>
      </c>
      <c r="M182" t="s">
        <v>117</v>
      </c>
      <c r="N182" t="s">
        <v>572</v>
      </c>
      <c r="O182" s="24">
        <v>46118</v>
      </c>
      <c r="P182">
        <v>605</v>
      </c>
      <c r="Q182" t="s">
        <v>34</v>
      </c>
      <c r="R182" s="24">
        <v>46136</v>
      </c>
      <c r="S182" s="51">
        <v>0.95833333333333337</v>
      </c>
      <c r="T182" s="51">
        <v>0.99791666666666667</v>
      </c>
      <c r="X182" t="s">
        <v>3051</v>
      </c>
      <c r="Y182" t="s">
        <v>3032</v>
      </c>
      <c r="Z182">
        <v>2777698</v>
      </c>
    </row>
    <row r="183" spans="1:26" x14ac:dyDescent="0.25">
      <c r="A183">
        <v>179</v>
      </c>
      <c r="B183" t="s">
        <v>24</v>
      </c>
      <c r="C183" t="s">
        <v>25</v>
      </c>
      <c r="D183">
        <v>13</v>
      </c>
      <c r="E183" t="s">
        <v>65</v>
      </c>
      <c r="F183" t="s">
        <v>512</v>
      </c>
      <c r="G183">
        <v>3368</v>
      </c>
      <c r="H183" t="s">
        <v>1892</v>
      </c>
      <c r="I183" t="s">
        <v>1893</v>
      </c>
      <c r="J183">
        <v>12</v>
      </c>
      <c r="K183">
        <v>1</v>
      </c>
      <c r="L183">
        <v>5.6712962962962956E-4</v>
      </c>
      <c r="M183" t="s">
        <v>117</v>
      </c>
      <c r="N183" t="s">
        <v>572</v>
      </c>
      <c r="O183" s="24">
        <v>46118</v>
      </c>
      <c r="P183">
        <v>605</v>
      </c>
      <c r="Q183" t="s">
        <v>34</v>
      </c>
      <c r="R183" s="24">
        <v>46136</v>
      </c>
      <c r="S183" s="51">
        <v>0.95833333333333337</v>
      </c>
      <c r="T183" s="51">
        <v>0.99791666666666667</v>
      </c>
      <c r="X183" t="s">
        <v>3051</v>
      </c>
      <c r="Y183" t="s">
        <v>3032</v>
      </c>
      <c r="Z183">
        <v>2777698</v>
      </c>
    </row>
    <row r="184" spans="1:26" x14ac:dyDescent="0.25">
      <c r="A184">
        <v>180</v>
      </c>
      <c r="B184" t="s">
        <v>24</v>
      </c>
      <c r="C184" t="s">
        <v>25</v>
      </c>
      <c r="D184">
        <v>13</v>
      </c>
      <c r="E184" t="s">
        <v>65</v>
      </c>
      <c r="F184" t="s">
        <v>512</v>
      </c>
      <c r="G184">
        <v>3368</v>
      </c>
      <c r="H184" t="s">
        <v>1894</v>
      </c>
      <c r="I184" t="s">
        <v>1893</v>
      </c>
      <c r="J184">
        <v>12</v>
      </c>
      <c r="K184">
        <v>1</v>
      </c>
      <c r="L184">
        <v>5.6712962962962956E-4</v>
      </c>
      <c r="M184" t="s">
        <v>117</v>
      </c>
      <c r="N184" t="s">
        <v>572</v>
      </c>
      <c r="O184" s="24">
        <v>46118</v>
      </c>
      <c r="P184">
        <v>605</v>
      </c>
      <c r="Q184" t="s">
        <v>34</v>
      </c>
      <c r="R184" s="24">
        <v>46136</v>
      </c>
      <c r="S184" s="51">
        <v>0.95833333333333337</v>
      </c>
      <c r="T184" s="51">
        <v>0.99791666666666667</v>
      </c>
      <c r="X184" t="s">
        <v>3051</v>
      </c>
      <c r="Y184" t="s">
        <v>3032</v>
      </c>
      <c r="Z184">
        <v>2777698</v>
      </c>
    </row>
    <row r="185" spans="1:26" x14ac:dyDescent="0.25">
      <c r="A185">
        <v>181</v>
      </c>
      <c r="B185" t="s">
        <v>24</v>
      </c>
      <c r="C185" t="s">
        <v>25</v>
      </c>
      <c r="D185">
        <v>13</v>
      </c>
      <c r="E185" t="s">
        <v>511</v>
      </c>
      <c r="F185" t="s">
        <v>511</v>
      </c>
      <c r="G185">
        <v>3369</v>
      </c>
      <c r="H185" t="s">
        <v>1875</v>
      </c>
      <c r="I185" t="s">
        <v>1813</v>
      </c>
      <c r="J185">
        <v>12</v>
      </c>
      <c r="K185">
        <v>1</v>
      </c>
      <c r="L185">
        <v>1.4039351851851851E-2</v>
      </c>
      <c r="M185" t="s">
        <v>117</v>
      </c>
      <c r="N185" t="s">
        <v>663</v>
      </c>
      <c r="O185" s="24">
        <v>46125</v>
      </c>
      <c r="P185">
        <v>606</v>
      </c>
      <c r="Q185" t="s">
        <v>34</v>
      </c>
      <c r="R185" s="24">
        <v>46136</v>
      </c>
      <c r="S185" s="51">
        <v>0.92222222222222228</v>
      </c>
      <c r="T185" s="51">
        <v>0.96805555555555556</v>
      </c>
      <c r="X185" t="s">
        <v>3052</v>
      </c>
      <c r="Y185" t="s">
        <v>3032</v>
      </c>
      <c r="Z185">
        <v>3215737</v>
      </c>
    </row>
    <row r="186" spans="1:26" x14ac:dyDescent="0.25">
      <c r="A186">
        <v>182</v>
      </c>
      <c r="B186" t="s">
        <v>24</v>
      </c>
      <c r="C186" t="s">
        <v>25</v>
      </c>
      <c r="D186">
        <v>13</v>
      </c>
      <c r="E186" t="s">
        <v>1665</v>
      </c>
      <c r="F186" t="s">
        <v>512</v>
      </c>
      <c r="G186">
        <v>3369</v>
      </c>
      <c r="H186" t="s">
        <v>1896</v>
      </c>
      <c r="I186" t="s">
        <v>1897</v>
      </c>
      <c r="J186">
        <v>12</v>
      </c>
      <c r="K186">
        <v>2</v>
      </c>
      <c r="L186">
        <v>1.2384259259259258E-3</v>
      </c>
      <c r="M186" t="s">
        <v>117</v>
      </c>
      <c r="N186" t="s">
        <v>663</v>
      </c>
      <c r="O186" s="24">
        <v>46125</v>
      </c>
      <c r="P186">
        <v>606</v>
      </c>
      <c r="Q186" t="s">
        <v>34</v>
      </c>
      <c r="R186" s="24">
        <v>46136</v>
      </c>
      <c r="S186" s="51">
        <v>0.92222222222222228</v>
      </c>
      <c r="T186" s="51">
        <v>0.96805555555555556</v>
      </c>
      <c r="X186" t="s">
        <v>3052</v>
      </c>
      <c r="Y186" t="s">
        <v>3032</v>
      </c>
      <c r="Z186">
        <v>3215737</v>
      </c>
    </row>
    <row r="187" spans="1:26" x14ac:dyDescent="0.25">
      <c r="A187">
        <v>183</v>
      </c>
      <c r="B187" t="s">
        <v>24</v>
      </c>
      <c r="C187" t="s">
        <v>25</v>
      </c>
      <c r="D187">
        <v>13</v>
      </c>
      <c r="E187" t="s">
        <v>1665</v>
      </c>
      <c r="F187" t="s">
        <v>115</v>
      </c>
      <c r="G187">
        <v>3369</v>
      </c>
      <c r="H187" t="s">
        <v>1898</v>
      </c>
      <c r="I187" t="s">
        <v>1899</v>
      </c>
      <c r="J187">
        <v>12</v>
      </c>
      <c r="K187">
        <v>1</v>
      </c>
      <c r="L187">
        <v>1.1226851851851851E-3</v>
      </c>
      <c r="M187" t="s">
        <v>117</v>
      </c>
      <c r="N187" t="s">
        <v>663</v>
      </c>
      <c r="O187" s="24">
        <v>46125</v>
      </c>
      <c r="P187">
        <v>606</v>
      </c>
      <c r="Q187" t="s">
        <v>34</v>
      </c>
      <c r="R187" s="24">
        <v>46136</v>
      </c>
      <c r="S187" s="51">
        <v>0.92222222222222228</v>
      </c>
      <c r="T187" s="51">
        <v>0.96805555555555556</v>
      </c>
      <c r="X187" t="s">
        <v>3052</v>
      </c>
      <c r="Y187" t="s">
        <v>3032</v>
      </c>
      <c r="Z187">
        <v>3215737</v>
      </c>
    </row>
    <row r="188" spans="1:26" x14ac:dyDescent="0.25">
      <c r="A188">
        <v>184</v>
      </c>
      <c r="B188" t="s">
        <v>24</v>
      </c>
      <c r="C188" t="s">
        <v>25</v>
      </c>
      <c r="D188">
        <v>13</v>
      </c>
      <c r="E188" t="s">
        <v>1672</v>
      </c>
      <c r="F188" t="s">
        <v>115</v>
      </c>
      <c r="G188">
        <v>3369</v>
      </c>
      <c r="H188" t="s">
        <v>1900</v>
      </c>
      <c r="I188" t="s">
        <v>1899</v>
      </c>
      <c r="J188">
        <v>12</v>
      </c>
      <c r="K188">
        <v>1</v>
      </c>
      <c r="L188">
        <v>8.9120370370370362E-4</v>
      </c>
      <c r="M188" t="s">
        <v>117</v>
      </c>
      <c r="N188" t="s">
        <v>663</v>
      </c>
      <c r="O188" s="24">
        <v>46125</v>
      </c>
      <c r="P188">
        <v>606</v>
      </c>
      <c r="Q188" t="s">
        <v>34</v>
      </c>
      <c r="R188" s="24">
        <v>46136</v>
      </c>
      <c r="S188" s="51">
        <v>0.92222222222222228</v>
      </c>
      <c r="T188" s="51">
        <v>0.96805555555555556</v>
      </c>
      <c r="X188" t="s">
        <v>3052</v>
      </c>
      <c r="Y188" t="s">
        <v>3032</v>
      </c>
      <c r="Z188">
        <v>3215737</v>
      </c>
    </row>
    <row r="189" spans="1:26" x14ac:dyDescent="0.25">
      <c r="A189">
        <v>185</v>
      </c>
      <c r="B189" t="s">
        <v>24</v>
      </c>
      <c r="C189" t="s">
        <v>25</v>
      </c>
      <c r="D189">
        <v>13</v>
      </c>
      <c r="E189" t="s">
        <v>65</v>
      </c>
      <c r="F189" t="s">
        <v>66</v>
      </c>
      <c r="G189">
        <v>3369</v>
      </c>
      <c r="H189" t="s">
        <v>1901</v>
      </c>
      <c r="I189" t="s">
        <v>1902</v>
      </c>
      <c r="J189">
        <v>12</v>
      </c>
      <c r="K189">
        <v>3</v>
      </c>
      <c r="L189">
        <v>2.4074074074074072E-3</v>
      </c>
      <c r="M189" t="s">
        <v>117</v>
      </c>
      <c r="N189" t="s">
        <v>663</v>
      </c>
      <c r="O189" s="24">
        <v>46125</v>
      </c>
      <c r="P189">
        <v>606</v>
      </c>
      <c r="Q189" t="s">
        <v>34</v>
      </c>
      <c r="R189" s="24">
        <v>46136</v>
      </c>
      <c r="S189" s="51">
        <v>0.92222222222222228</v>
      </c>
      <c r="T189" s="51">
        <v>0.96805555555555556</v>
      </c>
      <c r="X189" t="s">
        <v>3052</v>
      </c>
      <c r="Y189" t="s">
        <v>3032</v>
      </c>
      <c r="Z189">
        <v>3215737</v>
      </c>
    </row>
    <row r="190" spans="1:26" x14ac:dyDescent="0.25">
      <c r="A190">
        <v>186</v>
      </c>
      <c r="B190" t="s">
        <v>24</v>
      </c>
      <c r="C190" t="s">
        <v>25</v>
      </c>
      <c r="D190">
        <v>13</v>
      </c>
      <c r="E190" t="s">
        <v>65</v>
      </c>
      <c r="F190" t="s">
        <v>1596</v>
      </c>
      <c r="G190">
        <v>3369</v>
      </c>
      <c r="H190" t="s">
        <v>1903</v>
      </c>
      <c r="I190" t="s">
        <v>1904</v>
      </c>
      <c r="J190">
        <v>12</v>
      </c>
      <c r="K190">
        <v>1</v>
      </c>
      <c r="L190">
        <v>9.4907407407407408E-4</v>
      </c>
      <c r="M190" t="s">
        <v>117</v>
      </c>
      <c r="N190" t="s">
        <v>663</v>
      </c>
      <c r="O190" s="24">
        <v>46125</v>
      </c>
      <c r="P190">
        <v>606</v>
      </c>
      <c r="Q190" t="s">
        <v>34</v>
      </c>
      <c r="R190" s="24">
        <v>46136</v>
      </c>
      <c r="S190" s="51">
        <v>0.92222222222222228</v>
      </c>
      <c r="T190" s="51">
        <v>0.96805555555555556</v>
      </c>
      <c r="X190" t="s">
        <v>3052</v>
      </c>
      <c r="Y190" t="s">
        <v>3032</v>
      </c>
      <c r="Z190">
        <v>3215737</v>
      </c>
    </row>
    <row r="191" spans="1:26" x14ac:dyDescent="0.25">
      <c r="A191">
        <v>187</v>
      </c>
      <c r="B191" t="s">
        <v>24</v>
      </c>
      <c r="C191" t="s">
        <v>25</v>
      </c>
      <c r="D191">
        <v>13</v>
      </c>
      <c r="E191" t="s">
        <v>65</v>
      </c>
      <c r="F191" t="s">
        <v>1596</v>
      </c>
      <c r="G191">
        <v>3369</v>
      </c>
      <c r="H191" t="s">
        <v>1905</v>
      </c>
      <c r="I191" t="s">
        <v>1906</v>
      </c>
      <c r="J191">
        <v>12</v>
      </c>
      <c r="K191">
        <v>1</v>
      </c>
      <c r="L191">
        <v>1.0763888888888889E-3</v>
      </c>
      <c r="M191" t="s">
        <v>117</v>
      </c>
      <c r="N191" t="s">
        <v>663</v>
      </c>
      <c r="O191" s="24">
        <v>46125</v>
      </c>
      <c r="P191">
        <v>606</v>
      </c>
      <c r="Q191" t="s">
        <v>34</v>
      </c>
      <c r="R191" s="24">
        <v>46136</v>
      </c>
      <c r="S191" s="51">
        <v>0.92222222222222228</v>
      </c>
      <c r="T191" s="51">
        <v>0.96805555555555556</v>
      </c>
      <c r="X191" t="s">
        <v>3052</v>
      </c>
      <c r="Y191" t="s">
        <v>3032</v>
      </c>
      <c r="Z191">
        <v>3215737</v>
      </c>
    </row>
    <row r="192" spans="1:26" x14ac:dyDescent="0.25">
      <c r="A192">
        <v>188</v>
      </c>
      <c r="B192" t="s">
        <v>24</v>
      </c>
      <c r="C192" t="s">
        <v>25</v>
      </c>
      <c r="D192">
        <v>13</v>
      </c>
      <c r="E192" t="s">
        <v>511</v>
      </c>
      <c r="F192" t="s">
        <v>511</v>
      </c>
      <c r="G192">
        <v>3370</v>
      </c>
      <c r="H192" t="s">
        <v>1875</v>
      </c>
      <c r="I192" t="s">
        <v>1813</v>
      </c>
      <c r="J192">
        <v>12</v>
      </c>
      <c r="K192">
        <v>1</v>
      </c>
      <c r="L192">
        <v>1.4907407407407407E-2</v>
      </c>
      <c r="M192" t="s">
        <v>117</v>
      </c>
      <c r="N192" t="s">
        <v>572</v>
      </c>
      <c r="O192" s="24">
        <v>46118</v>
      </c>
      <c r="P192">
        <v>605</v>
      </c>
      <c r="Q192" t="s">
        <v>34</v>
      </c>
      <c r="R192" s="24">
        <v>46136</v>
      </c>
      <c r="S192" s="51">
        <v>0.77083333333333337</v>
      </c>
      <c r="T192" s="51">
        <v>0.875</v>
      </c>
      <c r="X192" t="s">
        <v>3053</v>
      </c>
      <c r="Y192" t="s">
        <v>3032</v>
      </c>
      <c r="Z192">
        <v>3215737</v>
      </c>
    </row>
    <row r="193" spans="1:26" x14ac:dyDescent="0.25">
      <c r="A193">
        <v>189</v>
      </c>
      <c r="B193" t="s">
        <v>24</v>
      </c>
      <c r="C193" t="s">
        <v>25</v>
      </c>
      <c r="D193">
        <v>13</v>
      </c>
      <c r="E193" t="s">
        <v>1665</v>
      </c>
      <c r="F193" t="s">
        <v>512</v>
      </c>
      <c r="G193">
        <v>3370</v>
      </c>
      <c r="H193" t="s">
        <v>1908</v>
      </c>
      <c r="I193" t="s">
        <v>1909</v>
      </c>
      <c r="J193">
        <v>12</v>
      </c>
      <c r="K193">
        <v>2</v>
      </c>
      <c r="L193">
        <v>1.3310185185185185E-3</v>
      </c>
      <c r="M193" t="s">
        <v>117</v>
      </c>
      <c r="N193" t="s">
        <v>572</v>
      </c>
      <c r="O193" s="24">
        <v>46118</v>
      </c>
      <c r="P193">
        <v>605</v>
      </c>
      <c r="Q193" t="s">
        <v>34</v>
      </c>
      <c r="R193" s="24">
        <v>46136</v>
      </c>
      <c r="S193" s="51">
        <v>0.77083333333333337</v>
      </c>
      <c r="T193" s="51">
        <v>0.875</v>
      </c>
      <c r="X193" t="s">
        <v>3053</v>
      </c>
      <c r="Y193" t="s">
        <v>3032</v>
      </c>
      <c r="Z193">
        <v>3215737</v>
      </c>
    </row>
    <row r="194" spans="1:26" x14ac:dyDescent="0.25">
      <c r="A194">
        <v>190</v>
      </c>
      <c r="B194" t="s">
        <v>24</v>
      </c>
      <c r="C194" t="s">
        <v>25</v>
      </c>
      <c r="D194">
        <v>13</v>
      </c>
      <c r="E194" t="s">
        <v>1665</v>
      </c>
      <c r="F194" t="s">
        <v>512</v>
      </c>
      <c r="G194">
        <v>3370</v>
      </c>
      <c r="H194" t="s">
        <v>1910</v>
      </c>
      <c r="I194" t="s">
        <v>1909</v>
      </c>
      <c r="J194">
        <v>12</v>
      </c>
      <c r="K194">
        <v>1</v>
      </c>
      <c r="L194">
        <v>6.5972222222222224E-4</v>
      </c>
      <c r="M194" t="s">
        <v>117</v>
      </c>
      <c r="N194" t="s">
        <v>572</v>
      </c>
      <c r="O194" s="24">
        <v>46118</v>
      </c>
      <c r="P194">
        <v>605</v>
      </c>
      <c r="Q194" t="s">
        <v>34</v>
      </c>
      <c r="R194" s="24">
        <v>46136</v>
      </c>
      <c r="S194" s="51">
        <v>0.77083333333333337</v>
      </c>
      <c r="T194" s="51">
        <v>0.875</v>
      </c>
      <c r="X194" t="s">
        <v>3053</v>
      </c>
      <c r="Y194" t="s">
        <v>3032</v>
      </c>
      <c r="Z194">
        <v>3215737</v>
      </c>
    </row>
    <row r="195" spans="1:26" x14ac:dyDescent="0.25">
      <c r="A195">
        <v>191</v>
      </c>
      <c r="B195" t="s">
        <v>24</v>
      </c>
      <c r="C195" t="s">
        <v>25</v>
      </c>
      <c r="D195">
        <v>13</v>
      </c>
      <c r="E195" t="s">
        <v>367</v>
      </c>
      <c r="F195" t="s">
        <v>1594</v>
      </c>
      <c r="G195">
        <v>3370</v>
      </c>
      <c r="H195" t="s">
        <v>1853</v>
      </c>
      <c r="I195" t="s">
        <v>1854</v>
      </c>
      <c r="J195">
        <v>12</v>
      </c>
      <c r="K195">
        <v>2</v>
      </c>
      <c r="L195">
        <v>8.9120370370370362E-4</v>
      </c>
      <c r="M195" t="s">
        <v>117</v>
      </c>
      <c r="N195" t="s">
        <v>572</v>
      </c>
      <c r="O195" s="24">
        <v>46118</v>
      </c>
      <c r="P195">
        <v>605</v>
      </c>
      <c r="Q195" t="s">
        <v>34</v>
      </c>
      <c r="R195" s="24">
        <v>46136</v>
      </c>
      <c r="S195" s="51">
        <v>0.77083333333333337</v>
      </c>
      <c r="T195" s="51">
        <v>0.875</v>
      </c>
      <c r="X195" t="s">
        <v>3053</v>
      </c>
      <c r="Y195" t="s">
        <v>3032</v>
      </c>
      <c r="Z195">
        <v>3215737</v>
      </c>
    </row>
    <row r="196" spans="1:26" x14ac:dyDescent="0.25">
      <c r="A196">
        <v>192</v>
      </c>
      <c r="B196" t="s">
        <v>24</v>
      </c>
      <c r="C196" t="s">
        <v>25</v>
      </c>
      <c r="D196">
        <v>13</v>
      </c>
      <c r="E196" t="s">
        <v>367</v>
      </c>
      <c r="F196" t="s">
        <v>1594</v>
      </c>
      <c r="G196">
        <v>3370</v>
      </c>
      <c r="H196" t="s">
        <v>1911</v>
      </c>
      <c r="I196" t="s">
        <v>1809</v>
      </c>
      <c r="J196">
        <v>12</v>
      </c>
      <c r="K196">
        <v>2</v>
      </c>
      <c r="L196">
        <v>1.7708333333333332E-3</v>
      </c>
      <c r="M196" t="s">
        <v>117</v>
      </c>
      <c r="N196" t="s">
        <v>572</v>
      </c>
      <c r="O196" s="24">
        <v>46118</v>
      </c>
      <c r="P196">
        <v>605</v>
      </c>
      <c r="Q196" t="s">
        <v>34</v>
      </c>
      <c r="R196" s="24">
        <v>46136</v>
      </c>
      <c r="S196" s="51">
        <v>0.77083333333333337</v>
      </c>
      <c r="T196" s="51">
        <v>0.875</v>
      </c>
      <c r="X196" t="s">
        <v>3053</v>
      </c>
      <c r="Y196" t="s">
        <v>3032</v>
      </c>
      <c r="Z196">
        <v>3215737</v>
      </c>
    </row>
    <row r="197" spans="1:26" x14ac:dyDescent="0.25">
      <c r="A197">
        <v>193</v>
      </c>
      <c r="B197" t="s">
        <v>24</v>
      </c>
      <c r="C197" t="s">
        <v>25</v>
      </c>
      <c r="D197">
        <v>13</v>
      </c>
      <c r="E197" t="s">
        <v>367</v>
      </c>
      <c r="F197" t="s">
        <v>1594</v>
      </c>
      <c r="G197">
        <v>3370</v>
      </c>
      <c r="H197" t="s">
        <v>1912</v>
      </c>
      <c r="I197" t="s">
        <v>1913</v>
      </c>
      <c r="J197">
        <v>12</v>
      </c>
      <c r="K197">
        <v>2</v>
      </c>
      <c r="L197">
        <v>1.3773148148148147E-3</v>
      </c>
      <c r="M197" t="s">
        <v>117</v>
      </c>
      <c r="N197" t="s">
        <v>572</v>
      </c>
      <c r="O197" s="24">
        <v>46118</v>
      </c>
      <c r="P197">
        <v>605</v>
      </c>
      <c r="Q197" t="s">
        <v>34</v>
      </c>
      <c r="R197" s="24">
        <v>46136</v>
      </c>
      <c r="S197" s="51">
        <v>0.77083333333333337</v>
      </c>
      <c r="T197" s="51">
        <v>0.875</v>
      </c>
      <c r="X197" t="s">
        <v>3053</v>
      </c>
      <c r="Y197" t="s">
        <v>3032</v>
      </c>
      <c r="Z197">
        <v>3215737</v>
      </c>
    </row>
    <row r="198" spans="1:26" x14ac:dyDescent="0.25">
      <c r="A198">
        <v>194</v>
      </c>
      <c r="B198" t="s">
        <v>24</v>
      </c>
      <c r="C198" t="s">
        <v>25</v>
      </c>
      <c r="D198">
        <v>13</v>
      </c>
      <c r="E198" t="s">
        <v>367</v>
      </c>
      <c r="F198" t="s">
        <v>1594</v>
      </c>
      <c r="G198">
        <v>3370</v>
      </c>
      <c r="H198" t="s">
        <v>1914</v>
      </c>
      <c r="I198" t="s">
        <v>1809</v>
      </c>
      <c r="J198">
        <v>12</v>
      </c>
      <c r="K198">
        <v>1</v>
      </c>
      <c r="L198">
        <v>1.1921296296296296E-3</v>
      </c>
      <c r="M198" t="s">
        <v>117</v>
      </c>
      <c r="N198" t="s">
        <v>572</v>
      </c>
      <c r="O198" s="24">
        <v>46118</v>
      </c>
      <c r="P198">
        <v>605</v>
      </c>
      <c r="Q198" t="s">
        <v>34</v>
      </c>
      <c r="R198" s="24">
        <v>46136</v>
      </c>
      <c r="S198" s="51">
        <v>0.77083333333333337</v>
      </c>
      <c r="T198" s="51">
        <v>0.875</v>
      </c>
      <c r="X198" t="s">
        <v>3053</v>
      </c>
      <c r="Y198" t="s">
        <v>3032</v>
      </c>
      <c r="Z198">
        <v>3215737</v>
      </c>
    </row>
    <row r="199" spans="1:26" x14ac:dyDescent="0.25">
      <c r="A199">
        <v>195</v>
      </c>
      <c r="B199" t="s">
        <v>24</v>
      </c>
      <c r="C199" t="s">
        <v>25</v>
      </c>
      <c r="D199">
        <v>13</v>
      </c>
      <c r="E199" t="s">
        <v>367</v>
      </c>
      <c r="F199" t="s">
        <v>1594</v>
      </c>
      <c r="G199">
        <v>3370</v>
      </c>
      <c r="H199" t="s">
        <v>1915</v>
      </c>
      <c r="I199" t="s">
        <v>1916</v>
      </c>
      <c r="J199">
        <v>12</v>
      </c>
      <c r="K199">
        <v>1</v>
      </c>
      <c r="L199">
        <v>9.4907407407407408E-4</v>
      </c>
      <c r="M199" t="s">
        <v>117</v>
      </c>
      <c r="N199" t="s">
        <v>572</v>
      </c>
      <c r="O199" s="24">
        <v>46118</v>
      </c>
      <c r="P199">
        <v>605</v>
      </c>
      <c r="Q199" t="s">
        <v>34</v>
      </c>
      <c r="R199" s="24">
        <v>46136</v>
      </c>
      <c r="S199" s="51">
        <v>0.77083333333333337</v>
      </c>
      <c r="T199" s="51">
        <v>0.875</v>
      </c>
      <c r="X199" t="s">
        <v>3053</v>
      </c>
      <c r="Y199" t="s">
        <v>3032</v>
      </c>
      <c r="Z199">
        <v>3215737</v>
      </c>
    </row>
    <row r="200" spans="1:26" x14ac:dyDescent="0.25">
      <c r="A200">
        <v>196</v>
      </c>
      <c r="B200" t="s">
        <v>24</v>
      </c>
      <c r="C200" t="s">
        <v>25</v>
      </c>
      <c r="D200">
        <v>13</v>
      </c>
      <c r="E200" t="s">
        <v>65</v>
      </c>
      <c r="F200" t="s">
        <v>1589</v>
      </c>
      <c r="G200">
        <v>3370</v>
      </c>
      <c r="H200" t="s">
        <v>1917</v>
      </c>
      <c r="I200" t="s">
        <v>1830</v>
      </c>
      <c r="J200">
        <v>12</v>
      </c>
      <c r="K200">
        <v>1</v>
      </c>
      <c r="L200">
        <v>1.1342592592592591E-3</v>
      </c>
      <c r="M200" t="s">
        <v>117</v>
      </c>
      <c r="N200" t="s">
        <v>572</v>
      </c>
      <c r="O200" s="24">
        <v>46118</v>
      </c>
      <c r="P200">
        <v>605</v>
      </c>
      <c r="Q200" t="s">
        <v>34</v>
      </c>
      <c r="R200" s="24">
        <v>46136</v>
      </c>
      <c r="S200" s="51">
        <v>0.77083333333333337</v>
      </c>
      <c r="T200" s="51">
        <v>0.875</v>
      </c>
      <c r="X200" t="s">
        <v>3053</v>
      </c>
      <c r="Y200" t="s">
        <v>3032</v>
      </c>
      <c r="Z200">
        <v>3215737</v>
      </c>
    </row>
    <row r="201" spans="1:26" x14ac:dyDescent="0.25">
      <c r="A201">
        <v>197</v>
      </c>
      <c r="B201" t="s">
        <v>24</v>
      </c>
      <c r="C201" t="s">
        <v>25</v>
      </c>
      <c r="D201">
        <v>13</v>
      </c>
      <c r="E201" t="s">
        <v>65</v>
      </c>
      <c r="F201" t="s">
        <v>1590</v>
      </c>
      <c r="G201">
        <v>3370</v>
      </c>
      <c r="H201" t="s">
        <v>1918</v>
      </c>
      <c r="I201" t="s">
        <v>1830</v>
      </c>
      <c r="J201">
        <v>12</v>
      </c>
      <c r="K201">
        <v>1</v>
      </c>
      <c r="L201">
        <v>1.1226851851851851E-3</v>
      </c>
      <c r="M201" t="s">
        <v>117</v>
      </c>
      <c r="N201" t="s">
        <v>572</v>
      </c>
      <c r="O201" s="24">
        <v>46118</v>
      </c>
      <c r="P201">
        <v>605</v>
      </c>
      <c r="Q201" t="s">
        <v>34</v>
      </c>
      <c r="R201" s="24">
        <v>46136</v>
      </c>
      <c r="S201" s="51">
        <v>0.77083333333333337</v>
      </c>
      <c r="T201" s="51">
        <v>0.875</v>
      </c>
      <c r="X201" t="s">
        <v>3053</v>
      </c>
      <c r="Y201" t="s">
        <v>3032</v>
      </c>
      <c r="Z201">
        <v>3215737</v>
      </c>
    </row>
    <row r="202" spans="1:26" x14ac:dyDescent="0.25">
      <c r="A202">
        <v>198</v>
      </c>
      <c r="B202" t="s">
        <v>24</v>
      </c>
      <c r="C202" t="s">
        <v>25</v>
      </c>
      <c r="D202">
        <v>13</v>
      </c>
      <c r="E202" t="s">
        <v>65</v>
      </c>
      <c r="F202" t="s">
        <v>512</v>
      </c>
      <c r="G202">
        <v>3370</v>
      </c>
      <c r="H202" t="s">
        <v>1919</v>
      </c>
      <c r="I202" t="s">
        <v>1873</v>
      </c>
      <c r="J202">
        <v>12</v>
      </c>
      <c r="K202">
        <v>1</v>
      </c>
      <c r="L202">
        <v>5.5555555555555556E-4</v>
      </c>
      <c r="M202" t="s">
        <v>117</v>
      </c>
      <c r="N202" t="s">
        <v>572</v>
      </c>
      <c r="O202" s="24">
        <v>46118</v>
      </c>
      <c r="P202">
        <v>605</v>
      </c>
      <c r="Q202" t="s">
        <v>34</v>
      </c>
      <c r="R202" s="24">
        <v>46136</v>
      </c>
      <c r="S202" s="51">
        <v>0.77083333333333337</v>
      </c>
      <c r="T202" s="51">
        <v>0.875</v>
      </c>
      <c r="X202" t="s">
        <v>3053</v>
      </c>
      <c r="Y202" t="s">
        <v>3032</v>
      </c>
      <c r="Z202">
        <v>3215737</v>
      </c>
    </row>
    <row r="203" spans="1:26" x14ac:dyDescent="0.25">
      <c r="A203">
        <v>199</v>
      </c>
      <c r="B203" t="s">
        <v>24</v>
      </c>
      <c r="C203" t="s">
        <v>25</v>
      </c>
      <c r="D203">
        <v>13</v>
      </c>
      <c r="E203" t="s">
        <v>511</v>
      </c>
      <c r="F203" t="s">
        <v>511</v>
      </c>
      <c r="G203">
        <v>3371</v>
      </c>
      <c r="H203" t="s">
        <v>1875</v>
      </c>
      <c r="I203" t="s">
        <v>1813</v>
      </c>
      <c r="J203">
        <v>12</v>
      </c>
      <c r="K203">
        <v>1</v>
      </c>
      <c r="L203">
        <v>1.2453703703703703E-2</v>
      </c>
      <c r="M203" t="s">
        <v>117</v>
      </c>
      <c r="N203" t="s">
        <v>663</v>
      </c>
      <c r="O203" s="24">
        <v>46125</v>
      </c>
      <c r="P203">
        <v>606</v>
      </c>
      <c r="Q203" t="s">
        <v>34</v>
      </c>
      <c r="R203" s="24">
        <v>46136</v>
      </c>
      <c r="S203" s="51">
        <v>0.97222222222222221</v>
      </c>
      <c r="T203" s="51">
        <v>1.0416666666666666E-2</v>
      </c>
      <c r="X203" t="s">
        <v>3054</v>
      </c>
      <c r="Y203" t="s">
        <v>3032</v>
      </c>
      <c r="Z203">
        <v>3215737</v>
      </c>
    </row>
    <row r="204" spans="1:26" x14ac:dyDescent="0.25">
      <c r="A204">
        <v>200</v>
      </c>
      <c r="B204" t="s">
        <v>24</v>
      </c>
      <c r="C204" t="s">
        <v>25</v>
      </c>
      <c r="D204">
        <v>13</v>
      </c>
      <c r="E204" t="s">
        <v>1665</v>
      </c>
      <c r="F204" t="s">
        <v>512</v>
      </c>
      <c r="G204">
        <v>3371</v>
      </c>
      <c r="H204" t="s">
        <v>1908</v>
      </c>
      <c r="I204" t="s">
        <v>1909</v>
      </c>
      <c r="J204">
        <v>12</v>
      </c>
      <c r="K204">
        <v>2</v>
      </c>
      <c r="L204">
        <v>1.1111111111111111E-3</v>
      </c>
      <c r="M204" t="s">
        <v>117</v>
      </c>
      <c r="N204" t="s">
        <v>663</v>
      </c>
      <c r="O204" s="24">
        <v>46125</v>
      </c>
      <c r="P204">
        <v>606</v>
      </c>
      <c r="Q204" t="s">
        <v>34</v>
      </c>
      <c r="R204" s="24">
        <v>46136</v>
      </c>
      <c r="S204" s="51">
        <v>0.97222222222222221</v>
      </c>
      <c r="T204" s="51">
        <v>1.0416666666666666E-2</v>
      </c>
      <c r="X204" t="s">
        <v>3054</v>
      </c>
      <c r="Y204" t="s">
        <v>3032</v>
      </c>
      <c r="Z204">
        <v>3215737</v>
      </c>
    </row>
    <row r="205" spans="1:26" x14ac:dyDescent="0.25">
      <c r="A205">
        <v>201</v>
      </c>
      <c r="B205" t="s">
        <v>24</v>
      </c>
      <c r="C205" t="s">
        <v>25</v>
      </c>
      <c r="D205">
        <v>13</v>
      </c>
      <c r="E205" t="s">
        <v>1665</v>
      </c>
      <c r="F205" t="s">
        <v>512</v>
      </c>
      <c r="G205">
        <v>3371</v>
      </c>
      <c r="H205" t="s">
        <v>1910</v>
      </c>
      <c r="I205" t="s">
        <v>1909</v>
      </c>
      <c r="J205">
        <v>12</v>
      </c>
      <c r="K205">
        <v>3</v>
      </c>
      <c r="L205">
        <v>1.6666666666666666E-3</v>
      </c>
      <c r="M205" t="s">
        <v>117</v>
      </c>
      <c r="N205" t="s">
        <v>663</v>
      </c>
      <c r="O205" s="24">
        <v>46125</v>
      </c>
      <c r="P205">
        <v>606</v>
      </c>
      <c r="Q205" t="s">
        <v>34</v>
      </c>
      <c r="R205" s="24">
        <v>46136</v>
      </c>
      <c r="S205" s="51">
        <v>0.97222222222222221</v>
      </c>
      <c r="T205" s="51">
        <v>1.0416666666666666E-2</v>
      </c>
      <c r="X205" t="s">
        <v>3054</v>
      </c>
      <c r="Y205" t="s">
        <v>3032</v>
      </c>
      <c r="Z205">
        <v>3215737</v>
      </c>
    </row>
    <row r="206" spans="1:26" x14ac:dyDescent="0.25">
      <c r="A206">
        <v>202</v>
      </c>
      <c r="B206" t="s">
        <v>24</v>
      </c>
      <c r="C206" t="s">
        <v>25</v>
      </c>
      <c r="D206">
        <v>13</v>
      </c>
      <c r="E206" t="s">
        <v>1672</v>
      </c>
      <c r="F206" t="s">
        <v>115</v>
      </c>
      <c r="G206">
        <v>3371</v>
      </c>
      <c r="H206" t="s">
        <v>1885</v>
      </c>
      <c r="I206" t="s">
        <v>1886</v>
      </c>
      <c r="J206">
        <v>12</v>
      </c>
      <c r="K206">
        <v>9</v>
      </c>
      <c r="L206">
        <v>6.9212962962962961E-3</v>
      </c>
      <c r="M206" t="s">
        <v>117</v>
      </c>
      <c r="N206" t="s">
        <v>663</v>
      </c>
      <c r="O206" s="24">
        <v>46125</v>
      </c>
      <c r="P206">
        <v>606</v>
      </c>
      <c r="Q206" t="s">
        <v>34</v>
      </c>
      <c r="R206" s="24">
        <v>46136</v>
      </c>
      <c r="S206" s="51">
        <v>0.97222222222222221</v>
      </c>
      <c r="T206" s="51">
        <v>1.0416666666666666E-2</v>
      </c>
      <c r="X206" t="s">
        <v>3054</v>
      </c>
      <c r="Y206" t="s">
        <v>3032</v>
      </c>
      <c r="Z206">
        <v>3215737</v>
      </c>
    </row>
    <row r="207" spans="1:26" x14ac:dyDescent="0.25">
      <c r="A207">
        <v>203</v>
      </c>
      <c r="B207" t="s">
        <v>24</v>
      </c>
      <c r="C207" t="s">
        <v>25</v>
      </c>
      <c r="D207">
        <v>13</v>
      </c>
      <c r="E207" t="s">
        <v>65</v>
      </c>
      <c r="F207" t="s">
        <v>1590</v>
      </c>
      <c r="G207">
        <v>3371</v>
      </c>
      <c r="H207" t="s">
        <v>1921</v>
      </c>
      <c r="I207" t="s">
        <v>1922</v>
      </c>
      <c r="J207">
        <v>12</v>
      </c>
      <c r="K207">
        <v>1</v>
      </c>
      <c r="L207">
        <v>5.0925925925925921E-4</v>
      </c>
      <c r="M207" t="s">
        <v>117</v>
      </c>
      <c r="N207" t="s">
        <v>663</v>
      </c>
      <c r="O207" s="24">
        <v>46125</v>
      </c>
      <c r="P207">
        <v>606</v>
      </c>
      <c r="Q207" t="s">
        <v>34</v>
      </c>
      <c r="R207" s="24">
        <v>46136</v>
      </c>
      <c r="S207" s="51">
        <v>0.97222222222222221</v>
      </c>
      <c r="T207" s="51">
        <v>1.0416666666666666E-2</v>
      </c>
      <c r="X207" t="s">
        <v>3054</v>
      </c>
      <c r="Y207" t="s">
        <v>3032</v>
      </c>
      <c r="Z207">
        <v>3215737</v>
      </c>
    </row>
    <row r="208" spans="1:26" x14ac:dyDescent="0.25">
      <c r="A208">
        <v>204</v>
      </c>
      <c r="B208" t="s">
        <v>24</v>
      </c>
      <c r="C208" t="s">
        <v>25</v>
      </c>
      <c r="D208">
        <v>13</v>
      </c>
      <c r="E208" t="s">
        <v>65</v>
      </c>
      <c r="F208" t="s">
        <v>1591</v>
      </c>
      <c r="G208">
        <v>3371</v>
      </c>
      <c r="H208" t="s">
        <v>1923</v>
      </c>
      <c r="I208" t="s">
        <v>1873</v>
      </c>
      <c r="J208">
        <v>12</v>
      </c>
      <c r="K208">
        <v>1</v>
      </c>
      <c r="L208">
        <v>4.7453703703703704E-4</v>
      </c>
      <c r="M208" t="s">
        <v>117</v>
      </c>
      <c r="N208" t="s">
        <v>663</v>
      </c>
      <c r="O208" s="24">
        <v>46125</v>
      </c>
      <c r="P208">
        <v>606</v>
      </c>
      <c r="Q208" t="s">
        <v>34</v>
      </c>
      <c r="R208" s="24">
        <v>46136</v>
      </c>
      <c r="S208" s="51">
        <v>0.97222222222222221</v>
      </c>
      <c r="T208" s="51">
        <v>1.0416666666666666E-2</v>
      </c>
      <c r="X208" t="s">
        <v>3054</v>
      </c>
      <c r="Y208" t="s">
        <v>3032</v>
      </c>
      <c r="Z208">
        <v>3215737</v>
      </c>
    </row>
    <row r="209" spans="1:26" x14ac:dyDescent="0.25">
      <c r="A209">
        <v>205</v>
      </c>
      <c r="B209" t="s">
        <v>24</v>
      </c>
      <c r="C209" t="s">
        <v>25</v>
      </c>
      <c r="D209">
        <v>13</v>
      </c>
      <c r="E209" t="s">
        <v>511</v>
      </c>
      <c r="F209" t="s">
        <v>511</v>
      </c>
      <c r="G209">
        <v>3372</v>
      </c>
      <c r="H209" t="s">
        <v>1875</v>
      </c>
      <c r="I209" t="s">
        <v>1813</v>
      </c>
      <c r="J209">
        <v>12</v>
      </c>
      <c r="K209">
        <v>1</v>
      </c>
      <c r="L209">
        <v>1.4537037037037036E-2</v>
      </c>
      <c r="M209" t="s">
        <v>117</v>
      </c>
      <c r="N209" t="s">
        <v>572</v>
      </c>
      <c r="O209" s="24">
        <v>46118</v>
      </c>
      <c r="P209">
        <v>605</v>
      </c>
      <c r="Q209" t="s">
        <v>34</v>
      </c>
      <c r="R209" s="24">
        <v>46136</v>
      </c>
      <c r="S209" s="51">
        <v>0.65972222222222221</v>
      </c>
      <c r="T209" s="51">
        <v>0.71388888888888891</v>
      </c>
      <c r="X209" t="s">
        <v>3055</v>
      </c>
      <c r="Y209" t="s">
        <v>3029</v>
      </c>
      <c r="Z209">
        <v>2777698</v>
      </c>
    </row>
    <row r="210" spans="1:26" x14ac:dyDescent="0.25">
      <c r="A210">
        <v>206</v>
      </c>
      <c r="B210" t="s">
        <v>24</v>
      </c>
      <c r="C210" t="s">
        <v>25</v>
      </c>
      <c r="D210">
        <v>13</v>
      </c>
      <c r="E210" t="s">
        <v>65</v>
      </c>
      <c r="F210" t="s">
        <v>368</v>
      </c>
      <c r="G210">
        <v>3372</v>
      </c>
      <c r="H210" t="s">
        <v>1925</v>
      </c>
      <c r="I210" t="s">
        <v>1926</v>
      </c>
      <c r="J210">
        <v>12</v>
      </c>
      <c r="K210">
        <v>1</v>
      </c>
      <c r="L210">
        <v>6.0185185185185179E-4</v>
      </c>
      <c r="M210" t="s">
        <v>117</v>
      </c>
      <c r="N210" t="s">
        <v>572</v>
      </c>
      <c r="O210" s="24">
        <v>46118</v>
      </c>
      <c r="P210">
        <v>605</v>
      </c>
      <c r="Q210" t="s">
        <v>34</v>
      </c>
      <c r="R210" s="24">
        <v>46136</v>
      </c>
      <c r="S210" s="51">
        <v>0.65972222222222221</v>
      </c>
      <c r="T210" s="51">
        <v>0.71388888888888891</v>
      </c>
      <c r="X210" t="s">
        <v>3055</v>
      </c>
      <c r="Y210" t="s">
        <v>3029</v>
      </c>
      <c r="Z210">
        <v>2777698</v>
      </c>
    </row>
    <row r="211" spans="1:26" x14ac:dyDescent="0.25">
      <c r="A211">
        <v>207</v>
      </c>
      <c r="B211" t="s">
        <v>24</v>
      </c>
      <c r="C211" t="s">
        <v>25</v>
      </c>
      <c r="D211">
        <v>13</v>
      </c>
      <c r="E211" t="s">
        <v>65</v>
      </c>
      <c r="F211" t="s">
        <v>368</v>
      </c>
      <c r="G211">
        <v>3372</v>
      </c>
      <c r="H211" t="s">
        <v>1927</v>
      </c>
      <c r="I211" t="s">
        <v>1928</v>
      </c>
      <c r="J211">
        <v>12</v>
      </c>
      <c r="K211">
        <v>1</v>
      </c>
      <c r="L211">
        <v>8.5648148148148139E-4</v>
      </c>
      <c r="M211" t="s">
        <v>117</v>
      </c>
      <c r="N211" t="s">
        <v>572</v>
      </c>
      <c r="O211" s="24">
        <v>46118</v>
      </c>
      <c r="P211">
        <v>605</v>
      </c>
      <c r="Q211" t="s">
        <v>34</v>
      </c>
      <c r="R211" s="24">
        <v>46136</v>
      </c>
      <c r="S211" s="51">
        <v>0.65972222222222221</v>
      </c>
      <c r="T211" s="51">
        <v>0.71388888888888891</v>
      </c>
      <c r="X211" t="s">
        <v>3055</v>
      </c>
      <c r="Y211" t="s">
        <v>3029</v>
      </c>
      <c r="Z211">
        <v>2777698</v>
      </c>
    </row>
    <row r="212" spans="1:26" x14ac:dyDescent="0.25">
      <c r="A212">
        <v>208</v>
      </c>
      <c r="B212" t="s">
        <v>24</v>
      </c>
      <c r="C212" t="s">
        <v>25</v>
      </c>
      <c r="D212">
        <v>13</v>
      </c>
      <c r="E212" t="s">
        <v>65</v>
      </c>
      <c r="F212" t="s">
        <v>368</v>
      </c>
      <c r="G212">
        <v>3372</v>
      </c>
      <c r="H212" t="s">
        <v>1929</v>
      </c>
      <c r="I212" t="s">
        <v>1928</v>
      </c>
      <c r="J212">
        <v>12</v>
      </c>
      <c r="K212">
        <v>1</v>
      </c>
      <c r="L212">
        <v>9.1435185185185185E-4</v>
      </c>
      <c r="M212" t="s">
        <v>117</v>
      </c>
      <c r="N212" t="s">
        <v>572</v>
      </c>
      <c r="O212" s="24">
        <v>46118</v>
      </c>
      <c r="P212">
        <v>605</v>
      </c>
      <c r="Q212" t="s">
        <v>34</v>
      </c>
      <c r="R212" s="24">
        <v>46136</v>
      </c>
      <c r="S212" s="51">
        <v>0.65972222222222221</v>
      </c>
      <c r="T212" s="51">
        <v>0.71388888888888891</v>
      </c>
      <c r="X212" t="s">
        <v>3055</v>
      </c>
      <c r="Y212" t="s">
        <v>3029</v>
      </c>
      <c r="Z212">
        <v>2777698</v>
      </c>
    </row>
    <row r="213" spans="1:26" x14ac:dyDescent="0.25">
      <c r="A213">
        <v>209</v>
      </c>
      <c r="B213" t="s">
        <v>24</v>
      </c>
      <c r="C213" t="s">
        <v>25</v>
      </c>
      <c r="D213">
        <v>13</v>
      </c>
      <c r="E213" t="s">
        <v>65</v>
      </c>
      <c r="F213" t="s">
        <v>368</v>
      </c>
      <c r="G213">
        <v>3372</v>
      </c>
      <c r="H213" t="s">
        <v>1930</v>
      </c>
      <c r="I213" t="s">
        <v>1931</v>
      </c>
      <c r="J213">
        <v>12</v>
      </c>
      <c r="K213">
        <v>1</v>
      </c>
      <c r="L213">
        <v>8.9120370370370362E-4</v>
      </c>
      <c r="M213" t="s">
        <v>117</v>
      </c>
      <c r="N213" t="s">
        <v>572</v>
      </c>
      <c r="O213" s="24">
        <v>46118</v>
      </c>
      <c r="P213">
        <v>605</v>
      </c>
      <c r="Q213" t="s">
        <v>34</v>
      </c>
      <c r="R213" s="24">
        <v>46136</v>
      </c>
      <c r="S213" s="51">
        <v>0.65972222222222221</v>
      </c>
      <c r="T213" s="51">
        <v>0.71388888888888891</v>
      </c>
      <c r="X213" t="s">
        <v>3055</v>
      </c>
      <c r="Y213" t="s">
        <v>3029</v>
      </c>
      <c r="Z213">
        <v>2777698</v>
      </c>
    </row>
    <row r="214" spans="1:26" x14ac:dyDescent="0.25">
      <c r="A214">
        <v>210</v>
      </c>
      <c r="B214" t="s">
        <v>24</v>
      </c>
      <c r="C214" t="s">
        <v>25</v>
      </c>
      <c r="D214">
        <v>13</v>
      </c>
      <c r="E214" t="s">
        <v>65</v>
      </c>
      <c r="F214" t="s">
        <v>368</v>
      </c>
      <c r="G214">
        <v>3372</v>
      </c>
      <c r="H214" t="s">
        <v>1932</v>
      </c>
      <c r="I214" t="s">
        <v>1931</v>
      </c>
      <c r="J214">
        <v>12</v>
      </c>
      <c r="K214">
        <v>1</v>
      </c>
      <c r="L214">
        <v>7.2916666666666659E-4</v>
      </c>
      <c r="M214" t="s">
        <v>117</v>
      </c>
      <c r="N214" t="s">
        <v>572</v>
      </c>
      <c r="O214" s="24">
        <v>46118</v>
      </c>
      <c r="P214">
        <v>605</v>
      </c>
      <c r="Q214" t="s">
        <v>34</v>
      </c>
      <c r="R214" s="24">
        <v>46136</v>
      </c>
      <c r="S214" s="51">
        <v>0.65972222222222221</v>
      </c>
      <c r="T214" s="51">
        <v>0.71388888888888891</v>
      </c>
      <c r="X214" t="s">
        <v>3055</v>
      </c>
      <c r="Y214" t="s">
        <v>3029</v>
      </c>
      <c r="Z214">
        <v>2777698</v>
      </c>
    </row>
    <row r="215" spans="1:26" x14ac:dyDescent="0.25">
      <c r="A215">
        <v>211</v>
      </c>
      <c r="B215" t="s">
        <v>24</v>
      </c>
      <c r="C215" t="s">
        <v>25</v>
      </c>
      <c r="D215">
        <v>13</v>
      </c>
      <c r="E215" t="s">
        <v>65</v>
      </c>
      <c r="F215" t="s">
        <v>368</v>
      </c>
      <c r="G215">
        <v>3372</v>
      </c>
      <c r="H215" t="s">
        <v>1933</v>
      </c>
      <c r="I215" t="s">
        <v>1865</v>
      </c>
      <c r="J215">
        <v>12</v>
      </c>
      <c r="K215">
        <v>1</v>
      </c>
      <c r="L215">
        <v>9.0277777777777774E-4</v>
      </c>
      <c r="M215" t="s">
        <v>117</v>
      </c>
      <c r="N215" t="s">
        <v>572</v>
      </c>
      <c r="O215" s="24">
        <v>46118</v>
      </c>
      <c r="P215">
        <v>605</v>
      </c>
      <c r="Q215" t="s">
        <v>34</v>
      </c>
      <c r="R215" s="24">
        <v>46136</v>
      </c>
      <c r="S215" s="51">
        <v>0.65972222222222221</v>
      </c>
      <c r="T215" s="51">
        <v>0.71388888888888891</v>
      </c>
      <c r="X215" t="s">
        <v>3055</v>
      </c>
      <c r="Y215" t="s">
        <v>3029</v>
      </c>
      <c r="Z215">
        <v>2777698</v>
      </c>
    </row>
    <row r="216" spans="1:26" x14ac:dyDescent="0.25">
      <c r="A216">
        <v>212</v>
      </c>
      <c r="B216" t="s">
        <v>24</v>
      </c>
      <c r="C216" t="s">
        <v>25</v>
      </c>
      <c r="D216">
        <v>13</v>
      </c>
      <c r="E216" t="s">
        <v>65</v>
      </c>
      <c r="F216" t="s">
        <v>368</v>
      </c>
      <c r="G216">
        <v>3372</v>
      </c>
      <c r="H216" t="s">
        <v>1934</v>
      </c>
      <c r="I216" t="s">
        <v>1935</v>
      </c>
      <c r="J216">
        <v>12</v>
      </c>
      <c r="K216">
        <v>1</v>
      </c>
      <c r="L216">
        <v>7.407407407407407E-4</v>
      </c>
      <c r="M216" t="s">
        <v>117</v>
      </c>
      <c r="N216" t="s">
        <v>572</v>
      </c>
      <c r="O216" s="24">
        <v>46118</v>
      </c>
      <c r="P216">
        <v>605</v>
      </c>
      <c r="Q216" t="s">
        <v>34</v>
      </c>
      <c r="R216" s="24">
        <v>46136</v>
      </c>
      <c r="S216" s="51">
        <v>0.65972222222222221</v>
      </c>
      <c r="T216" s="51">
        <v>0.71388888888888891</v>
      </c>
      <c r="X216" t="s">
        <v>3055</v>
      </c>
      <c r="Y216" t="s">
        <v>3029</v>
      </c>
      <c r="Z216">
        <v>2777698</v>
      </c>
    </row>
    <row r="217" spans="1:26" x14ac:dyDescent="0.25">
      <c r="A217">
        <v>213</v>
      </c>
      <c r="B217" t="s">
        <v>24</v>
      </c>
      <c r="C217" t="s">
        <v>25</v>
      </c>
      <c r="D217">
        <v>13</v>
      </c>
      <c r="E217" t="s">
        <v>65</v>
      </c>
      <c r="F217" t="s">
        <v>66</v>
      </c>
      <c r="G217">
        <v>3372</v>
      </c>
      <c r="H217" t="s">
        <v>1936</v>
      </c>
      <c r="I217" t="s">
        <v>1913</v>
      </c>
      <c r="J217">
        <v>12</v>
      </c>
      <c r="K217">
        <v>2</v>
      </c>
      <c r="L217">
        <v>1.7708333333333332E-3</v>
      </c>
      <c r="M217" t="s">
        <v>117</v>
      </c>
      <c r="N217" t="s">
        <v>572</v>
      </c>
      <c r="O217" s="24">
        <v>46118</v>
      </c>
      <c r="P217">
        <v>605</v>
      </c>
      <c r="Q217" t="s">
        <v>34</v>
      </c>
      <c r="R217" s="24">
        <v>46136</v>
      </c>
      <c r="S217" s="51">
        <v>0.65972222222222221</v>
      </c>
      <c r="T217" s="51">
        <v>0.71388888888888891</v>
      </c>
      <c r="X217" t="s">
        <v>3055</v>
      </c>
      <c r="Y217" t="s">
        <v>3029</v>
      </c>
      <c r="Z217">
        <v>2777698</v>
      </c>
    </row>
    <row r="218" spans="1:26" x14ac:dyDescent="0.25">
      <c r="A218">
        <v>214</v>
      </c>
      <c r="B218" t="s">
        <v>24</v>
      </c>
      <c r="C218" t="s">
        <v>25</v>
      </c>
      <c r="D218">
        <v>13</v>
      </c>
      <c r="E218" t="s">
        <v>65</v>
      </c>
      <c r="F218" t="s">
        <v>66</v>
      </c>
      <c r="G218">
        <v>3372</v>
      </c>
      <c r="H218" t="s">
        <v>1937</v>
      </c>
      <c r="I218" t="s">
        <v>1938</v>
      </c>
      <c r="J218">
        <v>12</v>
      </c>
      <c r="K218">
        <v>1</v>
      </c>
      <c r="L218">
        <v>7.2916666666666659E-4</v>
      </c>
      <c r="M218" t="s">
        <v>117</v>
      </c>
      <c r="N218" t="s">
        <v>572</v>
      </c>
      <c r="O218" s="24">
        <v>46118</v>
      </c>
      <c r="P218">
        <v>605</v>
      </c>
      <c r="Q218" t="s">
        <v>34</v>
      </c>
      <c r="R218" s="24">
        <v>46136</v>
      </c>
      <c r="S218" s="51">
        <v>0.65972222222222221</v>
      </c>
      <c r="T218" s="51">
        <v>0.71388888888888891</v>
      </c>
      <c r="X218" t="s">
        <v>3055</v>
      </c>
      <c r="Y218" t="s">
        <v>3029</v>
      </c>
      <c r="Z218">
        <v>2777698</v>
      </c>
    </row>
    <row r="219" spans="1:26" x14ac:dyDescent="0.25">
      <c r="A219">
        <v>215</v>
      </c>
      <c r="B219" t="s">
        <v>24</v>
      </c>
      <c r="C219" t="s">
        <v>25</v>
      </c>
      <c r="D219">
        <v>13</v>
      </c>
      <c r="E219" t="s">
        <v>511</v>
      </c>
      <c r="F219" t="s">
        <v>511</v>
      </c>
      <c r="G219">
        <v>3373</v>
      </c>
      <c r="H219" t="s">
        <v>1875</v>
      </c>
      <c r="I219" t="s">
        <v>1813</v>
      </c>
      <c r="J219">
        <v>12</v>
      </c>
      <c r="K219">
        <v>1</v>
      </c>
      <c r="L219">
        <v>1.1770833333333333E-2</v>
      </c>
      <c r="M219" t="s">
        <v>117</v>
      </c>
      <c r="N219" t="s">
        <v>663</v>
      </c>
      <c r="O219" s="24">
        <v>46125</v>
      </c>
      <c r="P219">
        <v>606</v>
      </c>
      <c r="Q219" t="s">
        <v>34</v>
      </c>
      <c r="R219" s="24">
        <v>46136</v>
      </c>
      <c r="S219" s="51">
        <v>0.38958333333333334</v>
      </c>
      <c r="T219" s="51">
        <v>0.40486111111111112</v>
      </c>
      <c r="X219" t="s">
        <v>3056</v>
      </c>
      <c r="Y219" t="s">
        <v>3029</v>
      </c>
      <c r="Z219">
        <v>2777657</v>
      </c>
    </row>
    <row r="220" spans="1:26" x14ac:dyDescent="0.25">
      <c r="A220">
        <v>216</v>
      </c>
      <c r="B220" t="s">
        <v>24</v>
      </c>
      <c r="C220" t="s">
        <v>25</v>
      </c>
      <c r="D220">
        <v>13</v>
      </c>
      <c r="E220" t="s">
        <v>1665</v>
      </c>
      <c r="F220" t="s">
        <v>115</v>
      </c>
      <c r="G220">
        <v>3373</v>
      </c>
      <c r="H220" t="s">
        <v>1940</v>
      </c>
      <c r="I220" t="s">
        <v>1886</v>
      </c>
      <c r="J220">
        <v>12</v>
      </c>
      <c r="K220">
        <v>5</v>
      </c>
      <c r="L220">
        <v>3.3333333333333331E-3</v>
      </c>
      <c r="M220" t="s">
        <v>117</v>
      </c>
      <c r="N220" t="s">
        <v>663</v>
      </c>
      <c r="O220" s="24">
        <v>46125</v>
      </c>
      <c r="P220">
        <v>606</v>
      </c>
      <c r="Q220" t="s">
        <v>34</v>
      </c>
      <c r="R220" s="24">
        <v>46136</v>
      </c>
      <c r="S220" s="51">
        <v>0.38958333333333334</v>
      </c>
      <c r="T220" s="51">
        <v>0.40486111111111112</v>
      </c>
      <c r="X220" t="s">
        <v>3056</v>
      </c>
      <c r="Y220" t="s">
        <v>3029</v>
      </c>
      <c r="Z220">
        <v>2777657</v>
      </c>
    </row>
    <row r="221" spans="1:26" x14ac:dyDescent="0.25">
      <c r="A221">
        <v>217</v>
      </c>
      <c r="B221" t="s">
        <v>24</v>
      </c>
      <c r="C221" t="s">
        <v>25</v>
      </c>
      <c r="D221">
        <v>13</v>
      </c>
      <c r="E221" t="s">
        <v>1672</v>
      </c>
      <c r="F221" t="s">
        <v>115</v>
      </c>
      <c r="G221">
        <v>3373</v>
      </c>
      <c r="H221" t="s">
        <v>1885</v>
      </c>
      <c r="I221" t="s">
        <v>1886</v>
      </c>
      <c r="J221">
        <v>12</v>
      </c>
      <c r="K221">
        <v>4</v>
      </c>
      <c r="L221">
        <v>2.9050925925925924E-3</v>
      </c>
      <c r="M221" t="s">
        <v>117</v>
      </c>
      <c r="N221" t="s">
        <v>663</v>
      </c>
      <c r="O221" s="24">
        <v>46125</v>
      </c>
      <c r="P221">
        <v>606</v>
      </c>
      <c r="Q221" t="s">
        <v>34</v>
      </c>
      <c r="R221" s="24">
        <v>46136</v>
      </c>
      <c r="S221" s="51">
        <v>0.38958333333333334</v>
      </c>
      <c r="T221" s="51">
        <v>0.40486111111111112</v>
      </c>
      <c r="X221" t="s">
        <v>3056</v>
      </c>
      <c r="Y221" t="s">
        <v>3029</v>
      </c>
      <c r="Z221">
        <v>2777657</v>
      </c>
    </row>
    <row r="222" spans="1:26" x14ac:dyDescent="0.25">
      <c r="A222">
        <v>218</v>
      </c>
      <c r="B222" t="s">
        <v>24</v>
      </c>
      <c r="C222" t="s">
        <v>25</v>
      </c>
      <c r="D222">
        <v>13</v>
      </c>
      <c r="E222" t="s">
        <v>367</v>
      </c>
      <c r="F222" t="s">
        <v>367</v>
      </c>
      <c r="G222">
        <v>3373</v>
      </c>
      <c r="H222" t="s">
        <v>1941</v>
      </c>
      <c r="I222" t="s">
        <v>1942</v>
      </c>
      <c r="J222">
        <v>12</v>
      </c>
      <c r="K222">
        <v>8</v>
      </c>
      <c r="L222">
        <v>2.1527777777777778E-3</v>
      </c>
      <c r="M222" t="s">
        <v>117</v>
      </c>
      <c r="N222" t="s">
        <v>663</v>
      </c>
      <c r="O222" s="24">
        <v>46125</v>
      </c>
      <c r="P222">
        <v>606</v>
      </c>
      <c r="Q222" t="s">
        <v>34</v>
      </c>
      <c r="R222" s="24">
        <v>46136</v>
      </c>
      <c r="S222" s="51">
        <v>0.38958333333333334</v>
      </c>
      <c r="T222" s="51">
        <v>0.40486111111111112</v>
      </c>
      <c r="X222" t="s">
        <v>3056</v>
      </c>
      <c r="Y222" t="s">
        <v>3029</v>
      </c>
      <c r="Z222">
        <v>2777657</v>
      </c>
    </row>
    <row r="223" spans="1:26" x14ac:dyDescent="0.25">
      <c r="A223">
        <v>219</v>
      </c>
      <c r="B223" t="s">
        <v>24</v>
      </c>
      <c r="C223" t="s">
        <v>25</v>
      </c>
      <c r="D223">
        <v>13</v>
      </c>
      <c r="E223" t="s">
        <v>65</v>
      </c>
      <c r="F223" t="s">
        <v>368</v>
      </c>
      <c r="G223">
        <v>3373</v>
      </c>
      <c r="H223" t="s">
        <v>1943</v>
      </c>
      <c r="I223" t="s">
        <v>1926</v>
      </c>
      <c r="J223">
        <v>12</v>
      </c>
      <c r="K223">
        <v>1</v>
      </c>
      <c r="L223">
        <v>6.5972222222222224E-4</v>
      </c>
      <c r="M223" t="s">
        <v>117</v>
      </c>
      <c r="N223" t="s">
        <v>663</v>
      </c>
      <c r="O223" s="24">
        <v>46125</v>
      </c>
      <c r="P223">
        <v>606</v>
      </c>
      <c r="Q223" t="s">
        <v>34</v>
      </c>
      <c r="R223" s="24">
        <v>46136</v>
      </c>
      <c r="S223" s="51">
        <v>0.38958333333333334</v>
      </c>
      <c r="T223" s="51">
        <v>0.40486111111111112</v>
      </c>
      <c r="X223" t="s">
        <v>3056</v>
      </c>
      <c r="Y223" t="s">
        <v>3029</v>
      </c>
      <c r="Z223">
        <v>2777657</v>
      </c>
    </row>
    <row r="224" spans="1:26" x14ac:dyDescent="0.25">
      <c r="A224">
        <v>220</v>
      </c>
      <c r="B224" t="s">
        <v>24</v>
      </c>
      <c r="C224" t="s">
        <v>25</v>
      </c>
      <c r="D224">
        <v>13</v>
      </c>
      <c r="E224" t="s">
        <v>65</v>
      </c>
      <c r="F224" t="s">
        <v>1589</v>
      </c>
      <c r="G224">
        <v>3373</v>
      </c>
      <c r="H224" t="s">
        <v>1944</v>
      </c>
      <c r="I224" t="s">
        <v>1945</v>
      </c>
      <c r="J224">
        <v>12</v>
      </c>
      <c r="K224">
        <v>4</v>
      </c>
      <c r="L224">
        <v>1.3310185185185185E-3</v>
      </c>
      <c r="M224" t="s">
        <v>117</v>
      </c>
      <c r="N224" t="s">
        <v>663</v>
      </c>
      <c r="O224" s="24">
        <v>46125</v>
      </c>
      <c r="P224">
        <v>606</v>
      </c>
      <c r="Q224" t="s">
        <v>34</v>
      </c>
      <c r="R224" s="24">
        <v>46136</v>
      </c>
      <c r="S224" s="51">
        <v>0.38958333333333334</v>
      </c>
      <c r="T224" s="51">
        <v>0.40486111111111112</v>
      </c>
      <c r="X224" t="s">
        <v>3056</v>
      </c>
      <c r="Y224" t="s">
        <v>3029</v>
      </c>
      <c r="Z224">
        <v>2777657</v>
      </c>
    </row>
    <row r="225" spans="1:26" x14ac:dyDescent="0.25">
      <c r="A225">
        <v>221</v>
      </c>
      <c r="B225" t="s">
        <v>24</v>
      </c>
      <c r="C225" t="s">
        <v>25</v>
      </c>
      <c r="D225">
        <v>13</v>
      </c>
      <c r="E225" t="s">
        <v>65</v>
      </c>
      <c r="F225" t="s">
        <v>1591</v>
      </c>
      <c r="G225">
        <v>3373</v>
      </c>
      <c r="H225" t="s">
        <v>1946</v>
      </c>
      <c r="I225" t="s">
        <v>1947</v>
      </c>
      <c r="J225">
        <v>12</v>
      </c>
      <c r="K225">
        <v>4</v>
      </c>
      <c r="L225">
        <v>1.4814814814814814E-3</v>
      </c>
      <c r="M225" t="s">
        <v>117</v>
      </c>
      <c r="N225" t="s">
        <v>663</v>
      </c>
      <c r="O225" s="24">
        <v>46125</v>
      </c>
      <c r="P225">
        <v>606</v>
      </c>
      <c r="Q225" t="s">
        <v>34</v>
      </c>
      <c r="R225" s="24">
        <v>46136</v>
      </c>
      <c r="S225" s="51">
        <v>0.38958333333333334</v>
      </c>
      <c r="T225" s="51">
        <v>0.40486111111111112</v>
      </c>
      <c r="X225" t="s">
        <v>3056</v>
      </c>
      <c r="Y225" t="s">
        <v>3029</v>
      </c>
      <c r="Z225">
        <v>2777657</v>
      </c>
    </row>
    <row r="226" spans="1:26" x14ac:dyDescent="0.25">
      <c r="A226">
        <v>222</v>
      </c>
      <c r="B226" t="s">
        <v>24</v>
      </c>
      <c r="C226" t="s">
        <v>25</v>
      </c>
      <c r="D226">
        <v>13</v>
      </c>
      <c r="E226" t="s">
        <v>65</v>
      </c>
      <c r="F226" t="s">
        <v>1590</v>
      </c>
      <c r="G226">
        <v>3373</v>
      </c>
      <c r="H226" t="s">
        <v>1948</v>
      </c>
      <c r="I226" t="s">
        <v>1881</v>
      </c>
      <c r="J226">
        <v>12</v>
      </c>
      <c r="K226">
        <v>1</v>
      </c>
      <c r="L226">
        <v>3.5879629629629629E-4</v>
      </c>
      <c r="M226" t="s">
        <v>117</v>
      </c>
      <c r="N226" t="s">
        <v>663</v>
      </c>
      <c r="O226" s="24">
        <v>46125</v>
      </c>
      <c r="P226">
        <v>606</v>
      </c>
      <c r="Q226" t="s">
        <v>34</v>
      </c>
      <c r="R226" s="24">
        <v>46136</v>
      </c>
      <c r="S226" s="51">
        <v>0.38958333333333334</v>
      </c>
      <c r="T226" s="51">
        <v>0.40486111111111112</v>
      </c>
      <c r="X226" t="s">
        <v>3056</v>
      </c>
      <c r="Y226" t="s">
        <v>3029</v>
      </c>
      <c r="Z226">
        <v>2777657</v>
      </c>
    </row>
    <row r="227" spans="1:26" x14ac:dyDescent="0.25">
      <c r="A227">
        <v>223</v>
      </c>
      <c r="B227" t="s">
        <v>24</v>
      </c>
      <c r="C227" t="s">
        <v>25</v>
      </c>
      <c r="D227">
        <v>13</v>
      </c>
      <c r="E227" t="s">
        <v>1665</v>
      </c>
      <c r="F227" t="s">
        <v>512</v>
      </c>
      <c r="G227">
        <v>3374</v>
      </c>
      <c r="H227" t="s">
        <v>1831</v>
      </c>
      <c r="I227" t="s">
        <v>1830</v>
      </c>
      <c r="J227">
        <v>12</v>
      </c>
      <c r="K227">
        <v>1</v>
      </c>
      <c r="L227">
        <v>1.1805555555555556E-3</v>
      </c>
      <c r="M227" t="s">
        <v>117</v>
      </c>
      <c r="N227" t="s">
        <v>663</v>
      </c>
      <c r="O227" s="24">
        <v>46125</v>
      </c>
      <c r="P227">
        <v>606</v>
      </c>
      <c r="Q227" t="s">
        <v>34</v>
      </c>
      <c r="R227" s="24">
        <v>46136</v>
      </c>
      <c r="S227" s="51">
        <v>0.87708333333333333</v>
      </c>
      <c r="T227" s="51">
        <v>0.90763888888888888</v>
      </c>
      <c r="X227" t="s">
        <v>3057</v>
      </c>
      <c r="Y227" t="s">
        <v>3032</v>
      </c>
      <c r="Z227">
        <v>2777657</v>
      </c>
    </row>
    <row r="228" spans="1:26" x14ac:dyDescent="0.25">
      <c r="A228">
        <v>224</v>
      </c>
      <c r="B228" t="s">
        <v>24</v>
      </c>
      <c r="C228" t="s">
        <v>25</v>
      </c>
      <c r="D228">
        <v>13</v>
      </c>
      <c r="E228" t="s">
        <v>511</v>
      </c>
      <c r="F228" t="s">
        <v>511</v>
      </c>
      <c r="G228">
        <v>3374</v>
      </c>
      <c r="H228" t="s">
        <v>1875</v>
      </c>
      <c r="I228" t="s">
        <v>1813</v>
      </c>
      <c r="J228">
        <v>12</v>
      </c>
      <c r="K228">
        <v>1</v>
      </c>
      <c r="L228">
        <v>1.511574074074074E-2</v>
      </c>
      <c r="M228" t="s">
        <v>117</v>
      </c>
      <c r="N228" t="s">
        <v>663</v>
      </c>
      <c r="O228" s="24">
        <v>46125</v>
      </c>
      <c r="P228">
        <v>606</v>
      </c>
      <c r="Q228" t="s">
        <v>34</v>
      </c>
      <c r="R228" s="24">
        <v>46136</v>
      </c>
      <c r="S228" s="51">
        <v>0.87708333333333333</v>
      </c>
      <c r="T228" s="51">
        <v>0.90763888888888888</v>
      </c>
      <c r="X228" t="s">
        <v>3057</v>
      </c>
      <c r="Y228" t="s">
        <v>3032</v>
      </c>
      <c r="Z228">
        <v>2777657</v>
      </c>
    </row>
    <row r="229" spans="1:26" x14ac:dyDescent="0.25">
      <c r="A229">
        <v>225</v>
      </c>
      <c r="B229" t="s">
        <v>24</v>
      </c>
      <c r="C229" t="s">
        <v>25</v>
      </c>
      <c r="D229">
        <v>13</v>
      </c>
      <c r="E229" t="s">
        <v>1665</v>
      </c>
      <c r="F229" t="s">
        <v>115</v>
      </c>
      <c r="G229">
        <v>3374</v>
      </c>
      <c r="H229" t="s">
        <v>1940</v>
      </c>
      <c r="I229" t="s">
        <v>1886</v>
      </c>
      <c r="J229">
        <v>12</v>
      </c>
      <c r="K229">
        <v>2</v>
      </c>
      <c r="L229">
        <v>1.7013888888888888E-3</v>
      </c>
      <c r="M229" t="s">
        <v>117</v>
      </c>
      <c r="N229" t="s">
        <v>663</v>
      </c>
      <c r="O229" s="24">
        <v>46125</v>
      </c>
      <c r="P229">
        <v>606</v>
      </c>
      <c r="Q229" t="s">
        <v>34</v>
      </c>
      <c r="R229" s="24">
        <v>46136</v>
      </c>
      <c r="S229" s="51">
        <v>0.87708333333333333</v>
      </c>
      <c r="T229" s="51">
        <v>0.90763888888888888</v>
      </c>
      <c r="X229" t="s">
        <v>3057</v>
      </c>
      <c r="Y229" t="s">
        <v>3032</v>
      </c>
      <c r="Z229">
        <v>2777657</v>
      </c>
    </row>
    <row r="230" spans="1:26" x14ac:dyDescent="0.25">
      <c r="A230">
        <v>226</v>
      </c>
      <c r="B230" t="s">
        <v>24</v>
      </c>
      <c r="C230" t="s">
        <v>25</v>
      </c>
      <c r="D230">
        <v>13</v>
      </c>
      <c r="E230" t="s">
        <v>367</v>
      </c>
      <c r="F230" t="s">
        <v>512</v>
      </c>
      <c r="G230">
        <v>3374</v>
      </c>
      <c r="H230" t="s">
        <v>1848</v>
      </c>
      <c r="I230" t="s">
        <v>1849</v>
      </c>
      <c r="J230">
        <v>12</v>
      </c>
      <c r="K230">
        <v>1</v>
      </c>
      <c r="L230">
        <v>1.2152777777777778E-3</v>
      </c>
      <c r="M230" t="s">
        <v>117</v>
      </c>
      <c r="N230" t="s">
        <v>663</v>
      </c>
      <c r="O230" s="24">
        <v>46125</v>
      </c>
      <c r="P230">
        <v>606</v>
      </c>
      <c r="Q230" t="s">
        <v>34</v>
      </c>
      <c r="R230" s="24">
        <v>46136</v>
      </c>
      <c r="S230" s="51">
        <v>0.87708333333333333</v>
      </c>
      <c r="T230" s="51">
        <v>0.90763888888888888</v>
      </c>
      <c r="X230" t="s">
        <v>3057</v>
      </c>
      <c r="Y230" t="s">
        <v>3032</v>
      </c>
      <c r="Z230">
        <v>2777657</v>
      </c>
    </row>
    <row r="231" spans="1:26" x14ac:dyDescent="0.25">
      <c r="A231">
        <v>227</v>
      </c>
      <c r="B231" t="s">
        <v>24</v>
      </c>
      <c r="C231" t="s">
        <v>25</v>
      </c>
      <c r="D231">
        <v>13</v>
      </c>
      <c r="E231" t="s">
        <v>367</v>
      </c>
      <c r="F231" t="s">
        <v>1594</v>
      </c>
      <c r="G231">
        <v>3374</v>
      </c>
      <c r="H231" t="s">
        <v>1950</v>
      </c>
      <c r="I231" t="s">
        <v>1951</v>
      </c>
      <c r="J231">
        <v>12</v>
      </c>
      <c r="K231">
        <v>2</v>
      </c>
      <c r="L231">
        <v>1.3541666666666667E-3</v>
      </c>
      <c r="M231" t="s">
        <v>117</v>
      </c>
      <c r="N231" t="s">
        <v>663</v>
      </c>
      <c r="O231" s="24">
        <v>46125</v>
      </c>
      <c r="P231">
        <v>606</v>
      </c>
      <c r="Q231" t="s">
        <v>34</v>
      </c>
      <c r="R231" s="24">
        <v>46136</v>
      </c>
      <c r="S231" s="51">
        <v>0.87708333333333333</v>
      </c>
      <c r="T231" s="51">
        <v>0.90763888888888888</v>
      </c>
      <c r="X231" t="s">
        <v>3057</v>
      </c>
      <c r="Y231" t="s">
        <v>3032</v>
      </c>
      <c r="Z231">
        <v>2777657</v>
      </c>
    </row>
    <row r="232" spans="1:26" x14ac:dyDescent="0.25">
      <c r="A232">
        <v>228</v>
      </c>
      <c r="B232" t="s">
        <v>24</v>
      </c>
      <c r="C232" t="s">
        <v>25</v>
      </c>
      <c r="D232">
        <v>13</v>
      </c>
      <c r="E232" t="s">
        <v>1665</v>
      </c>
      <c r="F232" t="s">
        <v>512</v>
      </c>
      <c r="G232">
        <v>3375</v>
      </c>
      <c r="H232" t="s">
        <v>1831</v>
      </c>
      <c r="I232" t="s">
        <v>1830</v>
      </c>
      <c r="J232">
        <v>12</v>
      </c>
      <c r="K232">
        <v>1</v>
      </c>
      <c r="L232">
        <v>1.1226851851851851E-3</v>
      </c>
      <c r="M232" t="s">
        <v>117</v>
      </c>
      <c r="N232" t="s">
        <v>663</v>
      </c>
      <c r="O232" s="24">
        <v>46125</v>
      </c>
      <c r="P232">
        <v>606</v>
      </c>
      <c r="Q232" t="s">
        <v>34</v>
      </c>
      <c r="R232" s="24">
        <v>46136</v>
      </c>
      <c r="S232" s="51">
        <v>0.33888888888888891</v>
      </c>
      <c r="T232" s="51">
        <v>0.38680555555555557</v>
      </c>
      <c r="X232" t="s">
        <v>3058</v>
      </c>
      <c r="Y232" t="s">
        <v>3029</v>
      </c>
      <c r="Z232">
        <v>3215737</v>
      </c>
    </row>
    <row r="233" spans="1:26" x14ac:dyDescent="0.25">
      <c r="A233">
        <v>229</v>
      </c>
      <c r="B233" t="s">
        <v>24</v>
      </c>
      <c r="C233" t="s">
        <v>25</v>
      </c>
      <c r="D233">
        <v>13</v>
      </c>
      <c r="E233" t="s">
        <v>511</v>
      </c>
      <c r="F233" t="s">
        <v>511</v>
      </c>
      <c r="G233">
        <v>3375</v>
      </c>
      <c r="H233" t="s">
        <v>1875</v>
      </c>
      <c r="I233" t="s">
        <v>1813</v>
      </c>
      <c r="J233">
        <v>12</v>
      </c>
      <c r="K233">
        <v>1</v>
      </c>
      <c r="L233">
        <v>1.4386574074074074E-2</v>
      </c>
      <c r="M233" t="s">
        <v>117</v>
      </c>
      <c r="N233" t="s">
        <v>663</v>
      </c>
      <c r="O233" s="24">
        <v>46125</v>
      </c>
      <c r="P233">
        <v>606</v>
      </c>
      <c r="Q233" t="s">
        <v>34</v>
      </c>
      <c r="R233" s="24">
        <v>46136</v>
      </c>
      <c r="S233" s="51">
        <v>0.33888888888888891</v>
      </c>
      <c r="T233" s="51">
        <v>0.38680555555555557</v>
      </c>
      <c r="X233" t="s">
        <v>3058</v>
      </c>
      <c r="Y233" t="s">
        <v>3029</v>
      </c>
      <c r="Z233">
        <v>3215737</v>
      </c>
    </row>
    <row r="234" spans="1:26" x14ac:dyDescent="0.25">
      <c r="A234">
        <v>230</v>
      </c>
      <c r="B234" t="s">
        <v>24</v>
      </c>
      <c r="C234" t="s">
        <v>25</v>
      </c>
      <c r="D234">
        <v>13</v>
      </c>
      <c r="E234" t="s">
        <v>1665</v>
      </c>
      <c r="F234" t="s">
        <v>115</v>
      </c>
      <c r="G234">
        <v>3375</v>
      </c>
      <c r="H234" t="s">
        <v>1940</v>
      </c>
      <c r="I234" t="s">
        <v>1886</v>
      </c>
      <c r="J234">
        <v>12</v>
      </c>
      <c r="K234">
        <v>4</v>
      </c>
      <c r="L234">
        <v>3.2523148148148147E-3</v>
      </c>
      <c r="M234" t="s">
        <v>117</v>
      </c>
      <c r="N234" t="s">
        <v>663</v>
      </c>
      <c r="O234" s="24">
        <v>46125</v>
      </c>
      <c r="P234">
        <v>606</v>
      </c>
      <c r="Q234" t="s">
        <v>34</v>
      </c>
      <c r="R234" s="24">
        <v>46136</v>
      </c>
      <c r="S234" s="51">
        <v>0.33888888888888891</v>
      </c>
      <c r="T234" s="51">
        <v>0.38680555555555557</v>
      </c>
      <c r="X234" t="s">
        <v>3058</v>
      </c>
      <c r="Y234" t="s">
        <v>3029</v>
      </c>
      <c r="Z234">
        <v>3215737</v>
      </c>
    </row>
    <row r="235" spans="1:26" x14ac:dyDescent="0.25">
      <c r="A235">
        <v>231</v>
      </c>
      <c r="B235" t="s">
        <v>24</v>
      </c>
      <c r="C235" t="s">
        <v>25</v>
      </c>
      <c r="D235">
        <v>13</v>
      </c>
      <c r="E235" t="s">
        <v>1588</v>
      </c>
      <c r="F235" t="s">
        <v>512</v>
      </c>
      <c r="G235">
        <v>3375</v>
      </c>
      <c r="H235" t="s">
        <v>1953</v>
      </c>
      <c r="I235" t="s">
        <v>1954</v>
      </c>
      <c r="J235">
        <v>12</v>
      </c>
      <c r="K235">
        <v>1</v>
      </c>
      <c r="L235">
        <v>1.8171296296296295E-3</v>
      </c>
      <c r="M235" t="s">
        <v>117</v>
      </c>
      <c r="N235" t="s">
        <v>663</v>
      </c>
      <c r="O235" s="24">
        <v>46125</v>
      </c>
      <c r="P235">
        <v>606</v>
      </c>
      <c r="Q235" t="s">
        <v>34</v>
      </c>
      <c r="R235" s="24">
        <v>46136</v>
      </c>
      <c r="S235" s="51">
        <v>0.33888888888888891</v>
      </c>
      <c r="T235" s="51">
        <v>0.38680555555555557</v>
      </c>
      <c r="X235" t="s">
        <v>3058</v>
      </c>
      <c r="Y235" t="s">
        <v>3029</v>
      </c>
      <c r="Z235">
        <v>3215737</v>
      </c>
    </row>
    <row r="236" spans="1:26" x14ac:dyDescent="0.25">
      <c r="A236">
        <v>232</v>
      </c>
      <c r="B236" t="s">
        <v>24</v>
      </c>
      <c r="C236" t="s">
        <v>25</v>
      </c>
      <c r="D236">
        <v>13</v>
      </c>
      <c r="E236" t="s">
        <v>1665</v>
      </c>
      <c r="F236" t="s">
        <v>115</v>
      </c>
      <c r="G236">
        <v>3376</v>
      </c>
      <c r="H236" t="s">
        <v>1940</v>
      </c>
      <c r="I236" t="s">
        <v>1886</v>
      </c>
      <c r="J236">
        <v>12</v>
      </c>
      <c r="K236">
        <v>2</v>
      </c>
      <c r="L236">
        <v>1.4467592592592592E-3</v>
      </c>
      <c r="M236" t="s">
        <v>117</v>
      </c>
      <c r="N236" t="s">
        <v>663</v>
      </c>
      <c r="O236" s="24">
        <v>46125</v>
      </c>
      <c r="P236">
        <v>606</v>
      </c>
      <c r="Q236" t="s">
        <v>34</v>
      </c>
      <c r="R236" s="24">
        <v>46136</v>
      </c>
      <c r="S236" s="51">
        <v>0.54513888888888884</v>
      </c>
      <c r="T236" s="51">
        <v>0.57222222222222219</v>
      </c>
      <c r="X236" t="s">
        <v>3059</v>
      </c>
      <c r="Y236" t="s">
        <v>3029</v>
      </c>
      <c r="Z236">
        <v>2777657</v>
      </c>
    </row>
    <row r="237" spans="1:26" x14ac:dyDescent="0.25">
      <c r="A237">
        <v>233</v>
      </c>
      <c r="B237" t="s">
        <v>24</v>
      </c>
      <c r="C237" t="s">
        <v>25</v>
      </c>
      <c r="D237">
        <v>13</v>
      </c>
      <c r="E237" t="s">
        <v>1583</v>
      </c>
      <c r="F237" t="s">
        <v>1583</v>
      </c>
      <c r="G237">
        <v>3376</v>
      </c>
      <c r="H237" t="s">
        <v>1888</v>
      </c>
      <c r="I237" t="s">
        <v>1889</v>
      </c>
      <c r="J237">
        <v>12</v>
      </c>
      <c r="K237">
        <v>2</v>
      </c>
      <c r="L237">
        <v>1.2268518518518518E-3</v>
      </c>
      <c r="M237" t="s">
        <v>117</v>
      </c>
      <c r="N237" t="s">
        <v>663</v>
      </c>
      <c r="O237" s="24">
        <v>46125</v>
      </c>
      <c r="P237">
        <v>606</v>
      </c>
      <c r="Q237" t="s">
        <v>34</v>
      </c>
      <c r="R237" s="24">
        <v>46136</v>
      </c>
      <c r="S237" s="51">
        <v>0.54513888888888884</v>
      </c>
      <c r="T237" s="51">
        <v>0.57222222222222219</v>
      </c>
      <c r="X237" t="s">
        <v>3059</v>
      </c>
      <c r="Y237" t="s">
        <v>3029</v>
      </c>
      <c r="Z237">
        <v>2777657</v>
      </c>
    </row>
    <row r="238" spans="1:26" x14ac:dyDescent="0.25">
      <c r="A238">
        <v>234</v>
      </c>
      <c r="B238" t="s">
        <v>24</v>
      </c>
      <c r="C238" t="s">
        <v>25</v>
      </c>
      <c r="D238">
        <v>13</v>
      </c>
      <c r="E238" t="s">
        <v>65</v>
      </c>
      <c r="F238" t="s">
        <v>368</v>
      </c>
      <c r="G238">
        <v>3376</v>
      </c>
      <c r="H238" t="s">
        <v>1956</v>
      </c>
      <c r="I238" t="s">
        <v>1834</v>
      </c>
      <c r="J238">
        <v>12</v>
      </c>
      <c r="K238">
        <v>1</v>
      </c>
      <c r="L238">
        <v>1.1226851851851851E-3</v>
      </c>
      <c r="M238" t="s">
        <v>117</v>
      </c>
      <c r="N238" t="s">
        <v>663</v>
      </c>
      <c r="O238" s="24">
        <v>46125</v>
      </c>
      <c r="P238">
        <v>606</v>
      </c>
      <c r="Q238" t="s">
        <v>34</v>
      </c>
      <c r="R238" s="24">
        <v>46136</v>
      </c>
      <c r="S238" s="51">
        <v>0.54513888888888884</v>
      </c>
      <c r="T238" s="51">
        <v>0.57222222222222219</v>
      </c>
      <c r="X238" t="s">
        <v>3059</v>
      </c>
      <c r="Y238" t="s">
        <v>3029</v>
      </c>
      <c r="Z238">
        <v>2777657</v>
      </c>
    </row>
    <row r="239" spans="1:26" x14ac:dyDescent="0.25">
      <c r="A239">
        <v>235</v>
      </c>
      <c r="B239" t="s">
        <v>24</v>
      </c>
      <c r="C239" t="s">
        <v>25</v>
      </c>
      <c r="D239">
        <v>13</v>
      </c>
      <c r="E239" t="s">
        <v>65</v>
      </c>
      <c r="F239" t="s">
        <v>1590</v>
      </c>
      <c r="G239">
        <v>3376</v>
      </c>
      <c r="H239" t="s">
        <v>1957</v>
      </c>
      <c r="I239" t="s">
        <v>1958</v>
      </c>
      <c r="J239">
        <v>12</v>
      </c>
      <c r="K239">
        <v>1</v>
      </c>
      <c r="L239">
        <v>5.9027777777777778E-4</v>
      </c>
      <c r="M239" t="s">
        <v>117</v>
      </c>
      <c r="N239" t="s">
        <v>663</v>
      </c>
      <c r="O239" s="24">
        <v>46125</v>
      </c>
      <c r="P239">
        <v>606</v>
      </c>
      <c r="Q239" t="s">
        <v>34</v>
      </c>
      <c r="R239" s="24">
        <v>46136</v>
      </c>
      <c r="S239" s="51">
        <v>0.54513888888888884</v>
      </c>
      <c r="T239" s="51">
        <v>0.57222222222222219</v>
      </c>
      <c r="X239" t="s">
        <v>3059</v>
      </c>
      <c r="Y239" t="s">
        <v>3029</v>
      </c>
      <c r="Z239">
        <v>2777657</v>
      </c>
    </row>
    <row r="240" spans="1:26" x14ac:dyDescent="0.25">
      <c r="A240">
        <v>236</v>
      </c>
      <c r="B240" t="s">
        <v>24</v>
      </c>
      <c r="C240" t="s">
        <v>25</v>
      </c>
      <c r="D240">
        <v>13</v>
      </c>
      <c r="E240" t="s">
        <v>65</v>
      </c>
      <c r="F240" t="s">
        <v>1597</v>
      </c>
      <c r="G240">
        <v>3376</v>
      </c>
      <c r="H240" t="s">
        <v>1959</v>
      </c>
      <c r="I240" t="s">
        <v>1906</v>
      </c>
      <c r="J240">
        <v>12</v>
      </c>
      <c r="K240">
        <v>1</v>
      </c>
      <c r="L240">
        <v>8.6805555555555551E-4</v>
      </c>
      <c r="M240" t="s">
        <v>117</v>
      </c>
      <c r="N240" t="s">
        <v>663</v>
      </c>
      <c r="O240" s="24">
        <v>46125</v>
      </c>
      <c r="P240">
        <v>606</v>
      </c>
      <c r="Q240" t="s">
        <v>34</v>
      </c>
      <c r="R240" s="24">
        <v>46136</v>
      </c>
      <c r="S240" s="51">
        <v>0.54513888888888884</v>
      </c>
      <c r="T240" s="51">
        <v>0.57222222222222219</v>
      </c>
      <c r="X240" t="s">
        <v>3059</v>
      </c>
      <c r="Y240" t="s">
        <v>3029</v>
      </c>
      <c r="Z240">
        <v>2777657</v>
      </c>
    </row>
    <row r="241" spans="1:26" x14ac:dyDescent="0.25">
      <c r="A241">
        <v>237</v>
      </c>
      <c r="B241" t="s">
        <v>24</v>
      </c>
      <c r="C241" t="s">
        <v>25</v>
      </c>
      <c r="D241">
        <v>13</v>
      </c>
      <c r="E241" t="s">
        <v>65</v>
      </c>
      <c r="F241" t="s">
        <v>1597</v>
      </c>
      <c r="G241">
        <v>3376</v>
      </c>
      <c r="H241" t="s">
        <v>1960</v>
      </c>
      <c r="I241" t="s">
        <v>1906</v>
      </c>
      <c r="J241">
        <v>12</v>
      </c>
      <c r="K241">
        <v>1</v>
      </c>
      <c r="L241">
        <v>8.1018518518518516E-4</v>
      </c>
      <c r="M241" t="s">
        <v>117</v>
      </c>
      <c r="N241" t="s">
        <v>663</v>
      </c>
      <c r="O241" s="24">
        <v>46125</v>
      </c>
      <c r="P241">
        <v>606</v>
      </c>
      <c r="Q241" t="s">
        <v>34</v>
      </c>
      <c r="R241" s="24">
        <v>46136</v>
      </c>
      <c r="S241" s="51">
        <v>0.54513888888888884</v>
      </c>
      <c r="T241" s="51">
        <v>0.57222222222222219</v>
      </c>
      <c r="X241" t="s">
        <v>3059</v>
      </c>
      <c r="Y241" t="s">
        <v>3029</v>
      </c>
      <c r="Z241">
        <v>2777657</v>
      </c>
    </row>
    <row r="242" spans="1:26" x14ac:dyDescent="0.25">
      <c r="A242">
        <v>238</v>
      </c>
      <c r="B242" t="s">
        <v>24</v>
      </c>
      <c r="C242" t="s">
        <v>25</v>
      </c>
      <c r="D242">
        <v>13</v>
      </c>
      <c r="E242" t="s">
        <v>511</v>
      </c>
      <c r="F242" t="s">
        <v>512</v>
      </c>
      <c r="G242">
        <v>3376</v>
      </c>
      <c r="H242" t="s">
        <v>1961</v>
      </c>
      <c r="I242" t="s">
        <v>1962</v>
      </c>
      <c r="J242">
        <v>12</v>
      </c>
      <c r="K242">
        <v>5</v>
      </c>
      <c r="L242">
        <v>8.4722222222222213E-3</v>
      </c>
      <c r="M242" t="s">
        <v>117</v>
      </c>
      <c r="N242" t="s">
        <v>663</v>
      </c>
      <c r="O242" s="24">
        <v>46125</v>
      </c>
      <c r="P242">
        <v>606</v>
      </c>
      <c r="Q242" t="s">
        <v>34</v>
      </c>
      <c r="R242" s="24">
        <v>46136</v>
      </c>
      <c r="S242" s="51">
        <v>0.54513888888888884</v>
      </c>
      <c r="T242" s="51">
        <v>0.57222222222222219</v>
      </c>
      <c r="X242" t="s">
        <v>3059</v>
      </c>
      <c r="Y242" t="s">
        <v>3029</v>
      </c>
      <c r="Z242">
        <v>2777657</v>
      </c>
    </row>
    <row r="243" spans="1:26" x14ac:dyDescent="0.25">
      <c r="A243">
        <v>239</v>
      </c>
      <c r="B243" t="s">
        <v>24</v>
      </c>
      <c r="C243" t="s">
        <v>25</v>
      </c>
      <c r="D243">
        <v>13</v>
      </c>
      <c r="E243" t="s">
        <v>65</v>
      </c>
      <c r="F243" t="s">
        <v>66</v>
      </c>
      <c r="G243">
        <v>3376</v>
      </c>
      <c r="H243" t="s">
        <v>1963</v>
      </c>
      <c r="I243" t="s">
        <v>1964</v>
      </c>
      <c r="J243">
        <v>12</v>
      </c>
      <c r="K243">
        <v>1</v>
      </c>
      <c r="L243">
        <v>9.4907407407407408E-4</v>
      </c>
      <c r="M243" t="s">
        <v>117</v>
      </c>
      <c r="N243" t="s">
        <v>663</v>
      </c>
      <c r="O243" s="24">
        <v>46125</v>
      </c>
      <c r="P243">
        <v>606</v>
      </c>
      <c r="Q243" t="s">
        <v>34</v>
      </c>
      <c r="R243" s="24">
        <v>46136</v>
      </c>
      <c r="S243" s="51">
        <v>0.54513888888888884</v>
      </c>
      <c r="T243" s="51">
        <v>0.57222222222222219</v>
      </c>
      <c r="X243" t="s">
        <v>3059</v>
      </c>
      <c r="Y243" t="s">
        <v>3029</v>
      </c>
      <c r="Z243">
        <v>2777657</v>
      </c>
    </row>
    <row r="244" spans="1:26" x14ac:dyDescent="0.25">
      <c r="A244">
        <v>240</v>
      </c>
      <c r="B244" t="s">
        <v>24</v>
      </c>
      <c r="C244" t="s">
        <v>25</v>
      </c>
      <c r="D244">
        <v>13</v>
      </c>
      <c r="E244" t="s">
        <v>152</v>
      </c>
      <c r="F244" t="s">
        <v>152</v>
      </c>
      <c r="G244">
        <v>3376</v>
      </c>
      <c r="H244" t="s">
        <v>1965</v>
      </c>
      <c r="I244" t="s">
        <v>1966</v>
      </c>
      <c r="J244">
        <v>12</v>
      </c>
      <c r="K244">
        <v>1</v>
      </c>
      <c r="L244">
        <v>1.8981481481481482E-3</v>
      </c>
      <c r="M244" t="s">
        <v>117</v>
      </c>
      <c r="N244" t="s">
        <v>663</v>
      </c>
      <c r="O244" s="24">
        <v>46125</v>
      </c>
      <c r="P244">
        <v>606</v>
      </c>
      <c r="Q244" t="s">
        <v>34</v>
      </c>
      <c r="R244" s="24">
        <v>46136</v>
      </c>
      <c r="S244" s="51">
        <v>0.54513888888888884</v>
      </c>
      <c r="T244" s="51">
        <v>0.57222222222222219</v>
      </c>
      <c r="X244" t="s">
        <v>3059</v>
      </c>
      <c r="Y244" t="s">
        <v>3029</v>
      </c>
      <c r="Z244">
        <v>2777657</v>
      </c>
    </row>
    <row r="245" spans="1:26" x14ac:dyDescent="0.25">
      <c r="A245">
        <v>241</v>
      </c>
      <c r="B245" t="s">
        <v>24</v>
      </c>
      <c r="C245" t="s">
        <v>25</v>
      </c>
      <c r="D245">
        <v>13</v>
      </c>
      <c r="E245" t="s">
        <v>1665</v>
      </c>
      <c r="F245" t="s">
        <v>512</v>
      </c>
      <c r="G245">
        <v>3377</v>
      </c>
      <c r="H245" t="s">
        <v>1831</v>
      </c>
      <c r="I245" t="s">
        <v>1830</v>
      </c>
      <c r="J245">
        <v>12</v>
      </c>
      <c r="K245">
        <v>1</v>
      </c>
      <c r="L245">
        <v>1.25E-3</v>
      </c>
      <c r="M245" t="s">
        <v>117</v>
      </c>
      <c r="N245" t="s">
        <v>572</v>
      </c>
      <c r="O245" s="24">
        <v>46118</v>
      </c>
      <c r="P245">
        <v>605</v>
      </c>
      <c r="Q245" t="s">
        <v>34</v>
      </c>
      <c r="R245" s="24">
        <v>46136</v>
      </c>
      <c r="S245" s="51">
        <v>0.87847222222222221</v>
      </c>
      <c r="T245" s="51">
        <v>0.91041666666666665</v>
      </c>
      <c r="X245" t="s">
        <v>3060</v>
      </c>
      <c r="Y245" t="s">
        <v>3032</v>
      </c>
      <c r="Z245">
        <v>3215737</v>
      </c>
    </row>
    <row r="246" spans="1:26" x14ac:dyDescent="0.25">
      <c r="A246">
        <v>242</v>
      </c>
      <c r="B246" t="s">
        <v>24</v>
      </c>
      <c r="C246" t="s">
        <v>25</v>
      </c>
      <c r="D246">
        <v>13</v>
      </c>
      <c r="E246" t="s">
        <v>1665</v>
      </c>
      <c r="F246" t="s">
        <v>115</v>
      </c>
      <c r="G246">
        <v>3377</v>
      </c>
      <c r="H246" t="s">
        <v>1940</v>
      </c>
      <c r="I246" t="s">
        <v>1886</v>
      </c>
      <c r="J246">
        <v>12</v>
      </c>
      <c r="K246">
        <v>2</v>
      </c>
      <c r="L246">
        <v>1.8055555555555555E-3</v>
      </c>
      <c r="M246" t="s">
        <v>117</v>
      </c>
      <c r="N246" t="s">
        <v>572</v>
      </c>
      <c r="O246" s="24">
        <v>46118</v>
      </c>
      <c r="P246">
        <v>605</v>
      </c>
      <c r="Q246" t="s">
        <v>34</v>
      </c>
      <c r="R246" s="24">
        <v>46136</v>
      </c>
      <c r="S246" s="51">
        <v>0.87847222222222221</v>
      </c>
      <c r="T246" s="51">
        <v>0.91041666666666665</v>
      </c>
      <c r="X246" t="s">
        <v>3060</v>
      </c>
      <c r="Y246" t="s">
        <v>3032</v>
      </c>
      <c r="Z246">
        <v>3215737</v>
      </c>
    </row>
    <row r="247" spans="1:26" x14ac:dyDescent="0.25">
      <c r="A247">
        <v>243</v>
      </c>
      <c r="B247" t="s">
        <v>24</v>
      </c>
      <c r="C247" t="s">
        <v>25</v>
      </c>
      <c r="D247">
        <v>13</v>
      </c>
      <c r="E247" t="s">
        <v>1588</v>
      </c>
      <c r="F247" t="s">
        <v>512</v>
      </c>
      <c r="G247">
        <v>3377</v>
      </c>
      <c r="H247" t="s">
        <v>1968</v>
      </c>
      <c r="I247" t="s">
        <v>1954</v>
      </c>
      <c r="J247">
        <v>12</v>
      </c>
      <c r="K247">
        <v>1</v>
      </c>
      <c r="L247">
        <v>1.724537037037037E-3</v>
      </c>
      <c r="M247" t="s">
        <v>117</v>
      </c>
      <c r="N247" t="s">
        <v>572</v>
      </c>
      <c r="O247" s="24">
        <v>46118</v>
      </c>
      <c r="P247">
        <v>605</v>
      </c>
      <c r="Q247" t="s">
        <v>34</v>
      </c>
      <c r="R247" s="24">
        <v>46136</v>
      </c>
      <c r="S247" s="51">
        <v>0.87847222222222221</v>
      </c>
      <c r="T247" s="51">
        <v>0.91041666666666665</v>
      </c>
      <c r="X247" t="s">
        <v>3060</v>
      </c>
      <c r="Y247" t="s">
        <v>3032</v>
      </c>
      <c r="Z247">
        <v>3215737</v>
      </c>
    </row>
    <row r="248" spans="1:26" x14ac:dyDescent="0.25">
      <c r="A248">
        <v>244</v>
      </c>
      <c r="B248" t="s">
        <v>24</v>
      </c>
      <c r="C248" t="s">
        <v>25</v>
      </c>
      <c r="D248">
        <v>13</v>
      </c>
      <c r="E248" t="s">
        <v>367</v>
      </c>
      <c r="F248" t="s">
        <v>1594</v>
      </c>
      <c r="G248">
        <v>3377</v>
      </c>
      <c r="H248" t="s">
        <v>1969</v>
      </c>
      <c r="I248" t="s">
        <v>1970</v>
      </c>
      <c r="J248">
        <v>12</v>
      </c>
      <c r="K248">
        <v>1</v>
      </c>
      <c r="L248">
        <v>7.1759259259259259E-4</v>
      </c>
      <c r="M248" t="s">
        <v>117</v>
      </c>
      <c r="N248" t="s">
        <v>572</v>
      </c>
      <c r="O248" s="24">
        <v>46118</v>
      </c>
      <c r="P248">
        <v>605</v>
      </c>
      <c r="Q248" t="s">
        <v>34</v>
      </c>
      <c r="R248" s="24">
        <v>46136</v>
      </c>
      <c r="S248" s="51">
        <v>0.87847222222222221</v>
      </c>
      <c r="T248" s="51">
        <v>0.91041666666666665</v>
      </c>
      <c r="X248" t="s">
        <v>3060</v>
      </c>
      <c r="Y248" t="s">
        <v>3032</v>
      </c>
      <c r="Z248">
        <v>3215737</v>
      </c>
    </row>
    <row r="249" spans="1:26" x14ac:dyDescent="0.25">
      <c r="A249">
        <v>245</v>
      </c>
      <c r="B249" t="s">
        <v>24</v>
      </c>
      <c r="C249" t="s">
        <v>25</v>
      </c>
      <c r="D249">
        <v>13</v>
      </c>
      <c r="E249" t="s">
        <v>65</v>
      </c>
      <c r="F249" t="s">
        <v>368</v>
      </c>
      <c r="G249">
        <v>3377</v>
      </c>
      <c r="H249" t="s">
        <v>1971</v>
      </c>
      <c r="I249" t="s">
        <v>1972</v>
      </c>
      <c r="J249">
        <v>12</v>
      </c>
      <c r="K249">
        <v>1</v>
      </c>
      <c r="L249">
        <v>9.4212962962962957E-3</v>
      </c>
      <c r="M249" t="s">
        <v>117</v>
      </c>
      <c r="N249" t="s">
        <v>572</v>
      </c>
      <c r="O249" s="24">
        <v>46118</v>
      </c>
      <c r="P249">
        <v>605</v>
      </c>
      <c r="Q249" t="s">
        <v>34</v>
      </c>
      <c r="R249" s="24">
        <v>46136</v>
      </c>
      <c r="S249" s="51">
        <v>0.87847222222222221</v>
      </c>
      <c r="T249" s="51">
        <v>0.91041666666666665</v>
      </c>
      <c r="X249" t="s">
        <v>3060</v>
      </c>
      <c r="Y249" t="s">
        <v>3032</v>
      </c>
      <c r="Z249">
        <v>3215737</v>
      </c>
    </row>
    <row r="250" spans="1:26" x14ac:dyDescent="0.25">
      <c r="A250">
        <v>246</v>
      </c>
      <c r="B250" t="s">
        <v>24</v>
      </c>
      <c r="C250" t="s">
        <v>25</v>
      </c>
      <c r="D250">
        <v>13</v>
      </c>
      <c r="E250" t="s">
        <v>65</v>
      </c>
      <c r="F250" t="s">
        <v>1597</v>
      </c>
      <c r="G250">
        <v>3377</v>
      </c>
      <c r="H250" t="s">
        <v>1973</v>
      </c>
      <c r="I250" t="s">
        <v>1974</v>
      </c>
      <c r="J250">
        <v>12</v>
      </c>
      <c r="K250">
        <v>1</v>
      </c>
      <c r="L250">
        <v>9.6064814814814808E-4</v>
      </c>
      <c r="M250" t="s">
        <v>117</v>
      </c>
      <c r="N250" t="s">
        <v>572</v>
      </c>
      <c r="O250" s="24">
        <v>46118</v>
      </c>
      <c r="P250">
        <v>605</v>
      </c>
      <c r="Q250" t="s">
        <v>34</v>
      </c>
      <c r="R250" s="24">
        <v>46136</v>
      </c>
      <c r="S250" s="51">
        <v>0.87847222222222221</v>
      </c>
      <c r="T250" s="51">
        <v>0.91041666666666665</v>
      </c>
      <c r="X250" t="s">
        <v>3060</v>
      </c>
      <c r="Y250" t="s">
        <v>3032</v>
      </c>
      <c r="Z250">
        <v>3215737</v>
      </c>
    </row>
    <row r="251" spans="1:26" x14ac:dyDescent="0.25">
      <c r="A251">
        <v>247</v>
      </c>
      <c r="B251" t="s">
        <v>24</v>
      </c>
      <c r="C251" t="s">
        <v>25</v>
      </c>
      <c r="D251">
        <v>13</v>
      </c>
      <c r="E251" t="s">
        <v>550</v>
      </c>
      <c r="F251" t="s">
        <v>550</v>
      </c>
      <c r="G251">
        <v>3377</v>
      </c>
      <c r="H251" t="s">
        <v>1975</v>
      </c>
      <c r="I251" t="s">
        <v>1976</v>
      </c>
      <c r="J251">
        <v>12</v>
      </c>
      <c r="K251">
        <v>1</v>
      </c>
      <c r="L251">
        <v>4.1666666666666666E-3</v>
      </c>
      <c r="M251" t="s">
        <v>117</v>
      </c>
      <c r="N251" t="s">
        <v>572</v>
      </c>
      <c r="O251" s="24">
        <v>46118</v>
      </c>
      <c r="P251">
        <v>605</v>
      </c>
      <c r="Q251" t="s">
        <v>34</v>
      </c>
      <c r="R251" s="24">
        <v>46136</v>
      </c>
      <c r="S251" s="51">
        <v>0.87847222222222221</v>
      </c>
      <c r="T251" s="51">
        <v>0.91041666666666665</v>
      </c>
      <c r="X251" t="s">
        <v>3060</v>
      </c>
      <c r="Y251" t="s">
        <v>3032</v>
      </c>
      <c r="Z251">
        <v>3215737</v>
      </c>
    </row>
    <row r="252" spans="1:26" x14ac:dyDescent="0.25">
      <c r="A252">
        <v>248</v>
      </c>
      <c r="B252" t="s">
        <v>24</v>
      </c>
      <c r="C252" t="s">
        <v>25</v>
      </c>
      <c r="D252">
        <v>13</v>
      </c>
      <c r="E252" t="s">
        <v>1672</v>
      </c>
      <c r="F252" t="s">
        <v>498</v>
      </c>
      <c r="G252">
        <v>3381</v>
      </c>
      <c r="H252" t="s">
        <v>1977</v>
      </c>
      <c r="I252" t="s">
        <v>1978</v>
      </c>
      <c r="J252">
        <v>10</v>
      </c>
      <c r="K252">
        <v>11</v>
      </c>
      <c r="L252">
        <v>6.0069444444444441E-3</v>
      </c>
      <c r="M252" t="s">
        <v>117</v>
      </c>
      <c r="N252" t="s">
        <v>446</v>
      </c>
      <c r="O252" s="24">
        <v>46118</v>
      </c>
      <c r="P252">
        <v>606</v>
      </c>
      <c r="Q252" t="s">
        <v>34</v>
      </c>
      <c r="R252" s="24">
        <v>46113</v>
      </c>
      <c r="S252" s="51">
        <v>0.44583333333333336</v>
      </c>
      <c r="T252" s="51">
        <v>0.49791666666666667</v>
      </c>
      <c r="X252" t="s">
        <v>3061</v>
      </c>
      <c r="Y252" t="s">
        <v>3035</v>
      </c>
      <c r="Z252">
        <v>2733391</v>
      </c>
    </row>
    <row r="253" spans="1:26" x14ac:dyDescent="0.25">
      <c r="A253">
        <v>249</v>
      </c>
      <c r="B253" t="s">
        <v>24</v>
      </c>
      <c r="C253" t="s">
        <v>25</v>
      </c>
      <c r="D253">
        <v>13</v>
      </c>
      <c r="E253" t="s">
        <v>1665</v>
      </c>
      <c r="F253" t="s">
        <v>498</v>
      </c>
      <c r="G253">
        <v>3381</v>
      </c>
      <c r="H253" t="s">
        <v>1981</v>
      </c>
      <c r="I253" t="s">
        <v>1978</v>
      </c>
      <c r="J253">
        <v>10</v>
      </c>
      <c r="K253">
        <v>1</v>
      </c>
      <c r="L253">
        <v>7.2916666666666659E-4</v>
      </c>
      <c r="M253" t="s">
        <v>117</v>
      </c>
      <c r="N253" t="s">
        <v>446</v>
      </c>
      <c r="O253" s="24">
        <v>46118</v>
      </c>
      <c r="P253">
        <v>606</v>
      </c>
      <c r="Q253" t="s">
        <v>34</v>
      </c>
      <c r="R253" s="24">
        <v>46113</v>
      </c>
      <c r="S253" s="51">
        <v>0.44583333333333336</v>
      </c>
      <c r="T253" s="51">
        <v>0.49791666666666667</v>
      </c>
      <c r="X253" t="s">
        <v>3061</v>
      </c>
      <c r="Y253" t="s">
        <v>3035</v>
      </c>
      <c r="Z253">
        <v>2733391</v>
      </c>
    </row>
    <row r="254" spans="1:26" x14ac:dyDescent="0.25">
      <c r="A254">
        <v>250</v>
      </c>
      <c r="B254" t="s">
        <v>24</v>
      </c>
      <c r="C254" t="s">
        <v>25</v>
      </c>
      <c r="D254">
        <v>13</v>
      </c>
      <c r="E254" t="s">
        <v>367</v>
      </c>
      <c r="F254" t="s">
        <v>367</v>
      </c>
      <c r="G254">
        <v>3381</v>
      </c>
      <c r="H254" t="s">
        <v>1982</v>
      </c>
      <c r="I254" t="s">
        <v>1983</v>
      </c>
      <c r="J254">
        <v>10</v>
      </c>
      <c r="K254">
        <v>20</v>
      </c>
      <c r="L254">
        <v>4.5833333333333334E-3</v>
      </c>
      <c r="M254" t="s">
        <v>117</v>
      </c>
      <c r="N254" t="s">
        <v>446</v>
      </c>
      <c r="O254" s="24">
        <v>46118</v>
      </c>
      <c r="P254">
        <v>606</v>
      </c>
      <c r="Q254" t="s">
        <v>34</v>
      </c>
      <c r="R254" s="24">
        <v>46113</v>
      </c>
      <c r="S254" s="51">
        <v>0.44583333333333336</v>
      </c>
      <c r="T254" s="51">
        <v>0.49791666666666667</v>
      </c>
      <c r="X254" t="s">
        <v>3061</v>
      </c>
      <c r="Y254" t="s">
        <v>3035</v>
      </c>
      <c r="Z254">
        <v>2733391</v>
      </c>
    </row>
    <row r="255" spans="1:26" x14ac:dyDescent="0.25">
      <c r="A255">
        <v>251</v>
      </c>
      <c r="B255" t="s">
        <v>24</v>
      </c>
      <c r="C255" t="s">
        <v>25</v>
      </c>
      <c r="D255">
        <v>13</v>
      </c>
      <c r="E255" t="s">
        <v>65</v>
      </c>
      <c r="F255" t="s">
        <v>368</v>
      </c>
      <c r="G255">
        <v>3381</v>
      </c>
      <c r="H255" t="s">
        <v>1984</v>
      </c>
      <c r="I255" t="s">
        <v>1985</v>
      </c>
      <c r="J255">
        <v>10</v>
      </c>
      <c r="K255">
        <v>6</v>
      </c>
      <c r="L255">
        <v>1.4918981481481481E-2</v>
      </c>
      <c r="M255" t="s">
        <v>117</v>
      </c>
      <c r="N255" t="s">
        <v>446</v>
      </c>
      <c r="O255" s="24">
        <v>46118</v>
      </c>
      <c r="P255">
        <v>606</v>
      </c>
      <c r="Q255" t="s">
        <v>34</v>
      </c>
      <c r="R255" s="24">
        <v>46113</v>
      </c>
      <c r="S255" s="51">
        <v>0.44583333333333336</v>
      </c>
      <c r="T255" s="51">
        <v>0.49791666666666667</v>
      </c>
      <c r="X255" t="s">
        <v>3061</v>
      </c>
      <c r="Y255" t="s">
        <v>3035</v>
      </c>
      <c r="Z255">
        <v>2733391</v>
      </c>
    </row>
    <row r="256" spans="1:26" x14ac:dyDescent="0.25">
      <c r="A256">
        <v>252</v>
      </c>
      <c r="B256" t="s">
        <v>24</v>
      </c>
      <c r="C256" t="s">
        <v>25</v>
      </c>
      <c r="D256">
        <v>13</v>
      </c>
      <c r="E256" t="s">
        <v>65</v>
      </c>
      <c r="F256" t="s">
        <v>368</v>
      </c>
      <c r="G256">
        <v>3381</v>
      </c>
      <c r="H256" t="s">
        <v>1986</v>
      </c>
      <c r="I256" t="s">
        <v>1987</v>
      </c>
      <c r="J256">
        <v>10</v>
      </c>
      <c r="K256">
        <v>2</v>
      </c>
      <c r="L256">
        <v>9.837962962962962E-4</v>
      </c>
      <c r="M256" t="s">
        <v>117</v>
      </c>
      <c r="N256" t="s">
        <v>446</v>
      </c>
      <c r="O256" s="24">
        <v>46118</v>
      </c>
      <c r="P256">
        <v>606</v>
      </c>
      <c r="Q256" t="s">
        <v>34</v>
      </c>
      <c r="R256" s="24">
        <v>46113</v>
      </c>
      <c r="S256" s="51">
        <v>0.44583333333333336</v>
      </c>
      <c r="T256" s="51">
        <v>0.49791666666666667</v>
      </c>
      <c r="X256" t="s">
        <v>3061</v>
      </c>
      <c r="Y256" t="s">
        <v>3035</v>
      </c>
      <c r="Z256">
        <v>2733391</v>
      </c>
    </row>
    <row r="257" spans="1:26" x14ac:dyDescent="0.25">
      <c r="A257">
        <v>253</v>
      </c>
      <c r="B257" t="s">
        <v>24</v>
      </c>
      <c r="C257" t="s">
        <v>25</v>
      </c>
      <c r="D257">
        <v>13</v>
      </c>
      <c r="E257" t="s">
        <v>65</v>
      </c>
      <c r="F257" t="s">
        <v>368</v>
      </c>
      <c r="G257">
        <v>3381</v>
      </c>
      <c r="H257" t="s">
        <v>1988</v>
      </c>
      <c r="I257" t="s">
        <v>1989</v>
      </c>
      <c r="J257">
        <v>10</v>
      </c>
      <c r="K257">
        <v>11</v>
      </c>
      <c r="L257">
        <v>1.255787037037037E-2</v>
      </c>
      <c r="M257" t="s">
        <v>117</v>
      </c>
      <c r="N257" t="s">
        <v>446</v>
      </c>
      <c r="O257" s="24">
        <v>46118</v>
      </c>
      <c r="P257">
        <v>606</v>
      </c>
      <c r="Q257" t="s">
        <v>34</v>
      </c>
      <c r="R257" s="24">
        <v>46113</v>
      </c>
      <c r="S257" s="51">
        <v>0.44583333333333336</v>
      </c>
      <c r="T257" s="51">
        <v>0.49791666666666667</v>
      </c>
      <c r="X257" t="s">
        <v>3061</v>
      </c>
      <c r="Y257" t="s">
        <v>3035</v>
      </c>
      <c r="Z257">
        <v>2733391</v>
      </c>
    </row>
    <row r="258" spans="1:26" x14ac:dyDescent="0.25">
      <c r="A258">
        <v>254</v>
      </c>
      <c r="B258" t="s">
        <v>24</v>
      </c>
      <c r="C258" t="s">
        <v>25</v>
      </c>
      <c r="D258">
        <v>13</v>
      </c>
      <c r="E258" t="s">
        <v>65</v>
      </c>
      <c r="F258" t="s">
        <v>65</v>
      </c>
      <c r="G258">
        <v>3381</v>
      </c>
      <c r="H258" t="s">
        <v>1990</v>
      </c>
      <c r="I258" t="s">
        <v>1991</v>
      </c>
      <c r="J258">
        <v>10</v>
      </c>
      <c r="K258">
        <v>3</v>
      </c>
      <c r="L258">
        <v>1.4699074074074074E-3</v>
      </c>
      <c r="M258" t="s">
        <v>117</v>
      </c>
      <c r="N258" t="s">
        <v>446</v>
      </c>
      <c r="O258" s="24">
        <v>46118</v>
      </c>
      <c r="P258">
        <v>606</v>
      </c>
      <c r="Q258" t="s">
        <v>34</v>
      </c>
      <c r="R258" s="24">
        <v>46113</v>
      </c>
      <c r="S258" s="51">
        <v>0.44583333333333336</v>
      </c>
      <c r="T258" s="51">
        <v>0.49791666666666667</v>
      </c>
      <c r="X258" t="s">
        <v>3061</v>
      </c>
      <c r="Y258" t="s">
        <v>3035</v>
      </c>
      <c r="Z258">
        <v>2733391</v>
      </c>
    </row>
    <row r="259" spans="1:26" x14ac:dyDescent="0.25">
      <c r="A259">
        <v>255</v>
      </c>
      <c r="B259" t="s">
        <v>24</v>
      </c>
      <c r="C259" t="s">
        <v>25</v>
      </c>
      <c r="D259">
        <v>13</v>
      </c>
      <c r="E259" t="s">
        <v>65</v>
      </c>
      <c r="F259" t="s">
        <v>1590</v>
      </c>
      <c r="G259">
        <v>3381</v>
      </c>
      <c r="H259" t="s">
        <v>1992</v>
      </c>
      <c r="I259" t="s">
        <v>1993</v>
      </c>
      <c r="J259">
        <v>10</v>
      </c>
      <c r="K259">
        <v>1</v>
      </c>
      <c r="L259">
        <v>7.9861111111111105E-4</v>
      </c>
      <c r="M259" t="s">
        <v>117</v>
      </c>
      <c r="N259" t="s">
        <v>446</v>
      </c>
      <c r="O259" s="24">
        <v>46118</v>
      </c>
      <c r="P259">
        <v>606</v>
      </c>
      <c r="Q259" t="s">
        <v>34</v>
      </c>
      <c r="R259" s="24">
        <v>46113</v>
      </c>
      <c r="S259" s="51">
        <v>0.44583333333333336</v>
      </c>
      <c r="T259" s="51">
        <v>0.49791666666666667</v>
      </c>
      <c r="X259" t="s">
        <v>3061</v>
      </c>
      <c r="Y259" t="s">
        <v>3035</v>
      </c>
      <c r="Z259">
        <v>2733391</v>
      </c>
    </row>
    <row r="260" spans="1:26" x14ac:dyDescent="0.25">
      <c r="A260">
        <v>256</v>
      </c>
      <c r="B260" t="s">
        <v>24</v>
      </c>
      <c r="C260" t="s">
        <v>25</v>
      </c>
      <c r="D260">
        <v>13</v>
      </c>
      <c r="E260" t="s">
        <v>65</v>
      </c>
      <c r="F260" t="s">
        <v>1590</v>
      </c>
      <c r="G260">
        <v>3381</v>
      </c>
      <c r="H260" t="s">
        <v>1994</v>
      </c>
      <c r="I260" t="s">
        <v>1995</v>
      </c>
      <c r="J260">
        <v>10</v>
      </c>
      <c r="K260">
        <v>3</v>
      </c>
      <c r="L260">
        <v>2.4421296296296296E-3</v>
      </c>
      <c r="M260" t="s">
        <v>117</v>
      </c>
      <c r="N260" t="s">
        <v>446</v>
      </c>
      <c r="O260" s="24">
        <v>46118</v>
      </c>
      <c r="P260">
        <v>606</v>
      </c>
      <c r="Q260" t="s">
        <v>34</v>
      </c>
      <c r="R260" s="24">
        <v>46113</v>
      </c>
      <c r="S260" s="51">
        <v>0.44583333333333336</v>
      </c>
      <c r="T260" s="51">
        <v>0.49791666666666667</v>
      </c>
      <c r="X260" t="s">
        <v>3061</v>
      </c>
      <c r="Y260" t="s">
        <v>3035</v>
      </c>
      <c r="Z260">
        <v>2733391</v>
      </c>
    </row>
    <row r="261" spans="1:26" x14ac:dyDescent="0.25">
      <c r="A261">
        <v>257</v>
      </c>
      <c r="B261" t="s">
        <v>24</v>
      </c>
      <c r="C261" t="s">
        <v>25</v>
      </c>
      <c r="D261">
        <v>13</v>
      </c>
      <c r="E261" t="s">
        <v>65</v>
      </c>
      <c r="F261" t="s">
        <v>368</v>
      </c>
      <c r="G261">
        <v>3381</v>
      </c>
      <c r="H261" t="s">
        <v>1996</v>
      </c>
      <c r="I261" t="s">
        <v>1997</v>
      </c>
      <c r="J261">
        <v>10</v>
      </c>
      <c r="K261">
        <v>4</v>
      </c>
      <c r="L261">
        <v>1.736111111111111E-3</v>
      </c>
      <c r="M261" t="s">
        <v>117</v>
      </c>
      <c r="N261" t="s">
        <v>446</v>
      </c>
      <c r="O261" s="24">
        <v>46118</v>
      </c>
      <c r="P261">
        <v>606</v>
      </c>
      <c r="Q261" t="s">
        <v>34</v>
      </c>
      <c r="R261" s="24">
        <v>46113</v>
      </c>
      <c r="S261" s="51">
        <v>0.44583333333333336</v>
      </c>
      <c r="T261" s="51">
        <v>0.49791666666666667</v>
      </c>
      <c r="X261" t="s">
        <v>3061</v>
      </c>
      <c r="Y261" t="s">
        <v>3035</v>
      </c>
      <c r="Z261">
        <v>2733391</v>
      </c>
    </row>
    <row r="262" spans="1:26" x14ac:dyDescent="0.25">
      <c r="A262">
        <v>258</v>
      </c>
      <c r="B262" t="s">
        <v>24</v>
      </c>
      <c r="C262" t="s">
        <v>25</v>
      </c>
      <c r="D262">
        <v>13</v>
      </c>
      <c r="E262" t="s">
        <v>1665</v>
      </c>
      <c r="F262" t="s">
        <v>498</v>
      </c>
      <c r="G262">
        <v>3382</v>
      </c>
      <c r="H262" t="s">
        <v>1981</v>
      </c>
      <c r="I262" t="s">
        <v>1978</v>
      </c>
      <c r="J262">
        <v>10</v>
      </c>
      <c r="K262">
        <v>13</v>
      </c>
      <c r="L262">
        <v>8.8425925925925929E-3</v>
      </c>
      <c r="M262" t="s">
        <v>117</v>
      </c>
      <c r="N262" t="s">
        <v>446</v>
      </c>
      <c r="O262" s="24">
        <v>46118</v>
      </c>
      <c r="P262">
        <v>606</v>
      </c>
      <c r="Q262" t="s">
        <v>34</v>
      </c>
      <c r="R262" s="24">
        <v>46113</v>
      </c>
      <c r="S262" s="51">
        <v>0.55347222222222225</v>
      </c>
      <c r="T262" s="51">
        <v>0.62708333333333333</v>
      </c>
      <c r="X262" t="s">
        <v>3062</v>
      </c>
      <c r="Y262" t="s">
        <v>3035</v>
      </c>
      <c r="Z262">
        <v>2733391</v>
      </c>
    </row>
    <row r="263" spans="1:26" x14ac:dyDescent="0.25">
      <c r="A263">
        <v>259</v>
      </c>
      <c r="B263" t="s">
        <v>24</v>
      </c>
      <c r="C263" t="s">
        <v>25</v>
      </c>
      <c r="D263">
        <v>13</v>
      </c>
      <c r="E263" t="s">
        <v>367</v>
      </c>
      <c r="F263" t="s">
        <v>367</v>
      </c>
      <c r="G263">
        <v>3382</v>
      </c>
      <c r="H263" t="s">
        <v>1982</v>
      </c>
      <c r="I263" t="s">
        <v>1983</v>
      </c>
      <c r="J263">
        <v>10</v>
      </c>
      <c r="K263">
        <v>5</v>
      </c>
      <c r="L263">
        <v>1.0532407407407407E-3</v>
      </c>
      <c r="M263" t="s">
        <v>117</v>
      </c>
      <c r="N263" t="s">
        <v>446</v>
      </c>
      <c r="O263" s="24">
        <v>46118</v>
      </c>
      <c r="P263">
        <v>606</v>
      </c>
      <c r="Q263" t="s">
        <v>34</v>
      </c>
      <c r="R263" s="24">
        <v>46113</v>
      </c>
      <c r="S263" s="51">
        <v>0.55347222222222225</v>
      </c>
      <c r="T263" s="51">
        <v>0.62708333333333333</v>
      </c>
      <c r="X263" t="s">
        <v>3062</v>
      </c>
      <c r="Y263" t="s">
        <v>3035</v>
      </c>
      <c r="Z263">
        <v>2733391</v>
      </c>
    </row>
    <row r="264" spans="1:26" x14ac:dyDescent="0.25">
      <c r="A264">
        <v>260</v>
      </c>
      <c r="B264" t="s">
        <v>24</v>
      </c>
      <c r="C264" t="s">
        <v>25</v>
      </c>
      <c r="D264">
        <v>13</v>
      </c>
      <c r="E264" t="s">
        <v>367</v>
      </c>
      <c r="F264" t="s">
        <v>1593</v>
      </c>
      <c r="G264">
        <v>3382</v>
      </c>
      <c r="H264" t="s">
        <v>1999</v>
      </c>
      <c r="I264" t="s">
        <v>2000</v>
      </c>
      <c r="J264">
        <v>10</v>
      </c>
      <c r="K264">
        <v>8</v>
      </c>
      <c r="L264">
        <v>2.5578703703703701E-3</v>
      </c>
      <c r="M264" t="s">
        <v>117</v>
      </c>
      <c r="N264" t="s">
        <v>446</v>
      </c>
      <c r="O264" s="24">
        <v>46118</v>
      </c>
      <c r="P264">
        <v>606</v>
      </c>
      <c r="Q264" t="s">
        <v>34</v>
      </c>
      <c r="R264" s="24">
        <v>46113</v>
      </c>
      <c r="S264" s="51">
        <v>0.55347222222222225</v>
      </c>
      <c r="T264" s="51">
        <v>0.62708333333333333</v>
      </c>
      <c r="X264" t="s">
        <v>3062</v>
      </c>
      <c r="Y264" t="s">
        <v>3035</v>
      </c>
      <c r="Z264">
        <v>2733391</v>
      </c>
    </row>
    <row r="265" spans="1:26" x14ac:dyDescent="0.25">
      <c r="A265">
        <v>261</v>
      </c>
      <c r="B265" t="s">
        <v>24</v>
      </c>
      <c r="C265" t="s">
        <v>25</v>
      </c>
      <c r="D265">
        <v>13</v>
      </c>
      <c r="E265" t="s">
        <v>367</v>
      </c>
      <c r="F265" t="s">
        <v>1594</v>
      </c>
      <c r="G265">
        <v>3382</v>
      </c>
      <c r="H265" t="s">
        <v>2001</v>
      </c>
      <c r="I265" t="s">
        <v>2002</v>
      </c>
      <c r="J265">
        <v>10</v>
      </c>
      <c r="K265">
        <v>1</v>
      </c>
      <c r="L265">
        <v>1.2384259259259258E-3</v>
      </c>
      <c r="M265" t="s">
        <v>117</v>
      </c>
      <c r="N265" t="s">
        <v>446</v>
      </c>
      <c r="O265" s="24">
        <v>46118</v>
      </c>
      <c r="P265">
        <v>606</v>
      </c>
      <c r="Q265" t="s">
        <v>34</v>
      </c>
      <c r="R265" s="24">
        <v>46113</v>
      </c>
      <c r="S265" s="51">
        <v>0.55347222222222225</v>
      </c>
      <c r="T265" s="51">
        <v>0.62708333333333333</v>
      </c>
      <c r="X265" t="s">
        <v>3062</v>
      </c>
      <c r="Y265" t="s">
        <v>3035</v>
      </c>
      <c r="Z265">
        <v>2733391</v>
      </c>
    </row>
    <row r="266" spans="1:26" x14ac:dyDescent="0.25">
      <c r="A266">
        <v>262</v>
      </c>
      <c r="B266" t="s">
        <v>24</v>
      </c>
      <c r="C266" t="s">
        <v>25</v>
      </c>
      <c r="D266">
        <v>13</v>
      </c>
      <c r="E266" t="s">
        <v>65</v>
      </c>
      <c r="F266" t="s">
        <v>65</v>
      </c>
      <c r="G266">
        <v>3382</v>
      </c>
      <c r="H266" t="s">
        <v>2003</v>
      </c>
      <c r="I266" t="s">
        <v>2004</v>
      </c>
      <c r="J266">
        <v>10</v>
      </c>
      <c r="K266">
        <v>8</v>
      </c>
      <c r="L266">
        <v>4.3287037037037035E-3</v>
      </c>
      <c r="M266" t="s">
        <v>117</v>
      </c>
      <c r="N266" t="s">
        <v>446</v>
      </c>
      <c r="O266" s="24">
        <v>46118</v>
      </c>
      <c r="P266">
        <v>606</v>
      </c>
      <c r="Q266" t="s">
        <v>34</v>
      </c>
      <c r="R266" s="24">
        <v>46113</v>
      </c>
      <c r="S266" s="51">
        <v>0.55347222222222225</v>
      </c>
      <c r="T266" s="51">
        <v>0.62708333333333333</v>
      </c>
      <c r="X266" t="s">
        <v>3062</v>
      </c>
      <c r="Y266" t="s">
        <v>3035</v>
      </c>
      <c r="Z266">
        <v>2733391</v>
      </c>
    </row>
    <row r="267" spans="1:26" x14ac:dyDescent="0.25">
      <c r="A267">
        <v>263</v>
      </c>
      <c r="B267" t="s">
        <v>24</v>
      </c>
      <c r="C267" t="s">
        <v>25</v>
      </c>
      <c r="D267">
        <v>13</v>
      </c>
      <c r="E267" t="s">
        <v>65</v>
      </c>
      <c r="F267" t="s">
        <v>65</v>
      </c>
      <c r="G267">
        <v>3382</v>
      </c>
      <c r="H267" t="s">
        <v>2005</v>
      </c>
      <c r="I267" t="s">
        <v>2006</v>
      </c>
      <c r="J267">
        <v>10</v>
      </c>
      <c r="K267">
        <v>7</v>
      </c>
      <c r="L267">
        <v>3.2523148148148147E-3</v>
      </c>
      <c r="M267" t="s">
        <v>117</v>
      </c>
      <c r="N267" t="s">
        <v>446</v>
      </c>
      <c r="O267" s="24">
        <v>46118</v>
      </c>
      <c r="P267">
        <v>606</v>
      </c>
      <c r="Q267" t="s">
        <v>34</v>
      </c>
      <c r="R267" s="24">
        <v>46113</v>
      </c>
      <c r="S267" s="51">
        <v>0.55347222222222225</v>
      </c>
      <c r="T267" s="51">
        <v>0.62708333333333333</v>
      </c>
      <c r="X267" t="s">
        <v>3062</v>
      </c>
      <c r="Y267" t="s">
        <v>3035</v>
      </c>
      <c r="Z267">
        <v>2733391</v>
      </c>
    </row>
    <row r="268" spans="1:26" x14ac:dyDescent="0.25">
      <c r="A268">
        <v>264</v>
      </c>
      <c r="B268" t="s">
        <v>24</v>
      </c>
      <c r="C268" t="s">
        <v>25</v>
      </c>
      <c r="D268">
        <v>13</v>
      </c>
      <c r="E268" t="s">
        <v>65</v>
      </c>
      <c r="F268" t="s">
        <v>368</v>
      </c>
      <c r="G268">
        <v>3382</v>
      </c>
      <c r="H268" t="s">
        <v>2007</v>
      </c>
      <c r="I268" t="s">
        <v>2008</v>
      </c>
      <c r="J268">
        <v>10</v>
      </c>
      <c r="K268">
        <v>13</v>
      </c>
      <c r="L268">
        <v>1.361111111111111E-2</v>
      </c>
      <c r="M268" t="s">
        <v>117</v>
      </c>
      <c r="N268" t="s">
        <v>446</v>
      </c>
      <c r="O268" s="24">
        <v>46118</v>
      </c>
      <c r="P268">
        <v>606</v>
      </c>
      <c r="Q268" t="s">
        <v>34</v>
      </c>
      <c r="R268" s="24">
        <v>46113</v>
      </c>
      <c r="S268" s="51">
        <v>0.55347222222222225</v>
      </c>
      <c r="T268" s="51">
        <v>0.62708333333333333</v>
      </c>
      <c r="X268" t="s">
        <v>3062</v>
      </c>
      <c r="Y268" t="s">
        <v>3035</v>
      </c>
      <c r="Z268">
        <v>2733391</v>
      </c>
    </row>
    <row r="269" spans="1:26" x14ac:dyDescent="0.25">
      <c r="A269">
        <v>265</v>
      </c>
      <c r="B269" t="s">
        <v>24</v>
      </c>
      <c r="C269" t="s">
        <v>25</v>
      </c>
      <c r="D269">
        <v>13</v>
      </c>
      <c r="E269" t="s">
        <v>65</v>
      </c>
      <c r="F269" t="s">
        <v>368</v>
      </c>
      <c r="G269">
        <v>3382</v>
      </c>
      <c r="H269" t="s">
        <v>2009</v>
      </c>
      <c r="I269" t="s">
        <v>2010</v>
      </c>
      <c r="J269">
        <v>10</v>
      </c>
      <c r="K269">
        <v>5</v>
      </c>
      <c r="L269">
        <v>1.1331018518518518E-2</v>
      </c>
      <c r="M269" t="s">
        <v>117</v>
      </c>
      <c r="N269" t="s">
        <v>446</v>
      </c>
      <c r="O269" s="24">
        <v>46118</v>
      </c>
      <c r="P269">
        <v>606</v>
      </c>
      <c r="Q269" t="s">
        <v>34</v>
      </c>
      <c r="R269" s="24">
        <v>46113</v>
      </c>
      <c r="S269" s="51">
        <v>0.55347222222222225</v>
      </c>
      <c r="T269" s="51">
        <v>0.62708333333333333</v>
      </c>
      <c r="X269" t="s">
        <v>3062</v>
      </c>
      <c r="Y269" t="s">
        <v>3035</v>
      </c>
      <c r="Z269">
        <v>2733391</v>
      </c>
    </row>
    <row r="270" spans="1:26" x14ac:dyDescent="0.25">
      <c r="A270">
        <v>266</v>
      </c>
      <c r="B270" t="s">
        <v>24</v>
      </c>
      <c r="C270" t="s">
        <v>25</v>
      </c>
      <c r="D270">
        <v>13</v>
      </c>
      <c r="E270" t="s">
        <v>1672</v>
      </c>
      <c r="F270" t="s">
        <v>498</v>
      </c>
      <c r="G270">
        <v>3383</v>
      </c>
      <c r="H270" t="s">
        <v>1977</v>
      </c>
      <c r="I270" t="s">
        <v>1978</v>
      </c>
      <c r="J270">
        <v>10</v>
      </c>
      <c r="K270">
        <v>8</v>
      </c>
      <c r="L270">
        <v>3.472222222222222E-3</v>
      </c>
      <c r="M270" t="s">
        <v>117</v>
      </c>
      <c r="N270" t="s">
        <v>446</v>
      </c>
      <c r="O270" s="24">
        <v>46118</v>
      </c>
      <c r="P270">
        <v>606</v>
      </c>
      <c r="Q270" t="s">
        <v>34</v>
      </c>
      <c r="R270" s="24">
        <v>46113</v>
      </c>
      <c r="S270" s="51">
        <v>0.62916666666666665</v>
      </c>
      <c r="T270" s="51">
        <v>0.67777777777777781</v>
      </c>
      <c r="X270" t="s">
        <v>3063</v>
      </c>
      <c r="Y270" t="s">
        <v>3035</v>
      </c>
      <c r="Z270">
        <v>2733391</v>
      </c>
    </row>
    <row r="271" spans="1:26" x14ac:dyDescent="0.25">
      <c r="A271">
        <v>267</v>
      </c>
      <c r="B271" t="s">
        <v>24</v>
      </c>
      <c r="C271" t="s">
        <v>25</v>
      </c>
      <c r="D271">
        <v>13</v>
      </c>
      <c r="E271" t="s">
        <v>1665</v>
      </c>
      <c r="F271" t="s">
        <v>498</v>
      </c>
      <c r="G271">
        <v>3383</v>
      </c>
      <c r="H271" t="s">
        <v>1981</v>
      </c>
      <c r="I271" t="s">
        <v>1978</v>
      </c>
      <c r="J271">
        <v>10</v>
      </c>
      <c r="K271">
        <v>17</v>
      </c>
      <c r="L271">
        <v>0.01</v>
      </c>
      <c r="M271" t="s">
        <v>117</v>
      </c>
      <c r="N271" t="s">
        <v>446</v>
      </c>
      <c r="O271" s="24">
        <v>46118</v>
      </c>
      <c r="P271">
        <v>606</v>
      </c>
      <c r="Q271" t="s">
        <v>34</v>
      </c>
      <c r="R271" s="24">
        <v>46113</v>
      </c>
      <c r="S271" s="51">
        <v>0.62916666666666665</v>
      </c>
      <c r="T271" s="51">
        <v>0.67777777777777781</v>
      </c>
      <c r="X271" t="s">
        <v>3063</v>
      </c>
      <c r="Y271" t="s">
        <v>3035</v>
      </c>
      <c r="Z271">
        <v>2733391</v>
      </c>
    </row>
    <row r="272" spans="1:26" x14ac:dyDescent="0.25">
      <c r="A272">
        <v>268</v>
      </c>
      <c r="B272" t="s">
        <v>24</v>
      </c>
      <c r="C272" t="s">
        <v>25</v>
      </c>
      <c r="D272">
        <v>13</v>
      </c>
      <c r="E272" t="s">
        <v>367</v>
      </c>
      <c r="F272" t="s">
        <v>367</v>
      </c>
      <c r="G272">
        <v>3383</v>
      </c>
      <c r="H272" t="s">
        <v>1982</v>
      </c>
      <c r="I272" t="s">
        <v>1983</v>
      </c>
      <c r="J272">
        <v>10</v>
      </c>
      <c r="K272">
        <v>55</v>
      </c>
      <c r="L272">
        <v>1.0034722222222223E-2</v>
      </c>
      <c r="M272" t="s">
        <v>117</v>
      </c>
      <c r="N272" t="s">
        <v>446</v>
      </c>
      <c r="O272" s="24">
        <v>46118</v>
      </c>
      <c r="P272">
        <v>606</v>
      </c>
      <c r="Q272" t="s">
        <v>34</v>
      </c>
      <c r="R272" s="24">
        <v>46113</v>
      </c>
      <c r="S272" s="51">
        <v>0.62916666666666665</v>
      </c>
      <c r="T272" s="51">
        <v>0.67777777777777781</v>
      </c>
      <c r="X272" t="s">
        <v>3063</v>
      </c>
      <c r="Y272" t="s">
        <v>3035</v>
      </c>
      <c r="Z272">
        <v>2733391</v>
      </c>
    </row>
    <row r="273" spans="1:26" x14ac:dyDescent="0.25">
      <c r="A273">
        <v>269</v>
      </c>
      <c r="B273" t="s">
        <v>24</v>
      </c>
      <c r="C273" t="s">
        <v>25</v>
      </c>
      <c r="D273">
        <v>13</v>
      </c>
      <c r="E273" t="s">
        <v>367</v>
      </c>
      <c r="F273" t="s">
        <v>1593</v>
      </c>
      <c r="G273">
        <v>3383</v>
      </c>
      <c r="H273" t="s">
        <v>2012</v>
      </c>
      <c r="I273" t="s">
        <v>2013</v>
      </c>
      <c r="J273">
        <v>10</v>
      </c>
      <c r="K273">
        <v>1</v>
      </c>
      <c r="L273">
        <v>3.8194444444444441E-4</v>
      </c>
      <c r="M273" t="s">
        <v>117</v>
      </c>
      <c r="N273" t="s">
        <v>446</v>
      </c>
      <c r="O273" s="24">
        <v>46118</v>
      </c>
      <c r="P273">
        <v>606</v>
      </c>
      <c r="Q273" t="s">
        <v>34</v>
      </c>
      <c r="R273" s="24">
        <v>46113</v>
      </c>
      <c r="S273" s="51">
        <v>0.62916666666666665</v>
      </c>
      <c r="T273" s="51">
        <v>0.67777777777777781</v>
      </c>
      <c r="X273" t="s">
        <v>3063</v>
      </c>
      <c r="Y273" t="s">
        <v>3035</v>
      </c>
      <c r="Z273">
        <v>2733391</v>
      </c>
    </row>
    <row r="274" spans="1:26" x14ac:dyDescent="0.25">
      <c r="A274">
        <v>270</v>
      </c>
      <c r="B274" t="s">
        <v>24</v>
      </c>
      <c r="C274" t="s">
        <v>25</v>
      </c>
      <c r="D274">
        <v>13</v>
      </c>
      <c r="E274" t="s">
        <v>65</v>
      </c>
      <c r="F274" t="s">
        <v>368</v>
      </c>
      <c r="G274">
        <v>3383</v>
      </c>
      <c r="H274" t="s">
        <v>1984</v>
      </c>
      <c r="I274" t="s">
        <v>1985</v>
      </c>
      <c r="J274">
        <v>10</v>
      </c>
      <c r="K274">
        <v>3</v>
      </c>
      <c r="L274">
        <v>5.9259259259259256E-3</v>
      </c>
      <c r="M274" t="s">
        <v>117</v>
      </c>
      <c r="N274" t="s">
        <v>446</v>
      </c>
      <c r="O274" s="24">
        <v>46118</v>
      </c>
      <c r="P274">
        <v>606</v>
      </c>
      <c r="Q274" t="s">
        <v>34</v>
      </c>
      <c r="R274" s="24">
        <v>46113</v>
      </c>
      <c r="S274" s="51">
        <v>0.62916666666666665</v>
      </c>
      <c r="T274" s="51">
        <v>0.67777777777777781</v>
      </c>
      <c r="X274" t="s">
        <v>3063</v>
      </c>
      <c r="Y274" t="s">
        <v>3035</v>
      </c>
      <c r="Z274">
        <v>2733391</v>
      </c>
    </row>
    <row r="275" spans="1:26" x14ac:dyDescent="0.25">
      <c r="A275">
        <v>271</v>
      </c>
      <c r="B275" t="s">
        <v>24</v>
      </c>
      <c r="C275" t="s">
        <v>25</v>
      </c>
      <c r="D275">
        <v>13</v>
      </c>
      <c r="E275" t="s">
        <v>65</v>
      </c>
      <c r="F275" t="s">
        <v>368</v>
      </c>
      <c r="G275">
        <v>3383</v>
      </c>
      <c r="H275" t="s">
        <v>2014</v>
      </c>
      <c r="I275" t="s">
        <v>2015</v>
      </c>
      <c r="J275">
        <v>10</v>
      </c>
      <c r="K275">
        <v>3</v>
      </c>
      <c r="L275">
        <v>2.696759259259259E-3</v>
      </c>
      <c r="M275" t="s">
        <v>117</v>
      </c>
      <c r="N275" t="s">
        <v>446</v>
      </c>
      <c r="O275" s="24">
        <v>46118</v>
      </c>
      <c r="P275">
        <v>606</v>
      </c>
      <c r="Q275" t="s">
        <v>34</v>
      </c>
      <c r="R275" s="24">
        <v>46113</v>
      </c>
      <c r="S275" s="51">
        <v>0.62916666666666665</v>
      </c>
      <c r="T275" s="51">
        <v>0.67777777777777781</v>
      </c>
      <c r="X275" t="s">
        <v>3063</v>
      </c>
      <c r="Y275" t="s">
        <v>3035</v>
      </c>
      <c r="Z275">
        <v>2733391</v>
      </c>
    </row>
    <row r="276" spans="1:26" x14ac:dyDescent="0.25">
      <c r="A276">
        <v>272</v>
      </c>
      <c r="B276" t="s">
        <v>24</v>
      </c>
      <c r="C276" t="s">
        <v>25</v>
      </c>
      <c r="D276">
        <v>13</v>
      </c>
      <c r="E276" t="s">
        <v>65</v>
      </c>
      <c r="F276" t="s">
        <v>368</v>
      </c>
      <c r="G276">
        <v>3383</v>
      </c>
      <c r="H276" t="s">
        <v>2016</v>
      </c>
      <c r="I276" t="s">
        <v>2017</v>
      </c>
      <c r="J276">
        <v>10</v>
      </c>
      <c r="K276">
        <v>4</v>
      </c>
      <c r="L276">
        <v>6.4120370370370364E-3</v>
      </c>
      <c r="M276" t="s">
        <v>117</v>
      </c>
      <c r="N276" t="s">
        <v>446</v>
      </c>
      <c r="O276" s="24">
        <v>46118</v>
      </c>
      <c r="P276">
        <v>606</v>
      </c>
      <c r="Q276" t="s">
        <v>34</v>
      </c>
      <c r="R276" s="24">
        <v>46113</v>
      </c>
      <c r="S276" s="51">
        <v>0.62916666666666665</v>
      </c>
      <c r="T276" s="51">
        <v>0.67777777777777781</v>
      </c>
      <c r="X276" t="s">
        <v>3063</v>
      </c>
      <c r="Y276" t="s">
        <v>3035</v>
      </c>
      <c r="Z276">
        <v>2733391</v>
      </c>
    </row>
    <row r="277" spans="1:26" x14ac:dyDescent="0.25">
      <c r="A277">
        <v>273</v>
      </c>
      <c r="B277" t="s">
        <v>24</v>
      </c>
      <c r="C277" t="s">
        <v>25</v>
      </c>
      <c r="D277">
        <v>13</v>
      </c>
      <c r="E277" t="s">
        <v>1672</v>
      </c>
      <c r="F277" t="s">
        <v>498</v>
      </c>
      <c r="G277">
        <v>3384</v>
      </c>
      <c r="H277" t="s">
        <v>1977</v>
      </c>
      <c r="I277" t="s">
        <v>1978</v>
      </c>
      <c r="J277">
        <v>10</v>
      </c>
      <c r="K277">
        <v>20</v>
      </c>
      <c r="L277">
        <v>1.0092592592592592E-2</v>
      </c>
      <c r="M277" t="s">
        <v>117</v>
      </c>
      <c r="N277" t="s">
        <v>446</v>
      </c>
      <c r="O277" s="24">
        <v>46118</v>
      </c>
      <c r="P277">
        <v>606</v>
      </c>
      <c r="Q277" t="s">
        <v>34</v>
      </c>
      <c r="R277" s="24">
        <v>46113</v>
      </c>
      <c r="S277" s="51">
        <v>0.34027777777777779</v>
      </c>
      <c r="T277" s="51">
        <v>0.37291666666666667</v>
      </c>
      <c r="X277" t="s">
        <v>3064</v>
      </c>
      <c r="Y277" t="s">
        <v>3035</v>
      </c>
      <c r="Z277">
        <v>2733391</v>
      </c>
    </row>
    <row r="278" spans="1:26" x14ac:dyDescent="0.25">
      <c r="A278">
        <v>274</v>
      </c>
      <c r="B278" t="s">
        <v>24</v>
      </c>
      <c r="C278" t="s">
        <v>25</v>
      </c>
      <c r="D278">
        <v>13</v>
      </c>
      <c r="E278" t="s">
        <v>367</v>
      </c>
      <c r="F278" t="s">
        <v>367</v>
      </c>
      <c r="G278">
        <v>3384</v>
      </c>
      <c r="H278" t="s">
        <v>1982</v>
      </c>
      <c r="I278" t="s">
        <v>1983</v>
      </c>
      <c r="J278">
        <v>10</v>
      </c>
      <c r="K278">
        <v>13</v>
      </c>
      <c r="L278">
        <v>2.7546296296296294E-3</v>
      </c>
      <c r="M278" t="s">
        <v>117</v>
      </c>
      <c r="N278" t="s">
        <v>446</v>
      </c>
      <c r="O278" s="24">
        <v>46118</v>
      </c>
      <c r="P278">
        <v>606</v>
      </c>
      <c r="Q278" t="s">
        <v>34</v>
      </c>
      <c r="R278" s="24">
        <v>46113</v>
      </c>
      <c r="S278" s="51">
        <v>0.34027777777777779</v>
      </c>
      <c r="T278" s="51">
        <v>0.37291666666666667</v>
      </c>
      <c r="X278" t="s">
        <v>3064</v>
      </c>
      <c r="Y278" t="s">
        <v>3035</v>
      </c>
      <c r="Z278">
        <v>2733391</v>
      </c>
    </row>
    <row r="279" spans="1:26" x14ac:dyDescent="0.25">
      <c r="A279">
        <v>275</v>
      </c>
      <c r="B279" t="s">
        <v>24</v>
      </c>
      <c r="C279" t="s">
        <v>25</v>
      </c>
      <c r="D279">
        <v>13</v>
      </c>
      <c r="E279" t="s">
        <v>65</v>
      </c>
      <c r="F279" t="s">
        <v>368</v>
      </c>
      <c r="G279">
        <v>3384</v>
      </c>
      <c r="H279" t="s">
        <v>1984</v>
      </c>
      <c r="I279" t="s">
        <v>1985</v>
      </c>
      <c r="J279">
        <v>10</v>
      </c>
      <c r="K279">
        <v>6</v>
      </c>
      <c r="L279">
        <v>1.3796296296296296E-2</v>
      </c>
      <c r="M279" t="s">
        <v>117</v>
      </c>
      <c r="N279" t="s">
        <v>446</v>
      </c>
      <c r="O279" s="24">
        <v>46118</v>
      </c>
      <c r="P279">
        <v>606</v>
      </c>
      <c r="Q279" t="s">
        <v>34</v>
      </c>
      <c r="R279" s="24">
        <v>46113</v>
      </c>
      <c r="S279" s="51">
        <v>0.34027777777777779</v>
      </c>
      <c r="T279" s="51">
        <v>0.37291666666666667</v>
      </c>
      <c r="X279" t="s">
        <v>3064</v>
      </c>
      <c r="Y279" t="s">
        <v>3035</v>
      </c>
      <c r="Z279">
        <v>2733391</v>
      </c>
    </row>
    <row r="280" spans="1:26" x14ac:dyDescent="0.25">
      <c r="A280">
        <v>276</v>
      </c>
      <c r="B280" t="s">
        <v>24</v>
      </c>
      <c r="C280" t="s">
        <v>25</v>
      </c>
      <c r="D280">
        <v>13</v>
      </c>
      <c r="E280" t="s">
        <v>65</v>
      </c>
      <c r="F280" t="s">
        <v>65</v>
      </c>
      <c r="G280">
        <v>3384</v>
      </c>
      <c r="H280" t="s">
        <v>2005</v>
      </c>
      <c r="I280" t="s">
        <v>2006</v>
      </c>
      <c r="J280">
        <v>10</v>
      </c>
      <c r="K280">
        <v>1</v>
      </c>
      <c r="L280">
        <v>4.6296296296296293E-4</v>
      </c>
      <c r="M280" t="s">
        <v>117</v>
      </c>
      <c r="N280" t="s">
        <v>446</v>
      </c>
      <c r="O280" s="24">
        <v>46118</v>
      </c>
      <c r="P280">
        <v>606</v>
      </c>
      <c r="Q280" t="s">
        <v>34</v>
      </c>
      <c r="R280" s="24">
        <v>46113</v>
      </c>
      <c r="S280" s="51">
        <v>0.34027777777777779</v>
      </c>
      <c r="T280" s="51">
        <v>0.37291666666666667</v>
      </c>
      <c r="X280" t="s">
        <v>3064</v>
      </c>
      <c r="Y280" t="s">
        <v>3035</v>
      </c>
      <c r="Z280">
        <v>2733391</v>
      </c>
    </row>
    <row r="281" spans="1:26" x14ac:dyDescent="0.25">
      <c r="A281">
        <v>277</v>
      </c>
      <c r="B281" t="s">
        <v>24</v>
      </c>
      <c r="C281" t="s">
        <v>25</v>
      </c>
      <c r="D281">
        <v>13</v>
      </c>
      <c r="E281" t="s">
        <v>65</v>
      </c>
      <c r="F281" t="s">
        <v>368</v>
      </c>
      <c r="G281">
        <v>3384</v>
      </c>
      <c r="H281" t="s">
        <v>1986</v>
      </c>
      <c r="I281" t="s">
        <v>1987</v>
      </c>
      <c r="J281">
        <v>10</v>
      </c>
      <c r="K281">
        <v>2</v>
      </c>
      <c r="L281">
        <v>9.0277777777777774E-4</v>
      </c>
      <c r="M281" t="s">
        <v>117</v>
      </c>
      <c r="N281" t="s">
        <v>446</v>
      </c>
      <c r="O281" s="24">
        <v>46118</v>
      </c>
      <c r="P281">
        <v>606</v>
      </c>
      <c r="Q281" t="s">
        <v>34</v>
      </c>
      <c r="R281" s="24">
        <v>46113</v>
      </c>
      <c r="S281" s="51">
        <v>0.34027777777777779</v>
      </c>
      <c r="T281" s="51">
        <v>0.37291666666666667</v>
      </c>
      <c r="X281" t="s">
        <v>3064</v>
      </c>
      <c r="Y281" t="s">
        <v>3035</v>
      </c>
      <c r="Z281">
        <v>2733391</v>
      </c>
    </row>
    <row r="282" spans="1:26" x14ac:dyDescent="0.25">
      <c r="A282">
        <v>278</v>
      </c>
      <c r="B282" t="s">
        <v>24</v>
      </c>
      <c r="C282" t="s">
        <v>25</v>
      </c>
      <c r="D282">
        <v>13</v>
      </c>
      <c r="E282" t="s">
        <v>65</v>
      </c>
      <c r="F282" t="s">
        <v>368</v>
      </c>
      <c r="G282">
        <v>3384</v>
      </c>
      <c r="H282" t="s">
        <v>1988</v>
      </c>
      <c r="I282" t="s">
        <v>1989</v>
      </c>
      <c r="J282">
        <v>10</v>
      </c>
      <c r="K282">
        <v>8</v>
      </c>
      <c r="L282">
        <v>8.4374999999999988E-3</v>
      </c>
      <c r="M282" t="s">
        <v>117</v>
      </c>
      <c r="N282" t="s">
        <v>446</v>
      </c>
      <c r="O282" s="24">
        <v>46118</v>
      </c>
      <c r="P282">
        <v>606</v>
      </c>
      <c r="Q282" t="s">
        <v>34</v>
      </c>
      <c r="R282" s="24">
        <v>46113</v>
      </c>
      <c r="S282" s="51">
        <v>0.34027777777777779</v>
      </c>
      <c r="T282" s="51">
        <v>0.37291666666666667</v>
      </c>
      <c r="X282" t="s">
        <v>3064</v>
      </c>
      <c r="Y282" t="s">
        <v>3035</v>
      </c>
      <c r="Z282">
        <v>2733391</v>
      </c>
    </row>
    <row r="283" spans="1:26" x14ac:dyDescent="0.25">
      <c r="A283">
        <v>279</v>
      </c>
      <c r="B283" t="s">
        <v>24</v>
      </c>
      <c r="C283" t="s">
        <v>25</v>
      </c>
      <c r="D283">
        <v>13</v>
      </c>
      <c r="E283" t="s">
        <v>65</v>
      </c>
      <c r="F283" t="s">
        <v>65</v>
      </c>
      <c r="G283">
        <v>3384</v>
      </c>
      <c r="H283" t="s">
        <v>1990</v>
      </c>
      <c r="I283" t="s">
        <v>1991</v>
      </c>
      <c r="J283">
        <v>10</v>
      </c>
      <c r="K283">
        <v>10</v>
      </c>
      <c r="L283">
        <v>4.5486111111111109E-3</v>
      </c>
      <c r="M283" t="s">
        <v>117</v>
      </c>
      <c r="N283" t="s">
        <v>446</v>
      </c>
      <c r="O283" s="24">
        <v>46118</v>
      </c>
      <c r="P283">
        <v>606</v>
      </c>
      <c r="Q283" t="s">
        <v>34</v>
      </c>
      <c r="R283" s="24">
        <v>46113</v>
      </c>
      <c r="S283" s="51">
        <v>0.34027777777777779</v>
      </c>
      <c r="T283" s="51">
        <v>0.37291666666666667</v>
      </c>
      <c r="X283" t="s">
        <v>3064</v>
      </c>
      <c r="Y283" t="s">
        <v>3035</v>
      </c>
      <c r="Z283">
        <v>2733391</v>
      </c>
    </row>
    <row r="284" spans="1:26" x14ac:dyDescent="0.25">
      <c r="A284">
        <v>280</v>
      </c>
      <c r="B284" t="s">
        <v>24</v>
      </c>
      <c r="C284" t="s">
        <v>25</v>
      </c>
      <c r="D284">
        <v>13</v>
      </c>
      <c r="E284" t="s">
        <v>1672</v>
      </c>
      <c r="F284" t="s">
        <v>498</v>
      </c>
      <c r="G284">
        <v>3385</v>
      </c>
      <c r="H284" t="s">
        <v>1977</v>
      </c>
      <c r="I284" t="s">
        <v>1978</v>
      </c>
      <c r="J284">
        <v>10</v>
      </c>
      <c r="K284">
        <v>1</v>
      </c>
      <c r="L284">
        <v>6.0185185185185179E-4</v>
      </c>
      <c r="M284" t="s">
        <v>117</v>
      </c>
      <c r="N284" t="s">
        <v>446</v>
      </c>
      <c r="O284" s="24">
        <v>46118</v>
      </c>
      <c r="P284">
        <v>606</v>
      </c>
      <c r="Q284" t="s">
        <v>34</v>
      </c>
      <c r="R284" s="24">
        <v>46113</v>
      </c>
      <c r="S284" s="51">
        <v>0.42638888888888887</v>
      </c>
      <c r="T284" s="51">
        <v>0.49930555555555556</v>
      </c>
      <c r="X284" t="s">
        <v>3065</v>
      </c>
      <c r="Y284" t="s">
        <v>3035</v>
      </c>
      <c r="Z284">
        <v>2733391</v>
      </c>
    </row>
    <row r="285" spans="1:26" x14ac:dyDescent="0.25">
      <c r="A285">
        <v>281</v>
      </c>
      <c r="B285" t="s">
        <v>24</v>
      </c>
      <c r="C285" t="s">
        <v>25</v>
      </c>
      <c r="D285">
        <v>13</v>
      </c>
      <c r="E285" t="s">
        <v>367</v>
      </c>
      <c r="F285" t="s">
        <v>367</v>
      </c>
      <c r="G285">
        <v>3385</v>
      </c>
      <c r="H285" t="s">
        <v>1982</v>
      </c>
      <c r="I285" t="s">
        <v>1983</v>
      </c>
      <c r="J285">
        <v>10</v>
      </c>
      <c r="K285">
        <v>6</v>
      </c>
      <c r="L285">
        <v>1.5393518518518519E-3</v>
      </c>
      <c r="M285" t="s">
        <v>117</v>
      </c>
      <c r="N285" t="s">
        <v>446</v>
      </c>
      <c r="O285" s="24">
        <v>46118</v>
      </c>
      <c r="P285">
        <v>606</v>
      </c>
      <c r="Q285" t="s">
        <v>34</v>
      </c>
      <c r="R285" s="24">
        <v>46113</v>
      </c>
      <c r="S285" s="51">
        <v>0.42638888888888887</v>
      </c>
      <c r="T285" s="51">
        <v>0.49930555555555556</v>
      </c>
      <c r="X285" t="s">
        <v>3065</v>
      </c>
      <c r="Y285" t="s">
        <v>3035</v>
      </c>
      <c r="Z285">
        <v>2733391</v>
      </c>
    </row>
    <row r="286" spans="1:26" x14ac:dyDescent="0.25">
      <c r="A286">
        <v>282</v>
      </c>
      <c r="B286" t="s">
        <v>24</v>
      </c>
      <c r="C286" t="s">
        <v>25</v>
      </c>
      <c r="D286">
        <v>13</v>
      </c>
      <c r="E286" t="s">
        <v>65</v>
      </c>
      <c r="F286" t="s">
        <v>368</v>
      </c>
      <c r="G286">
        <v>3385</v>
      </c>
      <c r="H286" t="s">
        <v>2020</v>
      </c>
      <c r="I286" t="s">
        <v>2021</v>
      </c>
      <c r="J286">
        <v>10</v>
      </c>
      <c r="K286">
        <v>8</v>
      </c>
      <c r="L286">
        <v>1.0138888888888888E-2</v>
      </c>
      <c r="M286" t="s">
        <v>117</v>
      </c>
      <c r="N286" t="s">
        <v>446</v>
      </c>
      <c r="O286" s="24">
        <v>46118</v>
      </c>
      <c r="P286">
        <v>606</v>
      </c>
      <c r="Q286" t="s">
        <v>34</v>
      </c>
      <c r="R286" s="24">
        <v>46113</v>
      </c>
      <c r="S286" s="51">
        <v>0.42638888888888887</v>
      </c>
      <c r="T286" s="51">
        <v>0.49930555555555556</v>
      </c>
      <c r="X286" t="s">
        <v>3065</v>
      </c>
      <c r="Y286" t="s">
        <v>3035</v>
      </c>
      <c r="Z286">
        <v>2733391</v>
      </c>
    </row>
    <row r="287" spans="1:26" x14ac:dyDescent="0.25">
      <c r="A287">
        <v>283</v>
      </c>
      <c r="B287" t="s">
        <v>24</v>
      </c>
      <c r="C287" t="s">
        <v>25</v>
      </c>
      <c r="D287">
        <v>13</v>
      </c>
      <c r="E287" t="s">
        <v>65</v>
      </c>
      <c r="F287" t="s">
        <v>368</v>
      </c>
      <c r="G287">
        <v>3385</v>
      </c>
      <c r="H287" t="s">
        <v>2022</v>
      </c>
      <c r="I287" t="s">
        <v>2023</v>
      </c>
      <c r="J287">
        <v>10</v>
      </c>
      <c r="K287">
        <v>4</v>
      </c>
      <c r="L287">
        <v>9.0277777777777769E-3</v>
      </c>
      <c r="M287" t="s">
        <v>117</v>
      </c>
      <c r="N287" t="s">
        <v>446</v>
      </c>
      <c r="O287" s="24">
        <v>46118</v>
      </c>
      <c r="P287">
        <v>606</v>
      </c>
      <c r="Q287" t="s">
        <v>34</v>
      </c>
      <c r="R287" s="24">
        <v>46113</v>
      </c>
      <c r="S287" s="51">
        <v>0.42638888888888887</v>
      </c>
      <c r="T287" s="51">
        <v>0.49930555555555556</v>
      </c>
      <c r="X287" t="s">
        <v>3065</v>
      </c>
      <c r="Y287" t="s">
        <v>3035</v>
      </c>
      <c r="Z287">
        <v>2733391</v>
      </c>
    </row>
    <row r="288" spans="1:26" x14ac:dyDescent="0.25">
      <c r="A288">
        <v>284</v>
      </c>
      <c r="B288" t="s">
        <v>24</v>
      </c>
      <c r="C288" t="s">
        <v>25</v>
      </c>
      <c r="D288">
        <v>13</v>
      </c>
      <c r="E288" t="s">
        <v>65</v>
      </c>
      <c r="F288" t="s">
        <v>368</v>
      </c>
      <c r="G288">
        <v>3385</v>
      </c>
      <c r="H288" t="s">
        <v>2007</v>
      </c>
      <c r="I288" t="s">
        <v>2008</v>
      </c>
      <c r="J288">
        <v>10</v>
      </c>
      <c r="K288">
        <v>8</v>
      </c>
      <c r="L288">
        <v>1.0219907407407407E-2</v>
      </c>
      <c r="M288" t="s">
        <v>117</v>
      </c>
      <c r="N288" t="s">
        <v>446</v>
      </c>
      <c r="O288" s="24">
        <v>46118</v>
      </c>
      <c r="P288">
        <v>606</v>
      </c>
      <c r="Q288" t="s">
        <v>34</v>
      </c>
      <c r="R288" s="24">
        <v>46113</v>
      </c>
      <c r="S288" s="51">
        <v>0.42638888888888887</v>
      </c>
      <c r="T288" s="51">
        <v>0.49930555555555556</v>
      </c>
      <c r="X288" t="s">
        <v>3065</v>
      </c>
      <c r="Y288" t="s">
        <v>3035</v>
      </c>
      <c r="Z288">
        <v>2733391</v>
      </c>
    </row>
    <row r="289" spans="1:26" x14ac:dyDescent="0.25">
      <c r="A289">
        <v>285</v>
      </c>
      <c r="B289" t="s">
        <v>24</v>
      </c>
      <c r="C289" t="s">
        <v>25</v>
      </c>
      <c r="D289">
        <v>13</v>
      </c>
      <c r="E289" t="s">
        <v>65</v>
      </c>
      <c r="F289" t="s">
        <v>368</v>
      </c>
      <c r="G289">
        <v>3385</v>
      </c>
      <c r="H289" t="s">
        <v>2009</v>
      </c>
      <c r="I289" t="s">
        <v>2010</v>
      </c>
      <c r="J289">
        <v>10</v>
      </c>
      <c r="K289">
        <v>12</v>
      </c>
      <c r="L289">
        <v>3.3194444444444443E-2</v>
      </c>
      <c r="M289" t="s">
        <v>117</v>
      </c>
      <c r="N289" t="s">
        <v>446</v>
      </c>
      <c r="O289" s="24">
        <v>46118</v>
      </c>
      <c r="P289">
        <v>606</v>
      </c>
      <c r="Q289" t="s">
        <v>34</v>
      </c>
      <c r="R289" s="24">
        <v>46113</v>
      </c>
      <c r="S289" s="51">
        <v>0.42638888888888887</v>
      </c>
      <c r="T289" s="51">
        <v>0.49930555555555556</v>
      </c>
      <c r="X289" t="s">
        <v>3065</v>
      </c>
      <c r="Y289" t="s">
        <v>3035</v>
      </c>
      <c r="Z289">
        <v>2733391</v>
      </c>
    </row>
    <row r="290" spans="1:26" x14ac:dyDescent="0.25">
      <c r="A290">
        <v>286</v>
      </c>
      <c r="B290" t="s">
        <v>24</v>
      </c>
      <c r="C290" t="s">
        <v>25</v>
      </c>
      <c r="D290">
        <v>13</v>
      </c>
      <c r="E290" t="s">
        <v>1672</v>
      </c>
      <c r="F290" t="s">
        <v>498</v>
      </c>
      <c r="G290">
        <v>3386</v>
      </c>
      <c r="H290" t="s">
        <v>1977</v>
      </c>
      <c r="I290" t="s">
        <v>1978</v>
      </c>
      <c r="J290">
        <v>10</v>
      </c>
      <c r="K290">
        <v>1</v>
      </c>
      <c r="L290">
        <v>3.9351851851851852E-4</v>
      </c>
      <c r="M290" t="s">
        <v>117</v>
      </c>
      <c r="N290" t="s">
        <v>446</v>
      </c>
      <c r="O290" s="24">
        <v>46118</v>
      </c>
      <c r="P290">
        <v>606</v>
      </c>
      <c r="Q290" t="s">
        <v>34</v>
      </c>
      <c r="R290" s="24">
        <v>46113</v>
      </c>
      <c r="S290" s="51">
        <v>0.5708333333333333</v>
      </c>
      <c r="T290" s="51">
        <v>0.60486111111111107</v>
      </c>
      <c r="X290" t="s">
        <v>3066</v>
      </c>
      <c r="Y290" t="s">
        <v>3035</v>
      </c>
      <c r="Z290">
        <v>2733391</v>
      </c>
    </row>
    <row r="291" spans="1:26" x14ac:dyDescent="0.25">
      <c r="A291">
        <v>287</v>
      </c>
      <c r="B291" t="s">
        <v>24</v>
      </c>
      <c r="C291" t="s">
        <v>25</v>
      </c>
      <c r="D291">
        <v>13</v>
      </c>
      <c r="E291" t="s">
        <v>367</v>
      </c>
      <c r="F291" t="s">
        <v>367</v>
      </c>
      <c r="G291">
        <v>3386</v>
      </c>
      <c r="H291" t="s">
        <v>1982</v>
      </c>
      <c r="I291" t="s">
        <v>1983</v>
      </c>
      <c r="J291">
        <v>10</v>
      </c>
      <c r="K291">
        <v>3</v>
      </c>
      <c r="L291">
        <v>4.861111111111111E-4</v>
      </c>
      <c r="M291" t="s">
        <v>117</v>
      </c>
      <c r="N291" t="s">
        <v>446</v>
      </c>
      <c r="O291" s="24">
        <v>46118</v>
      </c>
      <c r="P291">
        <v>606</v>
      </c>
      <c r="Q291" t="s">
        <v>34</v>
      </c>
      <c r="R291" s="24">
        <v>46113</v>
      </c>
      <c r="S291" s="51">
        <v>0.5708333333333333</v>
      </c>
      <c r="T291" s="51">
        <v>0.60486111111111107</v>
      </c>
      <c r="X291" t="s">
        <v>3066</v>
      </c>
      <c r="Y291" t="s">
        <v>3035</v>
      </c>
      <c r="Z291">
        <v>2733391</v>
      </c>
    </row>
    <row r="292" spans="1:26" x14ac:dyDescent="0.25">
      <c r="A292">
        <v>288</v>
      </c>
      <c r="B292" t="s">
        <v>24</v>
      </c>
      <c r="C292" t="s">
        <v>25</v>
      </c>
      <c r="D292">
        <v>13</v>
      </c>
      <c r="E292" t="s">
        <v>367</v>
      </c>
      <c r="F292" t="s">
        <v>1593</v>
      </c>
      <c r="G292">
        <v>3386</v>
      </c>
      <c r="H292" t="s">
        <v>2012</v>
      </c>
      <c r="I292" t="s">
        <v>2013</v>
      </c>
      <c r="J292">
        <v>10</v>
      </c>
      <c r="K292">
        <v>5</v>
      </c>
      <c r="L292">
        <v>1.7592592592592592E-3</v>
      </c>
      <c r="M292" t="s">
        <v>117</v>
      </c>
      <c r="N292" t="s">
        <v>446</v>
      </c>
      <c r="O292" s="24">
        <v>46118</v>
      </c>
      <c r="P292">
        <v>606</v>
      </c>
      <c r="Q292" t="s">
        <v>34</v>
      </c>
      <c r="R292" s="24">
        <v>46113</v>
      </c>
      <c r="S292" s="51">
        <v>0.5708333333333333</v>
      </c>
      <c r="T292" s="51">
        <v>0.60486111111111107</v>
      </c>
      <c r="X292" t="s">
        <v>3066</v>
      </c>
      <c r="Y292" t="s">
        <v>3035</v>
      </c>
      <c r="Z292">
        <v>2733391</v>
      </c>
    </row>
    <row r="293" spans="1:26" x14ac:dyDescent="0.25">
      <c r="A293">
        <v>289</v>
      </c>
      <c r="B293" t="s">
        <v>24</v>
      </c>
      <c r="C293" t="s">
        <v>25</v>
      </c>
      <c r="D293">
        <v>13</v>
      </c>
      <c r="E293" t="s">
        <v>65</v>
      </c>
      <c r="F293" t="s">
        <v>368</v>
      </c>
      <c r="G293">
        <v>3386</v>
      </c>
      <c r="H293" t="s">
        <v>1984</v>
      </c>
      <c r="I293" t="s">
        <v>1985</v>
      </c>
      <c r="J293">
        <v>10</v>
      </c>
      <c r="K293">
        <v>2</v>
      </c>
      <c r="L293">
        <v>3.5763888888888889E-3</v>
      </c>
      <c r="M293" t="s">
        <v>117</v>
      </c>
      <c r="N293" t="s">
        <v>446</v>
      </c>
      <c r="O293" s="24">
        <v>46118</v>
      </c>
      <c r="P293">
        <v>606</v>
      </c>
      <c r="Q293" t="s">
        <v>34</v>
      </c>
      <c r="R293" s="24">
        <v>46113</v>
      </c>
      <c r="S293" s="51">
        <v>0.5708333333333333</v>
      </c>
      <c r="T293" s="51">
        <v>0.60486111111111107</v>
      </c>
      <c r="X293" t="s">
        <v>3066</v>
      </c>
      <c r="Y293" t="s">
        <v>3035</v>
      </c>
      <c r="Z293">
        <v>2733391</v>
      </c>
    </row>
    <row r="294" spans="1:26" x14ac:dyDescent="0.25">
      <c r="A294">
        <v>290</v>
      </c>
      <c r="B294" t="s">
        <v>24</v>
      </c>
      <c r="C294" t="s">
        <v>25</v>
      </c>
      <c r="D294">
        <v>13</v>
      </c>
      <c r="E294" t="s">
        <v>65</v>
      </c>
      <c r="F294" t="s">
        <v>65</v>
      </c>
      <c r="G294">
        <v>3386</v>
      </c>
      <c r="H294" t="s">
        <v>2005</v>
      </c>
      <c r="I294" t="s">
        <v>2006</v>
      </c>
      <c r="J294">
        <v>10</v>
      </c>
      <c r="K294">
        <v>13</v>
      </c>
      <c r="L294">
        <v>4.7337962962962958E-3</v>
      </c>
      <c r="M294" t="s">
        <v>117</v>
      </c>
      <c r="N294" t="s">
        <v>446</v>
      </c>
      <c r="O294" s="24">
        <v>46118</v>
      </c>
      <c r="P294">
        <v>606</v>
      </c>
      <c r="Q294" t="s">
        <v>34</v>
      </c>
      <c r="R294" s="24">
        <v>46113</v>
      </c>
      <c r="S294" s="51">
        <v>0.5708333333333333</v>
      </c>
      <c r="T294" s="51">
        <v>0.60486111111111107</v>
      </c>
      <c r="X294" t="s">
        <v>3066</v>
      </c>
      <c r="Y294" t="s">
        <v>3035</v>
      </c>
      <c r="Z294">
        <v>2733391</v>
      </c>
    </row>
    <row r="295" spans="1:26" x14ac:dyDescent="0.25">
      <c r="A295">
        <v>291</v>
      </c>
      <c r="B295" t="s">
        <v>24</v>
      </c>
      <c r="C295" t="s">
        <v>25</v>
      </c>
      <c r="D295">
        <v>13</v>
      </c>
      <c r="E295" t="s">
        <v>65</v>
      </c>
      <c r="F295" t="s">
        <v>368</v>
      </c>
      <c r="G295">
        <v>3386</v>
      </c>
      <c r="H295" t="s">
        <v>1986</v>
      </c>
      <c r="I295" t="s">
        <v>1987</v>
      </c>
      <c r="J295">
        <v>10</v>
      </c>
      <c r="K295">
        <v>4</v>
      </c>
      <c r="L295">
        <v>1.4120370370370369E-3</v>
      </c>
      <c r="M295" t="s">
        <v>117</v>
      </c>
      <c r="N295" t="s">
        <v>446</v>
      </c>
      <c r="O295" s="24">
        <v>46118</v>
      </c>
      <c r="P295">
        <v>606</v>
      </c>
      <c r="Q295" t="s">
        <v>34</v>
      </c>
      <c r="R295" s="24">
        <v>46113</v>
      </c>
      <c r="S295" s="51">
        <v>0.5708333333333333</v>
      </c>
      <c r="T295" s="51">
        <v>0.60486111111111107</v>
      </c>
      <c r="X295" t="s">
        <v>3066</v>
      </c>
      <c r="Y295" t="s">
        <v>3035</v>
      </c>
      <c r="Z295">
        <v>2733391</v>
      </c>
    </row>
    <row r="296" spans="1:26" x14ac:dyDescent="0.25">
      <c r="A296">
        <v>292</v>
      </c>
      <c r="B296" t="s">
        <v>24</v>
      </c>
      <c r="C296" t="s">
        <v>25</v>
      </c>
      <c r="D296">
        <v>13</v>
      </c>
      <c r="E296" t="s">
        <v>65</v>
      </c>
      <c r="F296" t="s">
        <v>368</v>
      </c>
      <c r="G296">
        <v>3386</v>
      </c>
      <c r="H296" t="s">
        <v>1988</v>
      </c>
      <c r="I296" t="s">
        <v>1989</v>
      </c>
      <c r="J296">
        <v>10</v>
      </c>
      <c r="K296">
        <v>2</v>
      </c>
      <c r="L296">
        <v>1.6435185185185185E-3</v>
      </c>
      <c r="M296" t="s">
        <v>117</v>
      </c>
      <c r="N296" t="s">
        <v>446</v>
      </c>
      <c r="O296" s="24">
        <v>46118</v>
      </c>
      <c r="P296">
        <v>606</v>
      </c>
      <c r="Q296" t="s">
        <v>34</v>
      </c>
      <c r="R296" s="24">
        <v>46113</v>
      </c>
      <c r="S296" s="51">
        <v>0.5708333333333333</v>
      </c>
      <c r="T296" s="51">
        <v>0.60486111111111107</v>
      </c>
      <c r="X296" t="s">
        <v>3066</v>
      </c>
      <c r="Y296" t="s">
        <v>3035</v>
      </c>
      <c r="Z296">
        <v>2733391</v>
      </c>
    </row>
    <row r="297" spans="1:26" x14ac:dyDescent="0.25">
      <c r="A297">
        <v>293</v>
      </c>
      <c r="B297" t="s">
        <v>24</v>
      </c>
      <c r="C297" t="s">
        <v>25</v>
      </c>
      <c r="D297">
        <v>13</v>
      </c>
      <c r="E297" t="s">
        <v>65</v>
      </c>
      <c r="F297" t="s">
        <v>65</v>
      </c>
      <c r="G297">
        <v>3386</v>
      </c>
      <c r="H297" t="s">
        <v>1990</v>
      </c>
      <c r="I297" t="s">
        <v>1991</v>
      </c>
      <c r="J297">
        <v>10</v>
      </c>
      <c r="K297">
        <v>2</v>
      </c>
      <c r="L297">
        <v>7.0601851851851847E-4</v>
      </c>
      <c r="M297" t="s">
        <v>117</v>
      </c>
      <c r="N297" t="s">
        <v>446</v>
      </c>
      <c r="O297" s="24">
        <v>46118</v>
      </c>
      <c r="P297">
        <v>606</v>
      </c>
      <c r="Q297" t="s">
        <v>34</v>
      </c>
      <c r="R297" s="24">
        <v>46113</v>
      </c>
      <c r="S297" s="51">
        <v>0.5708333333333333</v>
      </c>
      <c r="T297" s="51">
        <v>0.60486111111111107</v>
      </c>
      <c r="X297" t="s">
        <v>3066</v>
      </c>
      <c r="Y297" t="s">
        <v>3035</v>
      </c>
      <c r="Z297">
        <v>2733391</v>
      </c>
    </row>
    <row r="298" spans="1:26" x14ac:dyDescent="0.25">
      <c r="A298">
        <v>294</v>
      </c>
      <c r="B298" t="s">
        <v>24</v>
      </c>
      <c r="C298" t="s">
        <v>25</v>
      </c>
      <c r="D298">
        <v>13</v>
      </c>
      <c r="E298" t="s">
        <v>65</v>
      </c>
      <c r="F298" t="s">
        <v>1590</v>
      </c>
      <c r="G298">
        <v>3386</v>
      </c>
      <c r="H298" t="s">
        <v>1992</v>
      </c>
      <c r="I298" t="s">
        <v>1993</v>
      </c>
      <c r="J298">
        <v>10</v>
      </c>
      <c r="K298">
        <v>7</v>
      </c>
      <c r="L298">
        <v>4.0625000000000001E-3</v>
      </c>
      <c r="M298" t="s">
        <v>117</v>
      </c>
      <c r="N298" t="s">
        <v>446</v>
      </c>
      <c r="O298" s="24">
        <v>46118</v>
      </c>
      <c r="P298">
        <v>606</v>
      </c>
      <c r="Q298" t="s">
        <v>34</v>
      </c>
      <c r="R298" s="24">
        <v>46113</v>
      </c>
      <c r="S298" s="51">
        <v>0.5708333333333333</v>
      </c>
      <c r="T298" s="51">
        <v>0.60486111111111107</v>
      </c>
      <c r="X298" t="s">
        <v>3066</v>
      </c>
      <c r="Y298" t="s">
        <v>3035</v>
      </c>
      <c r="Z298">
        <v>2733391</v>
      </c>
    </row>
    <row r="299" spans="1:26" x14ac:dyDescent="0.25">
      <c r="A299">
        <v>295</v>
      </c>
      <c r="B299" t="s">
        <v>24</v>
      </c>
      <c r="C299" t="s">
        <v>25</v>
      </c>
      <c r="D299">
        <v>13</v>
      </c>
      <c r="E299" t="s">
        <v>65</v>
      </c>
      <c r="F299" t="s">
        <v>1590</v>
      </c>
      <c r="G299">
        <v>3386</v>
      </c>
      <c r="H299" t="s">
        <v>1994</v>
      </c>
      <c r="I299" t="s">
        <v>1995</v>
      </c>
      <c r="J299">
        <v>10</v>
      </c>
      <c r="K299">
        <v>3</v>
      </c>
      <c r="L299">
        <v>1.7592592592592592E-3</v>
      </c>
      <c r="M299" t="s">
        <v>117</v>
      </c>
      <c r="N299" t="s">
        <v>446</v>
      </c>
      <c r="O299" s="24">
        <v>46118</v>
      </c>
      <c r="P299">
        <v>606</v>
      </c>
      <c r="Q299" t="s">
        <v>34</v>
      </c>
      <c r="R299" s="24">
        <v>46113</v>
      </c>
      <c r="S299" s="51">
        <v>0.5708333333333333</v>
      </c>
      <c r="T299" s="51">
        <v>0.60486111111111107</v>
      </c>
      <c r="X299" t="s">
        <v>3066</v>
      </c>
      <c r="Y299" t="s">
        <v>3035</v>
      </c>
      <c r="Z299">
        <v>2733391</v>
      </c>
    </row>
    <row r="300" spans="1:26" x14ac:dyDescent="0.25">
      <c r="A300">
        <v>296</v>
      </c>
      <c r="B300" t="s">
        <v>24</v>
      </c>
      <c r="C300" t="s">
        <v>25</v>
      </c>
      <c r="D300">
        <v>13</v>
      </c>
      <c r="E300" t="s">
        <v>65</v>
      </c>
      <c r="F300" t="s">
        <v>1591</v>
      </c>
      <c r="G300">
        <v>3386</v>
      </c>
      <c r="H300" t="s">
        <v>2025</v>
      </c>
      <c r="I300" t="s">
        <v>1993</v>
      </c>
      <c r="J300">
        <v>10</v>
      </c>
      <c r="K300">
        <v>2</v>
      </c>
      <c r="L300">
        <v>1.1574074074074073E-3</v>
      </c>
      <c r="M300" t="s">
        <v>117</v>
      </c>
      <c r="N300" t="s">
        <v>446</v>
      </c>
      <c r="O300" s="24">
        <v>46118</v>
      </c>
      <c r="P300">
        <v>606</v>
      </c>
      <c r="Q300" t="s">
        <v>34</v>
      </c>
      <c r="R300" s="24">
        <v>46113</v>
      </c>
      <c r="S300" s="51">
        <v>0.5708333333333333</v>
      </c>
      <c r="T300" s="51">
        <v>0.60486111111111107</v>
      </c>
      <c r="X300" t="s">
        <v>3066</v>
      </c>
      <c r="Y300" t="s">
        <v>3035</v>
      </c>
      <c r="Z300">
        <v>2733391</v>
      </c>
    </row>
    <row r="301" spans="1:26" x14ac:dyDescent="0.25">
      <c r="A301">
        <v>297</v>
      </c>
      <c r="B301" t="s">
        <v>24</v>
      </c>
      <c r="C301" t="s">
        <v>25</v>
      </c>
      <c r="D301">
        <v>13</v>
      </c>
      <c r="E301" t="s">
        <v>65</v>
      </c>
      <c r="F301" t="s">
        <v>66</v>
      </c>
      <c r="G301">
        <v>3386</v>
      </c>
      <c r="H301" t="s">
        <v>2026</v>
      </c>
      <c r="I301" t="s">
        <v>2027</v>
      </c>
      <c r="J301">
        <v>10</v>
      </c>
      <c r="K301">
        <v>1</v>
      </c>
      <c r="L301">
        <v>1.2037037037037036E-3</v>
      </c>
      <c r="M301" t="s">
        <v>117</v>
      </c>
      <c r="N301" t="s">
        <v>446</v>
      </c>
      <c r="O301" s="24">
        <v>46118</v>
      </c>
      <c r="P301">
        <v>606</v>
      </c>
      <c r="Q301" t="s">
        <v>34</v>
      </c>
      <c r="R301" s="24">
        <v>46113</v>
      </c>
      <c r="S301" s="51">
        <v>0.5708333333333333</v>
      </c>
      <c r="T301" s="51">
        <v>0.60486111111111107</v>
      </c>
      <c r="X301" t="s">
        <v>3066</v>
      </c>
      <c r="Y301" t="s">
        <v>3035</v>
      </c>
      <c r="Z301">
        <v>2733391</v>
      </c>
    </row>
    <row r="302" spans="1:26" x14ac:dyDescent="0.25">
      <c r="A302">
        <v>298</v>
      </c>
      <c r="B302" t="s">
        <v>24</v>
      </c>
      <c r="C302" t="s">
        <v>25</v>
      </c>
      <c r="D302">
        <v>13</v>
      </c>
      <c r="E302" t="s">
        <v>65</v>
      </c>
      <c r="F302" t="s">
        <v>66</v>
      </c>
      <c r="G302">
        <v>3386</v>
      </c>
      <c r="H302" t="s">
        <v>2028</v>
      </c>
      <c r="I302" t="s">
        <v>2029</v>
      </c>
      <c r="J302">
        <v>10</v>
      </c>
      <c r="K302">
        <v>1</v>
      </c>
      <c r="L302">
        <v>2.0833333333333333E-3</v>
      </c>
      <c r="M302" t="s">
        <v>117</v>
      </c>
      <c r="N302" t="s">
        <v>446</v>
      </c>
      <c r="O302" s="24">
        <v>46118</v>
      </c>
      <c r="P302">
        <v>606</v>
      </c>
      <c r="Q302" t="s">
        <v>34</v>
      </c>
      <c r="R302" s="24">
        <v>46113</v>
      </c>
      <c r="S302" s="51">
        <v>0.5708333333333333</v>
      </c>
      <c r="T302" s="51">
        <v>0.60486111111111107</v>
      </c>
      <c r="X302" t="s">
        <v>3066</v>
      </c>
      <c r="Y302" t="s">
        <v>3035</v>
      </c>
      <c r="Z302">
        <v>2733391</v>
      </c>
    </row>
    <row r="303" spans="1:26" x14ac:dyDescent="0.25">
      <c r="A303">
        <v>299</v>
      </c>
      <c r="B303" t="s">
        <v>24</v>
      </c>
      <c r="C303" t="s">
        <v>25</v>
      </c>
      <c r="D303">
        <v>13</v>
      </c>
      <c r="E303" t="s">
        <v>65</v>
      </c>
      <c r="F303" t="s">
        <v>368</v>
      </c>
      <c r="G303">
        <v>3386</v>
      </c>
      <c r="H303" t="s">
        <v>1996</v>
      </c>
      <c r="I303" t="s">
        <v>1997</v>
      </c>
      <c r="J303">
        <v>10</v>
      </c>
      <c r="K303">
        <v>3</v>
      </c>
      <c r="L303">
        <v>9.3749999999999997E-4</v>
      </c>
      <c r="M303" t="s">
        <v>117</v>
      </c>
      <c r="N303" t="s">
        <v>446</v>
      </c>
      <c r="O303" s="24">
        <v>46118</v>
      </c>
      <c r="P303">
        <v>606</v>
      </c>
      <c r="Q303" t="s">
        <v>34</v>
      </c>
      <c r="R303" s="24">
        <v>46113</v>
      </c>
      <c r="S303" s="51">
        <v>0.5708333333333333</v>
      </c>
      <c r="T303" s="51">
        <v>0.60486111111111107</v>
      </c>
      <c r="X303" t="s">
        <v>3066</v>
      </c>
      <c r="Y303" t="s">
        <v>3035</v>
      </c>
      <c r="Z303">
        <v>2733391</v>
      </c>
    </row>
    <row r="304" spans="1:26" x14ac:dyDescent="0.25">
      <c r="A304">
        <v>300</v>
      </c>
      <c r="B304" t="s">
        <v>24</v>
      </c>
      <c r="C304" t="s">
        <v>25</v>
      </c>
      <c r="D304">
        <v>13</v>
      </c>
      <c r="E304" t="s">
        <v>65</v>
      </c>
      <c r="F304" t="s">
        <v>512</v>
      </c>
      <c r="G304">
        <v>3386</v>
      </c>
      <c r="H304" t="s">
        <v>2030</v>
      </c>
      <c r="I304" t="s">
        <v>1993</v>
      </c>
      <c r="J304">
        <v>10</v>
      </c>
      <c r="K304">
        <v>2</v>
      </c>
      <c r="L304">
        <v>1.1574074074074073E-3</v>
      </c>
      <c r="M304" t="s">
        <v>117</v>
      </c>
      <c r="N304" t="s">
        <v>446</v>
      </c>
      <c r="O304" s="24">
        <v>46118</v>
      </c>
      <c r="P304">
        <v>606</v>
      </c>
      <c r="Q304" t="s">
        <v>34</v>
      </c>
      <c r="R304" s="24">
        <v>46113</v>
      </c>
      <c r="S304" s="51">
        <v>0.5708333333333333</v>
      </c>
      <c r="T304" s="51">
        <v>0.60486111111111107</v>
      </c>
      <c r="X304" t="s">
        <v>3066</v>
      </c>
      <c r="Y304" t="s">
        <v>3035</v>
      </c>
      <c r="Z304">
        <v>2733391</v>
      </c>
    </row>
    <row r="305" spans="1:26" x14ac:dyDescent="0.25">
      <c r="A305">
        <v>301</v>
      </c>
      <c r="B305" t="s">
        <v>24</v>
      </c>
      <c r="C305" t="s">
        <v>25</v>
      </c>
      <c r="D305">
        <v>13</v>
      </c>
      <c r="E305" t="s">
        <v>511</v>
      </c>
      <c r="F305" t="s">
        <v>511</v>
      </c>
      <c r="G305">
        <v>3378</v>
      </c>
      <c r="H305" t="s">
        <v>2031</v>
      </c>
      <c r="I305" t="s">
        <v>1976</v>
      </c>
      <c r="J305">
        <v>12</v>
      </c>
      <c r="K305">
        <v>1</v>
      </c>
      <c r="L305">
        <v>3.6689814814814814E-3</v>
      </c>
      <c r="M305" t="s">
        <v>117</v>
      </c>
      <c r="N305" t="s">
        <v>663</v>
      </c>
      <c r="O305" s="24">
        <v>46125</v>
      </c>
      <c r="P305">
        <v>606</v>
      </c>
      <c r="Q305" t="s">
        <v>34</v>
      </c>
      <c r="R305" s="24">
        <v>46136</v>
      </c>
      <c r="S305" s="51">
        <v>0.8125</v>
      </c>
      <c r="T305" s="51">
        <v>0.85069444444444442</v>
      </c>
      <c r="X305" t="s">
        <v>3067</v>
      </c>
      <c r="Y305" t="s">
        <v>3032</v>
      </c>
      <c r="Z305">
        <v>3215737</v>
      </c>
    </row>
    <row r="306" spans="1:26" x14ac:dyDescent="0.25">
      <c r="A306">
        <v>302</v>
      </c>
      <c r="B306" t="s">
        <v>24</v>
      </c>
      <c r="C306" t="s">
        <v>25</v>
      </c>
      <c r="D306">
        <v>13</v>
      </c>
      <c r="E306" t="s">
        <v>511</v>
      </c>
      <c r="F306" t="s">
        <v>512</v>
      </c>
      <c r="G306">
        <v>3378</v>
      </c>
      <c r="H306" t="s">
        <v>2033</v>
      </c>
      <c r="I306" t="s">
        <v>1962</v>
      </c>
      <c r="J306">
        <v>12</v>
      </c>
      <c r="K306">
        <v>3</v>
      </c>
      <c r="L306">
        <v>5.0115740740740737E-3</v>
      </c>
      <c r="M306" t="s">
        <v>117</v>
      </c>
      <c r="N306" t="s">
        <v>663</v>
      </c>
      <c r="O306" s="24">
        <v>46125</v>
      </c>
      <c r="P306">
        <v>606</v>
      </c>
      <c r="Q306" t="s">
        <v>34</v>
      </c>
      <c r="R306" s="24">
        <v>46136</v>
      </c>
      <c r="S306" s="51">
        <v>0.8125</v>
      </c>
      <c r="T306" s="51">
        <v>0.85069444444444442</v>
      </c>
      <c r="X306" t="s">
        <v>3067</v>
      </c>
      <c r="Y306" t="s">
        <v>3032</v>
      </c>
      <c r="Z306">
        <v>3215737</v>
      </c>
    </row>
    <row r="307" spans="1:26" x14ac:dyDescent="0.25">
      <c r="A307">
        <v>303</v>
      </c>
      <c r="B307" t="s">
        <v>24</v>
      </c>
      <c r="C307" t="s">
        <v>25</v>
      </c>
      <c r="D307">
        <v>13</v>
      </c>
      <c r="E307" t="s">
        <v>1665</v>
      </c>
      <c r="F307" t="s">
        <v>512</v>
      </c>
      <c r="G307">
        <v>3378</v>
      </c>
      <c r="H307" t="s">
        <v>2034</v>
      </c>
      <c r="I307" t="s">
        <v>1897</v>
      </c>
      <c r="J307">
        <v>12</v>
      </c>
      <c r="K307">
        <v>1</v>
      </c>
      <c r="L307">
        <v>6.134259259259259E-4</v>
      </c>
      <c r="M307" t="s">
        <v>117</v>
      </c>
      <c r="N307" t="s">
        <v>663</v>
      </c>
      <c r="O307" s="24">
        <v>46125</v>
      </c>
      <c r="P307">
        <v>606</v>
      </c>
      <c r="Q307" t="s">
        <v>34</v>
      </c>
      <c r="R307" s="24">
        <v>46136</v>
      </c>
      <c r="S307" s="51">
        <v>0.8125</v>
      </c>
      <c r="T307" s="51">
        <v>0.85069444444444442</v>
      </c>
      <c r="X307" t="s">
        <v>3067</v>
      </c>
      <c r="Y307" t="s">
        <v>3032</v>
      </c>
      <c r="Z307">
        <v>3215737</v>
      </c>
    </row>
    <row r="308" spans="1:26" x14ac:dyDescent="0.25">
      <c r="A308">
        <v>304</v>
      </c>
      <c r="B308" t="s">
        <v>24</v>
      </c>
      <c r="C308" t="s">
        <v>25</v>
      </c>
      <c r="D308">
        <v>13</v>
      </c>
      <c r="E308" t="s">
        <v>1588</v>
      </c>
      <c r="F308" t="s">
        <v>512</v>
      </c>
      <c r="G308">
        <v>3378</v>
      </c>
      <c r="H308" t="s">
        <v>1968</v>
      </c>
      <c r="I308" t="s">
        <v>1954</v>
      </c>
      <c r="J308">
        <v>12</v>
      </c>
      <c r="K308">
        <v>2</v>
      </c>
      <c r="L308">
        <v>3.0439814814814813E-3</v>
      </c>
      <c r="M308" t="s">
        <v>117</v>
      </c>
      <c r="N308" t="s">
        <v>663</v>
      </c>
      <c r="O308" s="24">
        <v>46125</v>
      </c>
      <c r="P308">
        <v>606</v>
      </c>
      <c r="Q308" t="s">
        <v>34</v>
      </c>
      <c r="R308" s="24">
        <v>46136</v>
      </c>
      <c r="S308" s="51">
        <v>0.8125</v>
      </c>
      <c r="T308" s="51">
        <v>0.85069444444444442</v>
      </c>
      <c r="X308" t="s">
        <v>3067</v>
      </c>
      <c r="Y308" t="s">
        <v>3032</v>
      </c>
      <c r="Z308">
        <v>3215737</v>
      </c>
    </row>
    <row r="309" spans="1:26" x14ac:dyDescent="0.25">
      <c r="A309">
        <v>305</v>
      </c>
      <c r="B309" t="s">
        <v>24</v>
      </c>
      <c r="C309" t="s">
        <v>25</v>
      </c>
      <c r="D309">
        <v>13</v>
      </c>
      <c r="E309" t="s">
        <v>367</v>
      </c>
      <c r="F309" t="s">
        <v>367</v>
      </c>
      <c r="G309">
        <v>3378</v>
      </c>
      <c r="H309" t="s">
        <v>1814</v>
      </c>
      <c r="I309" t="s">
        <v>1815</v>
      </c>
      <c r="J309">
        <v>12</v>
      </c>
      <c r="K309">
        <v>1</v>
      </c>
      <c r="L309">
        <v>8.9120370370370362E-4</v>
      </c>
      <c r="M309" t="s">
        <v>117</v>
      </c>
      <c r="N309" t="s">
        <v>663</v>
      </c>
      <c r="O309" s="24">
        <v>46125</v>
      </c>
      <c r="P309">
        <v>606</v>
      </c>
      <c r="Q309" t="s">
        <v>34</v>
      </c>
      <c r="R309" s="24">
        <v>46136</v>
      </c>
      <c r="S309" s="51">
        <v>0.8125</v>
      </c>
      <c r="T309" s="51">
        <v>0.85069444444444442</v>
      </c>
      <c r="X309" t="s">
        <v>3067</v>
      </c>
      <c r="Y309" t="s">
        <v>3032</v>
      </c>
      <c r="Z309">
        <v>3215737</v>
      </c>
    </row>
    <row r="310" spans="1:26" x14ac:dyDescent="0.25">
      <c r="A310">
        <v>306</v>
      </c>
      <c r="B310" t="s">
        <v>24</v>
      </c>
      <c r="C310" t="s">
        <v>25</v>
      </c>
      <c r="D310">
        <v>13</v>
      </c>
      <c r="E310" t="s">
        <v>367</v>
      </c>
      <c r="F310" t="s">
        <v>512</v>
      </c>
      <c r="G310">
        <v>3378</v>
      </c>
      <c r="H310" t="s">
        <v>2035</v>
      </c>
      <c r="I310" t="s">
        <v>2036</v>
      </c>
      <c r="J310">
        <v>12</v>
      </c>
      <c r="K310">
        <v>1</v>
      </c>
      <c r="L310">
        <v>4.7453703703703704E-4</v>
      </c>
      <c r="M310" t="s">
        <v>117</v>
      </c>
      <c r="N310" t="s">
        <v>663</v>
      </c>
      <c r="O310" s="24">
        <v>46125</v>
      </c>
      <c r="P310">
        <v>606</v>
      </c>
      <c r="Q310" t="s">
        <v>34</v>
      </c>
      <c r="R310" s="24">
        <v>46136</v>
      </c>
      <c r="S310" s="51">
        <v>0.8125</v>
      </c>
      <c r="T310" s="51">
        <v>0.85069444444444442</v>
      </c>
      <c r="X310" t="s">
        <v>3067</v>
      </c>
      <c r="Y310" t="s">
        <v>3032</v>
      </c>
      <c r="Z310">
        <v>3215737</v>
      </c>
    </row>
    <row r="311" spans="1:26" x14ac:dyDescent="0.25">
      <c r="A311">
        <v>307</v>
      </c>
      <c r="B311" t="s">
        <v>24</v>
      </c>
      <c r="C311" t="s">
        <v>25</v>
      </c>
      <c r="D311">
        <v>13</v>
      </c>
      <c r="E311" t="s">
        <v>65</v>
      </c>
      <c r="F311" t="s">
        <v>1589</v>
      </c>
      <c r="G311">
        <v>3378</v>
      </c>
      <c r="H311" t="s">
        <v>2037</v>
      </c>
      <c r="I311" t="s">
        <v>1815</v>
      </c>
      <c r="J311">
        <v>12</v>
      </c>
      <c r="K311">
        <v>4</v>
      </c>
      <c r="L311">
        <v>4.8263888888888887E-3</v>
      </c>
      <c r="M311" t="s">
        <v>117</v>
      </c>
      <c r="N311" t="s">
        <v>663</v>
      </c>
      <c r="O311" s="24">
        <v>46125</v>
      </c>
      <c r="P311">
        <v>606</v>
      </c>
      <c r="Q311" t="s">
        <v>34</v>
      </c>
      <c r="R311" s="24">
        <v>46136</v>
      </c>
      <c r="S311" s="51">
        <v>0.8125</v>
      </c>
      <c r="T311" s="51">
        <v>0.85069444444444442</v>
      </c>
      <c r="X311" t="s">
        <v>3067</v>
      </c>
      <c r="Y311" t="s">
        <v>3032</v>
      </c>
      <c r="Z311">
        <v>3215737</v>
      </c>
    </row>
    <row r="312" spans="1:26" x14ac:dyDescent="0.25">
      <c r="A312">
        <v>308</v>
      </c>
      <c r="B312" t="s">
        <v>24</v>
      </c>
      <c r="C312" t="s">
        <v>25</v>
      </c>
      <c r="D312">
        <v>13</v>
      </c>
      <c r="E312" t="s">
        <v>65</v>
      </c>
      <c r="F312" t="s">
        <v>1591</v>
      </c>
      <c r="G312">
        <v>3378</v>
      </c>
      <c r="H312" t="s">
        <v>1816</v>
      </c>
      <c r="I312" t="s">
        <v>1815</v>
      </c>
      <c r="J312">
        <v>12</v>
      </c>
      <c r="K312">
        <v>1</v>
      </c>
      <c r="L312">
        <v>1.0879629629629629E-3</v>
      </c>
      <c r="M312" t="s">
        <v>117</v>
      </c>
      <c r="N312" t="s">
        <v>663</v>
      </c>
      <c r="O312" s="24">
        <v>46125</v>
      </c>
      <c r="P312">
        <v>606</v>
      </c>
      <c r="Q312" t="s">
        <v>34</v>
      </c>
      <c r="R312" s="24">
        <v>46136</v>
      </c>
      <c r="S312" s="51">
        <v>0.8125</v>
      </c>
      <c r="T312" s="51">
        <v>0.85069444444444442</v>
      </c>
      <c r="X312" t="s">
        <v>3067</v>
      </c>
      <c r="Y312" t="s">
        <v>3032</v>
      </c>
      <c r="Z312">
        <v>3215737</v>
      </c>
    </row>
    <row r="313" spans="1:26" x14ac:dyDescent="0.25">
      <c r="A313">
        <v>309</v>
      </c>
      <c r="B313" t="s">
        <v>24</v>
      </c>
      <c r="C313" t="s">
        <v>25</v>
      </c>
      <c r="D313">
        <v>13</v>
      </c>
      <c r="E313" t="s">
        <v>511</v>
      </c>
      <c r="F313" t="s">
        <v>512</v>
      </c>
      <c r="G313">
        <v>3379</v>
      </c>
      <c r="H313" t="s">
        <v>2033</v>
      </c>
      <c r="I313" t="s">
        <v>1962</v>
      </c>
      <c r="J313">
        <v>12</v>
      </c>
      <c r="K313">
        <v>5</v>
      </c>
      <c r="L313">
        <v>7.905092592592592E-3</v>
      </c>
      <c r="M313" t="s">
        <v>117</v>
      </c>
      <c r="N313" t="s">
        <v>663</v>
      </c>
      <c r="O313" s="24">
        <v>46125</v>
      </c>
      <c r="P313">
        <v>606</v>
      </c>
      <c r="Q313" t="s">
        <v>34</v>
      </c>
      <c r="R313" s="24">
        <v>46136</v>
      </c>
      <c r="S313" s="51">
        <v>1.7361111111111112E-2</v>
      </c>
      <c r="T313" s="51">
        <v>3.125E-2</v>
      </c>
      <c r="X313" t="s">
        <v>3068</v>
      </c>
      <c r="Y313" t="s">
        <v>3032</v>
      </c>
      <c r="Z313">
        <v>3215737</v>
      </c>
    </row>
    <row r="314" spans="1:26" x14ac:dyDescent="0.25">
      <c r="A314">
        <v>310</v>
      </c>
      <c r="B314" t="s">
        <v>24</v>
      </c>
      <c r="C314" t="s">
        <v>25</v>
      </c>
      <c r="D314">
        <v>13</v>
      </c>
      <c r="E314" t="s">
        <v>1588</v>
      </c>
      <c r="F314" t="s">
        <v>512</v>
      </c>
      <c r="G314">
        <v>3379</v>
      </c>
      <c r="H314" t="s">
        <v>1953</v>
      </c>
      <c r="I314" t="s">
        <v>1954</v>
      </c>
      <c r="J314">
        <v>12</v>
      </c>
      <c r="K314">
        <v>1</v>
      </c>
      <c r="L314">
        <v>1.6782407407407408E-3</v>
      </c>
      <c r="M314" t="s">
        <v>117</v>
      </c>
      <c r="N314" t="s">
        <v>663</v>
      </c>
      <c r="O314" s="24">
        <v>46125</v>
      </c>
      <c r="P314">
        <v>606</v>
      </c>
      <c r="Q314" t="s">
        <v>34</v>
      </c>
      <c r="R314" s="24">
        <v>46136</v>
      </c>
      <c r="S314" s="51">
        <v>1.7361111111111112E-2</v>
      </c>
      <c r="T314" s="51">
        <v>3.125E-2</v>
      </c>
      <c r="X314" t="s">
        <v>3068</v>
      </c>
      <c r="Y314" t="s">
        <v>3032</v>
      </c>
      <c r="Z314">
        <v>3215737</v>
      </c>
    </row>
    <row r="315" spans="1:26" x14ac:dyDescent="0.25">
      <c r="A315">
        <v>311</v>
      </c>
      <c r="B315" t="s">
        <v>24</v>
      </c>
      <c r="C315" t="s">
        <v>25</v>
      </c>
      <c r="D315">
        <v>13</v>
      </c>
      <c r="E315" t="s">
        <v>1588</v>
      </c>
      <c r="F315" t="s">
        <v>512</v>
      </c>
      <c r="G315">
        <v>3379</v>
      </c>
      <c r="H315" t="s">
        <v>1968</v>
      </c>
      <c r="I315" t="s">
        <v>1954</v>
      </c>
      <c r="J315">
        <v>12</v>
      </c>
      <c r="K315">
        <v>1</v>
      </c>
      <c r="L315">
        <v>1.4351851851851852E-3</v>
      </c>
      <c r="M315" t="s">
        <v>117</v>
      </c>
      <c r="N315" t="s">
        <v>663</v>
      </c>
      <c r="O315" s="24">
        <v>46125</v>
      </c>
      <c r="P315">
        <v>606</v>
      </c>
      <c r="Q315" t="s">
        <v>34</v>
      </c>
      <c r="R315" s="24">
        <v>46136</v>
      </c>
      <c r="S315" s="51">
        <v>1.7361111111111112E-2</v>
      </c>
      <c r="T315" s="51">
        <v>3.125E-2</v>
      </c>
      <c r="X315" t="s">
        <v>3068</v>
      </c>
      <c r="Y315" t="s">
        <v>3032</v>
      </c>
      <c r="Z315">
        <v>3215737</v>
      </c>
    </row>
    <row r="316" spans="1:26" x14ac:dyDescent="0.25">
      <c r="A316">
        <v>312</v>
      </c>
      <c r="B316" t="s">
        <v>24</v>
      </c>
      <c r="C316" t="s">
        <v>25</v>
      </c>
      <c r="D316">
        <v>13</v>
      </c>
      <c r="E316" t="s">
        <v>511</v>
      </c>
      <c r="F316" t="s">
        <v>512</v>
      </c>
      <c r="G316">
        <v>3379</v>
      </c>
      <c r="H316" t="s">
        <v>1961</v>
      </c>
      <c r="I316" t="s">
        <v>1962</v>
      </c>
      <c r="J316">
        <v>12</v>
      </c>
      <c r="K316">
        <v>1</v>
      </c>
      <c r="L316">
        <v>1.7592592592592592E-3</v>
      </c>
      <c r="M316" t="s">
        <v>117</v>
      </c>
      <c r="N316" t="s">
        <v>663</v>
      </c>
      <c r="O316" s="24">
        <v>46125</v>
      </c>
      <c r="P316">
        <v>606</v>
      </c>
      <c r="Q316" t="s">
        <v>34</v>
      </c>
      <c r="R316" s="24">
        <v>46136</v>
      </c>
      <c r="S316" s="51">
        <v>1.7361111111111112E-2</v>
      </c>
      <c r="T316" s="51">
        <v>3.125E-2</v>
      </c>
      <c r="X316" t="s">
        <v>3068</v>
      </c>
      <c r="Y316" t="s">
        <v>3032</v>
      </c>
      <c r="Z316">
        <v>3215737</v>
      </c>
    </row>
    <row r="317" spans="1:26" x14ac:dyDescent="0.25">
      <c r="A317">
        <v>313</v>
      </c>
      <c r="B317" t="s">
        <v>24</v>
      </c>
      <c r="C317" t="s">
        <v>25</v>
      </c>
      <c r="D317">
        <v>13</v>
      </c>
      <c r="E317" t="s">
        <v>1665</v>
      </c>
      <c r="F317" t="s">
        <v>512</v>
      </c>
      <c r="G317">
        <v>4467</v>
      </c>
      <c r="H317" t="s">
        <v>1896</v>
      </c>
      <c r="I317" t="s">
        <v>1897</v>
      </c>
      <c r="J317">
        <v>12</v>
      </c>
      <c r="K317">
        <v>1</v>
      </c>
      <c r="L317">
        <v>5.9027777777777778E-4</v>
      </c>
      <c r="M317" t="s">
        <v>117</v>
      </c>
      <c r="N317" t="s">
        <v>663</v>
      </c>
      <c r="O317" s="24">
        <v>46125</v>
      </c>
      <c r="P317">
        <v>606</v>
      </c>
      <c r="Q317" t="s">
        <v>34</v>
      </c>
      <c r="R317" s="24">
        <v>46136</v>
      </c>
      <c r="S317" s="51">
        <v>0.71111111111111114</v>
      </c>
      <c r="T317" s="51">
        <v>0.75694444444444442</v>
      </c>
      <c r="X317" t="s">
        <v>3069</v>
      </c>
      <c r="Y317" t="s">
        <v>3032</v>
      </c>
      <c r="Z317">
        <v>1781427</v>
      </c>
    </row>
    <row r="318" spans="1:26" x14ac:dyDescent="0.25">
      <c r="A318">
        <v>314</v>
      </c>
      <c r="B318" t="s">
        <v>24</v>
      </c>
      <c r="C318" t="s">
        <v>25</v>
      </c>
      <c r="D318">
        <v>13</v>
      </c>
      <c r="E318" t="s">
        <v>1588</v>
      </c>
      <c r="F318" t="s">
        <v>512</v>
      </c>
      <c r="G318">
        <v>4467</v>
      </c>
      <c r="H318" t="s">
        <v>1953</v>
      </c>
      <c r="I318" t="s">
        <v>1954</v>
      </c>
      <c r="J318">
        <v>12</v>
      </c>
      <c r="K318">
        <v>2</v>
      </c>
      <c r="L318">
        <v>3.4027777777777776E-3</v>
      </c>
      <c r="M318" t="s">
        <v>117</v>
      </c>
      <c r="N318" t="s">
        <v>663</v>
      </c>
      <c r="O318" s="24">
        <v>46125</v>
      </c>
      <c r="P318">
        <v>606</v>
      </c>
      <c r="Q318" t="s">
        <v>34</v>
      </c>
      <c r="R318" s="24">
        <v>46136</v>
      </c>
      <c r="S318" s="51">
        <v>0.71111111111111114</v>
      </c>
      <c r="T318" s="51">
        <v>0.75694444444444442</v>
      </c>
      <c r="X318" t="s">
        <v>3069</v>
      </c>
      <c r="Y318" t="s">
        <v>3032</v>
      </c>
      <c r="Z318">
        <v>1781427</v>
      </c>
    </row>
    <row r="319" spans="1:26" x14ac:dyDescent="0.25">
      <c r="A319">
        <v>315</v>
      </c>
      <c r="B319" t="s">
        <v>24</v>
      </c>
      <c r="C319" t="s">
        <v>25</v>
      </c>
      <c r="D319">
        <v>13</v>
      </c>
      <c r="E319" t="s">
        <v>367</v>
      </c>
      <c r="F319" t="s">
        <v>1594</v>
      </c>
      <c r="G319">
        <v>4467</v>
      </c>
      <c r="H319" t="s">
        <v>1876</v>
      </c>
      <c r="I319" t="s">
        <v>1877</v>
      </c>
      <c r="J319">
        <v>12</v>
      </c>
      <c r="K319">
        <v>2</v>
      </c>
      <c r="L319">
        <v>1.0416666666666667E-3</v>
      </c>
      <c r="M319" t="s">
        <v>117</v>
      </c>
      <c r="N319" t="s">
        <v>663</v>
      </c>
      <c r="O319" s="24">
        <v>46125</v>
      </c>
      <c r="P319">
        <v>606</v>
      </c>
      <c r="Q319" t="s">
        <v>34</v>
      </c>
      <c r="R319" s="24">
        <v>46136</v>
      </c>
      <c r="S319" s="51">
        <v>0.71111111111111114</v>
      </c>
      <c r="T319" s="51">
        <v>0.75694444444444442</v>
      </c>
      <c r="X319" t="s">
        <v>3069</v>
      </c>
      <c r="Y319" t="s">
        <v>3032</v>
      </c>
      <c r="Z319">
        <v>1781427</v>
      </c>
    </row>
    <row r="320" spans="1:26" x14ac:dyDescent="0.25">
      <c r="A320">
        <v>316</v>
      </c>
      <c r="B320" t="s">
        <v>24</v>
      </c>
      <c r="C320" t="s">
        <v>25</v>
      </c>
      <c r="D320">
        <v>13</v>
      </c>
      <c r="E320" t="s">
        <v>65</v>
      </c>
      <c r="F320" t="s">
        <v>1591</v>
      </c>
      <c r="G320">
        <v>4467</v>
      </c>
      <c r="H320" t="s">
        <v>1816</v>
      </c>
      <c r="I320" t="s">
        <v>1815</v>
      </c>
      <c r="J320">
        <v>12</v>
      </c>
      <c r="K320">
        <v>2</v>
      </c>
      <c r="L320">
        <v>2.0717592592592593E-3</v>
      </c>
      <c r="M320" t="s">
        <v>117</v>
      </c>
      <c r="N320" t="s">
        <v>663</v>
      </c>
      <c r="O320" s="24">
        <v>46125</v>
      </c>
      <c r="P320">
        <v>606</v>
      </c>
      <c r="Q320" t="s">
        <v>34</v>
      </c>
      <c r="R320" s="24">
        <v>46136</v>
      </c>
      <c r="S320" s="51">
        <v>0.71111111111111114</v>
      </c>
      <c r="T320" s="51">
        <v>0.75694444444444442</v>
      </c>
      <c r="X320" t="s">
        <v>3069</v>
      </c>
      <c r="Y320" t="s">
        <v>3032</v>
      </c>
      <c r="Z320">
        <v>1781427</v>
      </c>
    </row>
    <row r="321" spans="1:26" x14ac:dyDescent="0.25">
      <c r="A321">
        <v>317</v>
      </c>
      <c r="B321" t="s">
        <v>24</v>
      </c>
      <c r="C321" t="s">
        <v>25</v>
      </c>
      <c r="D321">
        <v>13</v>
      </c>
      <c r="E321" t="s">
        <v>65</v>
      </c>
      <c r="F321" t="s">
        <v>1591</v>
      </c>
      <c r="G321">
        <v>4467</v>
      </c>
      <c r="H321" t="s">
        <v>2040</v>
      </c>
      <c r="I321" t="s">
        <v>1873</v>
      </c>
      <c r="J321">
        <v>12</v>
      </c>
      <c r="K321">
        <v>1</v>
      </c>
      <c r="L321">
        <v>4.9768518518518521E-4</v>
      </c>
      <c r="M321" t="s">
        <v>117</v>
      </c>
      <c r="N321" t="s">
        <v>663</v>
      </c>
      <c r="O321" s="24">
        <v>46125</v>
      </c>
      <c r="P321">
        <v>606</v>
      </c>
      <c r="Q321" t="s">
        <v>34</v>
      </c>
      <c r="R321" s="24">
        <v>46136</v>
      </c>
      <c r="S321" s="51">
        <v>0.71111111111111114</v>
      </c>
      <c r="T321" s="51">
        <v>0.75694444444444442</v>
      </c>
      <c r="X321" t="s">
        <v>3069</v>
      </c>
      <c r="Y321" t="s">
        <v>3032</v>
      </c>
      <c r="Z321">
        <v>1781427</v>
      </c>
    </row>
    <row r="322" spans="1:26" x14ac:dyDescent="0.25">
      <c r="A322">
        <v>318</v>
      </c>
      <c r="B322" t="s">
        <v>24</v>
      </c>
      <c r="C322" t="s">
        <v>25</v>
      </c>
      <c r="D322">
        <v>13</v>
      </c>
      <c r="E322" t="s">
        <v>65</v>
      </c>
      <c r="F322" t="s">
        <v>66</v>
      </c>
      <c r="G322">
        <v>4467</v>
      </c>
      <c r="H322" t="s">
        <v>2041</v>
      </c>
      <c r="I322" t="s">
        <v>2042</v>
      </c>
      <c r="J322">
        <v>12</v>
      </c>
      <c r="K322">
        <v>1</v>
      </c>
      <c r="L322">
        <v>6.7129629629629625E-4</v>
      </c>
      <c r="M322" t="s">
        <v>117</v>
      </c>
      <c r="N322" t="s">
        <v>663</v>
      </c>
      <c r="O322" s="24">
        <v>46125</v>
      </c>
      <c r="P322">
        <v>606</v>
      </c>
      <c r="Q322" t="s">
        <v>34</v>
      </c>
      <c r="R322" s="24">
        <v>46136</v>
      </c>
      <c r="S322" s="51">
        <v>0.71111111111111114</v>
      </c>
      <c r="T322" s="51">
        <v>0.75694444444444442</v>
      </c>
      <c r="X322" t="s">
        <v>3069</v>
      </c>
      <c r="Y322" t="s">
        <v>3032</v>
      </c>
      <c r="Z322">
        <v>1781427</v>
      </c>
    </row>
    <row r="323" spans="1:26" x14ac:dyDescent="0.25">
      <c r="A323">
        <v>319</v>
      </c>
      <c r="B323" t="s">
        <v>24</v>
      </c>
      <c r="C323" t="s">
        <v>25</v>
      </c>
      <c r="D323">
        <v>13</v>
      </c>
      <c r="E323" t="s">
        <v>65</v>
      </c>
      <c r="F323" t="s">
        <v>66</v>
      </c>
      <c r="G323">
        <v>4467</v>
      </c>
      <c r="H323" t="s">
        <v>1937</v>
      </c>
      <c r="I323" t="s">
        <v>1938</v>
      </c>
      <c r="J323">
        <v>12</v>
      </c>
      <c r="K323">
        <v>1</v>
      </c>
      <c r="L323">
        <v>6.7129629629629625E-4</v>
      </c>
      <c r="M323" t="s">
        <v>117</v>
      </c>
      <c r="N323" t="s">
        <v>663</v>
      </c>
      <c r="O323" s="24">
        <v>46125</v>
      </c>
      <c r="P323">
        <v>606</v>
      </c>
      <c r="Q323" t="s">
        <v>34</v>
      </c>
      <c r="R323" s="24">
        <v>46136</v>
      </c>
      <c r="S323" s="51">
        <v>0.71111111111111114</v>
      </c>
      <c r="T323" s="51">
        <v>0.75694444444444442</v>
      </c>
      <c r="X323" t="s">
        <v>3069</v>
      </c>
      <c r="Y323" t="s">
        <v>3032</v>
      </c>
      <c r="Z323">
        <v>1781427</v>
      </c>
    </row>
    <row r="324" spans="1:26" x14ac:dyDescent="0.25">
      <c r="A324">
        <v>320</v>
      </c>
      <c r="B324" t="s">
        <v>24</v>
      </c>
      <c r="C324" t="s">
        <v>25</v>
      </c>
      <c r="D324">
        <v>13</v>
      </c>
      <c r="E324" t="s">
        <v>511</v>
      </c>
      <c r="F324" t="s">
        <v>512</v>
      </c>
      <c r="G324">
        <v>4467</v>
      </c>
      <c r="H324" t="s">
        <v>1961</v>
      </c>
      <c r="I324" t="s">
        <v>1962</v>
      </c>
      <c r="J324">
        <v>12</v>
      </c>
      <c r="K324">
        <v>2</v>
      </c>
      <c r="L324">
        <v>3.5648148148148145E-3</v>
      </c>
      <c r="M324" t="s">
        <v>117</v>
      </c>
      <c r="N324" t="s">
        <v>663</v>
      </c>
      <c r="O324" s="24">
        <v>46125</v>
      </c>
      <c r="P324">
        <v>606</v>
      </c>
      <c r="Q324" t="s">
        <v>34</v>
      </c>
      <c r="R324" s="24">
        <v>46136</v>
      </c>
      <c r="S324" s="51">
        <v>0.71111111111111114</v>
      </c>
      <c r="T324" s="51">
        <v>0.75694444444444442</v>
      </c>
      <c r="X324" t="s">
        <v>3069</v>
      </c>
      <c r="Y324" t="s">
        <v>3032</v>
      </c>
      <c r="Z324">
        <v>1781427</v>
      </c>
    </row>
    <row r="325" spans="1:26" x14ac:dyDescent="0.25">
      <c r="A325">
        <v>321</v>
      </c>
      <c r="B325" t="s">
        <v>24</v>
      </c>
      <c r="C325" t="s">
        <v>25</v>
      </c>
      <c r="D325">
        <v>13</v>
      </c>
      <c r="E325" t="s">
        <v>550</v>
      </c>
      <c r="F325" t="s">
        <v>550</v>
      </c>
      <c r="G325">
        <v>4467</v>
      </c>
      <c r="H325" t="s">
        <v>1975</v>
      </c>
      <c r="I325" t="s">
        <v>1976</v>
      </c>
      <c r="J325">
        <v>12</v>
      </c>
      <c r="K325">
        <v>1</v>
      </c>
      <c r="L325">
        <v>3.49537037037037E-3</v>
      </c>
      <c r="M325" t="s">
        <v>117</v>
      </c>
      <c r="N325" t="s">
        <v>663</v>
      </c>
      <c r="O325" s="24">
        <v>46125</v>
      </c>
      <c r="P325">
        <v>606</v>
      </c>
      <c r="Q325" t="s">
        <v>34</v>
      </c>
      <c r="R325" s="24">
        <v>46136</v>
      </c>
      <c r="S325" s="51">
        <v>0.71111111111111114</v>
      </c>
      <c r="T325" s="51">
        <v>0.75694444444444442</v>
      </c>
      <c r="X325" t="s">
        <v>3069</v>
      </c>
      <c r="Y325" t="s">
        <v>3032</v>
      </c>
      <c r="Z325">
        <v>1781427</v>
      </c>
    </row>
    <row r="326" spans="1:26" x14ac:dyDescent="0.25">
      <c r="A326">
        <v>322</v>
      </c>
      <c r="B326" t="s">
        <v>24</v>
      </c>
      <c r="C326" t="s">
        <v>25</v>
      </c>
      <c r="D326">
        <v>13</v>
      </c>
      <c r="E326" t="s">
        <v>152</v>
      </c>
      <c r="F326" t="s">
        <v>152</v>
      </c>
      <c r="G326">
        <v>4467</v>
      </c>
      <c r="H326" t="s">
        <v>1965</v>
      </c>
      <c r="I326" t="s">
        <v>1966</v>
      </c>
      <c r="J326">
        <v>12</v>
      </c>
      <c r="K326">
        <v>1</v>
      </c>
      <c r="L326">
        <v>2.0023148148148148E-3</v>
      </c>
      <c r="M326" t="s">
        <v>117</v>
      </c>
      <c r="N326" t="s">
        <v>663</v>
      </c>
      <c r="O326" s="24">
        <v>46125</v>
      </c>
      <c r="P326">
        <v>606</v>
      </c>
      <c r="Q326" t="s">
        <v>34</v>
      </c>
      <c r="R326" s="24">
        <v>46136</v>
      </c>
      <c r="S326" s="51">
        <v>0.71111111111111114</v>
      </c>
      <c r="T326" s="51">
        <v>0.75694444444444442</v>
      </c>
      <c r="X326" t="s">
        <v>3069</v>
      </c>
      <c r="Y326" t="s">
        <v>3032</v>
      </c>
      <c r="Z326">
        <v>1781427</v>
      </c>
    </row>
    <row r="327" spans="1:26" x14ac:dyDescent="0.25">
      <c r="A327">
        <v>323</v>
      </c>
      <c r="B327" t="s">
        <v>24</v>
      </c>
      <c r="C327" t="s">
        <v>25</v>
      </c>
      <c r="D327">
        <v>13</v>
      </c>
      <c r="E327" t="s">
        <v>1672</v>
      </c>
      <c r="F327" t="s">
        <v>498</v>
      </c>
      <c r="G327">
        <v>3387</v>
      </c>
      <c r="H327" t="s">
        <v>1977</v>
      </c>
      <c r="I327" t="s">
        <v>1978</v>
      </c>
      <c r="J327">
        <v>10</v>
      </c>
      <c r="K327">
        <v>10</v>
      </c>
      <c r="L327">
        <v>4.8032407407407407E-3</v>
      </c>
      <c r="M327" t="s">
        <v>117</v>
      </c>
      <c r="N327" t="s">
        <v>446</v>
      </c>
      <c r="O327" s="24">
        <v>46118</v>
      </c>
      <c r="P327">
        <v>606</v>
      </c>
      <c r="Q327" t="s">
        <v>34</v>
      </c>
      <c r="R327" s="24">
        <v>46113</v>
      </c>
      <c r="S327" s="51">
        <v>0.6069444444444444</v>
      </c>
      <c r="T327" s="51">
        <v>0.62777777777777777</v>
      </c>
      <c r="X327" t="s">
        <v>3070</v>
      </c>
      <c r="Y327" t="s">
        <v>3035</v>
      </c>
      <c r="Z327">
        <v>2733391</v>
      </c>
    </row>
    <row r="328" spans="1:26" x14ac:dyDescent="0.25">
      <c r="A328">
        <v>324</v>
      </c>
      <c r="B328" t="s">
        <v>24</v>
      </c>
      <c r="C328" t="s">
        <v>25</v>
      </c>
      <c r="D328">
        <v>13</v>
      </c>
      <c r="E328" t="s">
        <v>65</v>
      </c>
      <c r="F328" t="s">
        <v>66</v>
      </c>
      <c r="G328">
        <v>3387</v>
      </c>
      <c r="H328" t="s">
        <v>2044</v>
      </c>
      <c r="I328" t="s">
        <v>2045</v>
      </c>
      <c r="J328">
        <v>10</v>
      </c>
      <c r="K328">
        <v>1</v>
      </c>
      <c r="L328">
        <v>3.8425925925925923E-3</v>
      </c>
      <c r="M328" t="s">
        <v>117</v>
      </c>
      <c r="N328" t="s">
        <v>446</v>
      </c>
      <c r="O328" s="24">
        <v>46118</v>
      </c>
      <c r="P328">
        <v>606</v>
      </c>
      <c r="Q328" t="s">
        <v>34</v>
      </c>
      <c r="R328" s="24">
        <v>46113</v>
      </c>
      <c r="S328" s="51">
        <v>0.6069444444444444</v>
      </c>
      <c r="T328" s="51">
        <v>0.62777777777777777</v>
      </c>
      <c r="X328" t="s">
        <v>3070</v>
      </c>
      <c r="Y328" t="s">
        <v>3035</v>
      </c>
      <c r="Z328">
        <v>2733391</v>
      </c>
    </row>
    <row r="329" spans="1:26" x14ac:dyDescent="0.25">
      <c r="A329">
        <v>325</v>
      </c>
      <c r="B329" t="s">
        <v>24</v>
      </c>
      <c r="C329" t="s">
        <v>25</v>
      </c>
      <c r="D329">
        <v>13</v>
      </c>
      <c r="E329" t="s">
        <v>65</v>
      </c>
      <c r="F329" t="s">
        <v>368</v>
      </c>
      <c r="G329">
        <v>3387</v>
      </c>
      <c r="H329" t="s">
        <v>2014</v>
      </c>
      <c r="I329" t="s">
        <v>2015</v>
      </c>
      <c r="J329">
        <v>10</v>
      </c>
      <c r="K329">
        <v>1</v>
      </c>
      <c r="L329">
        <v>9.9537037037037042E-4</v>
      </c>
      <c r="M329" t="s">
        <v>117</v>
      </c>
      <c r="N329" t="s">
        <v>446</v>
      </c>
      <c r="O329" s="24">
        <v>46118</v>
      </c>
      <c r="P329">
        <v>606</v>
      </c>
      <c r="Q329" t="s">
        <v>34</v>
      </c>
      <c r="R329" s="24">
        <v>46113</v>
      </c>
      <c r="S329" s="51">
        <v>0.6069444444444444</v>
      </c>
      <c r="T329" s="51">
        <v>0.62777777777777777</v>
      </c>
      <c r="X329" t="s">
        <v>3070</v>
      </c>
      <c r="Y329" t="s">
        <v>3035</v>
      </c>
      <c r="Z329">
        <v>2733391</v>
      </c>
    </row>
    <row r="330" spans="1:26" x14ac:dyDescent="0.25">
      <c r="A330">
        <v>326</v>
      </c>
      <c r="B330" t="s">
        <v>24</v>
      </c>
      <c r="C330" t="s">
        <v>25</v>
      </c>
      <c r="D330">
        <v>13</v>
      </c>
      <c r="E330" t="s">
        <v>550</v>
      </c>
      <c r="F330" t="s">
        <v>512</v>
      </c>
      <c r="G330">
        <v>4482</v>
      </c>
      <c r="H330" t="s">
        <v>551</v>
      </c>
      <c r="I330" t="s">
        <v>119</v>
      </c>
      <c r="J330">
        <v>8</v>
      </c>
      <c r="K330">
        <v>1</v>
      </c>
      <c r="L330">
        <v>6.9212962962962961E-3</v>
      </c>
      <c r="M330" t="s">
        <v>117</v>
      </c>
      <c r="N330" t="s">
        <v>491</v>
      </c>
      <c r="O330" s="24">
        <v>46118</v>
      </c>
      <c r="P330">
        <v>603</v>
      </c>
      <c r="Q330" t="s">
        <v>34</v>
      </c>
      <c r="R330" s="24">
        <v>46113</v>
      </c>
      <c r="S330" s="51">
        <v>0.38541666666666669</v>
      </c>
      <c r="T330" s="51">
        <v>0.39027777777777778</v>
      </c>
      <c r="X330" t="s">
        <v>3071</v>
      </c>
      <c r="Y330" t="s">
        <v>3072</v>
      </c>
      <c r="Z330">
        <v>3219209</v>
      </c>
    </row>
    <row r="331" spans="1:26" x14ac:dyDescent="0.25">
      <c r="A331">
        <v>327</v>
      </c>
      <c r="B331" t="s">
        <v>24</v>
      </c>
      <c r="C331" t="s">
        <v>25</v>
      </c>
      <c r="D331">
        <v>13</v>
      </c>
      <c r="E331" t="s">
        <v>550</v>
      </c>
      <c r="F331" t="s">
        <v>512</v>
      </c>
      <c r="G331">
        <v>4483</v>
      </c>
      <c r="H331" t="s">
        <v>551</v>
      </c>
      <c r="I331" t="s">
        <v>119</v>
      </c>
      <c r="J331">
        <v>8</v>
      </c>
      <c r="K331">
        <v>1</v>
      </c>
      <c r="L331">
        <v>6.9212962962962961E-3</v>
      </c>
      <c r="M331" t="s">
        <v>117</v>
      </c>
      <c r="N331" t="s">
        <v>491</v>
      </c>
      <c r="O331" s="24">
        <v>46118</v>
      </c>
      <c r="P331">
        <v>603</v>
      </c>
      <c r="Q331" t="s">
        <v>34</v>
      </c>
      <c r="R331" s="24">
        <v>46113</v>
      </c>
      <c r="S331" s="51">
        <v>0.71736111111111112</v>
      </c>
      <c r="T331" s="51">
        <v>0.72291666666666665</v>
      </c>
      <c r="X331" t="s">
        <v>3073</v>
      </c>
      <c r="Y331" t="s">
        <v>3072</v>
      </c>
      <c r="Z331">
        <v>1742255</v>
      </c>
    </row>
    <row r="332" spans="1:26" x14ac:dyDescent="0.25">
      <c r="A332">
        <v>328</v>
      </c>
      <c r="B332" t="s">
        <v>24</v>
      </c>
      <c r="C332" t="s">
        <v>25</v>
      </c>
      <c r="D332">
        <v>13</v>
      </c>
      <c r="E332" t="s">
        <v>550</v>
      </c>
      <c r="F332" t="s">
        <v>512</v>
      </c>
      <c r="G332">
        <v>4484</v>
      </c>
      <c r="H332" t="s">
        <v>551</v>
      </c>
      <c r="I332" t="s">
        <v>119</v>
      </c>
      <c r="J332">
        <v>8</v>
      </c>
      <c r="K332">
        <v>1</v>
      </c>
      <c r="L332">
        <v>6.9212962962962961E-3</v>
      </c>
      <c r="M332" t="s">
        <v>117</v>
      </c>
      <c r="N332" t="s">
        <v>491</v>
      </c>
      <c r="O332" s="24">
        <v>46118</v>
      </c>
      <c r="P332">
        <v>603</v>
      </c>
      <c r="Q332" t="s">
        <v>34</v>
      </c>
      <c r="R332" s="24">
        <v>46113</v>
      </c>
      <c r="S332" s="51">
        <v>0.34375</v>
      </c>
      <c r="T332" s="51">
        <v>0.34861111111111109</v>
      </c>
      <c r="X332" t="s">
        <v>3074</v>
      </c>
      <c r="Y332" t="s">
        <v>3072</v>
      </c>
      <c r="Z332">
        <v>1742255</v>
      </c>
    </row>
    <row r="333" spans="1:26" x14ac:dyDescent="0.25">
      <c r="A333">
        <v>329</v>
      </c>
      <c r="B333" t="s">
        <v>24</v>
      </c>
      <c r="C333" t="s">
        <v>25</v>
      </c>
      <c r="D333">
        <v>13</v>
      </c>
      <c r="E333" t="s">
        <v>550</v>
      </c>
      <c r="F333" t="s">
        <v>512</v>
      </c>
      <c r="G333">
        <v>4485</v>
      </c>
      <c r="H333" t="s">
        <v>551</v>
      </c>
      <c r="I333" t="s">
        <v>119</v>
      </c>
      <c r="J333">
        <v>8</v>
      </c>
      <c r="K333">
        <v>1</v>
      </c>
      <c r="L333">
        <v>6.9212962962962961E-3</v>
      </c>
      <c r="M333" t="s">
        <v>117</v>
      </c>
      <c r="N333" t="s">
        <v>491</v>
      </c>
      <c r="O333" s="24">
        <v>46118</v>
      </c>
      <c r="P333">
        <v>603</v>
      </c>
      <c r="Q333" t="s">
        <v>34</v>
      </c>
      <c r="R333" s="24">
        <v>46113</v>
      </c>
      <c r="S333" s="51">
        <v>0.33541666666666664</v>
      </c>
      <c r="T333" s="51">
        <v>0.34166666666666667</v>
      </c>
      <c r="X333" t="s">
        <v>3075</v>
      </c>
      <c r="Y333" t="s">
        <v>3072</v>
      </c>
      <c r="Z333">
        <v>1742255</v>
      </c>
    </row>
    <row r="334" spans="1:26" x14ac:dyDescent="0.25">
      <c r="A334">
        <v>330</v>
      </c>
      <c r="B334" t="s">
        <v>24</v>
      </c>
      <c r="C334" t="s">
        <v>25</v>
      </c>
      <c r="D334">
        <v>13</v>
      </c>
      <c r="E334" t="s">
        <v>550</v>
      </c>
      <c r="F334" t="s">
        <v>512</v>
      </c>
      <c r="G334">
        <v>4486</v>
      </c>
      <c r="H334" t="s">
        <v>551</v>
      </c>
      <c r="I334" t="s">
        <v>119</v>
      </c>
      <c r="J334">
        <v>8</v>
      </c>
      <c r="K334">
        <v>1</v>
      </c>
      <c r="L334">
        <v>6.9212962962962961E-3</v>
      </c>
      <c r="M334" t="s">
        <v>117</v>
      </c>
      <c r="N334" t="s">
        <v>491</v>
      </c>
      <c r="O334" s="24">
        <v>46118</v>
      </c>
      <c r="P334">
        <v>603</v>
      </c>
      <c r="Q334" t="s">
        <v>34</v>
      </c>
      <c r="R334" s="24">
        <v>46113</v>
      </c>
      <c r="S334" s="51">
        <v>0.37777777777777777</v>
      </c>
      <c r="T334" s="51">
        <v>0.38263888888888886</v>
      </c>
      <c r="X334" t="s">
        <v>3076</v>
      </c>
      <c r="Y334" t="s">
        <v>3072</v>
      </c>
      <c r="Z334">
        <v>1742255</v>
      </c>
    </row>
    <row r="335" spans="1:26" x14ac:dyDescent="0.25">
      <c r="A335">
        <v>331</v>
      </c>
      <c r="B335" t="s">
        <v>24</v>
      </c>
      <c r="C335" t="s">
        <v>25</v>
      </c>
      <c r="D335">
        <v>13</v>
      </c>
      <c r="E335" t="s">
        <v>550</v>
      </c>
      <c r="F335" t="s">
        <v>512</v>
      </c>
      <c r="G335">
        <v>4487</v>
      </c>
      <c r="H335" t="s">
        <v>551</v>
      </c>
      <c r="I335" t="s">
        <v>119</v>
      </c>
      <c r="J335">
        <v>8</v>
      </c>
      <c r="K335">
        <v>1</v>
      </c>
      <c r="L335">
        <v>6.9212962962962961E-3</v>
      </c>
      <c r="M335" t="s">
        <v>117</v>
      </c>
      <c r="N335" t="s">
        <v>491</v>
      </c>
      <c r="O335" s="24">
        <v>46118</v>
      </c>
      <c r="P335">
        <v>603</v>
      </c>
      <c r="Q335" t="s">
        <v>34</v>
      </c>
      <c r="R335" s="24">
        <v>46113</v>
      </c>
      <c r="S335" s="51">
        <v>0.36527777777777776</v>
      </c>
      <c r="T335" s="51">
        <v>0.37013888888888891</v>
      </c>
      <c r="X335" t="s">
        <v>3077</v>
      </c>
      <c r="Y335" t="s">
        <v>3072</v>
      </c>
      <c r="Z335">
        <v>1742255</v>
      </c>
    </row>
    <row r="336" spans="1:26" x14ac:dyDescent="0.25">
      <c r="A336">
        <v>332</v>
      </c>
      <c r="B336" t="s">
        <v>24</v>
      </c>
      <c r="C336" t="s">
        <v>25</v>
      </c>
      <c r="D336">
        <v>13</v>
      </c>
      <c r="E336" t="s">
        <v>550</v>
      </c>
      <c r="F336" t="s">
        <v>512</v>
      </c>
      <c r="G336">
        <v>4489</v>
      </c>
      <c r="H336" t="s">
        <v>551</v>
      </c>
      <c r="I336" t="s">
        <v>119</v>
      </c>
      <c r="J336">
        <v>8</v>
      </c>
      <c r="K336">
        <v>1</v>
      </c>
      <c r="L336">
        <v>6.9212962962962961E-3</v>
      </c>
      <c r="M336" t="s">
        <v>117</v>
      </c>
      <c r="N336" t="s">
        <v>491</v>
      </c>
      <c r="O336" s="24">
        <v>46118</v>
      </c>
      <c r="P336">
        <v>603</v>
      </c>
      <c r="Q336" t="s">
        <v>34</v>
      </c>
      <c r="R336" s="24">
        <v>46113</v>
      </c>
      <c r="S336" s="51">
        <v>0.3576388888888889</v>
      </c>
      <c r="T336" s="51">
        <v>0.36249999999999999</v>
      </c>
      <c r="X336" t="s">
        <v>3078</v>
      </c>
      <c r="Y336" t="s">
        <v>3072</v>
      </c>
      <c r="Z336">
        <v>1742255</v>
      </c>
    </row>
    <row r="337" spans="1:26" x14ac:dyDescent="0.25">
      <c r="A337">
        <v>333</v>
      </c>
      <c r="B337" t="s">
        <v>24</v>
      </c>
      <c r="C337" t="s">
        <v>25</v>
      </c>
      <c r="D337">
        <v>13</v>
      </c>
      <c r="E337" t="s">
        <v>114</v>
      </c>
      <c r="F337" t="s">
        <v>115</v>
      </c>
      <c r="G337">
        <v>4490</v>
      </c>
      <c r="H337" t="s">
        <v>92</v>
      </c>
      <c r="I337" t="s">
        <v>116</v>
      </c>
      <c r="J337">
        <v>8</v>
      </c>
      <c r="K337">
        <v>1</v>
      </c>
      <c r="L337">
        <v>7.8819444444444449E-3</v>
      </c>
      <c r="M337" t="s">
        <v>117</v>
      </c>
      <c r="N337" t="s">
        <v>113</v>
      </c>
      <c r="O337" s="24">
        <v>46113</v>
      </c>
      <c r="P337">
        <v>603</v>
      </c>
      <c r="Q337" t="s">
        <v>34</v>
      </c>
      <c r="R337" s="24">
        <v>46113</v>
      </c>
      <c r="S337" s="51">
        <v>0.70416666666666672</v>
      </c>
      <c r="T337" s="51">
        <v>0.70972222222222225</v>
      </c>
      <c r="X337" t="s">
        <v>118</v>
      </c>
      <c r="Y337" t="s">
        <v>3072</v>
      </c>
      <c r="Z337">
        <v>1742255</v>
      </c>
    </row>
    <row r="338" spans="1:26" x14ac:dyDescent="0.25">
      <c r="A338">
        <v>334</v>
      </c>
      <c r="B338" t="s">
        <v>24</v>
      </c>
      <c r="C338" t="s">
        <v>25</v>
      </c>
      <c r="D338">
        <v>13</v>
      </c>
      <c r="E338" t="s">
        <v>114</v>
      </c>
      <c r="F338" t="s">
        <v>115</v>
      </c>
      <c r="G338">
        <v>4491</v>
      </c>
      <c r="H338" t="s">
        <v>93</v>
      </c>
      <c r="I338" t="s">
        <v>119</v>
      </c>
      <c r="J338">
        <v>8</v>
      </c>
      <c r="K338">
        <v>1</v>
      </c>
      <c r="L338">
        <v>6.9212962962962961E-3</v>
      </c>
      <c r="M338" t="s">
        <v>117</v>
      </c>
      <c r="N338" t="s">
        <v>113</v>
      </c>
      <c r="O338" s="24">
        <v>46113</v>
      </c>
      <c r="P338">
        <v>603</v>
      </c>
      <c r="Q338" t="s">
        <v>34</v>
      </c>
      <c r="R338" s="24">
        <v>46113</v>
      </c>
      <c r="S338" s="51">
        <v>0.69652777777777775</v>
      </c>
      <c r="T338" s="51">
        <v>0.70138888888888884</v>
      </c>
      <c r="X338" t="s">
        <v>120</v>
      </c>
      <c r="Y338" t="s">
        <v>3072</v>
      </c>
      <c r="Z338">
        <v>1742255</v>
      </c>
    </row>
    <row r="339" spans="1:26" x14ac:dyDescent="0.25">
      <c r="A339">
        <v>335</v>
      </c>
      <c r="B339" t="s">
        <v>24</v>
      </c>
      <c r="C339" t="s">
        <v>25</v>
      </c>
      <c r="D339">
        <v>13</v>
      </c>
      <c r="E339" t="s">
        <v>2397</v>
      </c>
      <c r="F339" t="s">
        <v>44</v>
      </c>
      <c r="G339">
        <v>4098</v>
      </c>
      <c r="H339" t="s">
        <v>48</v>
      </c>
      <c r="I339" t="s">
        <v>1119</v>
      </c>
      <c r="J339">
        <v>8</v>
      </c>
      <c r="K339">
        <v>10</v>
      </c>
      <c r="L339">
        <v>1.3229166666666667E-2</v>
      </c>
      <c r="M339" t="s">
        <v>3079</v>
      </c>
      <c r="X339" t="s">
        <v>3080</v>
      </c>
    </row>
    <row r="340" spans="1:26" x14ac:dyDescent="0.25">
      <c r="A340">
        <v>336</v>
      </c>
      <c r="B340" t="s">
        <v>24</v>
      </c>
      <c r="C340" t="s">
        <v>25</v>
      </c>
      <c r="D340">
        <v>13</v>
      </c>
      <c r="E340" t="s">
        <v>46</v>
      </c>
      <c r="F340" t="s">
        <v>44</v>
      </c>
      <c r="G340">
        <v>4099</v>
      </c>
      <c r="H340" t="s">
        <v>45</v>
      </c>
      <c r="I340" t="s">
        <v>1119</v>
      </c>
      <c r="J340">
        <v>8</v>
      </c>
      <c r="K340">
        <v>23</v>
      </c>
      <c r="L340">
        <v>2.8969907407407406E-2</v>
      </c>
      <c r="M340" t="s">
        <v>3079</v>
      </c>
      <c r="X340" t="s">
        <v>3081</v>
      </c>
    </row>
    <row r="341" spans="1:26" x14ac:dyDescent="0.25">
      <c r="A341">
        <v>337</v>
      </c>
      <c r="B341" t="s">
        <v>24</v>
      </c>
      <c r="C341" t="s">
        <v>25</v>
      </c>
      <c r="D341">
        <v>13</v>
      </c>
      <c r="E341" t="s">
        <v>47</v>
      </c>
      <c r="F341" t="s">
        <v>44</v>
      </c>
      <c r="G341">
        <v>4289</v>
      </c>
      <c r="H341" t="s">
        <v>45</v>
      </c>
      <c r="I341" t="s">
        <v>1119</v>
      </c>
      <c r="J341">
        <v>8</v>
      </c>
      <c r="K341">
        <v>23</v>
      </c>
      <c r="L341">
        <v>2.8912037037037035E-2</v>
      </c>
      <c r="M341" t="s">
        <v>3079</v>
      </c>
      <c r="X341" t="s">
        <v>3082</v>
      </c>
    </row>
    <row r="342" spans="1:26" x14ac:dyDescent="0.25">
      <c r="A342">
        <v>338</v>
      </c>
      <c r="B342" t="s">
        <v>24</v>
      </c>
      <c r="C342" t="s">
        <v>25</v>
      </c>
      <c r="D342">
        <v>13</v>
      </c>
      <c r="E342" t="s">
        <v>1585</v>
      </c>
      <c r="F342" t="s">
        <v>1585</v>
      </c>
      <c r="G342">
        <v>3523</v>
      </c>
      <c r="H342" t="s">
        <v>1635</v>
      </c>
      <c r="I342" t="s">
        <v>1636</v>
      </c>
      <c r="J342">
        <v>16</v>
      </c>
      <c r="K342">
        <v>1</v>
      </c>
      <c r="L342">
        <v>1.273148148148148E-3</v>
      </c>
      <c r="M342" t="s">
        <v>117</v>
      </c>
      <c r="N342" t="s">
        <v>446</v>
      </c>
      <c r="O342" s="24">
        <v>46118</v>
      </c>
      <c r="P342">
        <v>606</v>
      </c>
      <c r="Q342" t="s">
        <v>34</v>
      </c>
      <c r="R342" s="24">
        <v>46113</v>
      </c>
      <c r="S342" s="51">
        <v>0.35416666666666669</v>
      </c>
      <c r="T342" s="51">
        <v>0.38263888888888886</v>
      </c>
      <c r="X342" t="s">
        <v>3083</v>
      </c>
      <c r="Y342" t="s">
        <v>3035</v>
      </c>
      <c r="Z342">
        <v>2777656</v>
      </c>
    </row>
    <row r="343" spans="1:26" x14ac:dyDescent="0.25">
      <c r="A343">
        <v>339</v>
      </c>
      <c r="B343" t="s">
        <v>24</v>
      </c>
      <c r="C343" t="s">
        <v>25</v>
      </c>
      <c r="D343">
        <v>13</v>
      </c>
      <c r="E343" t="s">
        <v>367</v>
      </c>
      <c r="F343" t="s">
        <v>512</v>
      </c>
      <c r="G343">
        <v>3523</v>
      </c>
      <c r="H343" t="s">
        <v>1725</v>
      </c>
      <c r="I343" t="s">
        <v>1726</v>
      </c>
      <c r="J343">
        <v>16</v>
      </c>
      <c r="K343">
        <v>1</v>
      </c>
      <c r="L343">
        <v>1.0069444444444444E-3</v>
      </c>
      <c r="M343" t="s">
        <v>117</v>
      </c>
      <c r="N343" t="s">
        <v>446</v>
      </c>
      <c r="O343" s="24">
        <v>46118</v>
      </c>
      <c r="P343">
        <v>606</v>
      </c>
      <c r="Q343" t="s">
        <v>34</v>
      </c>
      <c r="R343" s="24">
        <v>46113</v>
      </c>
      <c r="S343" s="51">
        <v>0.35416666666666669</v>
      </c>
      <c r="T343" s="51">
        <v>0.38263888888888886</v>
      </c>
      <c r="X343" t="s">
        <v>3083</v>
      </c>
      <c r="Y343" t="s">
        <v>3035</v>
      </c>
      <c r="Z343">
        <v>2777656</v>
      </c>
    </row>
    <row r="344" spans="1:26" x14ac:dyDescent="0.25">
      <c r="A344">
        <v>340</v>
      </c>
      <c r="B344" t="s">
        <v>24</v>
      </c>
      <c r="C344" t="s">
        <v>25</v>
      </c>
      <c r="D344">
        <v>13</v>
      </c>
      <c r="E344" t="s">
        <v>65</v>
      </c>
      <c r="F344" t="s">
        <v>1589</v>
      </c>
      <c r="G344">
        <v>3523</v>
      </c>
      <c r="H344" t="s">
        <v>2069</v>
      </c>
      <c r="I344" t="s">
        <v>2070</v>
      </c>
      <c r="J344">
        <v>16</v>
      </c>
      <c r="K344">
        <v>1</v>
      </c>
      <c r="L344">
        <v>1.423611111111111E-3</v>
      </c>
      <c r="M344" t="s">
        <v>117</v>
      </c>
      <c r="N344" t="s">
        <v>446</v>
      </c>
      <c r="O344" s="24">
        <v>46118</v>
      </c>
      <c r="P344">
        <v>606</v>
      </c>
      <c r="Q344" t="s">
        <v>34</v>
      </c>
      <c r="R344" s="24">
        <v>46113</v>
      </c>
      <c r="S344" s="51">
        <v>0.35416666666666669</v>
      </c>
      <c r="T344" s="51">
        <v>0.38263888888888886</v>
      </c>
      <c r="X344" t="s">
        <v>3083</v>
      </c>
      <c r="Y344" t="s">
        <v>3035</v>
      </c>
      <c r="Z344">
        <v>2777656</v>
      </c>
    </row>
    <row r="345" spans="1:26" x14ac:dyDescent="0.25">
      <c r="A345">
        <v>341</v>
      </c>
      <c r="B345" t="s">
        <v>24</v>
      </c>
      <c r="C345" t="s">
        <v>25</v>
      </c>
      <c r="D345">
        <v>13</v>
      </c>
      <c r="E345" t="s">
        <v>65</v>
      </c>
      <c r="F345" t="s">
        <v>1591</v>
      </c>
      <c r="G345">
        <v>3523</v>
      </c>
      <c r="H345" t="s">
        <v>2071</v>
      </c>
      <c r="I345" t="s">
        <v>2070</v>
      </c>
      <c r="J345">
        <v>16</v>
      </c>
      <c r="K345">
        <v>1</v>
      </c>
      <c r="L345">
        <v>1.4583333333333332E-3</v>
      </c>
      <c r="M345" t="s">
        <v>117</v>
      </c>
      <c r="N345" t="s">
        <v>446</v>
      </c>
      <c r="O345" s="24">
        <v>46118</v>
      </c>
      <c r="P345">
        <v>606</v>
      </c>
      <c r="Q345" t="s">
        <v>34</v>
      </c>
      <c r="R345" s="24">
        <v>46113</v>
      </c>
      <c r="S345" s="51">
        <v>0.35416666666666669</v>
      </c>
      <c r="T345" s="51">
        <v>0.38263888888888886</v>
      </c>
      <c r="X345" t="s">
        <v>3083</v>
      </c>
      <c r="Y345" t="s">
        <v>3035</v>
      </c>
      <c r="Z345">
        <v>2777656</v>
      </c>
    </row>
    <row r="346" spans="1:26" x14ac:dyDescent="0.25">
      <c r="A346">
        <v>342</v>
      </c>
      <c r="B346" t="s">
        <v>24</v>
      </c>
      <c r="C346" t="s">
        <v>25</v>
      </c>
      <c r="D346">
        <v>13</v>
      </c>
      <c r="E346" t="s">
        <v>65</v>
      </c>
      <c r="F346" t="s">
        <v>512</v>
      </c>
      <c r="G346">
        <v>3523</v>
      </c>
      <c r="H346" t="s">
        <v>1767</v>
      </c>
      <c r="I346" t="s">
        <v>1768</v>
      </c>
      <c r="J346">
        <v>16</v>
      </c>
      <c r="K346">
        <v>2</v>
      </c>
      <c r="L346">
        <v>2.0023148148148148E-3</v>
      </c>
      <c r="M346" t="s">
        <v>117</v>
      </c>
      <c r="N346" t="s">
        <v>446</v>
      </c>
      <c r="O346" s="24">
        <v>46118</v>
      </c>
      <c r="P346">
        <v>606</v>
      </c>
      <c r="Q346" t="s">
        <v>34</v>
      </c>
      <c r="R346" s="24">
        <v>46113</v>
      </c>
      <c r="S346" s="51">
        <v>0.35416666666666669</v>
      </c>
      <c r="T346" s="51">
        <v>0.38263888888888886</v>
      </c>
      <c r="X346" t="s">
        <v>3083</v>
      </c>
      <c r="Y346" t="s">
        <v>3035</v>
      </c>
      <c r="Z346">
        <v>2777656</v>
      </c>
    </row>
    <row r="347" spans="1:26" x14ac:dyDescent="0.25">
      <c r="A347">
        <v>343</v>
      </c>
      <c r="B347" t="s">
        <v>24</v>
      </c>
      <c r="C347" t="s">
        <v>25</v>
      </c>
      <c r="D347">
        <v>13</v>
      </c>
      <c r="E347" t="s">
        <v>367</v>
      </c>
      <c r="F347" t="s">
        <v>367</v>
      </c>
      <c r="G347">
        <v>3523</v>
      </c>
      <c r="H347" t="s">
        <v>2072</v>
      </c>
      <c r="I347" t="s">
        <v>2073</v>
      </c>
      <c r="J347">
        <v>16</v>
      </c>
      <c r="K347">
        <v>1</v>
      </c>
      <c r="L347">
        <v>1.9675925925925924E-3</v>
      </c>
      <c r="M347" t="s">
        <v>117</v>
      </c>
      <c r="N347" t="s">
        <v>446</v>
      </c>
      <c r="O347" s="24">
        <v>46118</v>
      </c>
      <c r="P347">
        <v>606</v>
      </c>
      <c r="Q347" t="s">
        <v>34</v>
      </c>
      <c r="R347" s="24">
        <v>46113</v>
      </c>
      <c r="S347" s="51">
        <v>0.35416666666666669</v>
      </c>
      <c r="T347" s="51">
        <v>0.38263888888888886</v>
      </c>
      <c r="X347" t="s">
        <v>3083</v>
      </c>
      <c r="Y347" t="s">
        <v>3035</v>
      </c>
      <c r="Z347">
        <v>2777656</v>
      </c>
    </row>
    <row r="348" spans="1:26" x14ac:dyDescent="0.25">
      <c r="A348">
        <v>344</v>
      </c>
      <c r="B348" t="s">
        <v>24</v>
      </c>
      <c r="C348" t="s">
        <v>25</v>
      </c>
      <c r="D348">
        <v>13</v>
      </c>
      <c r="E348" t="s">
        <v>367</v>
      </c>
      <c r="F348" t="s">
        <v>367</v>
      </c>
      <c r="G348">
        <v>3523</v>
      </c>
      <c r="H348" t="s">
        <v>2074</v>
      </c>
      <c r="I348" t="s">
        <v>2073</v>
      </c>
      <c r="J348">
        <v>16</v>
      </c>
      <c r="K348">
        <v>1</v>
      </c>
      <c r="L348">
        <v>2.4305555555555556E-3</v>
      </c>
      <c r="M348" t="s">
        <v>117</v>
      </c>
      <c r="N348" t="s">
        <v>446</v>
      </c>
      <c r="O348" s="24">
        <v>46118</v>
      </c>
      <c r="P348">
        <v>606</v>
      </c>
      <c r="Q348" t="s">
        <v>34</v>
      </c>
      <c r="R348" s="24">
        <v>46113</v>
      </c>
      <c r="S348" s="51">
        <v>0.35416666666666669</v>
      </c>
      <c r="T348" s="51">
        <v>0.38263888888888886</v>
      </c>
      <c r="X348" t="s">
        <v>3083</v>
      </c>
      <c r="Y348" t="s">
        <v>3035</v>
      </c>
      <c r="Z348">
        <v>2777656</v>
      </c>
    </row>
    <row r="349" spans="1:26" x14ac:dyDescent="0.25">
      <c r="A349">
        <v>345</v>
      </c>
      <c r="B349" t="s">
        <v>24</v>
      </c>
      <c r="C349" t="s">
        <v>25</v>
      </c>
      <c r="D349">
        <v>13</v>
      </c>
      <c r="E349" t="s">
        <v>1585</v>
      </c>
      <c r="F349" t="s">
        <v>1585</v>
      </c>
      <c r="G349">
        <v>3522</v>
      </c>
      <c r="H349" t="s">
        <v>1635</v>
      </c>
      <c r="I349" t="s">
        <v>1636</v>
      </c>
      <c r="J349">
        <v>16</v>
      </c>
      <c r="K349">
        <v>4</v>
      </c>
      <c r="L349">
        <v>4.9074074074074072E-3</v>
      </c>
      <c r="M349" t="s">
        <v>117</v>
      </c>
      <c r="N349" t="s">
        <v>239</v>
      </c>
      <c r="O349" s="24">
        <v>46114</v>
      </c>
      <c r="P349">
        <v>605</v>
      </c>
      <c r="Q349" t="s">
        <v>34</v>
      </c>
      <c r="R349" s="24">
        <v>46136</v>
      </c>
      <c r="S349" s="51">
        <v>0.62152777777777779</v>
      </c>
      <c r="T349" s="51">
        <v>0.66180555555555554</v>
      </c>
      <c r="X349" t="s">
        <v>3084</v>
      </c>
      <c r="Y349" t="s">
        <v>3029</v>
      </c>
      <c r="Z349">
        <v>2777669</v>
      </c>
    </row>
    <row r="350" spans="1:26" x14ac:dyDescent="0.25">
      <c r="A350">
        <v>346</v>
      </c>
      <c r="B350" t="s">
        <v>24</v>
      </c>
      <c r="C350" t="s">
        <v>25</v>
      </c>
      <c r="D350">
        <v>13</v>
      </c>
      <c r="E350" t="s">
        <v>131</v>
      </c>
      <c r="F350" t="s">
        <v>115</v>
      </c>
      <c r="G350">
        <v>3522</v>
      </c>
      <c r="H350" t="s">
        <v>2076</v>
      </c>
      <c r="I350" t="s">
        <v>2077</v>
      </c>
      <c r="J350">
        <v>16</v>
      </c>
      <c r="K350">
        <v>1</v>
      </c>
      <c r="L350">
        <v>1.9328703703703704E-3</v>
      </c>
      <c r="M350" t="s">
        <v>117</v>
      </c>
      <c r="N350" t="s">
        <v>239</v>
      </c>
      <c r="O350" s="24">
        <v>46114</v>
      </c>
      <c r="P350">
        <v>605</v>
      </c>
      <c r="Q350" t="s">
        <v>34</v>
      </c>
      <c r="R350" s="24">
        <v>46136</v>
      </c>
      <c r="S350" s="51">
        <v>0.62152777777777779</v>
      </c>
      <c r="T350" s="51">
        <v>0.66180555555555554</v>
      </c>
      <c r="X350" t="s">
        <v>3084</v>
      </c>
      <c r="Y350" t="s">
        <v>3029</v>
      </c>
      <c r="Z350">
        <v>2777669</v>
      </c>
    </row>
    <row r="351" spans="1:26" x14ac:dyDescent="0.25">
      <c r="A351">
        <v>347</v>
      </c>
      <c r="B351" t="s">
        <v>24</v>
      </c>
      <c r="C351" t="s">
        <v>25</v>
      </c>
      <c r="D351">
        <v>13</v>
      </c>
      <c r="E351" t="s">
        <v>530</v>
      </c>
      <c r="F351" t="s">
        <v>512</v>
      </c>
      <c r="G351">
        <v>3522</v>
      </c>
      <c r="H351" t="s">
        <v>2078</v>
      </c>
      <c r="I351" t="s">
        <v>2079</v>
      </c>
      <c r="J351">
        <v>16</v>
      </c>
      <c r="K351">
        <v>1</v>
      </c>
      <c r="L351">
        <v>1.0763888888888889E-3</v>
      </c>
      <c r="M351" t="s">
        <v>117</v>
      </c>
      <c r="N351" t="s">
        <v>239</v>
      </c>
      <c r="O351" s="24">
        <v>46114</v>
      </c>
      <c r="P351">
        <v>605</v>
      </c>
      <c r="Q351" t="s">
        <v>34</v>
      </c>
      <c r="R351" s="24">
        <v>46136</v>
      </c>
      <c r="S351" s="51">
        <v>0.62152777777777779</v>
      </c>
      <c r="T351" s="51">
        <v>0.66180555555555554</v>
      </c>
      <c r="X351" t="s">
        <v>3084</v>
      </c>
      <c r="Y351" t="s">
        <v>3029</v>
      </c>
      <c r="Z351">
        <v>2777669</v>
      </c>
    </row>
    <row r="352" spans="1:26" x14ac:dyDescent="0.25">
      <c r="A352">
        <v>348</v>
      </c>
      <c r="B352" t="s">
        <v>24</v>
      </c>
      <c r="C352" t="s">
        <v>25</v>
      </c>
      <c r="D352">
        <v>13</v>
      </c>
      <c r="E352" t="s">
        <v>129</v>
      </c>
      <c r="F352" t="s">
        <v>115</v>
      </c>
      <c r="G352">
        <v>3522</v>
      </c>
      <c r="H352" t="s">
        <v>2080</v>
      </c>
      <c r="I352" t="s">
        <v>2077</v>
      </c>
      <c r="J352">
        <v>16</v>
      </c>
      <c r="K352">
        <v>1</v>
      </c>
      <c r="L352">
        <v>1.7824074074074072E-3</v>
      </c>
      <c r="M352" t="s">
        <v>117</v>
      </c>
      <c r="N352" t="s">
        <v>239</v>
      </c>
      <c r="O352" s="24">
        <v>46114</v>
      </c>
      <c r="P352">
        <v>605</v>
      </c>
      <c r="Q352" t="s">
        <v>34</v>
      </c>
      <c r="R352" s="24">
        <v>46136</v>
      </c>
      <c r="S352" s="51">
        <v>0.62152777777777779</v>
      </c>
      <c r="T352" s="51">
        <v>0.66180555555555554</v>
      </c>
      <c r="X352" t="s">
        <v>3084</v>
      </c>
      <c r="Y352" t="s">
        <v>3029</v>
      </c>
      <c r="Z352">
        <v>2777669</v>
      </c>
    </row>
    <row r="353" spans="1:26" x14ac:dyDescent="0.25">
      <c r="A353">
        <v>349</v>
      </c>
      <c r="B353" t="s">
        <v>24</v>
      </c>
      <c r="C353" t="s">
        <v>25</v>
      </c>
      <c r="D353">
        <v>13</v>
      </c>
      <c r="E353" t="s">
        <v>367</v>
      </c>
      <c r="F353" t="s">
        <v>512</v>
      </c>
      <c r="G353">
        <v>3522</v>
      </c>
      <c r="H353" t="s">
        <v>2081</v>
      </c>
      <c r="I353" t="s">
        <v>2082</v>
      </c>
      <c r="J353">
        <v>16</v>
      </c>
      <c r="K353">
        <v>1</v>
      </c>
      <c r="L353">
        <v>1.1111111111111111E-3</v>
      </c>
      <c r="M353" t="s">
        <v>117</v>
      </c>
      <c r="N353" t="s">
        <v>239</v>
      </c>
      <c r="O353" s="24">
        <v>46114</v>
      </c>
      <c r="P353">
        <v>605</v>
      </c>
      <c r="Q353" t="s">
        <v>34</v>
      </c>
      <c r="R353" s="24">
        <v>46136</v>
      </c>
      <c r="S353" s="51">
        <v>0.62152777777777779</v>
      </c>
      <c r="T353" s="51">
        <v>0.66180555555555554</v>
      </c>
      <c r="X353" t="s">
        <v>3084</v>
      </c>
      <c r="Y353" t="s">
        <v>3029</v>
      </c>
      <c r="Z353">
        <v>2777669</v>
      </c>
    </row>
    <row r="354" spans="1:26" x14ac:dyDescent="0.25">
      <c r="A354">
        <v>350</v>
      </c>
      <c r="B354" t="s">
        <v>24</v>
      </c>
      <c r="C354" t="s">
        <v>25</v>
      </c>
      <c r="D354">
        <v>13</v>
      </c>
      <c r="E354" t="s">
        <v>530</v>
      </c>
      <c r="F354" t="s">
        <v>512</v>
      </c>
      <c r="G354">
        <v>4079</v>
      </c>
      <c r="H354" t="s">
        <v>531</v>
      </c>
      <c r="I354" t="s">
        <v>119</v>
      </c>
      <c r="J354">
        <v>8</v>
      </c>
      <c r="K354">
        <v>1</v>
      </c>
      <c r="L354">
        <v>6.9212962962962961E-3</v>
      </c>
      <c r="M354" t="s">
        <v>117</v>
      </c>
      <c r="N354" t="s">
        <v>491</v>
      </c>
      <c r="O354" s="24">
        <v>46118</v>
      </c>
      <c r="P354">
        <v>603</v>
      </c>
      <c r="Q354" t="s">
        <v>34</v>
      </c>
      <c r="R354" s="24">
        <v>46113</v>
      </c>
      <c r="S354" s="51">
        <v>0.46250000000000002</v>
      </c>
      <c r="T354" s="51">
        <v>0.46736111111111112</v>
      </c>
      <c r="X354" t="s">
        <v>3085</v>
      </c>
      <c r="Y354" t="s">
        <v>3072</v>
      </c>
      <c r="Z354">
        <v>2733753</v>
      </c>
    </row>
    <row r="355" spans="1:26" x14ac:dyDescent="0.25">
      <c r="A355">
        <v>351</v>
      </c>
      <c r="B355" t="s">
        <v>24</v>
      </c>
      <c r="C355" t="s">
        <v>25</v>
      </c>
      <c r="D355">
        <v>13</v>
      </c>
      <c r="E355" t="s">
        <v>530</v>
      </c>
      <c r="F355" t="s">
        <v>512</v>
      </c>
      <c r="G355">
        <v>4080</v>
      </c>
      <c r="H355" t="s">
        <v>531</v>
      </c>
      <c r="I355" t="s">
        <v>119</v>
      </c>
      <c r="J355">
        <v>8</v>
      </c>
      <c r="K355">
        <v>1</v>
      </c>
      <c r="L355">
        <v>6.9212962962962961E-3</v>
      </c>
      <c r="M355" t="s">
        <v>117</v>
      </c>
      <c r="N355" t="s">
        <v>491</v>
      </c>
      <c r="O355" s="24">
        <v>46118</v>
      </c>
      <c r="P355">
        <v>603</v>
      </c>
      <c r="Q355" t="s">
        <v>34</v>
      </c>
      <c r="R355" s="24">
        <v>46113</v>
      </c>
      <c r="S355" s="51">
        <v>0.41249999999999998</v>
      </c>
      <c r="T355" s="51">
        <v>0.41875000000000001</v>
      </c>
      <c r="X355" t="s">
        <v>3086</v>
      </c>
      <c r="Y355" t="s">
        <v>3072</v>
      </c>
      <c r="Z355">
        <v>2733753</v>
      </c>
    </row>
    <row r="356" spans="1:26" x14ac:dyDescent="0.25">
      <c r="A356">
        <v>352</v>
      </c>
      <c r="B356" t="s">
        <v>24</v>
      </c>
      <c r="C356" t="s">
        <v>25</v>
      </c>
      <c r="D356">
        <v>13</v>
      </c>
      <c r="E356" t="s">
        <v>530</v>
      </c>
      <c r="F356" t="s">
        <v>44</v>
      </c>
      <c r="G356">
        <v>4081</v>
      </c>
      <c r="H356" t="s">
        <v>2364</v>
      </c>
      <c r="I356" t="s">
        <v>2284</v>
      </c>
      <c r="J356">
        <v>8</v>
      </c>
      <c r="K356">
        <v>2</v>
      </c>
      <c r="L356">
        <v>3.2291666666666666E-3</v>
      </c>
      <c r="M356" t="s">
        <v>117</v>
      </c>
      <c r="N356" t="s">
        <v>113</v>
      </c>
      <c r="O356" s="24">
        <v>46113</v>
      </c>
      <c r="P356">
        <v>603</v>
      </c>
      <c r="Q356" t="s">
        <v>34</v>
      </c>
      <c r="R356" s="24">
        <v>46113</v>
      </c>
      <c r="S356" s="51">
        <v>0.71458333333333335</v>
      </c>
      <c r="T356" s="51">
        <v>0.72222222222222221</v>
      </c>
      <c r="X356" t="s">
        <v>124</v>
      </c>
      <c r="Y356" t="s">
        <v>3072</v>
      </c>
      <c r="Z356">
        <v>1742255</v>
      </c>
    </row>
    <row r="357" spans="1:26" x14ac:dyDescent="0.25">
      <c r="A357">
        <v>353</v>
      </c>
      <c r="B357" t="s">
        <v>24</v>
      </c>
      <c r="C357" t="s">
        <v>25</v>
      </c>
      <c r="D357">
        <v>13</v>
      </c>
      <c r="E357" t="s">
        <v>129</v>
      </c>
      <c r="F357" t="s">
        <v>115</v>
      </c>
      <c r="G357">
        <v>4081</v>
      </c>
      <c r="H357" t="s">
        <v>2366</v>
      </c>
      <c r="I357" t="s">
        <v>116</v>
      </c>
      <c r="J357">
        <v>8</v>
      </c>
      <c r="K357">
        <v>1</v>
      </c>
      <c r="L357">
        <v>7.4074074074074068E-3</v>
      </c>
      <c r="M357" t="s">
        <v>117</v>
      </c>
      <c r="N357" t="s">
        <v>113</v>
      </c>
      <c r="O357" s="24">
        <v>46113</v>
      </c>
      <c r="P357">
        <v>603</v>
      </c>
      <c r="Q357" t="s">
        <v>34</v>
      </c>
      <c r="R357" s="24">
        <v>46113</v>
      </c>
      <c r="S357" s="51">
        <v>0.71458333333333335</v>
      </c>
      <c r="T357" s="51">
        <v>0.72222222222222221</v>
      </c>
      <c r="X357" t="s">
        <v>124</v>
      </c>
      <c r="Y357" t="s">
        <v>3072</v>
      </c>
      <c r="Z357">
        <v>1742255</v>
      </c>
    </row>
    <row r="358" spans="1:26" x14ac:dyDescent="0.25">
      <c r="A358">
        <v>354</v>
      </c>
      <c r="B358" t="s">
        <v>24</v>
      </c>
      <c r="C358" t="s">
        <v>25</v>
      </c>
      <c r="D358">
        <v>13</v>
      </c>
      <c r="E358" t="s">
        <v>1665</v>
      </c>
      <c r="F358" t="s">
        <v>115</v>
      </c>
      <c r="G358">
        <v>4258</v>
      </c>
      <c r="H358" t="s">
        <v>2113</v>
      </c>
      <c r="I358" t="s">
        <v>2111</v>
      </c>
      <c r="J358">
        <v>8</v>
      </c>
      <c r="K358">
        <v>1</v>
      </c>
      <c r="L358">
        <v>5.7870370370370367E-4</v>
      </c>
      <c r="M358" t="s">
        <v>117</v>
      </c>
      <c r="N358" t="s">
        <v>113</v>
      </c>
      <c r="O358" s="24">
        <v>46113</v>
      </c>
      <c r="P358">
        <v>603</v>
      </c>
      <c r="Q358" t="s">
        <v>34</v>
      </c>
      <c r="R358" s="24">
        <v>46113</v>
      </c>
      <c r="S358" s="51">
        <v>0.39791666666666664</v>
      </c>
      <c r="T358" s="51">
        <v>0.40625</v>
      </c>
      <c r="X358" t="s">
        <v>128</v>
      </c>
      <c r="Y358" t="s">
        <v>3072</v>
      </c>
      <c r="Z358">
        <v>1742255</v>
      </c>
    </row>
    <row r="359" spans="1:26" x14ac:dyDescent="0.25">
      <c r="A359">
        <v>355</v>
      </c>
      <c r="B359" t="s">
        <v>24</v>
      </c>
      <c r="C359" t="s">
        <v>25</v>
      </c>
      <c r="D359">
        <v>13</v>
      </c>
      <c r="E359" t="s">
        <v>530</v>
      </c>
      <c r="F359" t="s">
        <v>44</v>
      </c>
      <c r="G359">
        <v>4258</v>
      </c>
      <c r="H359" t="s">
        <v>2364</v>
      </c>
      <c r="I359" t="s">
        <v>2284</v>
      </c>
      <c r="J359">
        <v>8</v>
      </c>
      <c r="K359">
        <v>1</v>
      </c>
      <c r="L359">
        <v>1.5972222222222221E-3</v>
      </c>
      <c r="M359" t="s">
        <v>117</v>
      </c>
      <c r="N359" t="s">
        <v>113</v>
      </c>
      <c r="O359" s="24">
        <v>46113</v>
      </c>
      <c r="P359">
        <v>603</v>
      </c>
      <c r="Q359" t="s">
        <v>34</v>
      </c>
      <c r="R359" s="24">
        <v>46113</v>
      </c>
      <c r="S359" s="51">
        <v>0.39791666666666664</v>
      </c>
      <c r="T359" s="51">
        <v>0.40625</v>
      </c>
      <c r="X359" t="s">
        <v>128</v>
      </c>
      <c r="Y359" t="s">
        <v>3072</v>
      </c>
      <c r="Z359">
        <v>1742255</v>
      </c>
    </row>
    <row r="360" spans="1:26" x14ac:dyDescent="0.25">
      <c r="A360">
        <v>356</v>
      </c>
      <c r="B360" t="s">
        <v>24</v>
      </c>
      <c r="C360" t="s">
        <v>25</v>
      </c>
      <c r="D360">
        <v>13</v>
      </c>
      <c r="E360" t="s">
        <v>530</v>
      </c>
      <c r="F360" t="s">
        <v>44</v>
      </c>
      <c r="G360">
        <v>4258</v>
      </c>
      <c r="H360" t="s">
        <v>2448</v>
      </c>
      <c r="I360" t="s">
        <v>2049</v>
      </c>
      <c r="J360">
        <v>8</v>
      </c>
      <c r="K360">
        <v>1</v>
      </c>
      <c r="L360">
        <v>1.261574074074074E-3</v>
      </c>
      <c r="M360" t="s">
        <v>117</v>
      </c>
      <c r="N360" t="s">
        <v>113</v>
      </c>
      <c r="O360" s="24">
        <v>46113</v>
      </c>
      <c r="P360">
        <v>603</v>
      </c>
      <c r="Q360" t="s">
        <v>34</v>
      </c>
      <c r="R360" s="24">
        <v>46113</v>
      </c>
      <c r="S360" s="51">
        <v>0.39791666666666664</v>
      </c>
      <c r="T360" s="51">
        <v>0.40625</v>
      </c>
      <c r="X360" t="s">
        <v>128</v>
      </c>
      <c r="Y360" t="s">
        <v>3072</v>
      </c>
      <c r="Z360">
        <v>1742255</v>
      </c>
    </row>
    <row r="361" spans="1:26" x14ac:dyDescent="0.25">
      <c r="A361">
        <v>357</v>
      </c>
      <c r="B361" t="s">
        <v>24</v>
      </c>
      <c r="C361" t="s">
        <v>25</v>
      </c>
      <c r="D361">
        <v>13</v>
      </c>
      <c r="E361" t="s">
        <v>131</v>
      </c>
      <c r="F361" t="s">
        <v>115</v>
      </c>
      <c r="G361">
        <v>4258</v>
      </c>
      <c r="H361" t="s">
        <v>2449</v>
      </c>
      <c r="I361" t="s">
        <v>116</v>
      </c>
      <c r="J361">
        <v>8</v>
      </c>
      <c r="K361">
        <v>1</v>
      </c>
      <c r="L361">
        <v>7.3495370370370364E-3</v>
      </c>
      <c r="M361" t="s">
        <v>117</v>
      </c>
      <c r="N361" t="s">
        <v>113</v>
      </c>
      <c r="O361" s="24">
        <v>46113</v>
      </c>
      <c r="P361">
        <v>603</v>
      </c>
      <c r="Q361" t="s">
        <v>34</v>
      </c>
      <c r="R361" s="24">
        <v>46113</v>
      </c>
      <c r="S361" s="51">
        <v>0.39791666666666664</v>
      </c>
      <c r="T361" s="51">
        <v>0.40625</v>
      </c>
      <c r="X361" t="s">
        <v>128</v>
      </c>
      <c r="Y361" t="s">
        <v>3072</v>
      </c>
      <c r="Z361">
        <v>1742255</v>
      </c>
    </row>
    <row r="362" spans="1:26" x14ac:dyDescent="0.25">
      <c r="A362">
        <v>358</v>
      </c>
      <c r="B362" t="s">
        <v>24</v>
      </c>
      <c r="C362" t="s">
        <v>25</v>
      </c>
      <c r="D362">
        <v>13</v>
      </c>
      <c r="E362" t="s">
        <v>114</v>
      </c>
      <c r="F362" t="s">
        <v>498</v>
      </c>
      <c r="G362">
        <v>3816</v>
      </c>
      <c r="H362" t="s">
        <v>502</v>
      </c>
      <c r="I362" t="s">
        <v>500</v>
      </c>
      <c r="J362">
        <v>8</v>
      </c>
      <c r="K362">
        <v>1</v>
      </c>
      <c r="L362">
        <v>6.875E-3</v>
      </c>
      <c r="M362" t="s">
        <v>117</v>
      </c>
      <c r="N362" t="s">
        <v>491</v>
      </c>
      <c r="O362" s="24">
        <v>46118</v>
      </c>
      <c r="P362">
        <v>603</v>
      </c>
      <c r="Q362" t="s">
        <v>34</v>
      </c>
      <c r="R362" s="24">
        <v>46113</v>
      </c>
      <c r="S362" s="51">
        <v>0.48472222222222222</v>
      </c>
      <c r="T362" s="51">
        <v>0.48958333333333331</v>
      </c>
      <c r="X362" t="s">
        <v>3087</v>
      </c>
      <c r="Y362" t="s">
        <v>3072</v>
      </c>
      <c r="Z362">
        <v>1742255</v>
      </c>
    </row>
    <row r="363" spans="1:26" x14ac:dyDescent="0.25">
      <c r="A363">
        <v>359</v>
      </c>
      <c r="B363" t="s">
        <v>24</v>
      </c>
      <c r="C363" t="s">
        <v>25</v>
      </c>
      <c r="D363">
        <v>13</v>
      </c>
      <c r="E363" t="s">
        <v>133</v>
      </c>
      <c r="F363" t="s">
        <v>512</v>
      </c>
      <c r="G363">
        <v>4481</v>
      </c>
      <c r="H363" t="s">
        <v>91</v>
      </c>
      <c r="I363" t="s">
        <v>119</v>
      </c>
      <c r="J363">
        <v>8</v>
      </c>
      <c r="K363">
        <v>1</v>
      </c>
      <c r="L363">
        <v>7.2916666666666668E-3</v>
      </c>
      <c r="M363" t="s">
        <v>117</v>
      </c>
      <c r="N363" t="s">
        <v>760</v>
      </c>
      <c r="O363" s="24">
        <v>46125</v>
      </c>
      <c r="P363">
        <v>603</v>
      </c>
      <c r="Q363" t="s">
        <v>34</v>
      </c>
      <c r="R363" s="24">
        <v>46113</v>
      </c>
      <c r="S363" s="51">
        <v>0.70347222222222228</v>
      </c>
      <c r="T363" s="51">
        <v>0.70833333333333337</v>
      </c>
      <c r="X363" t="s">
        <v>3088</v>
      </c>
      <c r="Y363" t="s">
        <v>3072</v>
      </c>
      <c r="Z363">
        <v>1742385</v>
      </c>
    </row>
    <row r="364" spans="1:26" x14ac:dyDescent="0.25">
      <c r="A364">
        <v>360</v>
      </c>
      <c r="B364" t="s">
        <v>24</v>
      </c>
      <c r="C364" t="s">
        <v>25</v>
      </c>
      <c r="D364">
        <v>13</v>
      </c>
      <c r="E364" t="s">
        <v>129</v>
      </c>
      <c r="F364" t="s">
        <v>498</v>
      </c>
      <c r="G364">
        <v>4084</v>
      </c>
      <c r="H364" t="s">
        <v>539</v>
      </c>
      <c r="I364" t="s">
        <v>500</v>
      </c>
      <c r="J364">
        <v>8</v>
      </c>
      <c r="K364">
        <v>1</v>
      </c>
      <c r="L364">
        <v>6.875E-3</v>
      </c>
      <c r="M364" t="s">
        <v>117</v>
      </c>
      <c r="N364" t="s">
        <v>491</v>
      </c>
      <c r="O364" s="24">
        <v>46118</v>
      </c>
      <c r="P364">
        <v>603</v>
      </c>
      <c r="Q364" t="s">
        <v>34</v>
      </c>
      <c r="R364" s="24">
        <v>46113</v>
      </c>
      <c r="S364" s="51">
        <v>0.55277777777777781</v>
      </c>
      <c r="T364" s="51">
        <v>0.55694444444444446</v>
      </c>
      <c r="X364" t="s">
        <v>3089</v>
      </c>
      <c r="Y364" t="s">
        <v>3072</v>
      </c>
      <c r="Z364">
        <v>1742314</v>
      </c>
    </row>
    <row r="365" spans="1:26" x14ac:dyDescent="0.25">
      <c r="A365">
        <v>361</v>
      </c>
      <c r="B365" t="s">
        <v>24</v>
      </c>
      <c r="C365" t="s">
        <v>25</v>
      </c>
      <c r="D365">
        <v>13</v>
      </c>
      <c r="E365" t="s">
        <v>129</v>
      </c>
      <c r="F365" t="s">
        <v>498</v>
      </c>
      <c r="G365">
        <v>3819</v>
      </c>
      <c r="H365" t="s">
        <v>504</v>
      </c>
      <c r="I365" t="s">
        <v>505</v>
      </c>
      <c r="J365">
        <v>8</v>
      </c>
      <c r="K365">
        <v>1</v>
      </c>
      <c r="L365">
        <v>6.8402777777777776E-3</v>
      </c>
      <c r="M365" t="s">
        <v>117</v>
      </c>
      <c r="N365" t="s">
        <v>491</v>
      </c>
      <c r="O365" s="24">
        <v>46118</v>
      </c>
      <c r="P365">
        <v>603</v>
      </c>
      <c r="Q365" t="s">
        <v>34</v>
      </c>
      <c r="R365" s="24">
        <v>46113</v>
      </c>
      <c r="S365" s="51">
        <v>0.5444444444444444</v>
      </c>
      <c r="T365" s="51">
        <v>0.55000000000000004</v>
      </c>
      <c r="X365" t="s">
        <v>3090</v>
      </c>
      <c r="Y365" t="s">
        <v>3072</v>
      </c>
      <c r="Z365">
        <v>1742314</v>
      </c>
    </row>
    <row r="366" spans="1:26" x14ac:dyDescent="0.25">
      <c r="A366">
        <v>362</v>
      </c>
      <c r="B366" t="s">
        <v>24</v>
      </c>
      <c r="C366" t="s">
        <v>25</v>
      </c>
      <c r="D366">
        <v>13</v>
      </c>
      <c r="E366" t="s">
        <v>147</v>
      </c>
      <c r="F366" t="s">
        <v>512</v>
      </c>
      <c r="G366">
        <v>4085</v>
      </c>
      <c r="H366" t="s">
        <v>2352</v>
      </c>
      <c r="I366" t="s">
        <v>2161</v>
      </c>
      <c r="J366">
        <v>8</v>
      </c>
      <c r="K366">
        <v>3</v>
      </c>
      <c r="L366">
        <v>5.0925925925925921E-3</v>
      </c>
      <c r="M366" t="s">
        <v>117</v>
      </c>
      <c r="N366" t="s">
        <v>159</v>
      </c>
      <c r="O366" s="24">
        <v>46109</v>
      </c>
      <c r="P366">
        <v>605</v>
      </c>
      <c r="Q366" t="s">
        <v>34</v>
      </c>
      <c r="R366" s="24">
        <v>46113</v>
      </c>
      <c r="S366" s="51">
        <v>0.85763888888888884</v>
      </c>
      <c r="T366" s="51">
        <v>0.87361111111111112</v>
      </c>
      <c r="X366" t="s">
        <v>198</v>
      </c>
      <c r="Y366" t="s">
        <v>3032</v>
      </c>
    </row>
    <row r="367" spans="1:26" x14ac:dyDescent="0.25">
      <c r="A367">
        <v>363</v>
      </c>
      <c r="B367" t="s">
        <v>24</v>
      </c>
      <c r="C367" t="s">
        <v>25</v>
      </c>
      <c r="D367">
        <v>13</v>
      </c>
      <c r="E367" t="s">
        <v>133</v>
      </c>
      <c r="F367" t="s">
        <v>115</v>
      </c>
      <c r="G367">
        <v>4085</v>
      </c>
      <c r="H367" t="s">
        <v>2369</v>
      </c>
      <c r="I367" t="s">
        <v>2138</v>
      </c>
      <c r="J367">
        <v>8</v>
      </c>
      <c r="K367">
        <v>1</v>
      </c>
      <c r="L367">
        <v>6.7013888888888887E-3</v>
      </c>
      <c r="M367" t="s">
        <v>117</v>
      </c>
      <c r="N367" t="s">
        <v>159</v>
      </c>
      <c r="O367" s="24">
        <v>46109</v>
      </c>
      <c r="P367">
        <v>605</v>
      </c>
      <c r="Q367" t="s">
        <v>34</v>
      </c>
      <c r="R367" s="24">
        <v>46113</v>
      </c>
      <c r="S367" s="51">
        <v>0.85763888888888884</v>
      </c>
      <c r="T367" s="51">
        <v>0.87361111111111112</v>
      </c>
      <c r="X367" t="s">
        <v>198</v>
      </c>
      <c r="Y367" t="s">
        <v>3032</v>
      </c>
    </row>
    <row r="368" spans="1:26" x14ac:dyDescent="0.25">
      <c r="A368">
        <v>364</v>
      </c>
      <c r="B368" t="s">
        <v>24</v>
      </c>
      <c r="C368" t="s">
        <v>25</v>
      </c>
      <c r="D368">
        <v>13</v>
      </c>
      <c r="E368" t="s">
        <v>129</v>
      </c>
      <c r="F368" t="s">
        <v>512</v>
      </c>
      <c r="G368">
        <v>4085</v>
      </c>
      <c r="H368" t="s">
        <v>2370</v>
      </c>
      <c r="I368" t="s">
        <v>2371</v>
      </c>
      <c r="J368">
        <v>8</v>
      </c>
      <c r="K368">
        <v>1</v>
      </c>
      <c r="L368">
        <v>1.8634259259259259E-3</v>
      </c>
      <c r="M368" t="s">
        <v>117</v>
      </c>
      <c r="N368" t="s">
        <v>159</v>
      </c>
      <c r="O368" s="24">
        <v>46109</v>
      </c>
      <c r="P368">
        <v>605</v>
      </c>
      <c r="Q368" t="s">
        <v>34</v>
      </c>
      <c r="R368" s="24">
        <v>46113</v>
      </c>
      <c r="S368" s="51">
        <v>0.85763888888888884</v>
      </c>
      <c r="T368" s="51">
        <v>0.87361111111111112</v>
      </c>
      <c r="X368" t="s">
        <v>198</v>
      </c>
      <c r="Y368" t="s">
        <v>3032</v>
      </c>
    </row>
    <row r="369" spans="1:26" x14ac:dyDescent="0.25">
      <c r="A369">
        <v>365</v>
      </c>
      <c r="B369" t="s">
        <v>24</v>
      </c>
      <c r="C369" t="s">
        <v>25</v>
      </c>
      <c r="D369">
        <v>13</v>
      </c>
      <c r="E369" t="s">
        <v>1665</v>
      </c>
      <c r="F369" t="s">
        <v>115</v>
      </c>
      <c r="G369">
        <v>4259</v>
      </c>
      <c r="H369" t="s">
        <v>2113</v>
      </c>
      <c r="I369" t="s">
        <v>2111</v>
      </c>
      <c r="J369">
        <v>8</v>
      </c>
      <c r="K369">
        <v>1</v>
      </c>
      <c r="L369">
        <v>6.0185185185185179E-4</v>
      </c>
      <c r="M369" t="s">
        <v>117</v>
      </c>
      <c r="N369" t="s">
        <v>159</v>
      </c>
      <c r="O369" s="24">
        <v>46109</v>
      </c>
      <c r="P369">
        <v>605</v>
      </c>
      <c r="Q369" t="s">
        <v>34</v>
      </c>
      <c r="R369" s="24">
        <v>46113</v>
      </c>
      <c r="S369" s="51">
        <v>4.8611111111111112E-2</v>
      </c>
      <c r="T369" s="51">
        <v>7.2916666666666671E-2</v>
      </c>
      <c r="X369" t="s">
        <v>218</v>
      </c>
      <c r="Y369" t="s">
        <v>3032</v>
      </c>
    </row>
    <row r="370" spans="1:26" x14ac:dyDescent="0.25">
      <c r="A370">
        <v>366</v>
      </c>
      <c r="B370" t="s">
        <v>24</v>
      </c>
      <c r="C370" t="s">
        <v>25</v>
      </c>
      <c r="D370">
        <v>13</v>
      </c>
      <c r="E370" t="s">
        <v>1665</v>
      </c>
      <c r="F370" t="s">
        <v>115</v>
      </c>
      <c r="G370">
        <v>4259</v>
      </c>
      <c r="H370" t="s">
        <v>2356</v>
      </c>
      <c r="I370" t="s">
        <v>2310</v>
      </c>
      <c r="J370">
        <v>8</v>
      </c>
      <c r="K370">
        <v>6</v>
      </c>
      <c r="L370">
        <v>1.1006944444444444E-2</v>
      </c>
      <c r="M370" t="s">
        <v>117</v>
      </c>
      <c r="N370" t="s">
        <v>159</v>
      </c>
      <c r="O370" s="24">
        <v>46109</v>
      </c>
      <c r="P370">
        <v>605</v>
      </c>
      <c r="Q370" t="s">
        <v>34</v>
      </c>
      <c r="R370" s="24">
        <v>46113</v>
      </c>
      <c r="S370" s="51">
        <v>4.8611111111111112E-2</v>
      </c>
      <c r="T370" s="51">
        <v>7.2916666666666671E-2</v>
      </c>
      <c r="X370" t="s">
        <v>218</v>
      </c>
      <c r="Y370" t="s">
        <v>3032</v>
      </c>
    </row>
    <row r="371" spans="1:26" x14ac:dyDescent="0.25">
      <c r="A371">
        <v>367</v>
      </c>
      <c r="B371" t="s">
        <v>24</v>
      </c>
      <c r="C371" t="s">
        <v>25</v>
      </c>
      <c r="D371">
        <v>13</v>
      </c>
      <c r="E371" t="s">
        <v>65</v>
      </c>
      <c r="F371" t="s">
        <v>368</v>
      </c>
      <c r="G371">
        <v>3423</v>
      </c>
      <c r="H371" t="s">
        <v>1625</v>
      </c>
      <c r="I371" t="s">
        <v>1626</v>
      </c>
      <c r="J371">
        <v>8</v>
      </c>
      <c r="K371">
        <v>4</v>
      </c>
      <c r="L371">
        <v>3.3680555555555556E-3</v>
      </c>
      <c r="M371" t="s">
        <v>117</v>
      </c>
      <c r="N371" t="s">
        <v>159</v>
      </c>
      <c r="O371" s="24">
        <v>46109</v>
      </c>
      <c r="P371">
        <v>605</v>
      </c>
      <c r="Q371" t="s">
        <v>34</v>
      </c>
      <c r="R371" s="24">
        <v>46113</v>
      </c>
      <c r="S371" s="51">
        <v>6.9444444444444441E-3</v>
      </c>
      <c r="T371" s="51">
        <v>2.4305555555555556E-2</v>
      </c>
      <c r="X371" t="s">
        <v>164</v>
      </c>
      <c r="Y371" t="s">
        <v>3032</v>
      </c>
    </row>
    <row r="372" spans="1:26" x14ac:dyDescent="0.25">
      <c r="A372">
        <v>368</v>
      </c>
      <c r="B372" t="s">
        <v>24</v>
      </c>
      <c r="C372" t="s">
        <v>25</v>
      </c>
      <c r="D372">
        <v>13</v>
      </c>
      <c r="E372" t="s">
        <v>65</v>
      </c>
      <c r="F372" t="s">
        <v>368</v>
      </c>
      <c r="G372">
        <v>3423</v>
      </c>
      <c r="H372" t="s">
        <v>1627</v>
      </c>
      <c r="I372" t="s">
        <v>1628</v>
      </c>
      <c r="J372">
        <v>8</v>
      </c>
      <c r="K372">
        <v>2</v>
      </c>
      <c r="L372">
        <v>1.5740740740740741E-3</v>
      </c>
      <c r="M372" t="s">
        <v>117</v>
      </c>
      <c r="N372" t="s">
        <v>159</v>
      </c>
      <c r="O372" s="24">
        <v>46109</v>
      </c>
      <c r="P372">
        <v>605</v>
      </c>
      <c r="Q372" t="s">
        <v>34</v>
      </c>
      <c r="R372" s="24">
        <v>46113</v>
      </c>
      <c r="S372" s="51">
        <v>6.9444444444444441E-3</v>
      </c>
      <c r="T372" s="51">
        <v>2.4305555555555556E-2</v>
      </c>
      <c r="X372" t="s">
        <v>164</v>
      </c>
      <c r="Y372" t="s">
        <v>3032</v>
      </c>
    </row>
    <row r="373" spans="1:26" x14ac:dyDescent="0.25">
      <c r="A373">
        <v>369</v>
      </c>
      <c r="B373" t="s">
        <v>24</v>
      </c>
      <c r="C373" t="s">
        <v>25</v>
      </c>
      <c r="D373">
        <v>13</v>
      </c>
      <c r="E373" t="s">
        <v>65</v>
      </c>
      <c r="F373" t="s">
        <v>368</v>
      </c>
      <c r="G373">
        <v>3423</v>
      </c>
      <c r="H373" t="s">
        <v>1629</v>
      </c>
      <c r="I373" t="s">
        <v>1630</v>
      </c>
      <c r="J373">
        <v>8</v>
      </c>
      <c r="K373">
        <v>1</v>
      </c>
      <c r="L373">
        <v>9.1435185185185185E-4</v>
      </c>
      <c r="M373" t="s">
        <v>117</v>
      </c>
      <c r="N373" t="s">
        <v>159</v>
      </c>
      <c r="O373" s="24">
        <v>46109</v>
      </c>
      <c r="P373">
        <v>605</v>
      </c>
      <c r="Q373" t="s">
        <v>34</v>
      </c>
      <c r="R373" s="24">
        <v>46113</v>
      </c>
      <c r="S373" s="51">
        <v>6.9444444444444441E-3</v>
      </c>
      <c r="T373" s="51">
        <v>2.4305555555555556E-2</v>
      </c>
      <c r="X373" t="s">
        <v>164</v>
      </c>
      <c r="Y373" t="s">
        <v>3032</v>
      </c>
    </row>
    <row r="374" spans="1:26" x14ac:dyDescent="0.25">
      <c r="A374">
        <v>370</v>
      </c>
      <c r="B374" t="s">
        <v>24</v>
      </c>
      <c r="C374" t="s">
        <v>25</v>
      </c>
      <c r="D374">
        <v>13</v>
      </c>
      <c r="E374" t="s">
        <v>65</v>
      </c>
      <c r="F374" t="s">
        <v>1590</v>
      </c>
      <c r="G374">
        <v>3423</v>
      </c>
      <c r="H374" t="s">
        <v>1631</v>
      </c>
      <c r="I374" t="s">
        <v>1632</v>
      </c>
      <c r="J374">
        <v>8</v>
      </c>
      <c r="K374">
        <v>1</v>
      </c>
      <c r="L374">
        <v>3.5763888888888889E-3</v>
      </c>
      <c r="M374" t="s">
        <v>117</v>
      </c>
      <c r="N374" t="s">
        <v>159</v>
      </c>
      <c r="O374" s="24">
        <v>46109</v>
      </c>
      <c r="P374">
        <v>605</v>
      </c>
      <c r="Q374" t="s">
        <v>34</v>
      </c>
      <c r="R374" s="24">
        <v>46113</v>
      </c>
      <c r="S374" s="51">
        <v>6.9444444444444441E-3</v>
      </c>
      <c r="T374" s="51">
        <v>2.4305555555555556E-2</v>
      </c>
      <c r="X374" t="s">
        <v>164</v>
      </c>
      <c r="Y374" t="s">
        <v>3032</v>
      </c>
    </row>
    <row r="375" spans="1:26" x14ac:dyDescent="0.25">
      <c r="A375">
        <v>371</v>
      </c>
      <c r="B375" t="s">
        <v>24</v>
      </c>
      <c r="C375" t="s">
        <v>25</v>
      </c>
      <c r="D375">
        <v>13</v>
      </c>
      <c r="E375" t="s">
        <v>114</v>
      </c>
      <c r="F375" t="s">
        <v>115</v>
      </c>
      <c r="G375">
        <v>3984</v>
      </c>
      <c r="H375" t="s">
        <v>2184</v>
      </c>
      <c r="I375" t="s">
        <v>2138</v>
      </c>
      <c r="J375">
        <v>8</v>
      </c>
      <c r="K375">
        <v>1</v>
      </c>
      <c r="L375">
        <v>6.4236111111111108E-3</v>
      </c>
      <c r="M375" t="s">
        <v>117</v>
      </c>
      <c r="N375" t="s">
        <v>159</v>
      </c>
      <c r="O375" s="24">
        <v>46109</v>
      </c>
      <c r="P375">
        <v>605</v>
      </c>
      <c r="Q375" t="s">
        <v>34</v>
      </c>
      <c r="R375" s="24">
        <v>46113</v>
      </c>
      <c r="S375" s="51">
        <v>0.76736111111111116</v>
      </c>
      <c r="T375" s="51">
        <v>0.78125</v>
      </c>
      <c r="X375" t="s">
        <v>179</v>
      </c>
      <c r="Y375" t="s">
        <v>3032</v>
      </c>
    </row>
    <row r="376" spans="1:26" x14ac:dyDescent="0.25">
      <c r="A376">
        <v>372</v>
      </c>
      <c r="B376" t="s">
        <v>24</v>
      </c>
      <c r="C376" t="s">
        <v>25</v>
      </c>
      <c r="D376">
        <v>13</v>
      </c>
      <c r="E376" t="s">
        <v>150</v>
      </c>
      <c r="F376" t="s">
        <v>512</v>
      </c>
      <c r="G376">
        <v>3984</v>
      </c>
      <c r="H376" t="s">
        <v>2160</v>
      </c>
      <c r="I376" t="s">
        <v>2161</v>
      </c>
      <c r="J376">
        <v>8</v>
      </c>
      <c r="K376">
        <v>2</v>
      </c>
      <c r="L376">
        <v>3.2523148148148147E-3</v>
      </c>
      <c r="M376" t="s">
        <v>117</v>
      </c>
      <c r="N376" t="s">
        <v>159</v>
      </c>
      <c r="O376" s="24">
        <v>46109</v>
      </c>
      <c r="P376">
        <v>605</v>
      </c>
      <c r="Q376" t="s">
        <v>34</v>
      </c>
      <c r="R376" s="24">
        <v>46113</v>
      </c>
      <c r="S376" s="51">
        <v>0.76736111111111116</v>
      </c>
      <c r="T376" s="51">
        <v>0.78125</v>
      </c>
      <c r="X376" t="s">
        <v>179</v>
      </c>
      <c r="Y376" t="s">
        <v>3032</v>
      </c>
    </row>
    <row r="377" spans="1:26" x14ac:dyDescent="0.25">
      <c r="A377">
        <v>373</v>
      </c>
      <c r="B377" t="s">
        <v>24</v>
      </c>
      <c r="C377" t="s">
        <v>25</v>
      </c>
      <c r="D377">
        <v>13</v>
      </c>
      <c r="E377" t="s">
        <v>65</v>
      </c>
      <c r="F377" t="s">
        <v>368</v>
      </c>
      <c r="G377">
        <v>3984</v>
      </c>
      <c r="H377" t="s">
        <v>2171</v>
      </c>
      <c r="I377" t="s">
        <v>2172</v>
      </c>
      <c r="J377">
        <v>8</v>
      </c>
      <c r="K377">
        <v>1</v>
      </c>
      <c r="L377">
        <v>5.6712962962962956E-4</v>
      </c>
      <c r="M377" t="s">
        <v>117</v>
      </c>
      <c r="N377" t="s">
        <v>159</v>
      </c>
      <c r="O377" s="24">
        <v>46109</v>
      </c>
      <c r="P377">
        <v>605</v>
      </c>
      <c r="Q377" t="s">
        <v>34</v>
      </c>
      <c r="R377" s="24">
        <v>46113</v>
      </c>
      <c r="S377" s="51">
        <v>0.76736111111111116</v>
      </c>
      <c r="T377" s="51">
        <v>0.78125</v>
      </c>
      <c r="X377" t="s">
        <v>179</v>
      </c>
      <c r="Y377" t="s">
        <v>3032</v>
      </c>
    </row>
    <row r="378" spans="1:26" x14ac:dyDescent="0.25">
      <c r="A378">
        <v>374</v>
      </c>
      <c r="B378" t="s">
        <v>24</v>
      </c>
      <c r="C378" t="s">
        <v>25</v>
      </c>
      <c r="D378">
        <v>13</v>
      </c>
      <c r="E378" t="s">
        <v>65</v>
      </c>
      <c r="F378" t="s">
        <v>1589</v>
      </c>
      <c r="G378">
        <v>3984</v>
      </c>
      <c r="H378" t="s">
        <v>2186</v>
      </c>
      <c r="I378" t="s">
        <v>2187</v>
      </c>
      <c r="J378">
        <v>8</v>
      </c>
      <c r="K378">
        <v>1</v>
      </c>
      <c r="L378">
        <v>1.6319444444444443E-3</v>
      </c>
      <c r="M378" t="s">
        <v>117</v>
      </c>
      <c r="N378" t="s">
        <v>159</v>
      </c>
      <c r="O378" s="24">
        <v>46109</v>
      </c>
      <c r="P378">
        <v>605</v>
      </c>
      <c r="Q378" t="s">
        <v>34</v>
      </c>
      <c r="R378" s="24">
        <v>46113</v>
      </c>
      <c r="S378" s="51">
        <v>0.76736111111111116</v>
      </c>
      <c r="T378" s="51">
        <v>0.78125</v>
      </c>
      <c r="X378" t="s">
        <v>179</v>
      </c>
      <c r="Y378" t="s">
        <v>3032</v>
      </c>
    </row>
    <row r="379" spans="1:26" x14ac:dyDescent="0.25">
      <c r="A379">
        <v>375</v>
      </c>
      <c r="B379" t="s">
        <v>24</v>
      </c>
      <c r="C379" t="s">
        <v>25</v>
      </c>
      <c r="D379">
        <v>13</v>
      </c>
      <c r="E379" t="s">
        <v>65</v>
      </c>
      <c r="F379" t="s">
        <v>1591</v>
      </c>
      <c r="G379">
        <v>3984</v>
      </c>
      <c r="H379" t="s">
        <v>2188</v>
      </c>
      <c r="I379" t="s">
        <v>2189</v>
      </c>
      <c r="J379">
        <v>8</v>
      </c>
      <c r="K379">
        <v>1</v>
      </c>
      <c r="L379">
        <v>1.6319444444444443E-3</v>
      </c>
      <c r="M379" t="s">
        <v>117</v>
      </c>
      <c r="N379" t="s">
        <v>159</v>
      </c>
      <c r="O379" s="24">
        <v>46109</v>
      </c>
      <c r="P379">
        <v>605</v>
      </c>
      <c r="Q379" t="s">
        <v>34</v>
      </c>
      <c r="R379" s="24">
        <v>46113</v>
      </c>
      <c r="S379" s="51">
        <v>0.76736111111111116</v>
      </c>
      <c r="T379" s="51">
        <v>0.78125</v>
      </c>
      <c r="X379" t="s">
        <v>179</v>
      </c>
      <c r="Y379" t="s">
        <v>3032</v>
      </c>
    </row>
    <row r="380" spans="1:26" x14ac:dyDescent="0.25">
      <c r="A380">
        <v>376</v>
      </c>
      <c r="B380" t="s">
        <v>24</v>
      </c>
      <c r="C380" t="s">
        <v>25</v>
      </c>
      <c r="D380">
        <v>13</v>
      </c>
      <c r="E380" t="s">
        <v>65</v>
      </c>
      <c r="F380" t="s">
        <v>512</v>
      </c>
      <c r="G380">
        <v>3984</v>
      </c>
      <c r="H380" t="s">
        <v>2190</v>
      </c>
      <c r="I380" t="s">
        <v>2191</v>
      </c>
      <c r="J380">
        <v>8</v>
      </c>
      <c r="K380">
        <v>1</v>
      </c>
      <c r="L380">
        <v>8.9120370370370362E-4</v>
      </c>
      <c r="M380" t="s">
        <v>117</v>
      </c>
      <c r="N380" t="s">
        <v>159</v>
      </c>
      <c r="O380" s="24">
        <v>46109</v>
      </c>
      <c r="P380">
        <v>605</v>
      </c>
      <c r="Q380" t="s">
        <v>34</v>
      </c>
      <c r="R380" s="24">
        <v>46113</v>
      </c>
      <c r="S380" s="51">
        <v>0.76736111111111116</v>
      </c>
      <c r="T380" s="51">
        <v>0.78125</v>
      </c>
      <c r="X380" t="s">
        <v>179</v>
      </c>
      <c r="Y380" t="s">
        <v>3032</v>
      </c>
    </row>
    <row r="381" spans="1:26" x14ac:dyDescent="0.25">
      <c r="A381">
        <v>377</v>
      </c>
      <c r="B381" t="s">
        <v>24</v>
      </c>
      <c r="C381" t="s">
        <v>25</v>
      </c>
      <c r="D381">
        <v>13</v>
      </c>
      <c r="E381" t="s">
        <v>367</v>
      </c>
      <c r="F381" t="s">
        <v>368</v>
      </c>
      <c r="G381">
        <v>3425</v>
      </c>
      <c r="H381" t="s">
        <v>369</v>
      </c>
      <c r="I381" t="s">
        <v>370</v>
      </c>
      <c r="J381">
        <v>8</v>
      </c>
      <c r="K381">
        <v>1</v>
      </c>
      <c r="L381">
        <v>6.898148148148148E-3</v>
      </c>
      <c r="M381" t="s">
        <v>117</v>
      </c>
      <c r="N381" t="s">
        <v>351</v>
      </c>
      <c r="O381" s="24">
        <v>46114</v>
      </c>
      <c r="P381">
        <v>606</v>
      </c>
      <c r="Q381" t="s">
        <v>34</v>
      </c>
      <c r="R381" s="24">
        <v>46136</v>
      </c>
      <c r="S381" s="51">
        <v>0.47152777777777777</v>
      </c>
      <c r="T381" s="51">
        <v>0.4777777777777778</v>
      </c>
      <c r="X381" t="s">
        <v>3091</v>
      </c>
      <c r="Y381" t="s">
        <v>3035</v>
      </c>
      <c r="Z381">
        <v>2733740</v>
      </c>
    </row>
    <row r="382" spans="1:26" x14ac:dyDescent="0.25">
      <c r="A382">
        <v>378</v>
      </c>
      <c r="B382" t="s">
        <v>24</v>
      </c>
      <c r="C382" t="s">
        <v>25</v>
      </c>
      <c r="D382">
        <v>13</v>
      </c>
      <c r="E382" t="s">
        <v>1672</v>
      </c>
      <c r="F382" t="s">
        <v>498</v>
      </c>
      <c r="G382">
        <v>4473</v>
      </c>
      <c r="H382" t="s">
        <v>2480</v>
      </c>
      <c r="I382" t="s">
        <v>2193</v>
      </c>
      <c r="J382">
        <v>8</v>
      </c>
      <c r="K382">
        <v>1</v>
      </c>
      <c r="L382">
        <v>5.6018518518518518E-3</v>
      </c>
      <c r="M382" t="s">
        <v>117</v>
      </c>
      <c r="N382" t="s">
        <v>491</v>
      </c>
      <c r="O382" s="24">
        <v>46118</v>
      </c>
      <c r="P382">
        <v>603</v>
      </c>
      <c r="Q382" t="s">
        <v>34</v>
      </c>
      <c r="R382" s="24">
        <v>46113</v>
      </c>
      <c r="S382" s="51">
        <v>0.58125000000000004</v>
      </c>
      <c r="T382" s="51">
        <v>0.58819444444444446</v>
      </c>
      <c r="X382" t="s">
        <v>3092</v>
      </c>
      <c r="Y382" t="s">
        <v>3072</v>
      </c>
      <c r="Z382">
        <v>2784148</v>
      </c>
    </row>
    <row r="383" spans="1:26" x14ac:dyDescent="0.25">
      <c r="A383">
        <v>379</v>
      </c>
      <c r="B383" t="s">
        <v>24</v>
      </c>
      <c r="C383" t="s">
        <v>25</v>
      </c>
      <c r="D383">
        <v>13</v>
      </c>
      <c r="E383" t="s">
        <v>65</v>
      </c>
      <c r="F383" t="s">
        <v>65</v>
      </c>
      <c r="G383">
        <v>4473</v>
      </c>
      <c r="H383" t="s">
        <v>2092</v>
      </c>
      <c r="I383" t="s">
        <v>2093</v>
      </c>
      <c r="J383">
        <v>8</v>
      </c>
      <c r="K383">
        <v>3</v>
      </c>
      <c r="L383">
        <v>1.9560185185185184E-3</v>
      </c>
      <c r="M383" t="s">
        <v>117</v>
      </c>
      <c r="N383" t="s">
        <v>491</v>
      </c>
      <c r="O383" s="24">
        <v>46118</v>
      </c>
      <c r="P383">
        <v>603</v>
      </c>
      <c r="Q383" t="s">
        <v>34</v>
      </c>
      <c r="R383" s="24">
        <v>46113</v>
      </c>
      <c r="S383" s="51">
        <v>0.58125000000000004</v>
      </c>
      <c r="T383" s="51">
        <v>0.58819444444444446</v>
      </c>
      <c r="X383" t="s">
        <v>3092</v>
      </c>
      <c r="Y383" t="s">
        <v>3072</v>
      </c>
      <c r="Z383">
        <v>2784148</v>
      </c>
    </row>
    <row r="384" spans="1:26" x14ac:dyDescent="0.25">
      <c r="A384">
        <v>380</v>
      </c>
      <c r="B384" t="s">
        <v>24</v>
      </c>
      <c r="C384" t="s">
        <v>25</v>
      </c>
      <c r="D384">
        <v>13</v>
      </c>
      <c r="E384" t="s">
        <v>2195</v>
      </c>
      <c r="F384" t="s">
        <v>44</v>
      </c>
      <c r="G384">
        <v>4473</v>
      </c>
      <c r="H384" t="s">
        <v>54</v>
      </c>
      <c r="I384" t="s">
        <v>1119</v>
      </c>
      <c r="J384">
        <v>8</v>
      </c>
      <c r="K384">
        <v>1</v>
      </c>
      <c r="L384">
        <v>1.25E-3</v>
      </c>
      <c r="M384" t="s">
        <v>117</v>
      </c>
      <c r="N384" t="s">
        <v>491</v>
      </c>
      <c r="O384" s="24">
        <v>46118</v>
      </c>
      <c r="P384">
        <v>603</v>
      </c>
      <c r="Q384" t="s">
        <v>34</v>
      </c>
      <c r="R384" s="24">
        <v>46113</v>
      </c>
      <c r="S384" s="51">
        <v>0.58125000000000004</v>
      </c>
      <c r="T384" s="51">
        <v>0.58819444444444446</v>
      </c>
      <c r="X384" t="s">
        <v>3092</v>
      </c>
      <c r="Y384" t="s">
        <v>3072</v>
      </c>
      <c r="Z384">
        <v>2784148</v>
      </c>
    </row>
    <row r="385" spans="1:26" x14ac:dyDescent="0.25">
      <c r="A385">
        <v>381</v>
      </c>
      <c r="B385" t="s">
        <v>24</v>
      </c>
      <c r="C385" t="s">
        <v>25</v>
      </c>
      <c r="D385">
        <v>13</v>
      </c>
      <c r="E385" t="s">
        <v>1665</v>
      </c>
      <c r="F385" t="s">
        <v>498</v>
      </c>
      <c r="G385">
        <v>3986</v>
      </c>
      <c r="H385" t="s">
        <v>2192</v>
      </c>
      <c r="I385" t="s">
        <v>2193</v>
      </c>
      <c r="J385">
        <v>8</v>
      </c>
      <c r="K385">
        <v>1</v>
      </c>
      <c r="L385">
        <v>5.7870370370370367E-3</v>
      </c>
      <c r="M385" t="s">
        <v>117</v>
      </c>
      <c r="N385" t="s">
        <v>491</v>
      </c>
      <c r="O385" s="24">
        <v>46118</v>
      </c>
      <c r="P385">
        <v>603</v>
      </c>
      <c r="Q385" t="s">
        <v>34</v>
      </c>
      <c r="R385" s="24">
        <v>46113</v>
      </c>
      <c r="S385" s="51">
        <v>0.4375</v>
      </c>
      <c r="T385" s="51">
        <v>0.44583333333333336</v>
      </c>
      <c r="X385" t="s">
        <v>3093</v>
      </c>
      <c r="Y385" t="s">
        <v>3072</v>
      </c>
      <c r="Z385">
        <v>1742314</v>
      </c>
    </row>
    <row r="386" spans="1:26" x14ac:dyDescent="0.25">
      <c r="A386">
        <v>382</v>
      </c>
      <c r="B386" t="s">
        <v>24</v>
      </c>
      <c r="C386" t="s">
        <v>25</v>
      </c>
      <c r="D386">
        <v>13</v>
      </c>
      <c r="E386" t="s">
        <v>65</v>
      </c>
      <c r="F386" t="s">
        <v>65</v>
      </c>
      <c r="G386">
        <v>3986</v>
      </c>
      <c r="H386" t="s">
        <v>2092</v>
      </c>
      <c r="I386" t="s">
        <v>2093</v>
      </c>
      <c r="J386">
        <v>8</v>
      </c>
      <c r="K386">
        <v>3</v>
      </c>
      <c r="L386">
        <v>2.0138888888888888E-3</v>
      </c>
      <c r="M386" t="s">
        <v>117</v>
      </c>
      <c r="N386" t="s">
        <v>491</v>
      </c>
      <c r="O386" s="24">
        <v>46118</v>
      </c>
      <c r="P386">
        <v>603</v>
      </c>
      <c r="Q386" t="s">
        <v>34</v>
      </c>
      <c r="R386" s="24">
        <v>46113</v>
      </c>
      <c r="S386" s="51">
        <v>0.4375</v>
      </c>
      <c r="T386" s="51">
        <v>0.44583333333333336</v>
      </c>
      <c r="X386" t="s">
        <v>3093</v>
      </c>
      <c r="Y386" t="s">
        <v>3072</v>
      </c>
      <c r="Z386">
        <v>1742314</v>
      </c>
    </row>
    <row r="387" spans="1:26" x14ac:dyDescent="0.25">
      <c r="A387">
        <v>383</v>
      </c>
      <c r="B387" t="s">
        <v>24</v>
      </c>
      <c r="C387" t="s">
        <v>25</v>
      </c>
      <c r="D387">
        <v>13</v>
      </c>
      <c r="E387" t="s">
        <v>2195</v>
      </c>
      <c r="F387" t="s">
        <v>44</v>
      </c>
      <c r="G387">
        <v>3986</v>
      </c>
      <c r="H387" t="s">
        <v>54</v>
      </c>
      <c r="I387" t="s">
        <v>1119</v>
      </c>
      <c r="J387">
        <v>8</v>
      </c>
      <c r="K387">
        <v>1</v>
      </c>
      <c r="L387">
        <v>1.2962962962962963E-3</v>
      </c>
      <c r="M387" t="s">
        <v>117</v>
      </c>
      <c r="N387" t="s">
        <v>491</v>
      </c>
      <c r="O387" s="24">
        <v>46118</v>
      </c>
      <c r="P387">
        <v>603</v>
      </c>
      <c r="Q387" t="s">
        <v>34</v>
      </c>
      <c r="R387" s="24">
        <v>46113</v>
      </c>
      <c r="S387" s="51">
        <v>0.4375</v>
      </c>
      <c r="T387" s="51">
        <v>0.44583333333333336</v>
      </c>
      <c r="X387" t="s">
        <v>3093</v>
      </c>
      <c r="Y387" t="s">
        <v>3072</v>
      </c>
      <c r="Z387">
        <v>1742314</v>
      </c>
    </row>
    <row r="388" spans="1:26" x14ac:dyDescent="0.25">
      <c r="A388">
        <v>384</v>
      </c>
      <c r="B388" t="s">
        <v>24</v>
      </c>
      <c r="C388" t="s">
        <v>25</v>
      </c>
      <c r="D388">
        <v>13</v>
      </c>
      <c r="E388" t="s">
        <v>1588</v>
      </c>
      <c r="F388" t="s">
        <v>512</v>
      </c>
      <c r="G388">
        <v>4475</v>
      </c>
      <c r="H388" t="s">
        <v>2197</v>
      </c>
      <c r="I388" t="s">
        <v>2198</v>
      </c>
      <c r="J388">
        <v>8</v>
      </c>
      <c r="K388">
        <v>1</v>
      </c>
      <c r="L388">
        <v>5.5439814814814813E-3</v>
      </c>
      <c r="M388" t="s">
        <v>117</v>
      </c>
      <c r="N388" t="s">
        <v>351</v>
      </c>
      <c r="O388" s="24">
        <v>46114</v>
      </c>
      <c r="P388">
        <v>606</v>
      </c>
      <c r="Q388" t="s">
        <v>34</v>
      </c>
      <c r="R388" s="24">
        <v>46136</v>
      </c>
      <c r="S388" s="51">
        <v>0.97916666666666663</v>
      </c>
      <c r="T388" s="51">
        <v>6.9444444444444441E-3</v>
      </c>
      <c r="X388" t="s">
        <v>3094</v>
      </c>
      <c r="Y388" t="s">
        <v>3032</v>
      </c>
      <c r="Z388">
        <v>1742314</v>
      </c>
    </row>
    <row r="389" spans="1:26" x14ac:dyDescent="0.25">
      <c r="A389">
        <v>385</v>
      </c>
      <c r="B389" t="s">
        <v>24</v>
      </c>
      <c r="C389" t="s">
        <v>25</v>
      </c>
      <c r="D389">
        <v>13</v>
      </c>
      <c r="E389" t="s">
        <v>367</v>
      </c>
      <c r="F389" t="s">
        <v>367</v>
      </c>
      <c r="G389">
        <v>4475</v>
      </c>
      <c r="H389" t="s">
        <v>2483</v>
      </c>
      <c r="I389" t="s">
        <v>2484</v>
      </c>
      <c r="J389">
        <v>8</v>
      </c>
      <c r="K389">
        <v>4</v>
      </c>
      <c r="L389">
        <v>2.2569444444444442E-3</v>
      </c>
      <c r="M389" t="s">
        <v>117</v>
      </c>
      <c r="N389" t="s">
        <v>351</v>
      </c>
      <c r="O389" s="24">
        <v>46114</v>
      </c>
      <c r="P389">
        <v>606</v>
      </c>
      <c r="Q389" t="s">
        <v>34</v>
      </c>
      <c r="R389" s="24">
        <v>46136</v>
      </c>
      <c r="S389" s="51">
        <v>0.97916666666666663</v>
      </c>
      <c r="T389" s="51">
        <v>6.9444444444444441E-3</v>
      </c>
      <c r="X389" t="s">
        <v>3094</v>
      </c>
      <c r="Y389" t="s">
        <v>3032</v>
      </c>
      <c r="Z389">
        <v>1742314</v>
      </c>
    </row>
    <row r="390" spans="1:26" x14ac:dyDescent="0.25">
      <c r="A390">
        <v>386</v>
      </c>
      <c r="B390" t="s">
        <v>24</v>
      </c>
      <c r="C390" t="s">
        <v>25</v>
      </c>
      <c r="D390">
        <v>13</v>
      </c>
      <c r="E390" t="s">
        <v>2195</v>
      </c>
      <c r="F390" t="s">
        <v>44</v>
      </c>
      <c r="G390">
        <v>4475</v>
      </c>
      <c r="H390" t="s">
        <v>45</v>
      </c>
      <c r="I390" t="s">
        <v>1119</v>
      </c>
      <c r="J390">
        <v>8</v>
      </c>
      <c r="K390">
        <v>1</v>
      </c>
      <c r="L390">
        <v>1.3425925925925925E-3</v>
      </c>
      <c r="M390" t="s">
        <v>117</v>
      </c>
      <c r="N390" t="s">
        <v>351</v>
      </c>
      <c r="O390" s="24">
        <v>46114</v>
      </c>
      <c r="P390">
        <v>606</v>
      </c>
      <c r="Q390" t="s">
        <v>34</v>
      </c>
      <c r="R390" s="24">
        <v>46136</v>
      </c>
      <c r="S390" s="51">
        <v>0.97916666666666663</v>
      </c>
      <c r="T390" s="51">
        <v>6.9444444444444441E-3</v>
      </c>
      <c r="X390" t="s">
        <v>3094</v>
      </c>
      <c r="Y390" t="s">
        <v>3032</v>
      </c>
      <c r="Z390">
        <v>1742314</v>
      </c>
    </row>
    <row r="391" spans="1:26" x14ac:dyDescent="0.25">
      <c r="A391">
        <v>387</v>
      </c>
      <c r="B391" t="s">
        <v>24</v>
      </c>
      <c r="C391" t="s">
        <v>25</v>
      </c>
      <c r="D391">
        <v>13</v>
      </c>
      <c r="E391" t="s">
        <v>1588</v>
      </c>
      <c r="F391" t="s">
        <v>512</v>
      </c>
      <c r="G391">
        <v>4478</v>
      </c>
      <c r="H391" t="s">
        <v>2197</v>
      </c>
      <c r="I391" t="s">
        <v>2198</v>
      </c>
      <c r="J391">
        <v>8</v>
      </c>
      <c r="K391">
        <v>1</v>
      </c>
      <c r="L391">
        <v>5.7407407407407407E-3</v>
      </c>
      <c r="M391" t="s">
        <v>117</v>
      </c>
      <c r="N391" t="s">
        <v>239</v>
      </c>
      <c r="O391" s="24">
        <v>46114</v>
      </c>
      <c r="P391">
        <v>605</v>
      </c>
      <c r="Q391" t="s">
        <v>34</v>
      </c>
      <c r="R391" s="24">
        <v>46136</v>
      </c>
      <c r="S391" s="51">
        <v>0.82291666666666663</v>
      </c>
      <c r="T391" s="51">
        <v>0.82986111111111116</v>
      </c>
      <c r="X391" t="s">
        <v>3095</v>
      </c>
      <c r="Y391" t="s">
        <v>3032</v>
      </c>
      <c r="Z391">
        <v>2733740</v>
      </c>
    </row>
    <row r="392" spans="1:26" x14ac:dyDescent="0.25">
      <c r="A392">
        <v>388</v>
      </c>
      <c r="B392" t="s">
        <v>24</v>
      </c>
      <c r="C392" t="s">
        <v>25</v>
      </c>
      <c r="D392">
        <v>13</v>
      </c>
      <c r="E392" t="s">
        <v>367</v>
      </c>
      <c r="F392" t="s">
        <v>367</v>
      </c>
      <c r="G392">
        <v>4478</v>
      </c>
      <c r="H392" t="s">
        <v>2483</v>
      </c>
      <c r="I392" t="s">
        <v>2484</v>
      </c>
      <c r="J392">
        <v>8</v>
      </c>
      <c r="K392">
        <v>1</v>
      </c>
      <c r="L392">
        <v>5.7870370370370367E-4</v>
      </c>
      <c r="M392" t="s">
        <v>117</v>
      </c>
      <c r="N392" t="s">
        <v>239</v>
      </c>
      <c r="O392" s="24">
        <v>46114</v>
      </c>
      <c r="P392">
        <v>605</v>
      </c>
      <c r="Q392" t="s">
        <v>34</v>
      </c>
      <c r="R392" s="24">
        <v>46136</v>
      </c>
      <c r="S392" s="51">
        <v>0.82291666666666663</v>
      </c>
      <c r="T392" s="51">
        <v>0.82986111111111116</v>
      </c>
      <c r="X392" t="s">
        <v>3095</v>
      </c>
      <c r="Y392" t="s">
        <v>3032</v>
      </c>
      <c r="Z392">
        <v>2733740</v>
      </c>
    </row>
    <row r="393" spans="1:26" x14ac:dyDescent="0.25">
      <c r="A393">
        <v>389</v>
      </c>
      <c r="B393" t="s">
        <v>24</v>
      </c>
      <c r="C393" t="s">
        <v>25</v>
      </c>
      <c r="D393">
        <v>13</v>
      </c>
      <c r="E393" t="s">
        <v>367</v>
      </c>
      <c r="F393" t="s">
        <v>1594</v>
      </c>
      <c r="G393">
        <v>4478</v>
      </c>
      <c r="H393" t="s">
        <v>2486</v>
      </c>
      <c r="I393" t="s">
        <v>2487</v>
      </c>
      <c r="J393">
        <v>8</v>
      </c>
      <c r="K393">
        <v>1</v>
      </c>
      <c r="L393">
        <v>1.0763888888888889E-3</v>
      </c>
      <c r="M393" t="s">
        <v>117</v>
      </c>
      <c r="N393" t="s">
        <v>239</v>
      </c>
      <c r="O393" s="24">
        <v>46114</v>
      </c>
      <c r="P393">
        <v>605</v>
      </c>
      <c r="Q393" t="s">
        <v>34</v>
      </c>
      <c r="R393" s="24">
        <v>46136</v>
      </c>
      <c r="S393" s="51">
        <v>0.82291666666666663</v>
      </c>
      <c r="T393" s="51">
        <v>0.82986111111111116</v>
      </c>
      <c r="X393" t="s">
        <v>3095</v>
      </c>
      <c r="Y393" t="s">
        <v>3032</v>
      </c>
      <c r="Z393">
        <v>2733740</v>
      </c>
    </row>
    <row r="394" spans="1:26" x14ac:dyDescent="0.25">
      <c r="A394">
        <v>390</v>
      </c>
      <c r="B394" t="s">
        <v>24</v>
      </c>
      <c r="C394" t="s">
        <v>25</v>
      </c>
      <c r="D394">
        <v>13</v>
      </c>
      <c r="E394" t="s">
        <v>2195</v>
      </c>
      <c r="F394" t="s">
        <v>44</v>
      </c>
      <c r="G394">
        <v>4478</v>
      </c>
      <c r="H394" t="s">
        <v>45</v>
      </c>
      <c r="I394" t="s">
        <v>1119</v>
      </c>
      <c r="J394">
        <v>8</v>
      </c>
      <c r="K394">
        <v>1</v>
      </c>
      <c r="L394">
        <v>1.4004629629629629E-3</v>
      </c>
      <c r="M394" t="s">
        <v>117</v>
      </c>
      <c r="N394" t="s">
        <v>239</v>
      </c>
      <c r="O394" s="24">
        <v>46114</v>
      </c>
      <c r="P394">
        <v>605</v>
      </c>
      <c r="Q394" t="s">
        <v>34</v>
      </c>
      <c r="R394" s="24">
        <v>46136</v>
      </c>
      <c r="S394" s="51">
        <v>0.82291666666666663</v>
      </c>
      <c r="T394" s="51">
        <v>0.82986111111111116</v>
      </c>
      <c r="X394" t="s">
        <v>3095</v>
      </c>
      <c r="Y394" t="s">
        <v>3032</v>
      </c>
      <c r="Z394">
        <v>2733740</v>
      </c>
    </row>
    <row r="395" spans="1:26" x14ac:dyDescent="0.25">
      <c r="A395">
        <v>391</v>
      </c>
      <c r="B395" t="s">
        <v>24</v>
      </c>
      <c r="C395" t="s">
        <v>25</v>
      </c>
      <c r="D395">
        <v>13</v>
      </c>
      <c r="E395" t="s">
        <v>65</v>
      </c>
      <c r="F395" t="s">
        <v>1591</v>
      </c>
      <c r="G395">
        <v>4465</v>
      </c>
      <c r="H395" t="s">
        <v>2140</v>
      </c>
      <c r="I395" t="s">
        <v>2141</v>
      </c>
      <c r="J395">
        <v>19</v>
      </c>
      <c r="K395">
        <v>1</v>
      </c>
      <c r="L395">
        <v>4.6296296296296293E-4</v>
      </c>
      <c r="M395" t="s">
        <v>117</v>
      </c>
      <c r="N395" t="s">
        <v>572</v>
      </c>
      <c r="O395" s="24">
        <v>46118</v>
      </c>
      <c r="P395">
        <v>605</v>
      </c>
      <c r="Q395" t="s">
        <v>34</v>
      </c>
      <c r="R395" s="24">
        <v>46136</v>
      </c>
      <c r="S395" s="51">
        <v>0.38541666666666669</v>
      </c>
      <c r="T395" s="51">
        <v>0.49375000000000002</v>
      </c>
      <c r="X395" t="s">
        <v>3028</v>
      </c>
      <c r="Y395" t="s">
        <v>3029</v>
      </c>
      <c r="Z395">
        <v>2777669</v>
      </c>
    </row>
    <row r="396" spans="1:26" x14ac:dyDescent="0.25">
      <c r="A396">
        <v>392</v>
      </c>
      <c r="B396" t="s">
        <v>24</v>
      </c>
      <c r="C396" t="s">
        <v>25</v>
      </c>
      <c r="D396">
        <v>13</v>
      </c>
      <c r="E396" t="s">
        <v>65</v>
      </c>
      <c r="F396" t="s">
        <v>1589</v>
      </c>
      <c r="G396">
        <v>4465</v>
      </c>
      <c r="H396" t="s">
        <v>2142</v>
      </c>
      <c r="I396" t="s">
        <v>2143</v>
      </c>
      <c r="J396">
        <v>19</v>
      </c>
      <c r="K396">
        <v>5</v>
      </c>
      <c r="L396">
        <v>2.3611111111111111E-3</v>
      </c>
      <c r="M396" t="s">
        <v>117</v>
      </c>
      <c r="N396" t="s">
        <v>572</v>
      </c>
      <c r="O396" s="24">
        <v>46118</v>
      </c>
      <c r="P396">
        <v>605</v>
      </c>
      <c r="Q396" t="s">
        <v>34</v>
      </c>
      <c r="R396" s="24">
        <v>46136</v>
      </c>
      <c r="S396" s="51">
        <v>0.38541666666666669</v>
      </c>
      <c r="T396" s="51">
        <v>0.49375000000000002</v>
      </c>
      <c r="X396" t="s">
        <v>3028</v>
      </c>
      <c r="Y396" t="s">
        <v>3029</v>
      </c>
      <c r="Z396">
        <v>2777669</v>
      </c>
    </row>
    <row r="397" spans="1:26" x14ac:dyDescent="0.25">
      <c r="A397">
        <v>393</v>
      </c>
      <c r="B397" t="s">
        <v>24</v>
      </c>
      <c r="C397" t="s">
        <v>25</v>
      </c>
      <c r="D397">
        <v>13</v>
      </c>
      <c r="E397" t="s">
        <v>65</v>
      </c>
      <c r="F397" t="s">
        <v>1591</v>
      </c>
      <c r="G397">
        <v>4465</v>
      </c>
      <c r="H397" t="s">
        <v>2144</v>
      </c>
      <c r="I397" t="s">
        <v>1616</v>
      </c>
      <c r="J397">
        <v>19</v>
      </c>
      <c r="K397">
        <v>5</v>
      </c>
      <c r="L397">
        <v>3.5069444444444445E-3</v>
      </c>
      <c r="M397" t="s">
        <v>117</v>
      </c>
      <c r="N397" t="s">
        <v>572</v>
      </c>
      <c r="O397" s="24">
        <v>46118</v>
      </c>
      <c r="P397">
        <v>605</v>
      </c>
      <c r="Q397" t="s">
        <v>34</v>
      </c>
      <c r="R397" s="24">
        <v>46136</v>
      </c>
      <c r="S397" s="51">
        <v>0.38541666666666669</v>
      </c>
      <c r="T397" s="51">
        <v>0.49375000000000002</v>
      </c>
      <c r="X397" t="s">
        <v>3028</v>
      </c>
      <c r="Y397" t="s">
        <v>3029</v>
      </c>
      <c r="Z397">
        <v>2777669</v>
      </c>
    </row>
    <row r="398" spans="1:26" x14ac:dyDescent="0.25">
      <c r="A398">
        <v>394</v>
      </c>
      <c r="B398" t="s">
        <v>24</v>
      </c>
      <c r="C398" t="s">
        <v>25</v>
      </c>
      <c r="D398">
        <v>13</v>
      </c>
      <c r="E398" t="s">
        <v>65</v>
      </c>
      <c r="F398" t="s">
        <v>1591</v>
      </c>
      <c r="G398">
        <v>4465</v>
      </c>
      <c r="H398" t="s">
        <v>2145</v>
      </c>
      <c r="I398" t="s">
        <v>2146</v>
      </c>
      <c r="J398">
        <v>19</v>
      </c>
      <c r="K398">
        <v>5</v>
      </c>
      <c r="L398">
        <v>2.9629629629629628E-3</v>
      </c>
      <c r="M398" t="s">
        <v>117</v>
      </c>
      <c r="N398" t="s">
        <v>572</v>
      </c>
      <c r="O398" s="24">
        <v>46118</v>
      </c>
      <c r="P398">
        <v>605</v>
      </c>
      <c r="Q398" t="s">
        <v>34</v>
      </c>
      <c r="R398" s="24">
        <v>46136</v>
      </c>
      <c r="S398" s="51">
        <v>0.38541666666666669</v>
      </c>
      <c r="T398" s="51">
        <v>0.49375000000000002</v>
      </c>
      <c r="X398" t="s">
        <v>3028</v>
      </c>
      <c r="Y398" t="s">
        <v>3029</v>
      </c>
      <c r="Z398">
        <v>2777669</v>
      </c>
    </row>
    <row r="399" spans="1:26" x14ac:dyDescent="0.25">
      <c r="A399">
        <v>395</v>
      </c>
      <c r="B399" t="s">
        <v>24</v>
      </c>
      <c r="C399" t="s">
        <v>25</v>
      </c>
      <c r="D399">
        <v>13</v>
      </c>
      <c r="E399" t="s">
        <v>65</v>
      </c>
      <c r="F399" t="s">
        <v>512</v>
      </c>
      <c r="G399">
        <v>4465</v>
      </c>
      <c r="H399" t="s">
        <v>2147</v>
      </c>
      <c r="I399" t="s">
        <v>2148</v>
      </c>
      <c r="J399">
        <v>19</v>
      </c>
      <c r="K399">
        <v>4</v>
      </c>
      <c r="L399">
        <v>4.2245370370370371E-3</v>
      </c>
      <c r="M399" t="s">
        <v>117</v>
      </c>
      <c r="N399" t="s">
        <v>572</v>
      </c>
      <c r="O399" s="24">
        <v>46118</v>
      </c>
      <c r="P399">
        <v>605</v>
      </c>
      <c r="Q399" t="s">
        <v>34</v>
      </c>
      <c r="R399" s="24">
        <v>46136</v>
      </c>
      <c r="S399" s="51">
        <v>0.38541666666666669</v>
      </c>
      <c r="T399" s="51">
        <v>0.49375000000000002</v>
      </c>
      <c r="X399" t="s">
        <v>3028</v>
      </c>
      <c r="Y399" t="s">
        <v>3029</v>
      </c>
      <c r="Z399">
        <v>2777669</v>
      </c>
    </row>
    <row r="400" spans="1:26" x14ac:dyDescent="0.25">
      <c r="A400">
        <v>396</v>
      </c>
      <c r="B400" t="s">
        <v>24</v>
      </c>
      <c r="C400" t="s">
        <v>25</v>
      </c>
      <c r="D400">
        <v>13</v>
      </c>
      <c r="E400" t="s">
        <v>367</v>
      </c>
      <c r="F400" t="s">
        <v>367</v>
      </c>
      <c r="G400">
        <v>4465</v>
      </c>
      <c r="H400" t="s">
        <v>2149</v>
      </c>
      <c r="I400" t="s">
        <v>2150</v>
      </c>
      <c r="J400">
        <v>19</v>
      </c>
      <c r="K400">
        <v>8</v>
      </c>
      <c r="L400">
        <v>8.912037037037036E-3</v>
      </c>
      <c r="M400" t="s">
        <v>117</v>
      </c>
      <c r="N400" t="s">
        <v>572</v>
      </c>
      <c r="O400" s="24">
        <v>46118</v>
      </c>
      <c r="P400">
        <v>605</v>
      </c>
      <c r="Q400" t="s">
        <v>34</v>
      </c>
      <c r="R400" s="24">
        <v>46136</v>
      </c>
      <c r="S400" s="51">
        <v>0.38541666666666669</v>
      </c>
      <c r="T400" s="51">
        <v>0.49375000000000002</v>
      </c>
      <c r="X400" t="s">
        <v>3028</v>
      </c>
      <c r="Y400" t="s">
        <v>3029</v>
      </c>
      <c r="Z400">
        <v>2777669</v>
      </c>
    </row>
    <row r="401" spans="1:26" x14ac:dyDescent="0.25">
      <c r="A401">
        <v>397</v>
      </c>
      <c r="B401" t="s">
        <v>24</v>
      </c>
      <c r="C401" t="s">
        <v>25</v>
      </c>
      <c r="D401">
        <v>13</v>
      </c>
      <c r="E401" t="s">
        <v>367</v>
      </c>
      <c r="F401" t="s">
        <v>367</v>
      </c>
      <c r="G401">
        <v>4465</v>
      </c>
      <c r="H401" t="s">
        <v>2151</v>
      </c>
      <c r="I401" t="s">
        <v>1614</v>
      </c>
      <c r="J401">
        <v>19</v>
      </c>
      <c r="K401">
        <v>12</v>
      </c>
      <c r="L401">
        <v>2.0474537037037038E-2</v>
      </c>
      <c r="M401" t="s">
        <v>117</v>
      </c>
      <c r="N401" t="s">
        <v>572</v>
      </c>
      <c r="O401" s="24">
        <v>46118</v>
      </c>
      <c r="P401">
        <v>605</v>
      </c>
      <c r="Q401" t="s">
        <v>34</v>
      </c>
      <c r="R401" s="24">
        <v>46136</v>
      </c>
      <c r="S401" s="51">
        <v>0.38541666666666669</v>
      </c>
      <c r="T401" s="51">
        <v>0.49375000000000002</v>
      </c>
      <c r="X401" t="s">
        <v>3028</v>
      </c>
      <c r="Y401" t="s">
        <v>3029</v>
      </c>
      <c r="Z401">
        <v>2777669</v>
      </c>
    </row>
    <row r="402" spans="1:26" x14ac:dyDescent="0.25">
      <c r="A402">
        <v>398</v>
      </c>
      <c r="B402" t="s">
        <v>24</v>
      </c>
      <c r="C402" t="s">
        <v>25</v>
      </c>
      <c r="D402">
        <v>13</v>
      </c>
      <c r="E402" t="s">
        <v>114</v>
      </c>
      <c r="F402" t="s">
        <v>512</v>
      </c>
      <c r="G402">
        <v>4492</v>
      </c>
      <c r="H402" t="s">
        <v>94</v>
      </c>
      <c r="I402" t="s">
        <v>119</v>
      </c>
      <c r="J402">
        <v>8</v>
      </c>
      <c r="K402">
        <v>1</v>
      </c>
      <c r="L402">
        <v>8.2638888888888883E-3</v>
      </c>
      <c r="M402" t="s">
        <v>117</v>
      </c>
      <c r="N402" t="s">
        <v>760</v>
      </c>
      <c r="O402" s="24">
        <v>46125</v>
      </c>
      <c r="P402">
        <v>603</v>
      </c>
      <c r="Q402" t="s">
        <v>34</v>
      </c>
      <c r="R402" s="24">
        <v>46113</v>
      </c>
      <c r="S402" s="51">
        <v>0.69166666666666665</v>
      </c>
      <c r="T402" s="51">
        <v>0.69791666666666663</v>
      </c>
      <c r="X402" t="s">
        <v>3096</v>
      </c>
      <c r="Y402" t="s">
        <v>3072</v>
      </c>
      <c r="Z402">
        <v>1742385</v>
      </c>
    </row>
    <row r="403" spans="1:26" x14ac:dyDescent="0.25">
      <c r="A403">
        <v>399</v>
      </c>
      <c r="B403" t="s">
        <v>24</v>
      </c>
      <c r="C403" t="s">
        <v>25</v>
      </c>
      <c r="D403">
        <v>13</v>
      </c>
      <c r="E403" t="s">
        <v>114</v>
      </c>
      <c r="F403" t="s">
        <v>498</v>
      </c>
      <c r="G403">
        <v>4493</v>
      </c>
      <c r="H403" t="s">
        <v>559</v>
      </c>
      <c r="I403" t="s">
        <v>560</v>
      </c>
      <c r="J403">
        <v>8</v>
      </c>
      <c r="K403">
        <v>1</v>
      </c>
      <c r="L403">
        <v>6.8402777777777776E-3</v>
      </c>
      <c r="M403" t="s">
        <v>117</v>
      </c>
      <c r="N403" t="s">
        <v>491</v>
      </c>
      <c r="O403" s="24">
        <v>46118</v>
      </c>
      <c r="P403">
        <v>603</v>
      </c>
      <c r="Q403" t="s">
        <v>34</v>
      </c>
      <c r="R403" s="24">
        <v>46113</v>
      </c>
      <c r="S403" s="51">
        <v>0.4777777777777778</v>
      </c>
      <c r="T403" s="51">
        <v>0.48333333333333334</v>
      </c>
      <c r="X403" t="s">
        <v>3097</v>
      </c>
      <c r="Y403" t="s">
        <v>3072</v>
      </c>
      <c r="Z403">
        <v>1742255</v>
      </c>
    </row>
    <row r="404" spans="1:26" x14ac:dyDescent="0.25">
      <c r="A404">
        <v>400</v>
      </c>
      <c r="B404" t="s">
        <v>24</v>
      </c>
      <c r="C404" t="s">
        <v>25</v>
      </c>
      <c r="D404">
        <v>13</v>
      </c>
      <c r="E404" t="s">
        <v>1588</v>
      </c>
      <c r="F404" t="s">
        <v>512</v>
      </c>
      <c r="G404">
        <v>4509</v>
      </c>
      <c r="H404" t="s">
        <v>2197</v>
      </c>
      <c r="I404" t="s">
        <v>2198</v>
      </c>
      <c r="J404">
        <v>8</v>
      </c>
      <c r="K404">
        <v>1</v>
      </c>
      <c r="L404">
        <v>5.8333333333333327E-3</v>
      </c>
      <c r="M404" t="s">
        <v>117</v>
      </c>
      <c r="N404" t="s">
        <v>239</v>
      </c>
      <c r="O404" s="24">
        <v>46114</v>
      </c>
      <c r="P404">
        <v>605</v>
      </c>
      <c r="Q404" t="s">
        <v>34</v>
      </c>
      <c r="R404" s="24">
        <v>46136</v>
      </c>
      <c r="S404" s="51">
        <v>0.75347222222222221</v>
      </c>
      <c r="T404" s="51">
        <v>0.76041666666666663</v>
      </c>
      <c r="X404" t="s">
        <v>3098</v>
      </c>
      <c r="Y404" t="s">
        <v>3032</v>
      </c>
      <c r="Z404">
        <v>1742402</v>
      </c>
    </row>
    <row r="405" spans="1:26" x14ac:dyDescent="0.25">
      <c r="A405">
        <v>401</v>
      </c>
      <c r="B405" t="s">
        <v>24</v>
      </c>
      <c r="C405" t="s">
        <v>25</v>
      </c>
      <c r="D405">
        <v>13</v>
      </c>
      <c r="E405" t="s">
        <v>367</v>
      </c>
      <c r="F405" t="s">
        <v>367</v>
      </c>
      <c r="G405">
        <v>4509</v>
      </c>
      <c r="H405" t="s">
        <v>2483</v>
      </c>
      <c r="I405" t="s">
        <v>2484</v>
      </c>
      <c r="J405">
        <v>8</v>
      </c>
      <c r="K405">
        <v>1</v>
      </c>
      <c r="L405">
        <v>5.9027777777777778E-4</v>
      </c>
      <c r="M405" t="s">
        <v>117</v>
      </c>
      <c r="N405" t="s">
        <v>239</v>
      </c>
      <c r="O405" s="24">
        <v>46114</v>
      </c>
      <c r="P405">
        <v>605</v>
      </c>
      <c r="Q405" t="s">
        <v>34</v>
      </c>
      <c r="R405" s="24">
        <v>46136</v>
      </c>
      <c r="S405" s="51">
        <v>0.75347222222222221</v>
      </c>
      <c r="T405" s="51">
        <v>0.76041666666666663</v>
      </c>
      <c r="X405" t="s">
        <v>3098</v>
      </c>
      <c r="Y405" t="s">
        <v>3032</v>
      </c>
      <c r="Z405">
        <v>1742402</v>
      </c>
    </row>
    <row r="406" spans="1:26" x14ac:dyDescent="0.25">
      <c r="A406">
        <v>402</v>
      </c>
      <c r="B406" t="s">
        <v>24</v>
      </c>
      <c r="C406" t="s">
        <v>25</v>
      </c>
      <c r="D406">
        <v>13</v>
      </c>
      <c r="E406" t="s">
        <v>367</v>
      </c>
      <c r="F406" t="s">
        <v>1594</v>
      </c>
      <c r="G406">
        <v>4509</v>
      </c>
      <c r="H406" t="s">
        <v>2574</v>
      </c>
      <c r="I406" t="s">
        <v>2487</v>
      </c>
      <c r="J406">
        <v>8</v>
      </c>
      <c r="K406">
        <v>1</v>
      </c>
      <c r="L406">
        <v>9.4907407407407408E-4</v>
      </c>
      <c r="M406" t="s">
        <v>117</v>
      </c>
      <c r="N406" t="s">
        <v>239</v>
      </c>
      <c r="O406" s="24">
        <v>46114</v>
      </c>
      <c r="P406">
        <v>605</v>
      </c>
      <c r="Q406" t="s">
        <v>34</v>
      </c>
      <c r="R406" s="24">
        <v>46136</v>
      </c>
      <c r="S406" s="51">
        <v>0.75347222222222221</v>
      </c>
      <c r="T406" s="51">
        <v>0.76041666666666663</v>
      </c>
      <c r="X406" t="s">
        <v>3098</v>
      </c>
      <c r="Y406" t="s">
        <v>3032</v>
      </c>
      <c r="Z406">
        <v>1742402</v>
      </c>
    </row>
    <row r="407" spans="1:26" x14ac:dyDescent="0.25">
      <c r="A407">
        <v>403</v>
      </c>
      <c r="B407" t="s">
        <v>24</v>
      </c>
      <c r="C407" t="s">
        <v>25</v>
      </c>
      <c r="D407">
        <v>13</v>
      </c>
      <c r="E407" t="s">
        <v>2195</v>
      </c>
      <c r="F407" t="s">
        <v>44</v>
      </c>
      <c r="G407">
        <v>4509</v>
      </c>
      <c r="H407" t="s">
        <v>45</v>
      </c>
      <c r="I407" t="s">
        <v>1119</v>
      </c>
      <c r="J407">
        <v>8</v>
      </c>
      <c r="K407">
        <v>1</v>
      </c>
      <c r="L407">
        <v>1.423611111111111E-3</v>
      </c>
      <c r="M407" t="s">
        <v>117</v>
      </c>
      <c r="N407" t="s">
        <v>239</v>
      </c>
      <c r="O407" s="24">
        <v>46114</v>
      </c>
      <c r="P407">
        <v>605</v>
      </c>
      <c r="Q407" t="s">
        <v>34</v>
      </c>
      <c r="R407" s="24">
        <v>46136</v>
      </c>
      <c r="S407" s="51">
        <v>0.75347222222222221</v>
      </c>
      <c r="T407" s="51">
        <v>0.76041666666666663</v>
      </c>
      <c r="X407" t="s">
        <v>3098</v>
      </c>
      <c r="Y407" t="s">
        <v>3032</v>
      </c>
      <c r="Z407">
        <v>1742402</v>
      </c>
    </row>
    <row r="408" spans="1:26" x14ac:dyDescent="0.25">
      <c r="A408">
        <v>404</v>
      </c>
      <c r="B408" t="s">
        <v>24</v>
      </c>
      <c r="C408" t="s">
        <v>25</v>
      </c>
      <c r="D408">
        <v>13</v>
      </c>
      <c r="E408" t="s">
        <v>65</v>
      </c>
      <c r="F408" t="s">
        <v>492</v>
      </c>
      <c r="G408">
        <v>3431</v>
      </c>
      <c r="H408" t="s">
        <v>493</v>
      </c>
      <c r="I408" t="s">
        <v>494</v>
      </c>
      <c r="J408">
        <v>8</v>
      </c>
      <c r="K408">
        <v>1</v>
      </c>
      <c r="L408">
        <v>6.875E-3</v>
      </c>
      <c r="M408" t="s">
        <v>117</v>
      </c>
      <c r="N408" t="s">
        <v>491</v>
      </c>
      <c r="O408" s="24">
        <v>46118</v>
      </c>
      <c r="P408">
        <v>603</v>
      </c>
      <c r="Q408" t="s">
        <v>34</v>
      </c>
      <c r="R408" s="24">
        <v>46113</v>
      </c>
      <c r="S408" s="51">
        <v>0.43402777777777779</v>
      </c>
      <c r="T408" s="51">
        <v>0.43958333333333333</v>
      </c>
      <c r="X408" t="s">
        <v>3099</v>
      </c>
      <c r="Y408" t="s">
        <v>3072</v>
      </c>
      <c r="Z408">
        <v>1742079</v>
      </c>
    </row>
    <row r="409" spans="1:26" x14ac:dyDescent="0.25">
      <c r="A409">
        <v>405</v>
      </c>
      <c r="B409" t="s">
        <v>24</v>
      </c>
      <c r="C409" t="s">
        <v>25</v>
      </c>
      <c r="D409">
        <v>13</v>
      </c>
      <c r="E409" t="s">
        <v>511</v>
      </c>
      <c r="F409" t="s">
        <v>512</v>
      </c>
      <c r="G409">
        <v>3990</v>
      </c>
      <c r="H409" t="s">
        <v>513</v>
      </c>
      <c r="I409" t="s">
        <v>119</v>
      </c>
      <c r="J409">
        <v>8</v>
      </c>
      <c r="K409">
        <v>1</v>
      </c>
      <c r="L409">
        <v>6.9212962962962961E-3</v>
      </c>
      <c r="M409" t="s">
        <v>117</v>
      </c>
      <c r="N409" t="s">
        <v>491</v>
      </c>
      <c r="O409" s="24">
        <v>46118</v>
      </c>
      <c r="P409">
        <v>603</v>
      </c>
      <c r="Q409" t="s">
        <v>34</v>
      </c>
      <c r="R409" s="24">
        <v>46113</v>
      </c>
      <c r="S409" s="51">
        <v>0.6430555555555556</v>
      </c>
      <c r="T409" s="51">
        <v>0.6479166666666667</v>
      </c>
      <c r="X409" t="s">
        <v>3100</v>
      </c>
      <c r="Y409" t="s">
        <v>3072</v>
      </c>
      <c r="Z409">
        <v>1742255</v>
      </c>
    </row>
    <row r="410" spans="1:26" x14ac:dyDescent="0.25">
      <c r="A410">
        <v>406</v>
      </c>
      <c r="B410" t="s">
        <v>24</v>
      </c>
      <c r="C410" t="s">
        <v>25</v>
      </c>
      <c r="D410">
        <v>13</v>
      </c>
      <c r="E410" t="s">
        <v>150</v>
      </c>
      <c r="F410" t="s">
        <v>512</v>
      </c>
      <c r="G410">
        <v>4494</v>
      </c>
      <c r="H410" t="s">
        <v>95</v>
      </c>
      <c r="I410" t="s">
        <v>119</v>
      </c>
      <c r="J410">
        <v>8</v>
      </c>
      <c r="K410">
        <v>1</v>
      </c>
      <c r="L410">
        <v>8.2291666666666659E-3</v>
      </c>
      <c r="M410" t="s">
        <v>117</v>
      </c>
      <c r="N410" t="s">
        <v>760</v>
      </c>
      <c r="O410" s="24">
        <v>46125</v>
      </c>
      <c r="P410">
        <v>603</v>
      </c>
      <c r="Q410" t="s">
        <v>34</v>
      </c>
      <c r="R410" s="24">
        <v>46113</v>
      </c>
      <c r="S410" s="51">
        <v>0.41388888888888886</v>
      </c>
      <c r="T410" s="51">
        <v>0.42083333333333334</v>
      </c>
      <c r="X410" t="s">
        <v>3101</v>
      </c>
      <c r="Y410" t="s">
        <v>3072</v>
      </c>
      <c r="Z410">
        <v>1742079</v>
      </c>
    </row>
    <row r="411" spans="1:26" x14ac:dyDescent="0.25">
      <c r="A411">
        <v>407</v>
      </c>
      <c r="B411" t="s">
        <v>24</v>
      </c>
      <c r="C411" t="s">
        <v>25</v>
      </c>
      <c r="D411">
        <v>13</v>
      </c>
      <c r="E411" t="s">
        <v>49</v>
      </c>
      <c r="F411" t="s">
        <v>44</v>
      </c>
      <c r="G411">
        <v>4102</v>
      </c>
      <c r="H411" t="s">
        <v>48</v>
      </c>
      <c r="I411" t="s">
        <v>1119</v>
      </c>
      <c r="J411">
        <v>8</v>
      </c>
      <c r="K411">
        <v>23</v>
      </c>
      <c r="L411">
        <v>2.8287037037037034E-2</v>
      </c>
      <c r="M411" t="s">
        <v>3079</v>
      </c>
      <c r="X411" t="s">
        <v>3102</v>
      </c>
    </row>
    <row r="412" spans="1:26" x14ac:dyDescent="0.25">
      <c r="A412">
        <v>408</v>
      </c>
      <c r="B412" t="s">
        <v>24</v>
      </c>
      <c r="C412" t="s">
        <v>25</v>
      </c>
      <c r="D412">
        <v>13</v>
      </c>
      <c r="E412" t="s">
        <v>49</v>
      </c>
      <c r="F412" t="s">
        <v>44</v>
      </c>
      <c r="G412">
        <v>4118</v>
      </c>
      <c r="H412" t="s">
        <v>48</v>
      </c>
      <c r="I412" t="s">
        <v>1119</v>
      </c>
      <c r="J412">
        <v>8</v>
      </c>
      <c r="K412">
        <v>23</v>
      </c>
      <c r="L412">
        <v>2.8287037037037034E-2</v>
      </c>
      <c r="M412" t="s">
        <v>3079</v>
      </c>
      <c r="X412" t="s">
        <v>3103</v>
      </c>
    </row>
    <row r="413" spans="1:26" x14ac:dyDescent="0.25">
      <c r="A413">
        <v>409</v>
      </c>
      <c r="B413" t="s">
        <v>24</v>
      </c>
      <c r="C413" t="s">
        <v>25</v>
      </c>
      <c r="D413">
        <v>13</v>
      </c>
      <c r="E413" t="s">
        <v>50</v>
      </c>
      <c r="F413" t="s">
        <v>44</v>
      </c>
      <c r="G413">
        <v>3497</v>
      </c>
      <c r="H413" t="s">
        <v>48</v>
      </c>
      <c r="I413" t="s">
        <v>1119</v>
      </c>
      <c r="J413">
        <v>8</v>
      </c>
      <c r="K413">
        <v>23</v>
      </c>
      <c r="L413">
        <v>2.8287037037037034E-2</v>
      </c>
      <c r="M413" t="s">
        <v>3079</v>
      </c>
      <c r="X413" t="s">
        <v>3104</v>
      </c>
    </row>
    <row r="414" spans="1:26" x14ac:dyDescent="0.25">
      <c r="A414">
        <v>410</v>
      </c>
      <c r="B414" t="s">
        <v>24</v>
      </c>
      <c r="C414" t="s">
        <v>25</v>
      </c>
      <c r="D414">
        <v>13</v>
      </c>
      <c r="E414" t="s">
        <v>1588</v>
      </c>
      <c r="F414" t="s">
        <v>512</v>
      </c>
      <c r="G414">
        <v>4510</v>
      </c>
      <c r="H414" t="s">
        <v>2197</v>
      </c>
      <c r="I414" t="s">
        <v>2198</v>
      </c>
      <c r="J414">
        <v>8</v>
      </c>
      <c r="K414">
        <v>1</v>
      </c>
      <c r="L414">
        <v>5.7870370370370367E-3</v>
      </c>
      <c r="M414" t="s">
        <v>117</v>
      </c>
      <c r="N414" t="s">
        <v>239</v>
      </c>
      <c r="O414" s="24">
        <v>46114</v>
      </c>
      <c r="P414">
        <v>605</v>
      </c>
      <c r="Q414" t="s">
        <v>34</v>
      </c>
      <c r="R414" s="24">
        <v>46136</v>
      </c>
      <c r="S414" s="51">
        <v>0.76388888888888884</v>
      </c>
      <c r="T414" s="51">
        <v>0.77430555555555558</v>
      </c>
      <c r="X414" t="s">
        <v>3105</v>
      </c>
      <c r="Y414" t="s">
        <v>3032</v>
      </c>
      <c r="Z414">
        <v>1742372</v>
      </c>
    </row>
    <row r="415" spans="1:26" x14ac:dyDescent="0.25">
      <c r="A415">
        <v>411</v>
      </c>
      <c r="B415" t="s">
        <v>24</v>
      </c>
      <c r="C415" t="s">
        <v>25</v>
      </c>
      <c r="D415">
        <v>13</v>
      </c>
      <c r="E415" t="s">
        <v>367</v>
      </c>
      <c r="F415" t="s">
        <v>1594</v>
      </c>
      <c r="G415">
        <v>4510</v>
      </c>
      <c r="H415" t="s">
        <v>2576</v>
      </c>
      <c r="I415" t="s">
        <v>2475</v>
      </c>
      <c r="J415">
        <v>8</v>
      </c>
      <c r="K415">
        <v>1</v>
      </c>
      <c r="L415">
        <v>9.1435185185185185E-4</v>
      </c>
      <c r="M415" t="s">
        <v>117</v>
      </c>
      <c r="N415" t="s">
        <v>239</v>
      </c>
      <c r="O415" s="24">
        <v>46114</v>
      </c>
      <c r="P415">
        <v>605</v>
      </c>
      <c r="Q415" t="s">
        <v>34</v>
      </c>
      <c r="R415" s="24">
        <v>46136</v>
      </c>
      <c r="S415" s="51">
        <v>0.76388888888888884</v>
      </c>
      <c r="T415" s="51">
        <v>0.77430555555555558</v>
      </c>
      <c r="X415" t="s">
        <v>3105</v>
      </c>
      <c r="Y415" t="s">
        <v>3032</v>
      </c>
      <c r="Z415">
        <v>1742372</v>
      </c>
    </row>
    <row r="416" spans="1:26" x14ac:dyDescent="0.25">
      <c r="A416">
        <v>412</v>
      </c>
      <c r="B416" t="s">
        <v>24</v>
      </c>
      <c r="C416" t="s">
        <v>25</v>
      </c>
      <c r="D416">
        <v>13</v>
      </c>
      <c r="E416" t="s">
        <v>129</v>
      </c>
      <c r="F416" t="s">
        <v>512</v>
      </c>
      <c r="G416">
        <v>4510</v>
      </c>
      <c r="H416" t="s">
        <v>2577</v>
      </c>
      <c r="I416" t="s">
        <v>2477</v>
      </c>
      <c r="J416">
        <v>8</v>
      </c>
      <c r="K416">
        <v>1</v>
      </c>
      <c r="L416">
        <v>6.3657407407407402E-4</v>
      </c>
      <c r="M416" t="s">
        <v>117</v>
      </c>
      <c r="N416" t="s">
        <v>239</v>
      </c>
      <c r="O416" s="24">
        <v>46114</v>
      </c>
      <c r="P416">
        <v>605</v>
      </c>
      <c r="Q416" t="s">
        <v>34</v>
      </c>
      <c r="R416" s="24">
        <v>46136</v>
      </c>
      <c r="S416" s="51">
        <v>0.76388888888888884</v>
      </c>
      <c r="T416" s="51">
        <v>0.77430555555555558</v>
      </c>
      <c r="X416" t="s">
        <v>3105</v>
      </c>
      <c r="Y416" t="s">
        <v>3032</v>
      </c>
      <c r="Z416">
        <v>1742372</v>
      </c>
    </row>
    <row r="417" spans="1:26" x14ac:dyDescent="0.25">
      <c r="A417">
        <v>413</v>
      </c>
      <c r="B417" t="s">
        <v>24</v>
      </c>
      <c r="C417" t="s">
        <v>25</v>
      </c>
      <c r="D417">
        <v>13</v>
      </c>
      <c r="E417" t="s">
        <v>51</v>
      </c>
      <c r="F417" t="s">
        <v>44</v>
      </c>
      <c r="G417">
        <v>3498</v>
      </c>
      <c r="H417" t="s">
        <v>48</v>
      </c>
      <c r="I417" t="s">
        <v>1119</v>
      </c>
      <c r="J417">
        <v>8</v>
      </c>
      <c r="K417">
        <v>23</v>
      </c>
      <c r="L417">
        <v>2.8287037037037034E-2</v>
      </c>
      <c r="M417" t="s">
        <v>3079</v>
      </c>
      <c r="X417" t="s">
        <v>3106</v>
      </c>
    </row>
    <row r="418" spans="1:26" x14ac:dyDescent="0.25">
      <c r="A418">
        <v>414</v>
      </c>
      <c r="B418" t="s">
        <v>24</v>
      </c>
      <c r="C418" t="s">
        <v>25</v>
      </c>
      <c r="D418">
        <v>13</v>
      </c>
      <c r="E418" t="s">
        <v>51</v>
      </c>
      <c r="F418" t="s">
        <v>44</v>
      </c>
      <c r="G418">
        <v>3499</v>
      </c>
      <c r="H418" t="s">
        <v>48</v>
      </c>
      <c r="I418" t="s">
        <v>1119</v>
      </c>
      <c r="J418">
        <v>8</v>
      </c>
      <c r="K418">
        <v>23</v>
      </c>
      <c r="L418">
        <v>2.8287037037037034E-2</v>
      </c>
      <c r="M418" t="s">
        <v>3079</v>
      </c>
      <c r="X418" t="s">
        <v>3107</v>
      </c>
    </row>
    <row r="419" spans="1:26" x14ac:dyDescent="0.25">
      <c r="A419">
        <v>415</v>
      </c>
      <c r="B419" t="s">
        <v>24</v>
      </c>
      <c r="C419" t="s">
        <v>25</v>
      </c>
      <c r="D419">
        <v>13</v>
      </c>
      <c r="E419" t="s">
        <v>51</v>
      </c>
      <c r="F419" t="s">
        <v>44</v>
      </c>
      <c r="G419">
        <v>3500</v>
      </c>
      <c r="H419" t="s">
        <v>48</v>
      </c>
      <c r="I419" t="s">
        <v>1119</v>
      </c>
      <c r="J419">
        <v>8</v>
      </c>
      <c r="K419">
        <v>23</v>
      </c>
      <c r="L419">
        <v>2.8287037037037034E-2</v>
      </c>
      <c r="M419" t="s">
        <v>3079</v>
      </c>
      <c r="X419" t="s">
        <v>3108</v>
      </c>
    </row>
    <row r="420" spans="1:26" x14ac:dyDescent="0.25">
      <c r="A420">
        <v>416</v>
      </c>
      <c r="B420" t="s">
        <v>24</v>
      </c>
      <c r="C420" t="s">
        <v>25</v>
      </c>
      <c r="D420">
        <v>13</v>
      </c>
      <c r="E420" t="s">
        <v>51</v>
      </c>
      <c r="F420" t="s">
        <v>44</v>
      </c>
      <c r="G420">
        <v>3501</v>
      </c>
      <c r="H420" t="s">
        <v>48</v>
      </c>
      <c r="I420" t="s">
        <v>1119</v>
      </c>
      <c r="J420">
        <v>8</v>
      </c>
      <c r="K420">
        <v>23</v>
      </c>
      <c r="L420">
        <v>2.8287037037037034E-2</v>
      </c>
      <c r="M420" t="s">
        <v>3079</v>
      </c>
      <c r="X420" t="s">
        <v>3109</v>
      </c>
    </row>
    <row r="421" spans="1:26" x14ac:dyDescent="0.25">
      <c r="A421">
        <v>417</v>
      </c>
      <c r="B421" t="s">
        <v>24</v>
      </c>
      <c r="C421" t="s">
        <v>25</v>
      </c>
      <c r="D421">
        <v>13</v>
      </c>
      <c r="E421" t="s">
        <v>52</v>
      </c>
      <c r="F421" t="s">
        <v>44</v>
      </c>
      <c r="G421">
        <v>3502</v>
      </c>
      <c r="H421" t="s">
        <v>48</v>
      </c>
      <c r="I421" t="s">
        <v>1119</v>
      </c>
      <c r="J421">
        <v>8</v>
      </c>
      <c r="K421">
        <v>23</v>
      </c>
      <c r="L421">
        <v>2.8287037037037034E-2</v>
      </c>
      <c r="M421" t="s">
        <v>3079</v>
      </c>
      <c r="X421" t="s">
        <v>3110</v>
      </c>
    </row>
    <row r="422" spans="1:26" x14ac:dyDescent="0.25">
      <c r="A422">
        <v>418</v>
      </c>
      <c r="B422" t="s">
        <v>24</v>
      </c>
      <c r="C422" t="s">
        <v>25</v>
      </c>
      <c r="D422">
        <v>13</v>
      </c>
      <c r="E422" t="s">
        <v>53</v>
      </c>
      <c r="F422" t="s">
        <v>44</v>
      </c>
      <c r="G422">
        <v>3503</v>
      </c>
      <c r="H422" t="s">
        <v>48</v>
      </c>
      <c r="I422" t="s">
        <v>1119</v>
      </c>
      <c r="J422">
        <v>8</v>
      </c>
      <c r="K422">
        <v>23</v>
      </c>
      <c r="L422">
        <v>2.8287037037037034E-2</v>
      </c>
      <c r="M422" t="s">
        <v>3079</v>
      </c>
      <c r="X422" t="s">
        <v>3111</v>
      </c>
    </row>
    <row r="423" spans="1:26" x14ac:dyDescent="0.25">
      <c r="A423">
        <v>419</v>
      </c>
      <c r="B423" t="s">
        <v>24</v>
      </c>
      <c r="C423" t="s">
        <v>25</v>
      </c>
      <c r="D423">
        <v>13</v>
      </c>
      <c r="E423" t="s">
        <v>53</v>
      </c>
      <c r="F423" t="s">
        <v>44</v>
      </c>
      <c r="G423">
        <v>3504</v>
      </c>
      <c r="H423" t="s">
        <v>48</v>
      </c>
      <c r="I423" t="s">
        <v>1119</v>
      </c>
      <c r="J423">
        <v>8</v>
      </c>
      <c r="K423">
        <v>23</v>
      </c>
      <c r="L423">
        <v>2.8287037037037034E-2</v>
      </c>
      <c r="M423" t="s">
        <v>3079</v>
      </c>
      <c r="X423" t="s">
        <v>3112</v>
      </c>
    </row>
    <row r="424" spans="1:26" x14ac:dyDescent="0.25">
      <c r="A424">
        <v>420</v>
      </c>
      <c r="B424" t="s">
        <v>24</v>
      </c>
      <c r="C424" t="s">
        <v>25</v>
      </c>
      <c r="D424">
        <v>13</v>
      </c>
      <c r="E424" t="s">
        <v>367</v>
      </c>
      <c r="F424" t="s">
        <v>368</v>
      </c>
      <c r="G424">
        <v>4259</v>
      </c>
      <c r="H424" t="s">
        <v>2114</v>
      </c>
      <c r="I424" t="s">
        <v>2097</v>
      </c>
      <c r="J424">
        <v>8</v>
      </c>
      <c r="K424">
        <v>2</v>
      </c>
      <c r="L424">
        <v>1.3310185185185185E-3</v>
      </c>
      <c r="M424" t="s">
        <v>117</v>
      </c>
      <c r="N424" t="s">
        <v>159</v>
      </c>
      <c r="O424" s="24">
        <v>46109</v>
      </c>
      <c r="P424">
        <v>605</v>
      </c>
      <c r="Q424" t="s">
        <v>34</v>
      </c>
      <c r="R424" s="24">
        <v>46113</v>
      </c>
      <c r="S424" s="51">
        <v>4.8611111111111112E-2</v>
      </c>
      <c r="T424" s="51">
        <v>7.2916666666666671E-2</v>
      </c>
      <c r="X424" t="s">
        <v>218</v>
      </c>
      <c r="Y424" t="s">
        <v>3032</v>
      </c>
    </row>
    <row r="425" spans="1:26" x14ac:dyDescent="0.25">
      <c r="A425">
        <v>421</v>
      </c>
      <c r="B425" t="s">
        <v>24</v>
      </c>
      <c r="C425" t="s">
        <v>25</v>
      </c>
      <c r="D425">
        <v>13</v>
      </c>
      <c r="E425" t="s">
        <v>133</v>
      </c>
      <c r="F425" t="s">
        <v>512</v>
      </c>
      <c r="G425">
        <v>4259</v>
      </c>
      <c r="H425" t="s">
        <v>2451</v>
      </c>
      <c r="I425" t="s">
        <v>1620</v>
      </c>
      <c r="J425">
        <v>8</v>
      </c>
      <c r="K425">
        <v>1</v>
      </c>
      <c r="L425">
        <v>6.6550925925925927E-3</v>
      </c>
      <c r="M425" t="s">
        <v>117</v>
      </c>
      <c r="N425" t="s">
        <v>159</v>
      </c>
      <c r="O425" s="24">
        <v>46109</v>
      </c>
      <c r="P425">
        <v>605</v>
      </c>
      <c r="Q425" t="s">
        <v>34</v>
      </c>
      <c r="R425" s="24">
        <v>46113</v>
      </c>
      <c r="S425" s="51">
        <v>4.8611111111111112E-2</v>
      </c>
      <c r="T425" s="51">
        <v>7.2916666666666671E-2</v>
      </c>
      <c r="X425" t="s">
        <v>218</v>
      </c>
      <c r="Y425" t="s">
        <v>3032</v>
      </c>
    </row>
    <row r="426" spans="1:26" x14ac:dyDescent="0.25">
      <c r="A426">
        <v>422</v>
      </c>
      <c r="B426" t="s">
        <v>24</v>
      </c>
      <c r="C426" t="s">
        <v>25</v>
      </c>
      <c r="D426">
        <v>13</v>
      </c>
      <c r="E426" t="s">
        <v>2395</v>
      </c>
      <c r="F426" t="s">
        <v>44</v>
      </c>
      <c r="G426">
        <v>4259</v>
      </c>
      <c r="H426" t="s">
        <v>48</v>
      </c>
      <c r="I426" t="s">
        <v>1119</v>
      </c>
      <c r="J426">
        <v>8</v>
      </c>
      <c r="K426">
        <v>1</v>
      </c>
      <c r="L426">
        <v>1.4351851851851852E-3</v>
      </c>
      <c r="M426" t="s">
        <v>117</v>
      </c>
      <c r="N426" t="s">
        <v>159</v>
      </c>
      <c r="O426" s="24">
        <v>46109</v>
      </c>
      <c r="P426">
        <v>605</v>
      </c>
      <c r="Q426" t="s">
        <v>34</v>
      </c>
      <c r="R426" s="24">
        <v>46113</v>
      </c>
      <c r="S426" s="51">
        <v>4.8611111111111112E-2</v>
      </c>
      <c r="T426" s="51">
        <v>7.2916666666666671E-2</v>
      </c>
      <c r="X426" t="s">
        <v>218</v>
      </c>
      <c r="Y426" t="s">
        <v>3032</v>
      </c>
    </row>
    <row r="427" spans="1:26" x14ac:dyDescent="0.25">
      <c r="A427">
        <v>423</v>
      </c>
      <c r="B427" t="s">
        <v>24</v>
      </c>
      <c r="C427" t="s">
        <v>25</v>
      </c>
      <c r="D427">
        <v>13</v>
      </c>
      <c r="E427" t="s">
        <v>129</v>
      </c>
      <c r="F427" t="s">
        <v>115</v>
      </c>
      <c r="G427">
        <v>3798</v>
      </c>
      <c r="H427" t="s">
        <v>82</v>
      </c>
      <c r="I427" t="s">
        <v>119</v>
      </c>
      <c r="J427">
        <v>8</v>
      </c>
      <c r="K427">
        <v>1</v>
      </c>
      <c r="L427">
        <v>6.9212962962962961E-3</v>
      </c>
      <c r="M427" t="s">
        <v>117</v>
      </c>
      <c r="N427" t="s">
        <v>113</v>
      </c>
      <c r="O427" s="24">
        <v>46113</v>
      </c>
      <c r="P427">
        <v>603</v>
      </c>
      <c r="Q427" t="s">
        <v>34</v>
      </c>
      <c r="R427" s="24">
        <v>46113</v>
      </c>
      <c r="S427" s="51">
        <v>0.34166666666666667</v>
      </c>
      <c r="T427" s="51">
        <v>0.34722222222222221</v>
      </c>
      <c r="X427" t="s">
        <v>130</v>
      </c>
      <c r="Y427" t="s">
        <v>3072</v>
      </c>
      <c r="Z427">
        <v>1742255</v>
      </c>
    </row>
    <row r="428" spans="1:26" x14ac:dyDescent="0.25">
      <c r="A428">
        <v>424</v>
      </c>
      <c r="B428" t="s">
        <v>24</v>
      </c>
      <c r="C428" t="s">
        <v>25</v>
      </c>
      <c r="D428">
        <v>13</v>
      </c>
      <c r="E428" t="s">
        <v>150</v>
      </c>
      <c r="F428" t="s">
        <v>115</v>
      </c>
      <c r="G428">
        <v>4495</v>
      </c>
      <c r="H428" t="s">
        <v>96</v>
      </c>
      <c r="I428" t="s">
        <v>119</v>
      </c>
      <c r="J428">
        <v>8</v>
      </c>
      <c r="K428">
        <v>1</v>
      </c>
      <c r="L428">
        <v>6.9212962962962961E-3</v>
      </c>
      <c r="M428" t="s">
        <v>117</v>
      </c>
      <c r="N428" t="s">
        <v>760</v>
      </c>
      <c r="O428" s="24">
        <v>46125</v>
      </c>
      <c r="P428">
        <v>603</v>
      </c>
      <c r="Q428" t="s">
        <v>34</v>
      </c>
      <c r="R428" s="24">
        <v>46113</v>
      </c>
      <c r="S428" s="51">
        <v>0.68819444444444444</v>
      </c>
      <c r="T428" s="51">
        <v>0.69374999999999998</v>
      </c>
      <c r="X428" t="s">
        <v>3113</v>
      </c>
      <c r="Y428" t="s">
        <v>3072</v>
      </c>
      <c r="Z428">
        <v>2742255</v>
      </c>
    </row>
    <row r="429" spans="1:26" x14ac:dyDescent="0.25">
      <c r="A429">
        <v>425</v>
      </c>
      <c r="B429" t="s">
        <v>24</v>
      </c>
      <c r="C429" t="s">
        <v>25</v>
      </c>
      <c r="D429">
        <v>13</v>
      </c>
      <c r="E429" t="s">
        <v>2195</v>
      </c>
      <c r="F429" t="s">
        <v>44</v>
      </c>
      <c r="G429">
        <v>4510</v>
      </c>
      <c r="H429" t="s">
        <v>48</v>
      </c>
      <c r="I429" t="s">
        <v>1119</v>
      </c>
      <c r="J429">
        <v>8</v>
      </c>
      <c r="K429">
        <v>1</v>
      </c>
      <c r="L429">
        <v>1.4467592592592592E-3</v>
      </c>
      <c r="M429" t="s">
        <v>117</v>
      </c>
      <c r="N429" t="s">
        <v>239</v>
      </c>
      <c r="O429" s="24">
        <v>46114</v>
      </c>
      <c r="P429">
        <v>605</v>
      </c>
      <c r="Q429" t="s">
        <v>34</v>
      </c>
      <c r="R429" s="24">
        <v>46136</v>
      </c>
      <c r="S429" s="51">
        <v>0.76388888888888884</v>
      </c>
      <c r="T429" s="51">
        <v>0.77430555555555558</v>
      </c>
      <c r="X429" t="s">
        <v>3105</v>
      </c>
      <c r="Y429" t="s">
        <v>3032</v>
      </c>
      <c r="Z429">
        <v>1742372</v>
      </c>
    </row>
    <row r="430" spans="1:26" x14ac:dyDescent="0.25">
      <c r="A430">
        <v>426</v>
      </c>
      <c r="B430" t="s">
        <v>24</v>
      </c>
      <c r="C430" t="s">
        <v>25</v>
      </c>
      <c r="D430">
        <v>13</v>
      </c>
      <c r="E430" t="s">
        <v>1672</v>
      </c>
      <c r="F430" t="s">
        <v>512</v>
      </c>
      <c r="G430">
        <v>4087</v>
      </c>
      <c r="H430" t="s">
        <v>2297</v>
      </c>
      <c r="I430" t="s">
        <v>2226</v>
      </c>
      <c r="J430">
        <v>8</v>
      </c>
      <c r="K430">
        <v>3</v>
      </c>
      <c r="L430">
        <v>5.6944444444444438E-3</v>
      </c>
      <c r="M430" t="s">
        <v>117</v>
      </c>
      <c r="N430" t="s">
        <v>159</v>
      </c>
      <c r="O430" s="24">
        <v>46109</v>
      </c>
      <c r="P430">
        <v>605</v>
      </c>
      <c r="Q430" t="s">
        <v>34</v>
      </c>
      <c r="R430" s="24">
        <v>46113</v>
      </c>
      <c r="X430" t="s">
        <v>203</v>
      </c>
      <c r="Y430" t="s">
        <v>3032</v>
      </c>
    </row>
    <row r="431" spans="1:26" x14ac:dyDescent="0.25">
      <c r="A431">
        <v>427</v>
      </c>
      <c r="B431" t="s">
        <v>24</v>
      </c>
      <c r="C431" t="s">
        <v>25</v>
      </c>
      <c r="D431">
        <v>13</v>
      </c>
      <c r="E431" t="s">
        <v>1672</v>
      </c>
      <c r="F431" t="s">
        <v>498</v>
      </c>
      <c r="G431">
        <v>4087</v>
      </c>
      <c r="H431" t="s">
        <v>2055</v>
      </c>
      <c r="I431" t="s">
        <v>2056</v>
      </c>
      <c r="J431">
        <v>8</v>
      </c>
      <c r="K431">
        <v>3</v>
      </c>
      <c r="L431">
        <v>2.7199074074074074E-3</v>
      </c>
      <c r="M431" t="s">
        <v>117</v>
      </c>
      <c r="N431" t="s">
        <v>159</v>
      </c>
      <c r="O431" s="24">
        <v>46109</v>
      </c>
      <c r="P431">
        <v>605</v>
      </c>
      <c r="Q431" t="s">
        <v>34</v>
      </c>
      <c r="R431" s="24">
        <v>46113</v>
      </c>
      <c r="X431" t="s">
        <v>203</v>
      </c>
      <c r="Y431" t="s">
        <v>3032</v>
      </c>
    </row>
    <row r="432" spans="1:26" x14ac:dyDescent="0.25">
      <c r="A432">
        <v>428</v>
      </c>
      <c r="B432" t="s">
        <v>24</v>
      </c>
      <c r="C432" t="s">
        <v>25</v>
      </c>
      <c r="D432">
        <v>13</v>
      </c>
      <c r="E432" t="s">
        <v>367</v>
      </c>
      <c r="F432" t="s">
        <v>367</v>
      </c>
      <c r="G432">
        <v>4087</v>
      </c>
      <c r="H432" t="s">
        <v>2373</v>
      </c>
      <c r="I432" t="s">
        <v>2155</v>
      </c>
      <c r="J432">
        <v>8</v>
      </c>
      <c r="K432">
        <v>1</v>
      </c>
      <c r="L432">
        <v>8.2175925925925927E-4</v>
      </c>
      <c r="M432" t="s">
        <v>117</v>
      </c>
      <c r="N432" t="s">
        <v>159</v>
      </c>
      <c r="O432" s="24">
        <v>46109</v>
      </c>
      <c r="P432">
        <v>605</v>
      </c>
      <c r="Q432" t="s">
        <v>34</v>
      </c>
      <c r="R432" s="24">
        <v>46113</v>
      </c>
      <c r="X432" t="s">
        <v>203</v>
      </c>
      <c r="Y432" t="s">
        <v>3032</v>
      </c>
    </row>
    <row r="433" spans="1:26" x14ac:dyDescent="0.25">
      <c r="A433">
        <v>429</v>
      </c>
      <c r="B433" t="s">
        <v>24</v>
      </c>
      <c r="C433" t="s">
        <v>25</v>
      </c>
      <c r="D433">
        <v>13</v>
      </c>
      <c r="E433" t="s">
        <v>1665</v>
      </c>
      <c r="F433" t="s">
        <v>115</v>
      </c>
      <c r="G433">
        <v>4087</v>
      </c>
      <c r="H433" t="s">
        <v>2374</v>
      </c>
      <c r="I433" t="s">
        <v>2267</v>
      </c>
      <c r="J433">
        <v>8</v>
      </c>
      <c r="K433">
        <v>1</v>
      </c>
      <c r="L433">
        <v>5.9375000000000001E-3</v>
      </c>
      <c r="M433" t="s">
        <v>117</v>
      </c>
      <c r="N433" t="s">
        <v>159</v>
      </c>
      <c r="O433" s="24">
        <v>46109</v>
      </c>
      <c r="P433">
        <v>605</v>
      </c>
      <c r="Q433" t="s">
        <v>34</v>
      </c>
      <c r="R433" s="24">
        <v>46113</v>
      </c>
      <c r="X433" t="s">
        <v>203</v>
      </c>
      <c r="Y433" t="s">
        <v>3032</v>
      </c>
    </row>
    <row r="434" spans="1:26" x14ac:dyDescent="0.25">
      <c r="A434">
        <v>430</v>
      </c>
      <c r="B434" t="s">
        <v>24</v>
      </c>
      <c r="C434" t="s">
        <v>25</v>
      </c>
      <c r="D434">
        <v>13</v>
      </c>
      <c r="E434" t="s">
        <v>2468</v>
      </c>
      <c r="F434" t="s">
        <v>44</v>
      </c>
      <c r="G434">
        <v>4315</v>
      </c>
      <c r="H434" t="s">
        <v>54</v>
      </c>
      <c r="I434" t="s">
        <v>1119</v>
      </c>
      <c r="J434">
        <v>8</v>
      </c>
      <c r="K434">
        <v>9</v>
      </c>
      <c r="L434">
        <v>1.0555555555555556E-2</v>
      </c>
      <c r="M434" t="s">
        <v>3079</v>
      </c>
      <c r="X434" t="s">
        <v>3114</v>
      </c>
    </row>
    <row r="435" spans="1:26" x14ac:dyDescent="0.25">
      <c r="A435">
        <v>431</v>
      </c>
      <c r="B435" t="s">
        <v>24</v>
      </c>
      <c r="C435" t="s">
        <v>25</v>
      </c>
      <c r="D435">
        <v>13</v>
      </c>
      <c r="E435" t="s">
        <v>2470</v>
      </c>
      <c r="F435" t="s">
        <v>44</v>
      </c>
      <c r="G435">
        <v>4315</v>
      </c>
      <c r="H435" t="s">
        <v>48</v>
      </c>
      <c r="I435" t="s">
        <v>1119</v>
      </c>
      <c r="J435">
        <v>8</v>
      </c>
      <c r="K435">
        <v>14</v>
      </c>
      <c r="L435">
        <v>1.8564814814814815E-2</v>
      </c>
      <c r="M435" t="s">
        <v>3079</v>
      </c>
      <c r="X435" t="s">
        <v>3114</v>
      </c>
    </row>
    <row r="436" spans="1:26" x14ac:dyDescent="0.25">
      <c r="A436">
        <v>432</v>
      </c>
      <c r="B436" t="s">
        <v>24</v>
      </c>
      <c r="C436" t="s">
        <v>25</v>
      </c>
      <c r="D436">
        <v>13</v>
      </c>
      <c r="E436" t="s">
        <v>49</v>
      </c>
      <c r="F436" t="s">
        <v>44</v>
      </c>
      <c r="G436">
        <v>4101</v>
      </c>
      <c r="H436" t="s">
        <v>48</v>
      </c>
      <c r="I436" t="s">
        <v>1119</v>
      </c>
      <c r="J436">
        <v>8</v>
      </c>
      <c r="K436">
        <v>23</v>
      </c>
      <c r="L436">
        <v>2.8287037037037034E-2</v>
      </c>
      <c r="M436" t="s">
        <v>3079</v>
      </c>
      <c r="X436" t="s">
        <v>3115</v>
      </c>
    </row>
    <row r="437" spans="1:26" x14ac:dyDescent="0.25">
      <c r="A437">
        <v>433</v>
      </c>
      <c r="B437" t="s">
        <v>24</v>
      </c>
      <c r="C437" t="s">
        <v>25</v>
      </c>
      <c r="D437">
        <v>13</v>
      </c>
      <c r="E437" t="s">
        <v>1665</v>
      </c>
      <c r="F437" t="s">
        <v>498</v>
      </c>
      <c r="G437">
        <v>4317</v>
      </c>
      <c r="H437" t="s">
        <v>2478</v>
      </c>
      <c r="I437" t="s">
        <v>2472</v>
      </c>
      <c r="J437">
        <v>8</v>
      </c>
      <c r="K437">
        <v>1</v>
      </c>
      <c r="L437">
        <v>5.8912037037037032E-3</v>
      </c>
      <c r="M437" t="s">
        <v>117</v>
      </c>
      <c r="N437" t="s">
        <v>351</v>
      </c>
      <c r="O437" s="24">
        <v>46114</v>
      </c>
      <c r="P437">
        <v>606</v>
      </c>
      <c r="Q437" t="s">
        <v>34</v>
      </c>
      <c r="R437" s="24">
        <v>46136</v>
      </c>
      <c r="S437" s="51">
        <v>0.36458333333333331</v>
      </c>
      <c r="T437" s="51">
        <v>0.37361111111111112</v>
      </c>
      <c r="X437" t="s">
        <v>3116</v>
      </c>
      <c r="Y437" t="s">
        <v>3035</v>
      </c>
      <c r="Z437">
        <v>2733753</v>
      </c>
    </row>
    <row r="438" spans="1:26" x14ac:dyDescent="0.25">
      <c r="A438">
        <v>434</v>
      </c>
      <c r="B438" t="s">
        <v>24</v>
      </c>
      <c r="C438" t="s">
        <v>25</v>
      </c>
      <c r="D438">
        <v>13</v>
      </c>
      <c r="E438" t="s">
        <v>367</v>
      </c>
      <c r="F438" t="s">
        <v>512</v>
      </c>
      <c r="G438">
        <v>4317</v>
      </c>
      <c r="H438" t="s">
        <v>2200</v>
      </c>
      <c r="I438" t="s">
        <v>2201</v>
      </c>
      <c r="J438">
        <v>8</v>
      </c>
      <c r="K438">
        <v>1</v>
      </c>
      <c r="L438">
        <v>1.2268518518518518E-3</v>
      </c>
      <c r="M438" t="s">
        <v>117</v>
      </c>
      <c r="N438" t="s">
        <v>351</v>
      </c>
      <c r="O438" s="24">
        <v>46114</v>
      </c>
      <c r="P438">
        <v>606</v>
      </c>
      <c r="Q438" t="s">
        <v>34</v>
      </c>
      <c r="R438" s="24">
        <v>46136</v>
      </c>
      <c r="S438" s="51">
        <v>0.36458333333333331</v>
      </c>
      <c r="T438" s="51">
        <v>0.37361111111111112</v>
      </c>
      <c r="X438" t="s">
        <v>3116</v>
      </c>
      <c r="Y438" t="s">
        <v>3035</v>
      </c>
      <c r="Z438">
        <v>2733753</v>
      </c>
    </row>
    <row r="439" spans="1:26" x14ac:dyDescent="0.25">
      <c r="A439">
        <v>435</v>
      </c>
      <c r="B439" t="s">
        <v>24</v>
      </c>
      <c r="C439" t="s">
        <v>25</v>
      </c>
      <c r="D439">
        <v>13</v>
      </c>
      <c r="E439" t="s">
        <v>2195</v>
      </c>
      <c r="F439" t="s">
        <v>44</v>
      </c>
      <c r="G439">
        <v>4317</v>
      </c>
      <c r="H439" t="s">
        <v>48</v>
      </c>
      <c r="I439" t="s">
        <v>1119</v>
      </c>
      <c r="J439">
        <v>8</v>
      </c>
      <c r="K439">
        <v>1</v>
      </c>
      <c r="L439">
        <v>1.5277777777777776E-3</v>
      </c>
      <c r="M439" t="s">
        <v>117</v>
      </c>
      <c r="N439" t="s">
        <v>351</v>
      </c>
      <c r="O439" s="24">
        <v>46114</v>
      </c>
      <c r="P439">
        <v>606</v>
      </c>
      <c r="Q439" t="s">
        <v>34</v>
      </c>
      <c r="R439" s="24">
        <v>46136</v>
      </c>
      <c r="S439" s="51">
        <v>0.36458333333333331</v>
      </c>
      <c r="T439" s="51">
        <v>0.37361111111111112</v>
      </c>
      <c r="X439" t="s">
        <v>3116</v>
      </c>
      <c r="Y439" t="s">
        <v>3035</v>
      </c>
      <c r="Z439">
        <v>2733753</v>
      </c>
    </row>
    <row r="440" spans="1:26" x14ac:dyDescent="0.25">
      <c r="A440">
        <v>436</v>
      </c>
      <c r="B440" t="s">
        <v>24</v>
      </c>
      <c r="C440" t="s">
        <v>25</v>
      </c>
      <c r="D440">
        <v>13</v>
      </c>
      <c r="E440" t="s">
        <v>1588</v>
      </c>
      <c r="F440" t="s">
        <v>512</v>
      </c>
      <c r="G440">
        <v>3993</v>
      </c>
      <c r="H440" t="s">
        <v>2197</v>
      </c>
      <c r="I440" t="s">
        <v>2198</v>
      </c>
      <c r="J440">
        <v>8</v>
      </c>
      <c r="K440">
        <v>1</v>
      </c>
      <c r="L440">
        <v>5.9953703703703705E-3</v>
      </c>
      <c r="M440" t="s">
        <v>117</v>
      </c>
      <c r="N440" t="s">
        <v>351</v>
      </c>
      <c r="O440" s="24">
        <v>46114</v>
      </c>
      <c r="P440">
        <v>606</v>
      </c>
      <c r="Q440" t="s">
        <v>34</v>
      </c>
      <c r="R440" s="24">
        <v>46136</v>
      </c>
      <c r="S440" s="51">
        <v>0.44166666666666665</v>
      </c>
      <c r="T440" s="51">
        <v>0.44930555555555557</v>
      </c>
      <c r="X440" t="s">
        <v>3117</v>
      </c>
      <c r="Y440" t="s">
        <v>3035</v>
      </c>
      <c r="Z440">
        <v>1742314</v>
      </c>
    </row>
    <row r="441" spans="1:26" x14ac:dyDescent="0.25">
      <c r="A441">
        <v>437</v>
      </c>
      <c r="B441" t="s">
        <v>24</v>
      </c>
      <c r="C441" t="s">
        <v>25</v>
      </c>
      <c r="D441">
        <v>13</v>
      </c>
      <c r="E441" t="s">
        <v>367</v>
      </c>
      <c r="F441" t="s">
        <v>512</v>
      </c>
      <c r="G441">
        <v>3993</v>
      </c>
      <c r="H441" t="s">
        <v>2200</v>
      </c>
      <c r="I441" t="s">
        <v>2201</v>
      </c>
      <c r="J441">
        <v>8</v>
      </c>
      <c r="K441">
        <v>1</v>
      </c>
      <c r="L441">
        <v>1.2037037037037036E-3</v>
      </c>
      <c r="M441" t="s">
        <v>117</v>
      </c>
      <c r="N441" t="s">
        <v>351</v>
      </c>
      <c r="O441" s="24">
        <v>46114</v>
      </c>
      <c r="P441">
        <v>606</v>
      </c>
      <c r="Q441" t="s">
        <v>34</v>
      </c>
      <c r="R441" s="24">
        <v>46136</v>
      </c>
      <c r="S441" s="51">
        <v>0.44166666666666665</v>
      </c>
      <c r="T441" s="51">
        <v>0.44930555555555557</v>
      </c>
      <c r="X441" t="s">
        <v>3117</v>
      </c>
      <c r="Y441" t="s">
        <v>3035</v>
      </c>
      <c r="Z441">
        <v>1742314</v>
      </c>
    </row>
    <row r="442" spans="1:26" x14ac:dyDescent="0.25">
      <c r="A442">
        <v>438</v>
      </c>
      <c r="B442" t="s">
        <v>24</v>
      </c>
      <c r="C442" t="s">
        <v>25</v>
      </c>
      <c r="D442">
        <v>13</v>
      </c>
      <c r="E442" t="s">
        <v>2195</v>
      </c>
      <c r="F442" t="s">
        <v>44</v>
      </c>
      <c r="G442">
        <v>3993</v>
      </c>
      <c r="H442" t="s">
        <v>48</v>
      </c>
      <c r="I442" t="s">
        <v>1119</v>
      </c>
      <c r="J442">
        <v>8</v>
      </c>
      <c r="K442">
        <v>1</v>
      </c>
      <c r="L442">
        <v>1.4930555555555554E-3</v>
      </c>
      <c r="M442" t="s">
        <v>117</v>
      </c>
      <c r="N442" t="s">
        <v>351</v>
      </c>
      <c r="O442" s="24">
        <v>46114</v>
      </c>
      <c r="P442">
        <v>606</v>
      </c>
      <c r="Q442" t="s">
        <v>34</v>
      </c>
      <c r="R442" s="24">
        <v>46136</v>
      </c>
      <c r="S442" s="51">
        <v>0.44166666666666665</v>
      </c>
      <c r="T442" s="51">
        <v>0.44930555555555557</v>
      </c>
      <c r="X442" t="s">
        <v>3117</v>
      </c>
      <c r="Y442" t="s">
        <v>3035</v>
      </c>
      <c r="Z442">
        <v>1742314</v>
      </c>
    </row>
    <row r="443" spans="1:26" x14ac:dyDescent="0.25">
      <c r="A443">
        <v>439</v>
      </c>
      <c r="B443" t="s">
        <v>24</v>
      </c>
      <c r="C443" t="s">
        <v>25</v>
      </c>
      <c r="D443">
        <v>13</v>
      </c>
      <c r="E443" t="s">
        <v>1588</v>
      </c>
      <c r="F443" t="s">
        <v>512</v>
      </c>
      <c r="G443">
        <v>3994</v>
      </c>
      <c r="H443" t="s">
        <v>2197</v>
      </c>
      <c r="I443" t="s">
        <v>2198</v>
      </c>
      <c r="J443">
        <v>8</v>
      </c>
      <c r="K443">
        <v>1</v>
      </c>
      <c r="L443">
        <v>5.9953703703703705E-3</v>
      </c>
      <c r="M443" t="s">
        <v>117</v>
      </c>
      <c r="N443" t="s">
        <v>351</v>
      </c>
      <c r="O443" s="24">
        <v>46114</v>
      </c>
      <c r="P443">
        <v>606</v>
      </c>
      <c r="Q443" t="s">
        <v>34</v>
      </c>
      <c r="R443" s="24">
        <v>46136</v>
      </c>
      <c r="S443" s="51">
        <v>0.34236111111111112</v>
      </c>
      <c r="T443" s="51">
        <v>0.34791666666666665</v>
      </c>
      <c r="X443" t="s">
        <v>3118</v>
      </c>
      <c r="Y443" t="s">
        <v>3035</v>
      </c>
      <c r="Z443">
        <v>1742314</v>
      </c>
    </row>
    <row r="444" spans="1:26" x14ac:dyDescent="0.25">
      <c r="A444">
        <v>440</v>
      </c>
      <c r="B444" t="s">
        <v>24</v>
      </c>
      <c r="C444" t="s">
        <v>25</v>
      </c>
      <c r="D444">
        <v>13</v>
      </c>
      <c r="E444" t="s">
        <v>367</v>
      </c>
      <c r="F444" t="s">
        <v>512</v>
      </c>
      <c r="G444">
        <v>3994</v>
      </c>
      <c r="H444" t="s">
        <v>2203</v>
      </c>
      <c r="I444" t="s">
        <v>2204</v>
      </c>
      <c r="J444">
        <v>8</v>
      </c>
      <c r="K444">
        <v>1</v>
      </c>
      <c r="L444">
        <v>1.2152777777777778E-3</v>
      </c>
      <c r="M444" t="s">
        <v>117</v>
      </c>
      <c r="N444" t="s">
        <v>351</v>
      </c>
      <c r="O444" s="24">
        <v>46114</v>
      </c>
      <c r="P444">
        <v>606</v>
      </c>
      <c r="Q444" t="s">
        <v>34</v>
      </c>
      <c r="R444" s="24">
        <v>46136</v>
      </c>
      <c r="S444" s="51">
        <v>0.34236111111111112</v>
      </c>
      <c r="T444" s="51">
        <v>0.34791666666666665</v>
      </c>
      <c r="X444" t="s">
        <v>3118</v>
      </c>
      <c r="Y444" t="s">
        <v>3035</v>
      </c>
      <c r="Z444">
        <v>1742314</v>
      </c>
    </row>
    <row r="445" spans="1:26" x14ac:dyDescent="0.25">
      <c r="A445">
        <v>441</v>
      </c>
      <c r="B445" t="s">
        <v>24</v>
      </c>
      <c r="C445" t="s">
        <v>25</v>
      </c>
      <c r="D445">
        <v>13</v>
      </c>
      <c r="E445" t="s">
        <v>2195</v>
      </c>
      <c r="F445" t="s">
        <v>44</v>
      </c>
      <c r="G445">
        <v>3994</v>
      </c>
      <c r="H445" t="s">
        <v>48</v>
      </c>
      <c r="I445" t="s">
        <v>1119</v>
      </c>
      <c r="J445">
        <v>8</v>
      </c>
      <c r="K445">
        <v>1</v>
      </c>
      <c r="L445">
        <v>1.4930555555555554E-3</v>
      </c>
      <c r="M445" t="s">
        <v>117</v>
      </c>
      <c r="N445" t="s">
        <v>351</v>
      </c>
      <c r="O445" s="24">
        <v>46114</v>
      </c>
      <c r="P445">
        <v>606</v>
      </c>
      <c r="Q445" t="s">
        <v>34</v>
      </c>
      <c r="R445" s="24">
        <v>46136</v>
      </c>
      <c r="S445" s="51">
        <v>0.34236111111111112</v>
      </c>
      <c r="T445" s="51">
        <v>0.34791666666666665</v>
      </c>
      <c r="X445" t="s">
        <v>3118</v>
      </c>
      <c r="Y445" t="s">
        <v>3035</v>
      </c>
      <c r="Z445">
        <v>1742314</v>
      </c>
    </row>
    <row r="446" spans="1:26" x14ac:dyDescent="0.25">
      <c r="A446">
        <v>442</v>
      </c>
      <c r="B446" t="s">
        <v>24</v>
      </c>
      <c r="C446" t="s">
        <v>25</v>
      </c>
      <c r="D446">
        <v>13</v>
      </c>
      <c r="E446" t="s">
        <v>1672</v>
      </c>
      <c r="F446" t="s">
        <v>498</v>
      </c>
      <c r="G446">
        <v>4515</v>
      </c>
      <c r="H446" t="s">
        <v>2299</v>
      </c>
      <c r="I446" t="s">
        <v>2300</v>
      </c>
      <c r="J446">
        <v>8</v>
      </c>
      <c r="K446">
        <v>1</v>
      </c>
      <c r="L446">
        <v>1.8749999999999999E-3</v>
      </c>
      <c r="M446" t="s">
        <v>117</v>
      </c>
      <c r="N446" t="s">
        <v>239</v>
      </c>
      <c r="O446" s="24">
        <v>46114</v>
      </c>
      <c r="P446">
        <v>605</v>
      </c>
      <c r="Q446" t="s">
        <v>34</v>
      </c>
      <c r="R446" s="24">
        <v>46136</v>
      </c>
      <c r="S446" s="51">
        <v>0.77777777777777779</v>
      </c>
      <c r="T446" s="51">
        <v>0.80555555555555558</v>
      </c>
      <c r="X446" t="s">
        <v>3119</v>
      </c>
      <c r="Y446" t="s">
        <v>3032</v>
      </c>
      <c r="Z446">
        <v>1742402</v>
      </c>
    </row>
    <row r="447" spans="1:26" x14ac:dyDescent="0.25">
      <c r="A447">
        <v>443</v>
      </c>
      <c r="B447" t="s">
        <v>24</v>
      </c>
      <c r="C447" t="s">
        <v>25</v>
      </c>
      <c r="D447">
        <v>13</v>
      </c>
      <c r="E447" t="s">
        <v>1588</v>
      </c>
      <c r="F447" t="s">
        <v>512</v>
      </c>
      <c r="G447">
        <v>4515</v>
      </c>
      <c r="H447" t="s">
        <v>2596</v>
      </c>
      <c r="I447" t="s">
        <v>2597</v>
      </c>
      <c r="J447">
        <v>8</v>
      </c>
      <c r="K447">
        <v>1</v>
      </c>
      <c r="L447">
        <v>5.3356481481481475E-3</v>
      </c>
      <c r="M447" t="s">
        <v>117</v>
      </c>
      <c r="N447" t="s">
        <v>239</v>
      </c>
      <c r="O447" s="24">
        <v>46114</v>
      </c>
      <c r="P447">
        <v>605</v>
      </c>
      <c r="Q447" t="s">
        <v>34</v>
      </c>
      <c r="R447" s="24">
        <v>46136</v>
      </c>
      <c r="S447" s="51">
        <v>0.77777777777777779</v>
      </c>
      <c r="T447" s="51">
        <v>0.80555555555555558</v>
      </c>
      <c r="X447" t="s">
        <v>3119</v>
      </c>
      <c r="Y447" t="s">
        <v>3032</v>
      </c>
      <c r="Z447">
        <v>1742402</v>
      </c>
    </row>
    <row r="448" spans="1:26" x14ac:dyDescent="0.25">
      <c r="A448">
        <v>444</v>
      </c>
      <c r="B448" t="s">
        <v>24</v>
      </c>
      <c r="C448" t="s">
        <v>25</v>
      </c>
      <c r="D448">
        <v>13</v>
      </c>
      <c r="E448" t="s">
        <v>367</v>
      </c>
      <c r="F448" t="s">
        <v>512</v>
      </c>
      <c r="G448">
        <v>4515</v>
      </c>
      <c r="H448" t="s">
        <v>2229</v>
      </c>
      <c r="I448" t="s">
        <v>2230</v>
      </c>
      <c r="J448">
        <v>8</v>
      </c>
      <c r="K448">
        <v>1</v>
      </c>
      <c r="L448">
        <v>1.6203703703703703E-3</v>
      </c>
      <c r="M448" t="s">
        <v>117</v>
      </c>
      <c r="N448" t="s">
        <v>239</v>
      </c>
      <c r="O448" s="24">
        <v>46114</v>
      </c>
      <c r="P448">
        <v>605</v>
      </c>
      <c r="Q448" t="s">
        <v>34</v>
      </c>
      <c r="R448" s="24">
        <v>46136</v>
      </c>
      <c r="S448" s="51">
        <v>0.77777777777777779</v>
      </c>
      <c r="T448" s="51">
        <v>0.80555555555555558</v>
      </c>
      <c r="X448" t="s">
        <v>3119</v>
      </c>
      <c r="Y448" t="s">
        <v>3032</v>
      </c>
      <c r="Z448">
        <v>1742402</v>
      </c>
    </row>
    <row r="449" spans="1:26" x14ac:dyDescent="0.25">
      <c r="A449">
        <v>445</v>
      </c>
      <c r="B449" t="s">
        <v>24</v>
      </c>
      <c r="C449" t="s">
        <v>25</v>
      </c>
      <c r="D449">
        <v>13</v>
      </c>
      <c r="E449" t="s">
        <v>65</v>
      </c>
      <c r="F449" t="s">
        <v>368</v>
      </c>
      <c r="G449">
        <v>4069</v>
      </c>
      <c r="H449" t="s">
        <v>2349</v>
      </c>
      <c r="I449" t="s">
        <v>2116</v>
      </c>
      <c r="J449">
        <v>8</v>
      </c>
      <c r="K449">
        <v>1</v>
      </c>
      <c r="L449">
        <v>2.1874999999999998E-3</v>
      </c>
      <c r="M449" t="s">
        <v>117</v>
      </c>
      <c r="N449" t="s">
        <v>351</v>
      </c>
      <c r="O449" s="24">
        <v>46114</v>
      </c>
      <c r="P449">
        <v>606</v>
      </c>
      <c r="Q449" t="s">
        <v>34</v>
      </c>
      <c r="R449" s="24">
        <v>46136</v>
      </c>
      <c r="S449" s="51">
        <v>0.34027777777777779</v>
      </c>
      <c r="T449" s="51">
        <v>0.36249999999999999</v>
      </c>
      <c r="X449" t="s">
        <v>3120</v>
      </c>
      <c r="Y449" t="s">
        <v>3035</v>
      </c>
      <c r="Z449">
        <v>1742255</v>
      </c>
    </row>
    <row r="450" spans="1:26" x14ac:dyDescent="0.25">
      <c r="A450">
        <v>446</v>
      </c>
      <c r="B450" t="s">
        <v>24</v>
      </c>
      <c r="C450" t="s">
        <v>25</v>
      </c>
      <c r="D450">
        <v>13</v>
      </c>
      <c r="E450" t="s">
        <v>65</v>
      </c>
      <c r="F450" t="s">
        <v>1591</v>
      </c>
      <c r="G450">
        <v>4069</v>
      </c>
      <c r="H450" t="s">
        <v>2351</v>
      </c>
      <c r="I450" t="s">
        <v>2344</v>
      </c>
      <c r="J450">
        <v>8</v>
      </c>
      <c r="K450">
        <v>1</v>
      </c>
      <c r="L450">
        <v>3.0208333333333333E-3</v>
      </c>
      <c r="M450" t="s">
        <v>117</v>
      </c>
      <c r="N450" t="s">
        <v>351</v>
      </c>
      <c r="O450" s="24">
        <v>46114</v>
      </c>
      <c r="P450">
        <v>606</v>
      </c>
      <c r="Q450" t="s">
        <v>34</v>
      </c>
      <c r="R450" s="24">
        <v>46136</v>
      </c>
      <c r="S450" s="51">
        <v>0.34027777777777779</v>
      </c>
      <c r="T450" s="51">
        <v>0.36249999999999999</v>
      </c>
      <c r="X450" t="s">
        <v>3120</v>
      </c>
      <c r="Y450" t="s">
        <v>3035</v>
      </c>
      <c r="Z450">
        <v>1742255</v>
      </c>
    </row>
    <row r="451" spans="1:26" x14ac:dyDescent="0.25">
      <c r="A451">
        <v>447</v>
      </c>
      <c r="B451" t="s">
        <v>24</v>
      </c>
      <c r="C451" t="s">
        <v>25</v>
      </c>
      <c r="D451">
        <v>13</v>
      </c>
      <c r="E451" t="s">
        <v>55</v>
      </c>
      <c r="F451" t="s">
        <v>44</v>
      </c>
      <c r="G451">
        <v>4256</v>
      </c>
      <c r="H451" t="s">
        <v>54</v>
      </c>
      <c r="I451" t="s">
        <v>1119</v>
      </c>
      <c r="J451">
        <v>8</v>
      </c>
      <c r="K451">
        <v>23</v>
      </c>
      <c r="L451">
        <v>2.8425925925925924E-2</v>
      </c>
      <c r="M451" t="s">
        <v>3079</v>
      </c>
      <c r="X451" t="s">
        <v>3121</v>
      </c>
    </row>
    <row r="452" spans="1:26" x14ac:dyDescent="0.25">
      <c r="A452">
        <v>448</v>
      </c>
      <c r="B452" t="s">
        <v>24</v>
      </c>
      <c r="C452" t="s">
        <v>25</v>
      </c>
      <c r="D452">
        <v>13</v>
      </c>
      <c r="E452" t="s">
        <v>56</v>
      </c>
      <c r="F452" t="s">
        <v>44</v>
      </c>
      <c r="G452">
        <v>4257</v>
      </c>
      <c r="H452" t="s">
        <v>54</v>
      </c>
      <c r="I452" t="s">
        <v>1119</v>
      </c>
      <c r="J452">
        <v>8</v>
      </c>
      <c r="K452">
        <v>23</v>
      </c>
      <c r="L452">
        <v>2.8425925925925924E-2</v>
      </c>
      <c r="M452" t="s">
        <v>3079</v>
      </c>
      <c r="X452" t="s">
        <v>3122</v>
      </c>
    </row>
    <row r="453" spans="1:26" x14ac:dyDescent="0.25">
      <c r="A453">
        <v>449</v>
      </c>
      <c r="B453" t="s">
        <v>24</v>
      </c>
      <c r="C453" t="s">
        <v>25</v>
      </c>
      <c r="D453">
        <v>13</v>
      </c>
      <c r="E453" t="s">
        <v>1588</v>
      </c>
      <c r="F453" t="s">
        <v>512</v>
      </c>
      <c r="G453">
        <v>3995</v>
      </c>
      <c r="H453" t="s">
        <v>2197</v>
      </c>
      <c r="I453" t="s">
        <v>2198</v>
      </c>
      <c r="J453">
        <v>8</v>
      </c>
      <c r="K453">
        <v>1</v>
      </c>
      <c r="L453">
        <v>5.9837962962962961E-3</v>
      </c>
      <c r="M453" t="s">
        <v>117</v>
      </c>
      <c r="N453" t="s">
        <v>351</v>
      </c>
      <c r="O453" s="24">
        <v>46114</v>
      </c>
      <c r="P453">
        <v>606</v>
      </c>
      <c r="Q453" t="s">
        <v>34</v>
      </c>
      <c r="R453" s="24">
        <v>46136</v>
      </c>
      <c r="S453" s="51">
        <v>0.43402777777777779</v>
      </c>
      <c r="T453" s="51">
        <v>0.44305555555555554</v>
      </c>
      <c r="X453" t="s">
        <v>3123</v>
      </c>
      <c r="Y453" t="s">
        <v>3035</v>
      </c>
      <c r="Z453">
        <v>1742402</v>
      </c>
    </row>
    <row r="454" spans="1:26" x14ac:dyDescent="0.25">
      <c r="A454">
        <v>450</v>
      </c>
      <c r="B454" t="s">
        <v>24</v>
      </c>
      <c r="C454" t="s">
        <v>25</v>
      </c>
      <c r="D454">
        <v>13</v>
      </c>
      <c r="E454" t="s">
        <v>367</v>
      </c>
      <c r="F454" t="s">
        <v>512</v>
      </c>
      <c r="G454">
        <v>3995</v>
      </c>
      <c r="H454" t="s">
        <v>2203</v>
      </c>
      <c r="I454" t="s">
        <v>2204</v>
      </c>
      <c r="J454">
        <v>8</v>
      </c>
      <c r="K454">
        <v>1</v>
      </c>
      <c r="L454">
        <v>1.2037037037037036E-3</v>
      </c>
      <c r="M454" t="s">
        <v>117</v>
      </c>
      <c r="N454" t="s">
        <v>351</v>
      </c>
      <c r="O454" s="24">
        <v>46114</v>
      </c>
      <c r="P454">
        <v>606</v>
      </c>
      <c r="Q454" t="s">
        <v>34</v>
      </c>
      <c r="R454" s="24">
        <v>46136</v>
      </c>
      <c r="S454" s="51">
        <v>0.43402777777777779</v>
      </c>
      <c r="T454" s="51">
        <v>0.44305555555555554</v>
      </c>
      <c r="X454" t="s">
        <v>3123</v>
      </c>
      <c r="Y454" t="s">
        <v>3035</v>
      </c>
      <c r="Z454">
        <v>1742402</v>
      </c>
    </row>
    <row r="455" spans="1:26" x14ac:dyDescent="0.25">
      <c r="A455">
        <v>451</v>
      </c>
      <c r="B455" t="s">
        <v>24</v>
      </c>
      <c r="C455" t="s">
        <v>25</v>
      </c>
      <c r="D455">
        <v>13</v>
      </c>
      <c r="E455" t="s">
        <v>2195</v>
      </c>
      <c r="F455" t="s">
        <v>44</v>
      </c>
      <c r="G455">
        <v>3995</v>
      </c>
      <c r="H455" t="s">
        <v>48</v>
      </c>
      <c r="I455" t="s">
        <v>1119</v>
      </c>
      <c r="J455">
        <v>8</v>
      </c>
      <c r="K455">
        <v>1</v>
      </c>
      <c r="L455">
        <v>1.4930555555555554E-3</v>
      </c>
      <c r="M455" t="s">
        <v>117</v>
      </c>
      <c r="N455" t="s">
        <v>351</v>
      </c>
      <c r="O455" s="24">
        <v>46114</v>
      </c>
      <c r="P455">
        <v>606</v>
      </c>
      <c r="Q455" t="s">
        <v>34</v>
      </c>
      <c r="R455" s="24">
        <v>46136</v>
      </c>
      <c r="S455" s="51">
        <v>0.43402777777777779</v>
      </c>
      <c r="T455" s="51">
        <v>0.44305555555555554</v>
      </c>
      <c r="X455" t="s">
        <v>3123</v>
      </c>
      <c r="Y455" t="s">
        <v>3035</v>
      </c>
      <c r="Z455">
        <v>1742402</v>
      </c>
    </row>
    <row r="456" spans="1:26" x14ac:dyDescent="0.25">
      <c r="A456">
        <v>452</v>
      </c>
      <c r="B456" t="s">
        <v>24</v>
      </c>
      <c r="C456" t="s">
        <v>25</v>
      </c>
      <c r="D456">
        <v>13</v>
      </c>
      <c r="E456" t="s">
        <v>65</v>
      </c>
      <c r="F456" t="s">
        <v>65</v>
      </c>
      <c r="G456">
        <v>4246</v>
      </c>
      <c r="H456" t="s">
        <v>2083</v>
      </c>
      <c r="I456" t="s">
        <v>2084</v>
      </c>
      <c r="J456">
        <v>8</v>
      </c>
      <c r="K456">
        <v>1</v>
      </c>
      <c r="L456">
        <v>4.5138888888888887E-4</v>
      </c>
      <c r="M456" t="s">
        <v>117</v>
      </c>
      <c r="N456" t="s">
        <v>491</v>
      </c>
      <c r="O456" s="24">
        <v>46118</v>
      </c>
      <c r="P456">
        <v>603</v>
      </c>
      <c r="Q456" t="s">
        <v>34</v>
      </c>
      <c r="R456" s="24">
        <v>46113</v>
      </c>
      <c r="S456" s="51">
        <v>0.45902777777777776</v>
      </c>
      <c r="T456" s="51">
        <v>0.46458333333333335</v>
      </c>
      <c r="X456" t="s">
        <v>3124</v>
      </c>
      <c r="Y456" t="s">
        <v>3072</v>
      </c>
      <c r="Z456">
        <v>1742079</v>
      </c>
    </row>
    <row r="457" spans="1:26" x14ac:dyDescent="0.25">
      <c r="A457">
        <v>453</v>
      </c>
      <c r="B457" t="s">
        <v>24</v>
      </c>
      <c r="C457" t="s">
        <v>25</v>
      </c>
      <c r="D457">
        <v>13</v>
      </c>
      <c r="E457" t="s">
        <v>65</v>
      </c>
      <c r="F457" t="s">
        <v>368</v>
      </c>
      <c r="G457">
        <v>4246</v>
      </c>
      <c r="H457" t="s">
        <v>2405</v>
      </c>
      <c r="I457" t="s">
        <v>2406</v>
      </c>
      <c r="J457">
        <v>8</v>
      </c>
      <c r="K457">
        <v>1</v>
      </c>
      <c r="L457">
        <v>5.2083333333333333E-4</v>
      </c>
      <c r="M457" t="s">
        <v>117</v>
      </c>
      <c r="N457" t="s">
        <v>491</v>
      </c>
      <c r="O457" s="24">
        <v>46118</v>
      </c>
      <c r="P457">
        <v>603</v>
      </c>
      <c r="Q457" t="s">
        <v>34</v>
      </c>
      <c r="R457" s="24">
        <v>46113</v>
      </c>
      <c r="S457" s="51">
        <v>0.45902777777777776</v>
      </c>
      <c r="T457" s="51">
        <v>0.46458333333333335</v>
      </c>
      <c r="X457" t="s">
        <v>3124</v>
      </c>
      <c r="Y457" t="s">
        <v>3072</v>
      </c>
      <c r="Z457">
        <v>1742079</v>
      </c>
    </row>
    <row r="458" spans="1:26" x14ac:dyDescent="0.25">
      <c r="A458">
        <v>454</v>
      </c>
      <c r="B458" t="s">
        <v>24</v>
      </c>
      <c r="C458" t="s">
        <v>25</v>
      </c>
      <c r="D458">
        <v>13</v>
      </c>
      <c r="E458" t="s">
        <v>65</v>
      </c>
      <c r="F458" t="s">
        <v>368</v>
      </c>
      <c r="G458">
        <v>4246</v>
      </c>
      <c r="H458" t="s">
        <v>2407</v>
      </c>
      <c r="I458" t="s">
        <v>2408</v>
      </c>
      <c r="J458">
        <v>8</v>
      </c>
      <c r="K458">
        <v>1</v>
      </c>
      <c r="L458">
        <v>6.4004629629629628E-3</v>
      </c>
      <c r="M458" t="s">
        <v>117</v>
      </c>
      <c r="N458" t="s">
        <v>491</v>
      </c>
      <c r="O458" s="24">
        <v>46118</v>
      </c>
      <c r="P458">
        <v>603</v>
      </c>
      <c r="Q458" t="s">
        <v>34</v>
      </c>
      <c r="R458" s="24">
        <v>46113</v>
      </c>
      <c r="S458" s="51">
        <v>0.45902777777777776</v>
      </c>
      <c r="T458" s="51">
        <v>0.46458333333333335</v>
      </c>
      <c r="X458" t="s">
        <v>3124</v>
      </c>
      <c r="Y458" t="s">
        <v>3072</v>
      </c>
      <c r="Z458">
        <v>1742079</v>
      </c>
    </row>
    <row r="459" spans="1:26" x14ac:dyDescent="0.25">
      <c r="A459">
        <v>455</v>
      </c>
      <c r="B459" t="s">
        <v>24</v>
      </c>
      <c r="C459" t="s">
        <v>25</v>
      </c>
      <c r="D459">
        <v>13</v>
      </c>
      <c r="E459" t="s">
        <v>367</v>
      </c>
      <c r="F459" t="s">
        <v>512</v>
      </c>
      <c r="G459">
        <v>4515</v>
      </c>
      <c r="H459" t="s">
        <v>2598</v>
      </c>
      <c r="I459" t="s">
        <v>2599</v>
      </c>
      <c r="J459">
        <v>8</v>
      </c>
      <c r="K459">
        <v>1</v>
      </c>
      <c r="L459">
        <v>9.1435185185185185E-4</v>
      </c>
      <c r="M459" t="s">
        <v>117</v>
      </c>
      <c r="N459" t="s">
        <v>239</v>
      </c>
      <c r="O459" s="24">
        <v>46114</v>
      </c>
      <c r="P459">
        <v>605</v>
      </c>
      <c r="Q459" t="s">
        <v>34</v>
      </c>
      <c r="R459" s="24">
        <v>46136</v>
      </c>
      <c r="S459" s="51">
        <v>0.77777777777777779</v>
      </c>
      <c r="T459" s="51">
        <v>0.80555555555555558</v>
      </c>
      <c r="X459" t="s">
        <v>3119</v>
      </c>
      <c r="Y459" t="s">
        <v>3032</v>
      </c>
      <c r="Z459">
        <v>1742402</v>
      </c>
    </row>
    <row r="460" spans="1:26" x14ac:dyDescent="0.25">
      <c r="A460">
        <v>456</v>
      </c>
      <c r="B460" t="s">
        <v>24</v>
      </c>
      <c r="C460" t="s">
        <v>25</v>
      </c>
      <c r="D460">
        <v>13</v>
      </c>
      <c r="E460" t="s">
        <v>367</v>
      </c>
      <c r="F460" t="s">
        <v>1594</v>
      </c>
      <c r="G460">
        <v>4515</v>
      </c>
      <c r="H460" t="s">
        <v>2600</v>
      </c>
      <c r="I460" t="s">
        <v>2226</v>
      </c>
      <c r="J460">
        <v>8</v>
      </c>
      <c r="K460">
        <v>1</v>
      </c>
      <c r="L460">
        <v>1.6666666666666666E-3</v>
      </c>
      <c r="M460" t="s">
        <v>117</v>
      </c>
      <c r="N460" t="s">
        <v>239</v>
      </c>
      <c r="O460" s="24">
        <v>46114</v>
      </c>
      <c r="P460">
        <v>605</v>
      </c>
      <c r="Q460" t="s">
        <v>34</v>
      </c>
      <c r="R460" s="24">
        <v>46136</v>
      </c>
      <c r="S460" s="51">
        <v>0.77777777777777779</v>
      </c>
      <c r="T460" s="51">
        <v>0.80555555555555558</v>
      </c>
      <c r="X460" t="s">
        <v>3119</v>
      </c>
      <c r="Y460" t="s">
        <v>3032</v>
      </c>
      <c r="Z460">
        <v>1742402</v>
      </c>
    </row>
    <row r="461" spans="1:26" x14ac:dyDescent="0.25">
      <c r="A461">
        <v>457</v>
      </c>
      <c r="B461" t="s">
        <v>24</v>
      </c>
      <c r="C461" t="s">
        <v>25</v>
      </c>
      <c r="D461">
        <v>13</v>
      </c>
      <c r="E461" t="s">
        <v>367</v>
      </c>
      <c r="F461" t="s">
        <v>1594</v>
      </c>
      <c r="G461">
        <v>4515</v>
      </c>
      <c r="H461" t="s">
        <v>2601</v>
      </c>
      <c r="I461" t="s">
        <v>2226</v>
      </c>
      <c r="J461">
        <v>8</v>
      </c>
      <c r="K461">
        <v>1</v>
      </c>
      <c r="L461">
        <v>1.6666666666666666E-3</v>
      </c>
      <c r="M461" t="s">
        <v>117</v>
      </c>
      <c r="N461" t="s">
        <v>239</v>
      </c>
      <c r="O461" s="24">
        <v>46114</v>
      </c>
      <c r="P461">
        <v>605</v>
      </c>
      <c r="Q461" t="s">
        <v>34</v>
      </c>
      <c r="R461" s="24">
        <v>46136</v>
      </c>
      <c r="S461" s="51">
        <v>0.77777777777777779</v>
      </c>
      <c r="T461" s="51">
        <v>0.80555555555555558</v>
      </c>
      <c r="X461" t="s">
        <v>3119</v>
      </c>
      <c r="Y461" t="s">
        <v>3032</v>
      </c>
      <c r="Z461">
        <v>1742402</v>
      </c>
    </row>
    <row r="462" spans="1:26" x14ac:dyDescent="0.25">
      <c r="A462">
        <v>458</v>
      </c>
      <c r="B462" t="s">
        <v>24</v>
      </c>
      <c r="C462" t="s">
        <v>25</v>
      </c>
      <c r="D462">
        <v>13</v>
      </c>
      <c r="E462" t="s">
        <v>65</v>
      </c>
      <c r="F462" t="s">
        <v>368</v>
      </c>
      <c r="G462">
        <v>4515</v>
      </c>
      <c r="H462" t="s">
        <v>2602</v>
      </c>
      <c r="I462" t="s">
        <v>2224</v>
      </c>
      <c r="J462">
        <v>8</v>
      </c>
      <c r="K462">
        <v>1</v>
      </c>
      <c r="L462">
        <v>2.1990740740740738E-3</v>
      </c>
      <c r="M462" t="s">
        <v>117</v>
      </c>
      <c r="N462" t="s">
        <v>239</v>
      </c>
      <c r="O462" s="24">
        <v>46114</v>
      </c>
      <c r="P462">
        <v>605</v>
      </c>
      <c r="Q462" t="s">
        <v>34</v>
      </c>
      <c r="R462" s="24">
        <v>46136</v>
      </c>
      <c r="S462" s="51">
        <v>0.77777777777777779</v>
      </c>
      <c r="T462" s="51">
        <v>0.80555555555555558</v>
      </c>
      <c r="X462" t="s">
        <v>3119</v>
      </c>
      <c r="Y462" t="s">
        <v>3032</v>
      </c>
      <c r="Z462">
        <v>1742402</v>
      </c>
    </row>
    <row r="463" spans="1:26" x14ac:dyDescent="0.25">
      <c r="A463">
        <v>459</v>
      </c>
      <c r="B463" t="s">
        <v>24</v>
      </c>
      <c r="C463" t="s">
        <v>25</v>
      </c>
      <c r="D463">
        <v>13</v>
      </c>
      <c r="E463" t="s">
        <v>65</v>
      </c>
      <c r="F463" t="s">
        <v>368</v>
      </c>
      <c r="G463">
        <v>4515</v>
      </c>
      <c r="H463" t="s">
        <v>2603</v>
      </c>
      <c r="I463" t="s">
        <v>2604</v>
      </c>
      <c r="J463">
        <v>8</v>
      </c>
      <c r="K463">
        <v>1</v>
      </c>
      <c r="L463">
        <v>2.2222222222222222E-3</v>
      </c>
      <c r="M463" t="s">
        <v>117</v>
      </c>
      <c r="N463" t="s">
        <v>239</v>
      </c>
      <c r="O463" s="24">
        <v>46114</v>
      </c>
      <c r="P463">
        <v>605</v>
      </c>
      <c r="Q463" t="s">
        <v>34</v>
      </c>
      <c r="R463" s="24">
        <v>46136</v>
      </c>
      <c r="S463" s="51">
        <v>0.77777777777777779</v>
      </c>
      <c r="T463" s="51">
        <v>0.80555555555555558</v>
      </c>
      <c r="X463" t="s">
        <v>3119</v>
      </c>
      <c r="Y463" t="s">
        <v>3032</v>
      </c>
      <c r="Z463">
        <v>1742402</v>
      </c>
    </row>
    <row r="464" spans="1:26" x14ac:dyDescent="0.25">
      <c r="A464">
        <v>460</v>
      </c>
      <c r="B464" t="s">
        <v>24</v>
      </c>
      <c r="C464" t="s">
        <v>25</v>
      </c>
      <c r="D464">
        <v>13</v>
      </c>
      <c r="E464" t="s">
        <v>2195</v>
      </c>
      <c r="F464" t="s">
        <v>44</v>
      </c>
      <c r="G464">
        <v>4515</v>
      </c>
      <c r="H464" t="s">
        <v>48</v>
      </c>
      <c r="I464" t="s">
        <v>1119</v>
      </c>
      <c r="J464">
        <v>8</v>
      </c>
      <c r="K464">
        <v>1</v>
      </c>
      <c r="L464">
        <v>1.423611111111111E-3</v>
      </c>
      <c r="M464" t="s">
        <v>117</v>
      </c>
      <c r="N464" t="s">
        <v>239</v>
      </c>
      <c r="O464" s="24">
        <v>46114</v>
      </c>
      <c r="P464">
        <v>605</v>
      </c>
      <c r="Q464" t="s">
        <v>34</v>
      </c>
      <c r="R464" s="24">
        <v>46136</v>
      </c>
      <c r="S464" s="51">
        <v>0.77777777777777779</v>
      </c>
      <c r="T464" s="51">
        <v>0.80555555555555558</v>
      </c>
      <c r="X464" t="s">
        <v>3119</v>
      </c>
      <c r="Y464" t="s">
        <v>3032</v>
      </c>
      <c r="Z464">
        <v>1742402</v>
      </c>
    </row>
    <row r="465" spans="1:26" x14ac:dyDescent="0.25">
      <c r="A465">
        <v>461</v>
      </c>
      <c r="B465" t="s">
        <v>24</v>
      </c>
      <c r="C465" t="s">
        <v>25</v>
      </c>
      <c r="D465">
        <v>13</v>
      </c>
      <c r="E465" t="s">
        <v>65</v>
      </c>
      <c r="F465" t="s">
        <v>44</v>
      </c>
      <c r="G465">
        <v>4515</v>
      </c>
      <c r="H465" t="s">
        <v>2605</v>
      </c>
      <c r="I465" t="s">
        <v>2284</v>
      </c>
      <c r="J465">
        <v>8</v>
      </c>
      <c r="K465">
        <v>1</v>
      </c>
      <c r="L465">
        <v>1.6550925925925926E-3</v>
      </c>
      <c r="M465" t="s">
        <v>117</v>
      </c>
      <c r="N465" t="s">
        <v>239</v>
      </c>
      <c r="O465" s="24">
        <v>46114</v>
      </c>
      <c r="P465">
        <v>605</v>
      </c>
      <c r="Q465" t="s">
        <v>34</v>
      </c>
      <c r="R465" s="24">
        <v>46136</v>
      </c>
      <c r="S465" s="51">
        <v>0.77777777777777779</v>
      </c>
      <c r="T465" s="51">
        <v>0.80555555555555558</v>
      </c>
      <c r="X465" t="s">
        <v>3119</v>
      </c>
      <c r="Y465" t="s">
        <v>3032</v>
      </c>
      <c r="Z465">
        <v>1742402</v>
      </c>
    </row>
    <row r="466" spans="1:26" x14ac:dyDescent="0.25">
      <c r="A466">
        <v>462</v>
      </c>
      <c r="B466" t="s">
        <v>24</v>
      </c>
      <c r="C466" t="s">
        <v>25</v>
      </c>
      <c r="D466">
        <v>13</v>
      </c>
      <c r="E466" t="s">
        <v>1665</v>
      </c>
      <c r="F466" t="s">
        <v>115</v>
      </c>
      <c r="G466">
        <v>4063</v>
      </c>
      <c r="H466" t="s">
        <v>2113</v>
      </c>
      <c r="I466" t="s">
        <v>2111</v>
      </c>
      <c r="J466">
        <v>8</v>
      </c>
      <c r="K466">
        <v>2</v>
      </c>
      <c r="L466">
        <v>1.1689814814814813E-3</v>
      </c>
      <c r="M466" t="s">
        <v>117</v>
      </c>
      <c r="N466" t="s">
        <v>351</v>
      </c>
      <c r="O466" s="24">
        <v>46114</v>
      </c>
      <c r="P466">
        <v>606</v>
      </c>
      <c r="Q466" t="s">
        <v>34</v>
      </c>
      <c r="R466" s="24">
        <v>46136</v>
      </c>
      <c r="S466" s="51">
        <v>0.44861111111111113</v>
      </c>
      <c r="T466" s="51">
        <v>0.47569444444444442</v>
      </c>
      <c r="X466" t="s">
        <v>3125</v>
      </c>
      <c r="Y466" t="s">
        <v>3035</v>
      </c>
      <c r="Z466">
        <v>2733740</v>
      </c>
    </row>
    <row r="467" spans="1:26" x14ac:dyDescent="0.25">
      <c r="A467">
        <v>463</v>
      </c>
      <c r="B467" t="s">
        <v>24</v>
      </c>
      <c r="C467" t="s">
        <v>25</v>
      </c>
      <c r="D467">
        <v>13</v>
      </c>
      <c r="E467" t="s">
        <v>131</v>
      </c>
      <c r="F467" t="s">
        <v>115</v>
      </c>
      <c r="G467">
        <v>3800</v>
      </c>
      <c r="H467" t="s">
        <v>83</v>
      </c>
      <c r="I467" t="s">
        <v>119</v>
      </c>
      <c r="J467">
        <v>8</v>
      </c>
      <c r="K467">
        <v>1</v>
      </c>
      <c r="L467">
        <v>6.9212962962962961E-3</v>
      </c>
      <c r="M467" t="s">
        <v>117</v>
      </c>
      <c r="N467" t="s">
        <v>113</v>
      </c>
      <c r="O467" s="24">
        <v>46113</v>
      </c>
      <c r="P467">
        <v>603</v>
      </c>
      <c r="Q467" t="s">
        <v>34</v>
      </c>
      <c r="R467" s="24">
        <v>46113</v>
      </c>
      <c r="S467" s="51">
        <v>0.41249999999999998</v>
      </c>
      <c r="T467" s="51">
        <v>0.41736111111111113</v>
      </c>
      <c r="X467" t="s">
        <v>132</v>
      </c>
      <c r="Y467" t="s">
        <v>3072</v>
      </c>
      <c r="Z467">
        <v>2733737</v>
      </c>
    </row>
    <row r="468" spans="1:26" x14ac:dyDescent="0.25">
      <c r="A468">
        <v>464</v>
      </c>
      <c r="B468" t="s">
        <v>24</v>
      </c>
      <c r="C468" t="s">
        <v>25</v>
      </c>
      <c r="D468">
        <v>13</v>
      </c>
      <c r="E468" t="s">
        <v>1665</v>
      </c>
      <c r="F468" t="s">
        <v>498</v>
      </c>
      <c r="G468">
        <v>4260</v>
      </c>
      <c r="H468" t="s">
        <v>2110</v>
      </c>
      <c r="I468" t="s">
        <v>2111</v>
      </c>
      <c r="J468">
        <v>8</v>
      </c>
      <c r="K468">
        <v>2</v>
      </c>
      <c r="L468">
        <v>1.2037037037037036E-3</v>
      </c>
      <c r="M468" t="s">
        <v>117</v>
      </c>
      <c r="N468" t="s">
        <v>760</v>
      </c>
      <c r="O468" s="24">
        <v>46125</v>
      </c>
      <c r="P468">
        <v>603</v>
      </c>
      <c r="Q468" t="s">
        <v>34</v>
      </c>
      <c r="R468" s="24">
        <v>46113</v>
      </c>
      <c r="S468" s="51">
        <v>0.71319444444444446</v>
      </c>
      <c r="T468" s="51">
        <v>0.72152777777777777</v>
      </c>
      <c r="X468" t="s">
        <v>3126</v>
      </c>
      <c r="Y468" t="s">
        <v>3072</v>
      </c>
      <c r="Z468">
        <v>1742079</v>
      </c>
    </row>
    <row r="469" spans="1:26" x14ac:dyDescent="0.25">
      <c r="A469">
        <v>465</v>
      </c>
      <c r="B469" t="s">
        <v>24</v>
      </c>
      <c r="C469" t="s">
        <v>25</v>
      </c>
      <c r="D469">
        <v>13</v>
      </c>
      <c r="E469" t="s">
        <v>129</v>
      </c>
      <c r="F469" t="s">
        <v>512</v>
      </c>
      <c r="G469">
        <v>4260</v>
      </c>
      <c r="H469" t="s">
        <v>2453</v>
      </c>
      <c r="I469" t="s">
        <v>770</v>
      </c>
      <c r="J469">
        <v>8</v>
      </c>
      <c r="K469">
        <v>1</v>
      </c>
      <c r="L469">
        <v>8.6921296296296295E-3</v>
      </c>
      <c r="M469" t="s">
        <v>117</v>
      </c>
      <c r="N469" t="s">
        <v>760</v>
      </c>
      <c r="O469" s="24">
        <v>46125</v>
      </c>
      <c r="P469">
        <v>603</v>
      </c>
      <c r="Q469" t="s">
        <v>34</v>
      </c>
      <c r="R469" s="24">
        <v>46113</v>
      </c>
      <c r="S469" s="51">
        <v>0.71319444444444446</v>
      </c>
      <c r="T469" s="51">
        <v>0.72152777777777777</v>
      </c>
      <c r="X469" t="s">
        <v>3126</v>
      </c>
      <c r="Y469" t="s">
        <v>3072</v>
      </c>
      <c r="Z469">
        <v>1742079</v>
      </c>
    </row>
    <row r="470" spans="1:26" x14ac:dyDescent="0.25">
      <c r="A470">
        <v>466</v>
      </c>
      <c r="B470" t="s">
        <v>24</v>
      </c>
      <c r="C470" t="s">
        <v>25</v>
      </c>
      <c r="D470">
        <v>13</v>
      </c>
      <c r="E470" t="s">
        <v>131</v>
      </c>
      <c r="F470" t="s">
        <v>498</v>
      </c>
      <c r="G470">
        <v>3802</v>
      </c>
      <c r="H470" t="s">
        <v>499</v>
      </c>
      <c r="I470" t="s">
        <v>500</v>
      </c>
      <c r="J470">
        <v>8</v>
      </c>
      <c r="K470">
        <v>1</v>
      </c>
      <c r="L470">
        <v>6.875E-3</v>
      </c>
      <c r="M470" t="s">
        <v>117</v>
      </c>
      <c r="N470" t="s">
        <v>491</v>
      </c>
      <c r="O470" s="24">
        <v>46118</v>
      </c>
      <c r="P470">
        <v>603</v>
      </c>
      <c r="Q470" t="s">
        <v>34</v>
      </c>
      <c r="R470" s="24">
        <v>46113</v>
      </c>
      <c r="S470" s="51">
        <v>0.47986111111111113</v>
      </c>
      <c r="T470" s="51">
        <v>0.48402777777777778</v>
      </c>
      <c r="X470" t="s">
        <v>3127</v>
      </c>
      <c r="Y470" t="s">
        <v>3072</v>
      </c>
      <c r="Z470">
        <v>1742314</v>
      </c>
    </row>
    <row r="471" spans="1:26" x14ac:dyDescent="0.25">
      <c r="A471">
        <v>467</v>
      </c>
      <c r="B471" t="s">
        <v>24</v>
      </c>
      <c r="C471" t="s">
        <v>25</v>
      </c>
      <c r="D471">
        <v>13</v>
      </c>
      <c r="E471" t="s">
        <v>367</v>
      </c>
      <c r="F471" t="s">
        <v>368</v>
      </c>
      <c r="G471">
        <v>4089</v>
      </c>
      <c r="H471" t="s">
        <v>2375</v>
      </c>
      <c r="I471" t="s">
        <v>2376</v>
      </c>
      <c r="J471">
        <v>8</v>
      </c>
      <c r="K471">
        <v>1</v>
      </c>
      <c r="L471">
        <v>1.8287037037037037E-3</v>
      </c>
      <c r="M471" t="s">
        <v>117</v>
      </c>
      <c r="N471" t="s">
        <v>351</v>
      </c>
      <c r="O471" s="24">
        <v>46114</v>
      </c>
      <c r="P471">
        <v>606</v>
      </c>
      <c r="Q471" t="s">
        <v>34</v>
      </c>
      <c r="R471" s="24">
        <v>46136</v>
      </c>
      <c r="S471" s="51">
        <v>0.4548611111111111</v>
      </c>
      <c r="T471" s="51">
        <v>0.46180555555555558</v>
      </c>
      <c r="X471" t="s">
        <v>3128</v>
      </c>
      <c r="Y471" t="s">
        <v>3035</v>
      </c>
      <c r="Z471">
        <v>3219255</v>
      </c>
    </row>
    <row r="472" spans="1:26" x14ac:dyDescent="0.25">
      <c r="A472">
        <v>468</v>
      </c>
      <c r="B472" t="s">
        <v>24</v>
      </c>
      <c r="C472" t="s">
        <v>25</v>
      </c>
      <c r="D472">
        <v>13</v>
      </c>
      <c r="E472" t="s">
        <v>133</v>
      </c>
      <c r="F472" t="s">
        <v>498</v>
      </c>
      <c r="G472">
        <v>4089</v>
      </c>
      <c r="H472" t="s">
        <v>784</v>
      </c>
      <c r="I472" t="s">
        <v>560</v>
      </c>
      <c r="J472">
        <v>8</v>
      </c>
      <c r="K472">
        <v>1</v>
      </c>
      <c r="L472">
        <v>6.7939814814814816E-3</v>
      </c>
      <c r="M472" t="s">
        <v>117</v>
      </c>
      <c r="N472" t="s">
        <v>351</v>
      </c>
      <c r="O472" s="24">
        <v>46114</v>
      </c>
      <c r="P472">
        <v>606</v>
      </c>
      <c r="Q472" t="s">
        <v>34</v>
      </c>
      <c r="R472" s="24">
        <v>46136</v>
      </c>
      <c r="S472" s="51">
        <v>0.4548611111111111</v>
      </c>
      <c r="T472" s="51">
        <v>0.46180555555555558</v>
      </c>
      <c r="X472" t="s">
        <v>3128</v>
      </c>
      <c r="Y472" t="s">
        <v>3035</v>
      </c>
      <c r="Z472">
        <v>3219255</v>
      </c>
    </row>
    <row r="473" spans="1:26" x14ac:dyDescent="0.25">
      <c r="A473">
        <v>469</v>
      </c>
      <c r="B473" t="s">
        <v>24</v>
      </c>
      <c r="C473" t="s">
        <v>25</v>
      </c>
      <c r="D473">
        <v>13</v>
      </c>
      <c r="E473" t="s">
        <v>1672</v>
      </c>
      <c r="F473" t="s">
        <v>115</v>
      </c>
      <c r="G473">
        <v>4090</v>
      </c>
      <c r="H473" t="s">
        <v>2087</v>
      </c>
      <c r="I473" t="s">
        <v>2088</v>
      </c>
      <c r="J473">
        <v>8</v>
      </c>
      <c r="K473">
        <v>2</v>
      </c>
      <c r="L473">
        <v>1.7939814814814815E-3</v>
      </c>
      <c r="M473" t="s">
        <v>117</v>
      </c>
      <c r="N473" t="s">
        <v>159</v>
      </c>
      <c r="O473" s="24">
        <v>46109</v>
      </c>
      <c r="P473">
        <v>605</v>
      </c>
      <c r="Q473" t="s">
        <v>34</v>
      </c>
      <c r="R473" s="24">
        <v>46113</v>
      </c>
      <c r="X473" t="s">
        <v>208</v>
      </c>
      <c r="Y473" t="s">
        <v>3032</v>
      </c>
    </row>
    <row r="474" spans="1:26" x14ac:dyDescent="0.25">
      <c r="A474">
        <v>470</v>
      </c>
      <c r="B474" t="s">
        <v>24</v>
      </c>
      <c r="C474" t="s">
        <v>25</v>
      </c>
      <c r="D474">
        <v>13</v>
      </c>
      <c r="E474" t="s">
        <v>129</v>
      </c>
      <c r="F474" t="s">
        <v>512</v>
      </c>
      <c r="G474">
        <v>4090</v>
      </c>
      <c r="H474" t="s">
        <v>2379</v>
      </c>
      <c r="I474" t="s">
        <v>2380</v>
      </c>
      <c r="J474">
        <v>8</v>
      </c>
      <c r="K474">
        <v>1</v>
      </c>
      <c r="L474">
        <v>5.9490740740740736E-3</v>
      </c>
      <c r="M474" t="s">
        <v>117</v>
      </c>
      <c r="N474" t="s">
        <v>159</v>
      </c>
      <c r="O474" s="24">
        <v>46109</v>
      </c>
      <c r="P474">
        <v>605</v>
      </c>
      <c r="Q474" t="s">
        <v>34</v>
      </c>
      <c r="R474" s="24">
        <v>46113</v>
      </c>
      <c r="X474" t="s">
        <v>208</v>
      </c>
      <c r="Y474" t="s">
        <v>3032</v>
      </c>
    </row>
    <row r="475" spans="1:26" x14ac:dyDescent="0.25">
      <c r="A475">
        <v>471</v>
      </c>
      <c r="B475" t="s">
        <v>24</v>
      </c>
      <c r="C475" t="s">
        <v>25</v>
      </c>
      <c r="D475">
        <v>13</v>
      </c>
      <c r="E475" t="s">
        <v>65</v>
      </c>
      <c r="F475" t="s">
        <v>1598</v>
      </c>
      <c r="G475">
        <v>3453</v>
      </c>
      <c r="H475" t="s">
        <v>2052</v>
      </c>
      <c r="I475" t="s">
        <v>2053</v>
      </c>
      <c r="J475">
        <v>8</v>
      </c>
      <c r="K475">
        <v>1</v>
      </c>
      <c r="L475">
        <v>4.3518518518518515E-3</v>
      </c>
      <c r="M475" t="s">
        <v>117</v>
      </c>
      <c r="N475" t="s">
        <v>239</v>
      </c>
      <c r="O475" s="24">
        <v>46114</v>
      </c>
      <c r="P475">
        <v>605</v>
      </c>
      <c r="Q475" t="s">
        <v>34</v>
      </c>
      <c r="R475" s="24">
        <v>46136</v>
      </c>
      <c r="S475" s="51">
        <v>0.43055555555555558</v>
      </c>
      <c r="T475" s="51">
        <v>0.43958333333333333</v>
      </c>
      <c r="X475" t="s">
        <v>3129</v>
      </c>
      <c r="Y475" t="s">
        <v>3029</v>
      </c>
      <c r="Z475">
        <v>2733740</v>
      </c>
    </row>
    <row r="476" spans="1:26" x14ac:dyDescent="0.25">
      <c r="A476">
        <v>472</v>
      </c>
      <c r="B476" t="s">
        <v>24</v>
      </c>
      <c r="C476" t="s">
        <v>25</v>
      </c>
      <c r="D476">
        <v>13</v>
      </c>
      <c r="E476" t="s">
        <v>1672</v>
      </c>
      <c r="F476" t="s">
        <v>498</v>
      </c>
      <c r="G476">
        <v>4007</v>
      </c>
      <c r="H476" t="s">
        <v>2055</v>
      </c>
      <c r="I476" t="s">
        <v>2056</v>
      </c>
      <c r="J476">
        <v>8</v>
      </c>
      <c r="K476">
        <v>2</v>
      </c>
      <c r="L476">
        <v>1.4583333333333332E-3</v>
      </c>
      <c r="M476" t="s">
        <v>117</v>
      </c>
      <c r="N476" t="s">
        <v>159</v>
      </c>
      <c r="O476" s="24">
        <v>46109</v>
      </c>
      <c r="P476">
        <v>605</v>
      </c>
      <c r="Q476" t="s">
        <v>34</v>
      </c>
      <c r="R476" s="24">
        <v>46113</v>
      </c>
      <c r="S476" s="51">
        <v>0.33750000000000002</v>
      </c>
      <c r="T476" s="51">
        <v>0.35694444444444445</v>
      </c>
      <c r="X476" t="s">
        <v>184</v>
      </c>
      <c r="Y476" t="s">
        <v>3032</v>
      </c>
    </row>
    <row r="477" spans="1:26" x14ac:dyDescent="0.25">
      <c r="A477">
        <v>473</v>
      </c>
      <c r="B477" t="s">
        <v>24</v>
      </c>
      <c r="C477" t="s">
        <v>25</v>
      </c>
      <c r="D477">
        <v>13</v>
      </c>
      <c r="E477" t="s">
        <v>147</v>
      </c>
      <c r="F477" t="s">
        <v>512</v>
      </c>
      <c r="G477">
        <v>4007</v>
      </c>
      <c r="H477" t="s">
        <v>2214</v>
      </c>
      <c r="I477" t="s">
        <v>1620</v>
      </c>
      <c r="J477">
        <v>8</v>
      </c>
      <c r="K477">
        <v>1</v>
      </c>
      <c r="L477">
        <v>4.7800925925925927E-3</v>
      </c>
      <c r="M477" t="s">
        <v>117</v>
      </c>
      <c r="N477" t="s">
        <v>159</v>
      </c>
      <c r="O477" s="24">
        <v>46109</v>
      </c>
      <c r="P477">
        <v>605</v>
      </c>
      <c r="Q477" t="s">
        <v>34</v>
      </c>
      <c r="R477" s="24">
        <v>46113</v>
      </c>
      <c r="S477" s="51">
        <v>0.33750000000000002</v>
      </c>
      <c r="T477" s="51">
        <v>0.35694444444444445</v>
      </c>
      <c r="X477" t="s">
        <v>184</v>
      </c>
      <c r="Y477" t="s">
        <v>3032</v>
      </c>
    </row>
    <row r="478" spans="1:26" x14ac:dyDescent="0.25">
      <c r="A478">
        <v>474</v>
      </c>
      <c r="B478" t="s">
        <v>24</v>
      </c>
      <c r="C478" t="s">
        <v>25</v>
      </c>
      <c r="D478">
        <v>13</v>
      </c>
      <c r="E478" t="s">
        <v>1588</v>
      </c>
      <c r="F478" t="s">
        <v>44</v>
      </c>
      <c r="G478">
        <v>4007</v>
      </c>
      <c r="H478" t="s">
        <v>2215</v>
      </c>
      <c r="I478" t="s">
        <v>2216</v>
      </c>
      <c r="J478">
        <v>8</v>
      </c>
      <c r="K478">
        <v>1</v>
      </c>
      <c r="L478">
        <v>1.3888888888888887E-3</v>
      </c>
      <c r="M478" t="s">
        <v>117</v>
      </c>
      <c r="N478" t="s">
        <v>159</v>
      </c>
      <c r="O478" s="24">
        <v>46109</v>
      </c>
      <c r="P478">
        <v>605</v>
      </c>
      <c r="Q478" t="s">
        <v>34</v>
      </c>
      <c r="R478" s="24">
        <v>46113</v>
      </c>
      <c r="S478" s="51">
        <v>0.33750000000000002</v>
      </c>
      <c r="T478" s="51">
        <v>0.35694444444444445</v>
      </c>
      <c r="X478" t="s">
        <v>184</v>
      </c>
      <c r="Y478" t="s">
        <v>3032</v>
      </c>
    </row>
    <row r="479" spans="1:26" x14ac:dyDescent="0.25">
      <c r="A479">
        <v>475</v>
      </c>
      <c r="B479" t="s">
        <v>24</v>
      </c>
      <c r="C479" t="s">
        <v>25</v>
      </c>
      <c r="D479">
        <v>13</v>
      </c>
      <c r="E479" t="s">
        <v>1588</v>
      </c>
      <c r="F479" t="s">
        <v>44</v>
      </c>
      <c r="G479">
        <v>4007</v>
      </c>
      <c r="H479" t="s">
        <v>2217</v>
      </c>
      <c r="I479" t="s">
        <v>2049</v>
      </c>
      <c r="J479">
        <v>8</v>
      </c>
      <c r="K479">
        <v>1</v>
      </c>
      <c r="L479">
        <v>1.0995370370370369E-3</v>
      </c>
      <c r="M479" t="s">
        <v>117</v>
      </c>
      <c r="N479" t="s">
        <v>159</v>
      </c>
      <c r="O479" s="24">
        <v>46109</v>
      </c>
      <c r="P479">
        <v>605</v>
      </c>
      <c r="Q479" t="s">
        <v>34</v>
      </c>
      <c r="R479" s="24">
        <v>46113</v>
      </c>
      <c r="S479" s="51">
        <v>0.33750000000000002</v>
      </c>
      <c r="T479" s="51">
        <v>0.35694444444444445</v>
      </c>
      <c r="X479" t="s">
        <v>184</v>
      </c>
      <c r="Y479" t="s">
        <v>3032</v>
      </c>
    </row>
    <row r="480" spans="1:26" x14ac:dyDescent="0.25">
      <c r="A480">
        <v>476</v>
      </c>
      <c r="B480" t="s">
        <v>24</v>
      </c>
      <c r="C480" t="s">
        <v>25</v>
      </c>
      <c r="D480">
        <v>13</v>
      </c>
      <c r="E480" t="s">
        <v>367</v>
      </c>
      <c r="F480" t="s">
        <v>1593</v>
      </c>
      <c r="G480">
        <v>4007</v>
      </c>
      <c r="H480" t="s">
        <v>2060</v>
      </c>
      <c r="I480" t="s">
        <v>2061</v>
      </c>
      <c r="J480">
        <v>8</v>
      </c>
      <c r="K480">
        <v>1</v>
      </c>
      <c r="L480">
        <v>3.4722222222222218E-4</v>
      </c>
      <c r="M480" t="s">
        <v>117</v>
      </c>
      <c r="N480" t="s">
        <v>159</v>
      </c>
      <c r="O480" s="24">
        <v>46109</v>
      </c>
      <c r="P480">
        <v>605</v>
      </c>
      <c r="Q480" t="s">
        <v>34</v>
      </c>
      <c r="R480" s="24">
        <v>46113</v>
      </c>
      <c r="S480" s="51">
        <v>0.33750000000000002</v>
      </c>
      <c r="T480" s="51">
        <v>0.35694444444444445</v>
      </c>
      <c r="X480" t="s">
        <v>184</v>
      </c>
      <c r="Y480" t="s">
        <v>3032</v>
      </c>
    </row>
    <row r="481" spans="1:26" x14ac:dyDescent="0.25">
      <c r="A481">
        <v>477</v>
      </c>
      <c r="B481" t="s">
        <v>24</v>
      </c>
      <c r="C481" t="s">
        <v>25</v>
      </c>
      <c r="D481">
        <v>13</v>
      </c>
      <c r="E481" t="s">
        <v>65</v>
      </c>
      <c r="F481" t="s">
        <v>65</v>
      </c>
      <c r="G481">
        <v>4007</v>
      </c>
      <c r="H481" t="s">
        <v>2218</v>
      </c>
      <c r="I481" t="s">
        <v>2219</v>
      </c>
      <c r="J481">
        <v>8</v>
      </c>
      <c r="K481">
        <v>6</v>
      </c>
      <c r="L481">
        <v>3.0902777777777777E-3</v>
      </c>
      <c r="M481" t="s">
        <v>117</v>
      </c>
      <c r="N481" t="s">
        <v>159</v>
      </c>
      <c r="O481" s="24">
        <v>46109</v>
      </c>
      <c r="P481">
        <v>605</v>
      </c>
      <c r="Q481" t="s">
        <v>34</v>
      </c>
      <c r="R481" s="24">
        <v>46113</v>
      </c>
      <c r="S481" s="51">
        <v>0.33750000000000002</v>
      </c>
      <c r="T481" s="51">
        <v>0.35694444444444445</v>
      </c>
      <c r="X481" t="s">
        <v>184</v>
      </c>
      <c r="Y481" t="s">
        <v>3032</v>
      </c>
    </row>
    <row r="482" spans="1:26" x14ac:dyDescent="0.25">
      <c r="A482">
        <v>478</v>
      </c>
      <c r="B482" t="s">
        <v>24</v>
      </c>
      <c r="C482" t="s">
        <v>25</v>
      </c>
      <c r="D482">
        <v>13</v>
      </c>
      <c r="E482" t="s">
        <v>65</v>
      </c>
      <c r="F482" t="s">
        <v>65</v>
      </c>
      <c r="G482">
        <v>4007</v>
      </c>
      <c r="H482" t="s">
        <v>2092</v>
      </c>
      <c r="I482" t="s">
        <v>2093</v>
      </c>
      <c r="J482">
        <v>8</v>
      </c>
      <c r="K482">
        <v>1</v>
      </c>
      <c r="L482">
        <v>5.4398148148148144E-4</v>
      </c>
      <c r="M482" t="s">
        <v>117</v>
      </c>
      <c r="N482" t="s">
        <v>159</v>
      </c>
      <c r="O482" s="24">
        <v>46109</v>
      </c>
      <c r="P482">
        <v>605</v>
      </c>
      <c r="Q482" t="s">
        <v>34</v>
      </c>
      <c r="R482" s="24">
        <v>46113</v>
      </c>
      <c r="S482" s="51">
        <v>0.33750000000000002</v>
      </c>
      <c r="T482" s="51">
        <v>0.35694444444444445</v>
      </c>
      <c r="X482" t="s">
        <v>184</v>
      </c>
      <c r="Y482" t="s">
        <v>3032</v>
      </c>
    </row>
    <row r="483" spans="1:26" x14ac:dyDescent="0.25">
      <c r="A483">
        <v>479</v>
      </c>
      <c r="B483" t="s">
        <v>24</v>
      </c>
      <c r="C483" t="s">
        <v>25</v>
      </c>
      <c r="D483">
        <v>13</v>
      </c>
      <c r="E483" t="s">
        <v>65</v>
      </c>
      <c r="F483" t="s">
        <v>65</v>
      </c>
      <c r="G483">
        <v>4007</v>
      </c>
      <c r="H483" t="s">
        <v>2083</v>
      </c>
      <c r="I483" t="s">
        <v>2084</v>
      </c>
      <c r="J483">
        <v>8</v>
      </c>
      <c r="K483">
        <v>8</v>
      </c>
      <c r="L483">
        <v>3.3333333333333331E-3</v>
      </c>
      <c r="M483" t="s">
        <v>117</v>
      </c>
      <c r="N483" t="s">
        <v>159</v>
      </c>
      <c r="O483" s="24">
        <v>46109</v>
      </c>
      <c r="P483">
        <v>605</v>
      </c>
      <c r="Q483" t="s">
        <v>34</v>
      </c>
      <c r="R483" s="24">
        <v>46113</v>
      </c>
      <c r="S483" s="51">
        <v>0.33750000000000002</v>
      </c>
      <c r="T483" s="51">
        <v>0.35694444444444445</v>
      </c>
      <c r="X483" t="s">
        <v>184</v>
      </c>
      <c r="Y483" t="s">
        <v>3032</v>
      </c>
    </row>
    <row r="484" spans="1:26" x14ac:dyDescent="0.25">
      <c r="A484">
        <v>480</v>
      </c>
      <c r="B484" t="s">
        <v>24</v>
      </c>
      <c r="C484" t="s">
        <v>25</v>
      </c>
      <c r="D484">
        <v>13</v>
      </c>
      <c r="E484" t="s">
        <v>65</v>
      </c>
      <c r="F484" t="s">
        <v>368</v>
      </c>
      <c r="G484">
        <v>4007</v>
      </c>
      <c r="H484" t="s">
        <v>2220</v>
      </c>
      <c r="I484" t="s">
        <v>2221</v>
      </c>
      <c r="J484">
        <v>8</v>
      </c>
      <c r="K484">
        <v>10</v>
      </c>
      <c r="L484">
        <v>5.7870370370370367E-3</v>
      </c>
      <c r="M484" t="s">
        <v>117</v>
      </c>
      <c r="N484" t="s">
        <v>159</v>
      </c>
      <c r="O484" s="24">
        <v>46109</v>
      </c>
      <c r="P484">
        <v>605</v>
      </c>
      <c r="Q484" t="s">
        <v>34</v>
      </c>
      <c r="R484" s="24">
        <v>46113</v>
      </c>
      <c r="S484" s="51">
        <v>0.33750000000000002</v>
      </c>
      <c r="T484" s="51">
        <v>0.35694444444444445</v>
      </c>
      <c r="X484" t="s">
        <v>184</v>
      </c>
      <c r="Y484" t="s">
        <v>3032</v>
      </c>
    </row>
    <row r="485" spans="1:26" x14ac:dyDescent="0.25">
      <c r="A485">
        <v>481</v>
      </c>
      <c r="B485" t="s">
        <v>24</v>
      </c>
      <c r="C485" t="s">
        <v>25</v>
      </c>
      <c r="D485">
        <v>13</v>
      </c>
      <c r="E485" t="s">
        <v>65</v>
      </c>
      <c r="F485" t="s">
        <v>44</v>
      </c>
      <c r="G485">
        <v>4007</v>
      </c>
      <c r="H485" t="s">
        <v>2222</v>
      </c>
      <c r="I485" t="s">
        <v>2216</v>
      </c>
      <c r="J485">
        <v>8</v>
      </c>
      <c r="K485">
        <v>1</v>
      </c>
      <c r="L485">
        <v>1.3888888888888887E-3</v>
      </c>
      <c r="M485" t="s">
        <v>117</v>
      </c>
      <c r="N485" t="s">
        <v>159</v>
      </c>
      <c r="O485" s="24">
        <v>46109</v>
      </c>
      <c r="P485">
        <v>605</v>
      </c>
      <c r="Q485" t="s">
        <v>34</v>
      </c>
      <c r="R485" s="24">
        <v>46113</v>
      </c>
      <c r="S485" s="51">
        <v>0.33750000000000002</v>
      </c>
      <c r="T485" s="51">
        <v>0.35694444444444445</v>
      </c>
      <c r="X485" t="s">
        <v>184</v>
      </c>
      <c r="Y485" t="s">
        <v>3032</v>
      </c>
    </row>
    <row r="486" spans="1:26" x14ac:dyDescent="0.25">
      <c r="A486">
        <v>482</v>
      </c>
      <c r="B486" t="s">
        <v>24</v>
      </c>
      <c r="C486" t="s">
        <v>25</v>
      </c>
      <c r="D486">
        <v>13</v>
      </c>
      <c r="E486" t="s">
        <v>65</v>
      </c>
      <c r="F486" t="s">
        <v>368</v>
      </c>
      <c r="G486">
        <v>4007</v>
      </c>
      <c r="H486" t="s">
        <v>2223</v>
      </c>
      <c r="I486" t="s">
        <v>2224</v>
      </c>
      <c r="J486">
        <v>8</v>
      </c>
      <c r="K486">
        <v>1</v>
      </c>
      <c r="L486">
        <v>1.5856481481481481E-3</v>
      </c>
      <c r="M486" t="s">
        <v>117</v>
      </c>
      <c r="N486" t="s">
        <v>159</v>
      </c>
      <c r="O486" s="24">
        <v>46109</v>
      </c>
      <c r="P486">
        <v>605</v>
      </c>
      <c r="Q486" t="s">
        <v>34</v>
      </c>
      <c r="R486" s="24">
        <v>46113</v>
      </c>
      <c r="S486" s="51">
        <v>0.33750000000000002</v>
      </c>
      <c r="T486" s="51">
        <v>0.35694444444444445</v>
      </c>
      <c r="X486" t="s">
        <v>184</v>
      </c>
      <c r="Y486" t="s">
        <v>3032</v>
      </c>
    </row>
    <row r="487" spans="1:26" x14ac:dyDescent="0.25">
      <c r="A487">
        <v>483</v>
      </c>
      <c r="B487" t="s">
        <v>24</v>
      </c>
      <c r="C487" t="s">
        <v>25</v>
      </c>
      <c r="D487">
        <v>13</v>
      </c>
      <c r="E487" t="s">
        <v>65</v>
      </c>
      <c r="F487" t="s">
        <v>1590</v>
      </c>
      <c r="G487">
        <v>4007</v>
      </c>
      <c r="H487" t="s">
        <v>2102</v>
      </c>
      <c r="I487" t="s">
        <v>2103</v>
      </c>
      <c r="J487">
        <v>8</v>
      </c>
      <c r="K487">
        <v>1</v>
      </c>
      <c r="L487">
        <v>6.0185185185185179E-4</v>
      </c>
      <c r="M487" t="s">
        <v>117</v>
      </c>
      <c r="N487" t="s">
        <v>159</v>
      </c>
      <c r="O487" s="24">
        <v>46109</v>
      </c>
      <c r="P487">
        <v>605</v>
      </c>
      <c r="Q487" t="s">
        <v>34</v>
      </c>
      <c r="R487" s="24">
        <v>46113</v>
      </c>
      <c r="S487" s="51">
        <v>0.33750000000000002</v>
      </c>
      <c r="T487" s="51">
        <v>0.35694444444444445</v>
      </c>
      <c r="X487" t="s">
        <v>184</v>
      </c>
      <c r="Y487" t="s">
        <v>3032</v>
      </c>
    </row>
    <row r="488" spans="1:26" x14ac:dyDescent="0.25">
      <c r="A488">
        <v>484</v>
      </c>
      <c r="B488" t="s">
        <v>24</v>
      </c>
      <c r="C488" t="s">
        <v>25</v>
      </c>
      <c r="D488">
        <v>13</v>
      </c>
      <c r="E488" t="s">
        <v>65</v>
      </c>
      <c r="F488" t="s">
        <v>66</v>
      </c>
      <c r="G488">
        <v>4007</v>
      </c>
      <c r="H488" t="s">
        <v>2180</v>
      </c>
      <c r="I488" t="s">
        <v>2181</v>
      </c>
      <c r="J488">
        <v>8</v>
      </c>
      <c r="K488">
        <v>3</v>
      </c>
      <c r="L488">
        <v>1.5972222222222221E-3</v>
      </c>
      <c r="M488" t="s">
        <v>117</v>
      </c>
      <c r="N488" t="s">
        <v>159</v>
      </c>
      <c r="O488" s="24">
        <v>46109</v>
      </c>
      <c r="P488">
        <v>605</v>
      </c>
      <c r="Q488" t="s">
        <v>34</v>
      </c>
      <c r="R488" s="24">
        <v>46113</v>
      </c>
      <c r="S488" s="51">
        <v>0.33750000000000002</v>
      </c>
      <c r="T488" s="51">
        <v>0.35694444444444445</v>
      </c>
      <c r="X488" t="s">
        <v>184</v>
      </c>
      <c r="Y488" t="s">
        <v>3032</v>
      </c>
    </row>
    <row r="489" spans="1:26" x14ac:dyDescent="0.25">
      <c r="A489">
        <v>485</v>
      </c>
      <c r="B489" t="s">
        <v>24</v>
      </c>
      <c r="C489" t="s">
        <v>25</v>
      </c>
      <c r="D489">
        <v>13</v>
      </c>
      <c r="E489" t="s">
        <v>1665</v>
      </c>
      <c r="F489" t="s">
        <v>512</v>
      </c>
      <c r="G489">
        <v>4008</v>
      </c>
      <c r="H489" t="s">
        <v>2225</v>
      </c>
      <c r="I489" t="s">
        <v>2226</v>
      </c>
      <c r="J489">
        <v>8</v>
      </c>
      <c r="K489">
        <v>1</v>
      </c>
      <c r="L489">
        <v>1.8287037037037037E-3</v>
      </c>
      <c r="M489" t="s">
        <v>117</v>
      </c>
      <c r="N489" t="s">
        <v>351</v>
      </c>
      <c r="O489" s="24">
        <v>46114</v>
      </c>
      <c r="P489">
        <v>606</v>
      </c>
      <c r="Q489" t="s">
        <v>34</v>
      </c>
      <c r="R489" s="24">
        <v>46136</v>
      </c>
      <c r="S489" s="51">
        <v>0.40694444444444444</v>
      </c>
      <c r="T489" s="51">
        <v>0.42499999999999999</v>
      </c>
      <c r="X489" t="s">
        <v>3130</v>
      </c>
      <c r="Y489" t="s">
        <v>3035</v>
      </c>
      <c r="Z489">
        <v>2733740</v>
      </c>
    </row>
    <row r="490" spans="1:26" x14ac:dyDescent="0.25">
      <c r="A490">
        <v>486</v>
      </c>
      <c r="B490" t="s">
        <v>24</v>
      </c>
      <c r="C490" t="s">
        <v>25</v>
      </c>
      <c r="D490">
        <v>13</v>
      </c>
      <c r="E490" t="s">
        <v>1672</v>
      </c>
      <c r="F490" t="s">
        <v>115</v>
      </c>
      <c r="G490">
        <v>4008</v>
      </c>
      <c r="H490" t="s">
        <v>2087</v>
      </c>
      <c r="I490" t="s">
        <v>2088</v>
      </c>
      <c r="J490">
        <v>8</v>
      </c>
      <c r="K490">
        <v>1</v>
      </c>
      <c r="L490">
        <v>8.4490740740740739E-4</v>
      </c>
      <c r="M490" t="s">
        <v>117</v>
      </c>
      <c r="N490" t="s">
        <v>351</v>
      </c>
      <c r="O490" s="24">
        <v>46114</v>
      </c>
      <c r="P490">
        <v>606</v>
      </c>
      <c r="Q490" t="s">
        <v>34</v>
      </c>
      <c r="R490" s="24">
        <v>46136</v>
      </c>
      <c r="S490" s="51">
        <v>0.40694444444444444</v>
      </c>
      <c r="T490" s="51">
        <v>0.42499999999999999</v>
      </c>
      <c r="X490" t="s">
        <v>3130</v>
      </c>
      <c r="Y490" t="s">
        <v>3035</v>
      </c>
      <c r="Z490">
        <v>2733740</v>
      </c>
    </row>
    <row r="491" spans="1:26" x14ac:dyDescent="0.25">
      <c r="A491">
        <v>487</v>
      </c>
      <c r="B491" t="s">
        <v>24</v>
      </c>
      <c r="C491" t="s">
        <v>25</v>
      </c>
      <c r="D491">
        <v>13</v>
      </c>
      <c r="E491" t="s">
        <v>1665</v>
      </c>
      <c r="F491" t="s">
        <v>512</v>
      </c>
      <c r="G491">
        <v>4008</v>
      </c>
      <c r="H491" t="s">
        <v>2228</v>
      </c>
      <c r="I491" t="s">
        <v>2153</v>
      </c>
      <c r="J491">
        <v>8</v>
      </c>
      <c r="K491">
        <v>1</v>
      </c>
      <c r="L491">
        <v>1.6319444444444443E-3</v>
      </c>
      <c r="M491" t="s">
        <v>117</v>
      </c>
      <c r="N491" t="s">
        <v>351</v>
      </c>
      <c r="O491" s="24">
        <v>46114</v>
      </c>
      <c r="P491">
        <v>606</v>
      </c>
      <c r="Q491" t="s">
        <v>34</v>
      </c>
      <c r="R491" s="24">
        <v>46136</v>
      </c>
      <c r="S491" s="51">
        <v>0.40694444444444444</v>
      </c>
      <c r="T491" s="51">
        <v>0.42499999999999999</v>
      </c>
      <c r="X491" t="s">
        <v>3130</v>
      </c>
      <c r="Y491" t="s">
        <v>3035</v>
      </c>
      <c r="Z491">
        <v>2733740</v>
      </c>
    </row>
    <row r="492" spans="1:26" x14ac:dyDescent="0.25">
      <c r="A492">
        <v>488</v>
      </c>
      <c r="B492" t="s">
        <v>24</v>
      </c>
      <c r="C492" t="s">
        <v>25</v>
      </c>
      <c r="D492">
        <v>13</v>
      </c>
      <c r="E492" t="s">
        <v>367</v>
      </c>
      <c r="F492" t="s">
        <v>512</v>
      </c>
      <c r="G492">
        <v>4008</v>
      </c>
      <c r="H492" t="s">
        <v>2229</v>
      </c>
      <c r="I492" t="s">
        <v>2230</v>
      </c>
      <c r="J492">
        <v>8</v>
      </c>
      <c r="K492">
        <v>2</v>
      </c>
      <c r="L492">
        <v>3.2754629629629627E-3</v>
      </c>
      <c r="M492" t="s">
        <v>117</v>
      </c>
      <c r="N492" t="s">
        <v>351</v>
      </c>
      <c r="O492" s="24">
        <v>46114</v>
      </c>
      <c r="P492">
        <v>606</v>
      </c>
      <c r="Q492" t="s">
        <v>34</v>
      </c>
      <c r="R492" s="24">
        <v>46136</v>
      </c>
      <c r="S492" s="51">
        <v>0.40694444444444444</v>
      </c>
      <c r="T492" s="51">
        <v>0.42499999999999999</v>
      </c>
      <c r="X492" t="s">
        <v>3130</v>
      </c>
      <c r="Y492" t="s">
        <v>3035</v>
      </c>
      <c r="Z492">
        <v>2733740</v>
      </c>
    </row>
    <row r="493" spans="1:26" x14ac:dyDescent="0.25">
      <c r="A493">
        <v>489</v>
      </c>
      <c r="B493" t="s">
        <v>24</v>
      </c>
      <c r="C493" t="s">
        <v>25</v>
      </c>
      <c r="D493">
        <v>13</v>
      </c>
      <c r="E493" t="s">
        <v>1672</v>
      </c>
      <c r="F493" t="s">
        <v>498</v>
      </c>
      <c r="G493">
        <v>4316</v>
      </c>
      <c r="H493" t="s">
        <v>2471</v>
      </c>
      <c r="I493" t="s">
        <v>2472</v>
      </c>
      <c r="J493">
        <v>8</v>
      </c>
      <c r="K493">
        <v>1</v>
      </c>
      <c r="L493">
        <v>5.6481481481481478E-3</v>
      </c>
      <c r="M493" t="s">
        <v>117</v>
      </c>
      <c r="N493" t="s">
        <v>239</v>
      </c>
      <c r="O493" s="24">
        <v>46114</v>
      </c>
      <c r="P493">
        <v>605</v>
      </c>
      <c r="Q493" t="s">
        <v>34</v>
      </c>
      <c r="R493" s="24">
        <v>46136</v>
      </c>
      <c r="S493" s="51">
        <v>0.80902777777777779</v>
      </c>
      <c r="T493" s="51">
        <v>0.81944444444444442</v>
      </c>
      <c r="X493" t="s">
        <v>3131</v>
      </c>
      <c r="Y493" t="s">
        <v>3032</v>
      </c>
      <c r="Z493">
        <v>1742255</v>
      </c>
    </row>
    <row r="494" spans="1:26" x14ac:dyDescent="0.25">
      <c r="A494">
        <v>490</v>
      </c>
      <c r="B494" t="s">
        <v>24</v>
      </c>
      <c r="C494" t="s">
        <v>25</v>
      </c>
      <c r="D494">
        <v>13</v>
      </c>
      <c r="E494" t="s">
        <v>133</v>
      </c>
      <c r="F494" t="s">
        <v>115</v>
      </c>
      <c r="G494">
        <v>4496</v>
      </c>
      <c r="H494" t="s">
        <v>97</v>
      </c>
      <c r="I494" t="s">
        <v>116</v>
      </c>
      <c r="J494">
        <v>8</v>
      </c>
      <c r="K494">
        <v>1</v>
      </c>
      <c r="L494">
        <v>7.951388888888888E-3</v>
      </c>
      <c r="M494" t="s">
        <v>117</v>
      </c>
      <c r="N494" t="s">
        <v>113</v>
      </c>
      <c r="O494" s="24">
        <v>46113</v>
      </c>
      <c r="P494">
        <v>603</v>
      </c>
      <c r="Q494" t="s">
        <v>34</v>
      </c>
      <c r="R494" s="24">
        <v>46113</v>
      </c>
      <c r="S494" s="51">
        <v>0.38680555555555557</v>
      </c>
      <c r="T494" s="51">
        <v>0.3923611111111111</v>
      </c>
      <c r="X494" t="s">
        <v>134</v>
      </c>
      <c r="Y494" t="s">
        <v>3072</v>
      </c>
      <c r="Z494">
        <v>3219209</v>
      </c>
    </row>
    <row r="495" spans="1:26" x14ac:dyDescent="0.25">
      <c r="A495">
        <v>491</v>
      </c>
      <c r="B495" t="s">
        <v>24</v>
      </c>
      <c r="C495" t="s">
        <v>25</v>
      </c>
      <c r="D495">
        <v>13</v>
      </c>
      <c r="E495" t="s">
        <v>150</v>
      </c>
      <c r="F495" t="s">
        <v>498</v>
      </c>
      <c r="G495">
        <v>4497</v>
      </c>
      <c r="H495" t="s">
        <v>562</v>
      </c>
      <c r="I495" t="s">
        <v>505</v>
      </c>
      <c r="J495">
        <v>8</v>
      </c>
      <c r="K495">
        <v>1</v>
      </c>
      <c r="L495">
        <v>6.8402777777777776E-3</v>
      </c>
      <c r="M495" t="s">
        <v>117</v>
      </c>
      <c r="N495" t="s">
        <v>491</v>
      </c>
      <c r="O495" s="24">
        <v>46118</v>
      </c>
      <c r="P495">
        <v>603</v>
      </c>
      <c r="Q495" t="s">
        <v>34</v>
      </c>
      <c r="R495" s="24">
        <v>46113</v>
      </c>
      <c r="S495" s="51">
        <v>0.44930555555555557</v>
      </c>
      <c r="T495" s="51">
        <v>0.4548611111111111</v>
      </c>
      <c r="X495" t="s">
        <v>3132</v>
      </c>
      <c r="Y495" t="s">
        <v>3072</v>
      </c>
      <c r="Z495">
        <v>1742314</v>
      </c>
    </row>
    <row r="496" spans="1:26" x14ac:dyDescent="0.25">
      <c r="A496">
        <v>492</v>
      </c>
      <c r="B496" t="s">
        <v>24</v>
      </c>
      <c r="C496" t="s">
        <v>25</v>
      </c>
      <c r="D496">
        <v>13</v>
      </c>
      <c r="E496" t="s">
        <v>150</v>
      </c>
      <c r="F496" t="s">
        <v>498</v>
      </c>
      <c r="G496">
        <v>4498</v>
      </c>
      <c r="H496" t="s">
        <v>564</v>
      </c>
      <c r="I496" t="s">
        <v>500</v>
      </c>
      <c r="J496">
        <v>8</v>
      </c>
      <c r="K496">
        <v>1</v>
      </c>
      <c r="L496">
        <v>6.875E-3</v>
      </c>
      <c r="M496" t="s">
        <v>117</v>
      </c>
      <c r="N496" t="s">
        <v>491</v>
      </c>
      <c r="O496" s="24">
        <v>46118</v>
      </c>
      <c r="P496">
        <v>603</v>
      </c>
      <c r="Q496" t="s">
        <v>34</v>
      </c>
      <c r="R496" s="24">
        <v>46113</v>
      </c>
      <c r="S496" s="51">
        <v>0.45833333333333331</v>
      </c>
      <c r="T496" s="51">
        <v>0.46458333333333335</v>
      </c>
      <c r="X496" t="s">
        <v>3133</v>
      </c>
      <c r="Y496" t="s">
        <v>3072</v>
      </c>
      <c r="Z496">
        <v>1742314</v>
      </c>
    </row>
    <row r="497" spans="1:26" x14ac:dyDescent="0.25">
      <c r="A497">
        <v>493</v>
      </c>
      <c r="B497" t="s">
        <v>24</v>
      </c>
      <c r="C497" t="s">
        <v>25</v>
      </c>
      <c r="D497">
        <v>13</v>
      </c>
      <c r="E497" t="s">
        <v>1665</v>
      </c>
      <c r="F497" t="s">
        <v>512</v>
      </c>
      <c r="G497">
        <v>4499</v>
      </c>
      <c r="H497" t="s">
        <v>2561</v>
      </c>
      <c r="I497" t="s">
        <v>2198</v>
      </c>
      <c r="J497">
        <v>8</v>
      </c>
      <c r="K497">
        <v>1</v>
      </c>
      <c r="L497">
        <v>6.2615740740740739E-3</v>
      </c>
      <c r="M497" t="s">
        <v>117</v>
      </c>
      <c r="N497" t="s">
        <v>239</v>
      </c>
      <c r="O497" s="24">
        <v>46114</v>
      </c>
      <c r="P497">
        <v>605</v>
      </c>
      <c r="Q497" t="s">
        <v>34</v>
      </c>
      <c r="R497" s="24">
        <v>46136</v>
      </c>
      <c r="S497" s="51">
        <v>0.67777777777777781</v>
      </c>
      <c r="T497" s="51">
        <v>0.68541666666666667</v>
      </c>
      <c r="X497" t="s">
        <v>3134</v>
      </c>
      <c r="Y497" t="s">
        <v>3029</v>
      </c>
      <c r="Z497">
        <v>1742079</v>
      </c>
    </row>
    <row r="498" spans="1:26" x14ac:dyDescent="0.25">
      <c r="A498">
        <v>494</v>
      </c>
      <c r="B498" t="s">
        <v>24</v>
      </c>
      <c r="C498" t="s">
        <v>25</v>
      </c>
      <c r="D498">
        <v>13</v>
      </c>
      <c r="E498" t="s">
        <v>367</v>
      </c>
      <c r="F498" t="s">
        <v>1593</v>
      </c>
      <c r="G498">
        <v>4499</v>
      </c>
      <c r="H498" t="s">
        <v>2046</v>
      </c>
      <c r="I498" t="s">
        <v>2047</v>
      </c>
      <c r="J498">
        <v>8</v>
      </c>
      <c r="K498">
        <v>2</v>
      </c>
      <c r="L498">
        <v>1.2384259259259258E-3</v>
      </c>
      <c r="M498" t="s">
        <v>117</v>
      </c>
      <c r="N498" t="s">
        <v>239</v>
      </c>
      <c r="O498" s="24">
        <v>46114</v>
      </c>
      <c r="P498">
        <v>605</v>
      </c>
      <c r="Q498" t="s">
        <v>34</v>
      </c>
      <c r="R498" s="24">
        <v>46136</v>
      </c>
      <c r="S498" s="51">
        <v>0.67777777777777781</v>
      </c>
      <c r="T498" s="51">
        <v>0.68541666666666667</v>
      </c>
      <c r="X498" t="s">
        <v>3134</v>
      </c>
      <c r="Y498" t="s">
        <v>3029</v>
      </c>
      <c r="Z498">
        <v>1742079</v>
      </c>
    </row>
    <row r="499" spans="1:26" x14ac:dyDescent="0.25">
      <c r="A499">
        <v>495</v>
      </c>
      <c r="B499" t="s">
        <v>24</v>
      </c>
      <c r="C499" t="s">
        <v>25</v>
      </c>
      <c r="D499">
        <v>13</v>
      </c>
      <c r="E499" t="s">
        <v>65</v>
      </c>
      <c r="F499" t="s">
        <v>65</v>
      </c>
      <c r="G499">
        <v>4499</v>
      </c>
      <c r="H499" t="s">
        <v>2218</v>
      </c>
      <c r="I499" t="s">
        <v>2219</v>
      </c>
      <c r="J499">
        <v>8</v>
      </c>
      <c r="K499">
        <v>2</v>
      </c>
      <c r="L499">
        <v>1.2268518518518518E-3</v>
      </c>
      <c r="M499" t="s">
        <v>117</v>
      </c>
      <c r="N499" t="s">
        <v>239</v>
      </c>
      <c r="O499" s="24">
        <v>46114</v>
      </c>
      <c r="P499">
        <v>605</v>
      </c>
      <c r="Q499" t="s">
        <v>34</v>
      </c>
      <c r="R499" s="24">
        <v>46136</v>
      </c>
      <c r="S499" s="51">
        <v>0.67777777777777781</v>
      </c>
      <c r="T499" s="51">
        <v>0.68541666666666667</v>
      </c>
      <c r="X499" t="s">
        <v>3134</v>
      </c>
      <c r="Y499" t="s">
        <v>3029</v>
      </c>
      <c r="Z499">
        <v>1742079</v>
      </c>
    </row>
    <row r="500" spans="1:26" x14ac:dyDescent="0.25">
      <c r="A500">
        <v>496</v>
      </c>
      <c r="B500" t="s">
        <v>24</v>
      </c>
      <c r="C500" t="s">
        <v>25</v>
      </c>
      <c r="D500">
        <v>13</v>
      </c>
      <c r="E500" t="s">
        <v>2195</v>
      </c>
      <c r="F500" t="s">
        <v>44</v>
      </c>
      <c r="G500">
        <v>4499</v>
      </c>
      <c r="H500" t="s">
        <v>48</v>
      </c>
      <c r="I500" t="s">
        <v>1119</v>
      </c>
      <c r="J500">
        <v>8</v>
      </c>
      <c r="K500">
        <v>1</v>
      </c>
      <c r="L500">
        <v>1.423611111111111E-3</v>
      </c>
      <c r="M500" t="s">
        <v>117</v>
      </c>
      <c r="N500" t="s">
        <v>239</v>
      </c>
      <c r="O500" s="24">
        <v>46114</v>
      </c>
      <c r="P500">
        <v>605</v>
      </c>
      <c r="Q500" t="s">
        <v>34</v>
      </c>
      <c r="R500" s="24">
        <v>46136</v>
      </c>
      <c r="S500" s="51">
        <v>0.67777777777777781</v>
      </c>
      <c r="T500" s="51">
        <v>0.68541666666666667</v>
      </c>
      <c r="X500" t="s">
        <v>3134</v>
      </c>
      <c r="Y500" t="s">
        <v>3029</v>
      </c>
      <c r="Z500">
        <v>1742079</v>
      </c>
    </row>
    <row r="501" spans="1:26" x14ac:dyDescent="0.25">
      <c r="A501">
        <v>497</v>
      </c>
      <c r="B501" t="s">
        <v>24</v>
      </c>
      <c r="C501" t="s">
        <v>25</v>
      </c>
      <c r="D501">
        <v>13</v>
      </c>
      <c r="E501" t="s">
        <v>1665</v>
      </c>
      <c r="F501" t="s">
        <v>115</v>
      </c>
      <c r="G501">
        <v>4500</v>
      </c>
      <c r="H501" t="s">
        <v>2563</v>
      </c>
      <c r="I501" t="s">
        <v>2091</v>
      </c>
      <c r="J501">
        <v>8</v>
      </c>
      <c r="K501">
        <v>1</v>
      </c>
      <c r="L501">
        <v>5.9606481481481481E-3</v>
      </c>
      <c r="M501" t="s">
        <v>117</v>
      </c>
      <c r="N501" t="s">
        <v>113</v>
      </c>
      <c r="O501" s="24">
        <v>46113</v>
      </c>
      <c r="P501">
        <v>603</v>
      </c>
      <c r="Q501" t="s">
        <v>34</v>
      </c>
      <c r="R501" s="24">
        <v>46113</v>
      </c>
      <c r="S501" s="51">
        <v>0.6166666666666667</v>
      </c>
      <c r="T501" s="51">
        <v>0.62222222222222223</v>
      </c>
      <c r="X501" t="s">
        <v>138</v>
      </c>
      <c r="Y501" t="s">
        <v>3072</v>
      </c>
      <c r="Z501">
        <v>2733737</v>
      </c>
    </row>
    <row r="502" spans="1:26" x14ac:dyDescent="0.25">
      <c r="A502">
        <v>498</v>
      </c>
      <c r="B502" t="s">
        <v>24</v>
      </c>
      <c r="C502" t="s">
        <v>25</v>
      </c>
      <c r="D502">
        <v>13</v>
      </c>
      <c r="E502" t="s">
        <v>367</v>
      </c>
      <c r="F502" t="s">
        <v>512</v>
      </c>
      <c r="G502">
        <v>4500</v>
      </c>
      <c r="H502" t="s">
        <v>2203</v>
      </c>
      <c r="I502" t="s">
        <v>2204</v>
      </c>
      <c r="J502">
        <v>8</v>
      </c>
      <c r="K502">
        <v>1</v>
      </c>
      <c r="L502">
        <v>1.1921296296296296E-3</v>
      </c>
      <c r="M502" t="s">
        <v>117</v>
      </c>
      <c r="N502" t="s">
        <v>113</v>
      </c>
      <c r="O502" s="24">
        <v>46113</v>
      </c>
      <c r="P502">
        <v>603</v>
      </c>
      <c r="Q502" t="s">
        <v>34</v>
      </c>
      <c r="R502" s="24">
        <v>46113</v>
      </c>
      <c r="S502" s="51">
        <v>0.6166666666666667</v>
      </c>
      <c r="T502" s="51">
        <v>0.62222222222222223</v>
      </c>
      <c r="X502" t="s">
        <v>138</v>
      </c>
      <c r="Y502" t="s">
        <v>3072</v>
      </c>
      <c r="Z502">
        <v>2733737</v>
      </c>
    </row>
    <row r="503" spans="1:26" x14ac:dyDescent="0.25">
      <c r="A503">
        <v>499</v>
      </c>
      <c r="B503" t="s">
        <v>24</v>
      </c>
      <c r="C503" t="s">
        <v>25</v>
      </c>
      <c r="D503">
        <v>13</v>
      </c>
      <c r="E503" t="s">
        <v>65</v>
      </c>
      <c r="F503" t="s">
        <v>368</v>
      </c>
      <c r="G503">
        <v>4500</v>
      </c>
      <c r="H503" t="s">
        <v>2156</v>
      </c>
      <c r="I503" t="s">
        <v>2157</v>
      </c>
      <c r="J503">
        <v>8</v>
      </c>
      <c r="K503">
        <v>2</v>
      </c>
      <c r="L503">
        <v>7.407407407407407E-4</v>
      </c>
      <c r="M503" t="s">
        <v>117</v>
      </c>
      <c r="N503" t="s">
        <v>113</v>
      </c>
      <c r="O503" s="24">
        <v>46113</v>
      </c>
      <c r="P503">
        <v>603</v>
      </c>
      <c r="Q503" t="s">
        <v>34</v>
      </c>
      <c r="R503" s="24">
        <v>46113</v>
      </c>
      <c r="S503" s="51">
        <v>0.6166666666666667</v>
      </c>
      <c r="T503" s="51">
        <v>0.62222222222222223</v>
      </c>
      <c r="X503" t="s">
        <v>138</v>
      </c>
      <c r="Y503" t="s">
        <v>3072</v>
      </c>
      <c r="Z503">
        <v>2733737</v>
      </c>
    </row>
    <row r="504" spans="1:26" x14ac:dyDescent="0.25">
      <c r="A504">
        <v>500</v>
      </c>
      <c r="B504" t="s">
        <v>24</v>
      </c>
      <c r="C504" t="s">
        <v>25</v>
      </c>
      <c r="D504">
        <v>13</v>
      </c>
      <c r="E504" t="s">
        <v>367</v>
      </c>
      <c r="F504" t="s">
        <v>1594</v>
      </c>
      <c r="G504">
        <v>4316</v>
      </c>
      <c r="H504" t="s">
        <v>2474</v>
      </c>
      <c r="I504" t="s">
        <v>2475</v>
      </c>
      <c r="J504">
        <v>8</v>
      </c>
      <c r="K504">
        <v>1</v>
      </c>
      <c r="L504">
        <v>9.0277777777777774E-4</v>
      </c>
      <c r="M504" t="s">
        <v>117</v>
      </c>
      <c r="N504" t="s">
        <v>239</v>
      </c>
      <c r="O504" s="24">
        <v>46114</v>
      </c>
      <c r="P504">
        <v>605</v>
      </c>
      <c r="Q504" t="s">
        <v>34</v>
      </c>
      <c r="R504" s="24">
        <v>46136</v>
      </c>
      <c r="S504" s="51">
        <v>0.80902777777777779</v>
      </c>
      <c r="T504" s="51">
        <v>0.81944444444444442</v>
      </c>
      <c r="X504" t="s">
        <v>3131</v>
      </c>
      <c r="Y504" t="s">
        <v>3032</v>
      </c>
      <c r="Z504">
        <v>1742255</v>
      </c>
    </row>
    <row r="505" spans="1:26" x14ac:dyDescent="0.25">
      <c r="A505">
        <v>501</v>
      </c>
      <c r="B505" t="s">
        <v>24</v>
      </c>
      <c r="C505" t="s">
        <v>25</v>
      </c>
      <c r="D505">
        <v>13</v>
      </c>
      <c r="E505" t="s">
        <v>131</v>
      </c>
      <c r="F505" t="s">
        <v>512</v>
      </c>
      <c r="G505">
        <v>4316</v>
      </c>
      <c r="H505" t="s">
        <v>2476</v>
      </c>
      <c r="I505" t="s">
        <v>2477</v>
      </c>
      <c r="J505">
        <v>8</v>
      </c>
      <c r="K505">
        <v>1</v>
      </c>
      <c r="L505">
        <v>7.1759259259259259E-4</v>
      </c>
      <c r="M505" t="s">
        <v>117</v>
      </c>
      <c r="N505" t="s">
        <v>239</v>
      </c>
      <c r="O505" s="24">
        <v>46114</v>
      </c>
      <c r="P505">
        <v>605</v>
      </c>
      <c r="Q505" t="s">
        <v>34</v>
      </c>
      <c r="R505" s="24">
        <v>46136</v>
      </c>
      <c r="S505" s="51">
        <v>0.80902777777777779</v>
      </c>
      <c r="T505" s="51">
        <v>0.81944444444444442</v>
      </c>
      <c r="X505" t="s">
        <v>3131</v>
      </c>
      <c r="Y505" t="s">
        <v>3032</v>
      </c>
      <c r="Z505">
        <v>1742255</v>
      </c>
    </row>
    <row r="506" spans="1:26" x14ac:dyDescent="0.25">
      <c r="A506">
        <v>502</v>
      </c>
      <c r="B506" t="s">
        <v>24</v>
      </c>
      <c r="C506" t="s">
        <v>25</v>
      </c>
      <c r="D506">
        <v>13</v>
      </c>
      <c r="E506" t="s">
        <v>2195</v>
      </c>
      <c r="F506" t="s">
        <v>44</v>
      </c>
      <c r="G506">
        <v>4316</v>
      </c>
      <c r="H506" t="s">
        <v>48</v>
      </c>
      <c r="I506" t="s">
        <v>1119</v>
      </c>
      <c r="J506">
        <v>8</v>
      </c>
      <c r="K506">
        <v>1</v>
      </c>
      <c r="L506">
        <v>1.4583333333333332E-3</v>
      </c>
      <c r="M506" t="s">
        <v>117</v>
      </c>
      <c r="N506" t="s">
        <v>239</v>
      </c>
      <c r="O506" s="24">
        <v>46114</v>
      </c>
      <c r="P506">
        <v>605</v>
      </c>
      <c r="Q506" t="s">
        <v>34</v>
      </c>
      <c r="R506" s="24">
        <v>46136</v>
      </c>
      <c r="S506" s="51">
        <v>0.80902777777777779</v>
      </c>
      <c r="T506" s="51">
        <v>0.81944444444444442</v>
      </c>
      <c r="X506" t="s">
        <v>3131</v>
      </c>
      <c r="Y506" t="s">
        <v>3032</v>
      </c>
      <c r="Z506">
        <v>1742255</v>
      </c>
    </row>
    <row r="507" spans="1:26" x14ac:dyDescent="0.25">
      <c r="A507">
        <v>503</v>
      </c>
      <c r="B507" t="s">
        <v>24</v>
      </c>
      <c r="C507" t="s">
        <v>25</v>
      </c>
      <c r="D507">
        <v>13</v>
      </c>
      <c r="E507" t="s">
        <v>511</v>
      </c>
      <c r="F507" t="s">
        <v>512</v>
      </c>
      <c r="G507">
        <v>3996</v>
      </c>
      <c r="H507" t="s">
        <v>513</v>
      </c>
      <c r="I507" t="s">
        <v>119</v>
      </c>
      <c r="J507">
        <v>8</v>
      </c>
      <c r="K507">
        <v>1</v>
      </c>
      <c r="L507">
        <v>6.9212962962962961E-3</v>
      </c>
      <c r="M507" t="s">
        <v>117</v>
      </c>
      <c r="N507" t="s">
        <v>491</v>
      </c>
      <c r="O507" s="24">
        <v>46118</v>
      </c>
      <c r="P507">
        <v>603</v>
      </c>
      <c r="Q507" t="s">
        <v>34</v>
      </c>
      <c r="R507" s="24">
        <v>46113</v>
      </c>
      <c r="S507" s="51">
        <v>0.65694444444444444</v>
      </c>
      <c r="T507" s="51">
        <v>0.66249999999999998</v>
      </c>
      <c r="X507" t="s">
        <v>3135</v>
      </c>
      <c r="Y507" t="s">
        <v>3072</v>
      </c>
      <c r="Z507">
        <v>1742255</v>
      </c>
    </row>
    <row r="508" spans="1:26" x14ac:dyDescent="0.25">
      <c r="A508">
        <v>504</v>
      </c>
      <c r="B508" t="s">
        <v>24</v>
      </c>
      <c r="C508" t="s">
        <v>25</v>
      </c>
      <c r="D508">
        <v>13</v>
      </c>
      <c r="E508" t="s">
        <v>511</v>
      </c>
      <c r="F508" t="s">
        <v>512</v>
      </c>
      <c r="G508">
        <v>3997</v>
      </c>
      <c r="H508" t="s">
        <v>513</v>
      </c>
      <c r="I508" t="s">
        <v>119</v>
      </c>
      <c r="J508">
        <v>8</v>
      </c>
      <c r="K508">
        <v>1</v>
      </c>
      <c r="L508">
        <v>6.9212962962962961E-3</v>
      </c>
      <c r="M508" t="s">
        <v>117</v>
      </c>
      <c r="N508" t="s">
        <v>491</v>
      </c>
      <c r="O508" s="24">
        <v>46118</v>
      </c>
      <c r="P508">
        <v>603</v>
      </c>
      <c r="Q508" t="s">
        <v>34</v>
      </c>
      <c r="R508" s="24">
        <v>46113</v>
      </c>
      <c r="S508" s="51">
        <v>0.66736111111111107</v>
      </c>
      <c r="T508" s="51">
        <v>0.67291666666666672</v>
      </c>
      <c r="X508" t="s">
        <v>3136</v>
      </c>
      <c r="Y508" t="s">
        <v>3072</v>
      </c>
      <c r="Z508">
        <v>1742255</v>
      </c>
    </row>
    <row r="509" spans="1:26" x14ac:dyDescent="0.25">
      <c r="A509">
        <v>505</v>
      </c>
      <c r="B509" t="s">
        <v>24</v>
      </c>
      <c r="C509" t="s">
        <v>25</v>
      </c>
      <c r="D509">
        <v>13</v>
      </c>
      <c r="E509" t="s">
        <v>511</v>
      </c>
      <c r="F509" t="s">
        <v>512</v>
      </c>
      <c r="G509">
        <v>3998</v>
      </c>
      <c r="H509" t="s">
        <v>513</v>
      </c>
      <c r="I509" t="s">
        <v>119</v>
      </c>
      <c r="J509">
        <v>8</v>
      </c>
      <c r="K509">
        <v>1</v>
      </c>
      <c r="L509">
        <v>6.9212962962962961E-3</v>
      </c>
      <c r="M509" t="s">
        <v>117</v>
      </c>
      <c r="N509" t="s">
        <v>491</v>
      </c>
      <c r="O509" s="24">
        <v>46118</v>
      </c>
      <c r="P509">
        <v>603</v>
      </c>
      <c r="Q509" t="s">
        <v>34</v>
      </c>
      <c r="R509" s="24">
        <v>46113</v>
      </c>
      <c r="S509" s="51">
        <v>0.58750000000000002</v>
      </c>
      <c r="T509" s="51">
        <v>0.59305555555555556</v>
      </c>
      <c r="X509" t="s">
        <v>3137</v>
      </c>
      <c r="Y509" t="s">
        <v>3072</v>
      </c>
      <c r="Z509">
        <v>1742255</v>
      </c>
    </row>
    <row r="510" spans="1:26" x14ac:dyDescent="0.25">
      <c r="A510">
        <v>506</v>
      </c>
      <c r="B510" t="s">
        <v>24</v>
      </c>
      <c r="C510" t="s">
        <v>25</v>
      </c>
      <c r="D510">
        <v>13</v>
      </c>
      <c r="E510" t="s">
        <v>511</v>
      </c>
      <c r="F510" t="s">
        <v>512</v>
      </c>
      <c r="G510">
        <v>3999</v>
      </c>
      <c r="H510" t="s">
        <v>513</v>
      </c>
      <c r="I510" t="s">
        <v>119</v>
      </c>
      <c r="J510">
        <v>8</v>
      </c>
      <c r="K510">
        <v>1</v>
      </c>
      <c r="L510">
        <v>6.9212962962962961E-3</v>
      </c>
      <c r="M510" t="s">
        <v>117</v>
      </c>
      <c r="N510" t="s">
        <v>491</v>
      </c>
      <c r="O510" s="24">
        <v>46118</v>
      </c>
      <c r="P510">
        <v>603</v>
      </c>
      <c r="Q510" t="s">
        <v>34</v>
      </c>
      <c r="R510" s="24">
        <v>46113</v>
      </c>
      <c r="S510" s="51">
        <v>0.63263888888888886</v>
      </c>
      <c r="T510" s="51">
        <v>0.63749999999999996</v>
      </c>
      <c r="X510" t="s">
        <v>3138</v>
      </c>
      <c r="Y510" t="s">
        <v>3072</v>
      </c>
      <c r="Z510">
        <v>2733753</v>
      </c>
    </row>
    <row r="511" spans="1:26" x14ac:dyDescent="0.25">
      <c r="A511">
        <v>507</v>
      </c>
      <c r="B511" t="s">
        <v>24</v>
      </c>
      <c r="C511" t="s">
        <v>25</v>
      </c>
      <c r="D511">
        <v>13</v>
      </c>
      <c r="E511" t="s">
        <v>511</v>
      </c>
      <c r="F511" t="s">
        <v>512</v>
      </c>
      <c r="G511">
        <v>4000</v>
      </c>
      <c r="H511" t="s">
        <v>513</v>
      </c>
      <c r="I511" t="s">
        <v>119</v>
      </c>
      <c r="J511">
        <v>8</v>
      </c>
      <c r="K511">
        <v>1</v>
      </c>
      <c r="L511">
        <v>6.9212962962962961E-3</v>
      </c>
      <c r="M511" t="s">
        <v>117</v>
      </c>
      <c r="N511" t="s">
        <v>491</v>
      </c>
      <c r="O511" s="24">
        <v>46118</v>
      </c>
      <c r="P511">
        <v>603</v>
      </c>
      <c r="Q511" t="s">
        <v>34</v>
      </c>
      <c r="R511" s="24">
        <v>46113</v>
      </c>
      <c r="S511" s="51">
        <v>0.60763888888888884</v>
      </c>
      <c r="T511" s="51">
        <v>0.61250000000000004</v>
      </c>
      <c r="X511" t="s">
        <v>3139</v>
      </c>
      <c r="Y511" t="s">
        <v>3072</v>
      </c>
      <c r="Z511">
        <v>1742255</v>
      </c>
    </row>
    <row r="512" spans="1:26" x14ac:dyDescent="0.25">
      <c r="A512">
        <v>508</v>
      </c>
      <c r="B512" t="s">
        <v>24</v>
      </c>
      <c r="C512" t="s">
        <v>25</v>
      </c>
      <c r="D512">
        <v>13</v>
      </c>
      <c r="E512" t="s">
        <v>511</v>
      </c>
      <c r="F512" t="s">
        <v>512</v>
      </c>
      <c r="G512">
        <v>4001</v>
      </c>
      <c r="H512" t="s">
        <v>513</v>
      </c>
      <c r="I512" t="s">
        <v>119</v>
      </c>
      <c r="J512">
        <v>8</v>
      </c>
      <c r="K512">
        <v>1</v>
      </c>
      <c r="L512">
        <v>6.9212962962962961E-3</v>
      </c>
      <c r="M512" t="s">
        <v>117</v>
      </c>
      <c r="N512" t="s">
        <v>491</v>
      </c>
      <c r="O512" s="24">
        <v>46118</v>
      </c>
      <c r="P512">
        <v>603</v>
      </c>
      <c r="Q512" t="s">
        <v>34</v>
      </c>
      <c r="R512" s="24">
        <v>46113</v>
      </c>
      <c r="S512" s="51">
        <v>0.61805555555555558</v>
      </c>
      <c r="T512" s="51">
        <v>0.62361111111111112</v>
      </c>
      <c r="X512" t="s">
        <v>3140</v>
      </c>
      <c r="Y512" t="s">
        <v>3072</v>
      </c>
      <c r="Z512">
        <v>1742255</v>
      </c>
    </row>
    <row r="513" spans="1:26" x14ac:dyDescent="0.25">
      <c r="A513">
        <v>509</v>
      </c>
      <c r="B513" t="s">
        <v>24</v>
      </c>
      <c r="C513" t="s">
        <v>25</v>
      </c>
      <c r="D513">
        <v>13</v>
      </c>
      <c r="E513" t="s">
        <v>367</v>
      </c>
      <c r="F513" t="s">
        <v>1598</v>
      </c>
      <c r="G513">
        <v>4249</v>
      </c>
      <c r="H513" t="s">
        <v>2168</v>
      </c>
      <c r="I513" t="s">
        <v>1634</v>
      </c>
      <c r="J513">
        <v>8</v>
      </c>
      <c r="K513">
        <v>1</v>
      </c>
      <c r="L513">
        <v>6.8287037037037036E-4</v>
      </c>
      <c r="M513" t="s">
        <v>117</v>
      </c>
      <c r="N513" t="s">
        <v>239</v>
      </c>
      <c r="O513" s="24">
        <v>46114</v>
      </c>
      <c r="P513">
        <v>605</v>
      </c>
      <c r="Q513" t="s">
        <v>34</v>
      </c>
      <c r="R513" s="24">
        <v>46136</v>
      </c>
      <c r="S513" s="51">
        <v>0.4597222222222222</v>
      </c>
      <c r="T513" s="51">
        <v>0.46944444444444444</v>
      </c>
      <c r="X513" t="s">
        <v>3141</v>
      </c>
      <c r="Y513" t="s">
        <v>3029</v>
      </c>
      <c r="Z513">
        <v>2733753</v>
      </c>
    </row>
    <row r="514" spans="1:26" x14ac:dyDescent="0.25">
      <c r="A514">
        <v>510</v>
      </c>
      <c r="B514" t="s">
        <v>24</v>
      </c>
      <c r="C514" t="s">
        <v>25</v>
      </c>
      <c r="D514">
        <v>13</v>
      </c>
      <c r="E514" t="s">
        <v>367</v>
      </c>
      <c r="F514" t="s">
        <v>1593</v>
      </c>
      <c r="G514">
        <v>4249</v>
      </c>
      <c r="H514" t="s">
        <v>2046</v>
      </c>
      <c r="I514" t="s">
        <v>2047</v>
      </c>
      <c r="J514">
        <v>8</v>
      </c>
      <c r="K514">
        <v>1</v>
      </c>
      <c r="L514">
        <v>5.6712962962962956E-4</v>
      </c>
      <c r="M514" t="s">
        <v>117</v>
      </c>
      <c r="N514" t="s">
        <v>239</v>
      </c>
      <c r="O514" s="24">
        <v>46114</v>
      </c>
      <c r="P514">
        <v>605</v>
      </c>
      <c r="Q514" t="s">
        <v>34</v>
      </c>
      <c r="R514" s="24">
        <v>46136</v>
      </c>
      <c r="S514" s="51">
        <v>0.4597222222222222</v>
      </c>
      <c r="T514" s="51">
        <v>0.46944444444444444</v>
      </c>
      <c r="X514" t="s">
        <v>3141</v>
      </c>
      <c r="Y514" t="s">
        <v>3029</v>
      </c>
      <c r="Z514">
        <v>2733753</v>
      </c>
    </row>
    <row r="515" spans="1:26" x14ac:dyDescent="0.25">
      <c r="A515">
        <v>511</v>
      </c>
      <c r="B515" t="s">
        <v>24</v>
      </c>
      <c r="C515" t="s">
        <v>25</v>
      </c>
      <c r="D515">
        <v>13</v>
      </c>
      <c r="E515" t="s">
        <v>367</v>
      </c>
      <c r="F515" t="s">
        <v>1593</v>
      </c>
      <c r="G515">
        <v>4249</v>
      </c>
      <c r="H515" t="s">
        <v>2060</v>
      </c>
      <c r="I515" t="s">
        <v>2061</v>
      </c>
      <c r="J515">
        <v>8</v>
      </c>
      <c r="K515">
        <v>1</v>
      </c>
      <c r="L515">
        <v>3.8194444444444441E-4</v>
      </c>
      <c r="M515" t="s">
        <v>117</v>
      </c>
      <c r="N515" t="s">
        <v>239</v>
      </c>
      <c r="O515" s="24">
        <v>46114</v>
      </c>
      <c r="P515">
        <v>605</v>
      </c>
      <c r="Q515" t="s">
        <v>34</v>
      </c>
      <c r="R515" s="24">
        <v>46136</v>
      </c>
      <c r="S515" s="51">
        <v>0.4597222222222222</v>
      </c>
      <c r="T515" s="51">
        <v>0.46944444444444444</v>
      </c>
      <c r="X515" t="s">
        <v>3141</v>
      </c>
      <c r="Y515" t="s">
        <v>3029</v>
      </c>
      <c r="Z515">
        <v>2733753</v>
      </c>
    </row>
    <row r="516" spans="1:26" x14ac:dyDescent="0.25">
      <c r="A516">
        <v>512</v>
      </c>
      <c r="B516" t="s">
        <v>24</v>
      </c>
      <c r="C516" t="s">
        <v>25</v>
      </c>
      <c r="D516">
        <v>13</v>
      </c>
      <c r="E516" t="s">
        <v>367</v>
      </c>
      <c r="F516" t="s">
        <v>1592</v>
      </c>
      <c r="G516">
        <v>4249</v>
      </c>
      <c r="H516" t="s">
        <v>2062</v>
      </c>
      <c r="I516" t="s">
        <v>2063</v>
      </c>
      <c r="J516">
        <v>8</v>
      </c>
      <c r="K516">
        <v>2</v>
      </c>
      <c r="L516">
        <v>8.4490740740740739E-4</v>
      </c>
      <c r="M516" t="s">
        <v>117</v>
      </c>
      <c r="N516" t="s">
        <v>239</v>
      </c>
      <c r="O516" s="24">
        <v>46114</v>
      </c>
      <c r="P516">
        <v>605</v>
      </c>
      <c r="Q516" t="s">
        <v>34</v>
      </c>
      <c r="R516" s="24">
        <v>46136</v>
      </c>
      <c r="S516" s="51">
        <v>0.4597222222222222</v>
      </c>
      <c r="T516" s="51">
        <v>0.46944444444444444</v>
      </c>
      <c r="X516" t="s">
        <v>3141</v>
      </c>
      <c r="Y516" t="s">
        <v>3029</v>
      </c>
      <c r="Z516">
        <v>2733753</v>
      </c>
    </row>
    <row r="517" spans="1:26" x14ac:dyDescent="0.25">
      <c r="A517">
        <v>513</v>
      </c>
      <c r="B517" t="s">
        <v>24</v>
      </c>
      <c r="C517" t="s">
        <v>25</v>
      </c>
      <c r="D517">
        <v>13</v>
      </c>
      <c r="E517" t="s">
        <v>367</v>
      </c>
      <c r="F517" t="s">
        <v>1594</v>
      </c>
      <c r="G517">
        <v>4249</v>
      </c>
      <c r="H517" t="s">
        <v>2410</v>
      </c>
      <c r="I517" t="s">
        <v>494</v>
      </c>
      <c r="J517">
        <v>8</v>
      </c>
      <c r="K517">
        <v>1</v>
      </c>
      <c r="L517">
        <v>6.192129629629629E-3</v>
      </c>
      <c r="M517" t="s">
        <v>117</v>
      </c>
      <c r="N517" t="s">
        <v>239</v>
      </c>
      <c r="O517" s="24">
        <v>46114</v>
      </c>
      <c r="P517">
        <v>605</v>
      </c>
      <c r="Q517" t="s">
        <v>34</v>
      </c>
      <c r="R517" s="24">
        <v>46136</v>
      </c>
      <c r="S517" s="51">
        <v>0.4597222222222222</v>
      </c>
      <c r="T517" s="51">
        <v>0.46944444444444444</v>
      </c>
      <c r="X517" t="s">
        <v>3141</v>
      </c>
      <c r="Y517" t="s">
        <v>3029</v>
      </c>
      <c r="Z517">
        <v>2733753</v>
      </c>
    </row>
    <row r="518" spans="1:26" x14ac:dyDescent="0.25">
      <c r="A518">
        <v>514</v>
      </c>
      <c r="B518" t="s">
        <v>24</v>
      </c>
      <c r="C518" t="s">
        <v>25</v>
      </c>
      <c r="D518">
        <v>13</v>
      </c>
      <c r="E518" t="s">
        <v>65</v>
      </c>
      <c r="F518" t="s">
        <v>65</v>
      </c>
      <c r="G518">
        <v>4249</v>
      </c>
      <c r="H518" t="s">
        <v>2066</v>
      </c>
      <c r="I518" t="s">
        <v>2067</v>
      </c>
      <c r="J518">
        <v>8</v>
      </c>
      <c r="K518">
        <v>1</v>
      </c>
      <c r="L518">
        <v>6.7129629629629625E-4</v>
      </c>
      <c r="M518" t="s">
        <v>117</v>
      </c>
      <c r="N518" t="s">
        <v>239</v>
      </c>
      <c r="O518" s="24">
        <v>46114</v>
      </c>
      <c r="P518">
        <v>605</v>
      </c>
      <c r="Q518" t="s">
        <v>34</v>
      </c>
      <c r="R518" s="24">
        <v>46136</v>
      </c>
      <c r="S518" s="51">
        <v>0.4597222222222222</v>
      </c>
      <c r="T518" s="51">
        <v>0.46944444444444444</v>
      </c>
      <c r="X518" t="s">
        <v>3141</v>
      </c>
      <c r="Y518" t="s">
        <v>3029</v>
      </c>
      <c r="Z518">
        <v>2733753</v>
      </c>
    </row>
    <row r="519" spans="1:26" x14ac:dyDescent="0.25">
      <c r="A519">
        <v>515</v>
      </c>
      <c r="B519" t="s">
        <v>24</v>
      </c>
      <c r="C519" t="s">
        <v>25</v>
      </c>
      <c r="D519">
        <v>13</v>
      </c>
      <c r="E519" t="s">
        <v>65</v>
      </c>
      <c r="F519" t="s">
        <v>368</v>
      </c>
      <c r="G519">
        <v>4249</v>
      </c>
      <c r="H519" t="s">
        <v>2220</v>
      </c>
      <c r="I519" t="s">
        <v>2221</v>
      </c>
      <c r="J519">
        <v>8</v>
      </c>
      <c r="K519">
        <v>1</v>
      </c>
      <c r="L519">
        <v>6.2500000000000001E-4</v>
      </c>
      <c r="M519" t="s">
        <v>117</v>
      </c>
      <c r="N519" t="s">
        <v>239</v>
      </c>
      <c r="O519" s="24">
        <v>46114</v>
      </c>
      <c r="P519">
        <v>605</v>
      </c>
      <c r="Q519" t="s">
        <v>34</v>
      </c>
      <c r="R519" s="24">
        <v>46136</v>
      </c>
      <c r="S519" s="51">
        <v>0.4597222222222222</v>
      </c>
      <c r="T519" s="51">
        <v>0.46944444444444444</v>
      </c>
      <c r="X519" t="s">
        <v>3141</v>
      </c>
      <c r="Y519" t="s">
        <v>3029</v>
      </c>
      <c r="Z519">
        <v>2733753</v>
      </c>
    </row>
    <row r="520" spans="1:26" x14ac:dyDescent="0.25">
      <c r="A520">
        <v>516</v>
      </c>
      <c r="B520" t="s">
        <v>24</v>
      </c>
      <c r="C520" t="s">
        <v>25</v>
      </c>
      <c r="D520">
        <v>13</v>
      </c>
      <c r="E520" t="s">
        <v>65</v>
      </c>
      <c r="F520" t="s">
        <v>1590</v>
      </c>
      <c r="G520">
        <v>4249</v>
      </c>
      <c r="H520" t="s">
        <v>2411</v>
      </c>
      <c r="I520" t="s">
        <v>2412</v>
      </c>
      <c r="J520">
        <v>8</v>
      </c>
      <c r="K520">
        <v>1</v>
      </c>
      <c r="L520">
        <v>8.9120370370370362E-4</v>
      </c>
      <c r="M520" t="s">
        <v>117</v>
      </c>
      <c r="N520" t="s">
        <v>239</v>
      </c>
      <c r="O520" s="24">
        <v>46114</v>
      </c>
      <c r="P520">
        <v>605</v>
      </c>
      <c r="Q520" t="s">
        <v>34</v>
      </c>
      <c r="R520" s="24">
        <v>46136</v>
      </c>
      <c r="S520" s="51">
        <v>0.4597222222222222</v>
      </c>
      <c r="T520" s="51">
        <v>0.46944444444444444</v>
      </c>
      <c r="X520" t="s">
        <v>3141</v>
      </c>
      <c r="Y520" t="s">
        <v>3029</v>
      </c>
      <c r="Z520">
        <v>2733753</v>
      </c>
    </row>
    <row r="521" spans="1:26" x14ac:dyDescent="0.25">
      <c r="A521">
        <v>517</v>
      </c>
      <c r="B521" t="s">
        <v>24</v>
      </c>
      <c r="C521" t="s">
        <v>25</v>
      </c>
      <c r="D521">
        <v>13</v>
      </c>
      <c r="E521" t="s">
        <v>1665</v>
      </c>
      <c r="F521" t="s">
        <v>115</v>
      </c>
      <c r="G521">
        <v>4511</v>
      </c>
      <c r="H521" t="s">
        <v>2113</v>
      </c>
      <c r="I521" t="s">
        <v>2111</v>
      </c>
      <c r="J521">
        <v>8</v>
      </c>
      <c r="K521">
        <v>2</v>
      </c>
      <c r="L521">
        <v>1.2268518518518518E-3</v>
      </c>
      <c r="M521" t="s">
        <v>117</v>
      </c>
      <c r="N521" t="s">
        <v>239</v>
      </c>
      <c r="O521" s="24">
        <v>46114</v>
      </c>
      <c r="P521">
        <v>605</v>
      </c>
      <c r="Q521" t="s">
        <v>34</v>
      </c>
      <c r="R521" s="24">
        <v>46136</v>
      </c>
      <c r="S521" s="51">
        <v>0.44236111111111109</v>
      </c>
      <c r="T521" s="51">
        <v>0.45624999999999999</v>
      </c>
      <c r="X521" t="s">
        <v>3142</v>
      </c>
      <c r="Y521" t="s">
        <v>3029</v>
      </c>
      <c r="Z521">
        <v>1786246</v>
      </c>
    </row>
    <row r="522" spans="1:26" x14ac:dyDescent="0.25">
      <c r="A522">
        <v>518</v>
      </c>
      <c r="B522" t="s">
        <v>24</v>
      </c>
      <c r="C522" t="s">
        <v>25</v>
      </c>
      <c r="D522">
        <v>13</v>
      </c>
      <c r="E522" t="s">
        <v>1672</v>
      </c>
      <c r="F522" t="s">
        <v>498</v>
      </c>
      <c r="G522">
        <v>4511</v>
      </c>
      <c r="H522" t="s">
        <v>2055</v>
      </c>
      <c r="I522" t="s">
        <v>2056</v>
      </c>
      <c r="J522">
        <v>8</v>
      </c>
      <c r="K522">
        <v>1</v>
      </c>
      <c r="L522">
        <v>8.9120370370370362E-4</v>
      </c>
      <c r="M522" t="s">
        <v>117</v>
      </c>
      <c r="N522" t="s">
        <v>239</v>
      </c>
      <c r="O522" s="24">
        <v>46114</v>
      </c>
      <c r="P522">
        <v>605</v>
      </c>
      <c r="Q522" t="s">
        <v>34</v>
      </c>
      <c r="R522" s="24">
        <v>46136</v>
      </c>
      <c r="S522" s="51">
        <v>0.44236111111111109</v>
      </c>
      <c r="T522" s="51">
        <v>0.45624999999999999</v>
      </c>
      <c r="X522" t="s">
        <v>3142</v>
      </c>
      <c r="Y522" t="s">
        <v>3029</v>
      </c>
      <c r="Z522">
        <v>1786246</v>
      </c>
    </row>
    <row r="523" spans="1:26" x14ac:dyDescent="0.25">
      <c r="A523">
        <v>519</v>
      </c>
      <c r="B523" t="s">
        <v>24</v>
      </c>
      <c r="C523" t="s">
        <v>25</v>
      </c>
      <c r="D523">
        <v>13</v>
      </c>
      <c r="E523" t="s">
        <v>1588</v>
      </c>
      <c r="F523" t="s">
        <v>512</v>
      </c>
      <c r="G523">
        <v>4511</v>
      </c>
      <c r="H523" t="s">
        <v>2413</v>
      </c>
      <c r="I523" t="s">
        <v>2414</v>
      </c>
      <c r="J523">
        <v>8</v>
      </c>
      <c r="K523">
        <v>1</v>
      </c>
      <c r="L523">
        <v>5.5555555555555556E-4</v>
      </c>
      <c r="M523" t="s">
        <v>117</v>
      </c>
      <c r="N523" t="s">
        <v>239</v>
      </c>
      <c r="O523" s="24">
        <v>46114</v>
      </c>
      <c r="P523">
        <v>605</v>
      </c>
      <c r="Q523" t="s">
        <v>34</v>
      </c>
      <c r="R523" s="24">
        <v>46136</v>
      </c>
      <c r="S523" s="51">
        <v>0.44236111111111109</v>
      </c>
      <c r="T523" s="51">
        <v>0.45624999999999999</v>
      </c>
      <c r="X523" t="s">
        <v>3142</v>
      </c>
      <c r="Y523" t="s">
        <v>3029</v>
      </c>
      <c r="Z523">
        <v>1786246</v>
      </c>
    </row>
    <row r="524" spans="1:26" x14ac:dyDescent="0.25">
      <c r="A524">
        <v>520</v>
      </c>
      <c r="B524" t="s">
        <v>24</v>
      </c>
      <c r="C524" t="s">
        <v>25</v>
      </c>
      <c r="D524">
        <v>13</v>
      </c>
      <c r="E524" t="s">
        <v>367</v>
      </c>
      <c r="F524" t="s">
        <v>1592</v>
      </c>
      <c r="G524">
        <v>4511</v>
      </c>
      <c r="H524" t="s">
        <v>2062</v>
      </c>
      <c r="I524" t="s">
        <v>2063</v>
      </c>
      <c r="J524">
        <v>8</v>
      </c>
      <c r="K524">
        <v>1</v>
      </c>
      <c r="L524">
        <v>4.7453703703703704E-4</v>
      </c>
      <c r="M524" t="s">
        <v>117</v>
      </c>
      <c r="N524" t="s">
        <v>239</v>
      </c>
      <c r="O524" s="24">
        <v>46114</v>
      </c>
      <c r="P524">
        <v>605</v>
      </c>
      <c r="Q524" t="s">
        <v>34</v>
      </c>
      <c r="R524" s="24">
        <v>46136</v>
      </c>
      <c r="S524" s="51">
        <v>0.44236111111111109</v>
      </c>
      <c r="T524" s="51">
        <v>0.45624999999999999</v>
      </c>
      <c r="X524" t="s">
        <v>3142</v>
      </c>
      <c r="Y524" t="s">
        <v>3029</v>
      </c>
      <c r="Z524">
        <v>1786246</v>
      </c>
    </row>
    <row r="525" spans="1:26" x14ac:dyDescent="0.25">
      <c r="A525">
        <v>521</v>
      </c>
      <c r="B525" t="s">
        <v>24</v>
      </c>
      <c r="C525" t="s">
        <v>25</v>
      </c>
      <c r="D525">
        <v>13</v>
      </c>
      <c r="E525" t="s">
        <v>367</v>
      </c>
      <c r="F525" t="s">
        <v>367</v>
      </c>
      <c r="G525">
        <v>4511</v>
      </c>
      <c r="H525" t="s">
        <v>2579</v>
      </c>
      <c r="I525" t="s">
        <v>2580</v>
      </c>
      <c r="J525">
        <v>8</v>
      </c>
      <c r="K525">
        <v>1</v>
      </c>
      <c r="L525">
        <v>5.7175925925925927E-3</v>
      </c>
      <c r="M525" t="s">
        <v>117</v>
      </c>
      <c r="N525" t="s">
        <v>239</v>
      </c>
      <c r="O525" s="24">
        <v>46114</v>
      </c>
      <c r="P525">
        <v>605</v>
      </c>
      <c r="Q525" t="s">
        <v>34</v>
      </c>
      <c r="R525" s="24">
        <v>46136</v>
      </c>
      <c r="S525" s="51">
        <v>0.44236111111111109</v>
      </c>
      <c r="T525" s="51">
        <v>0.45624999999999999</v>
      </c>
      <c r="X525" t="s">
        <v>3142</v>
      </c>
      <c r="Y525" t="s">
        <v>3029</v>
      </c>
      <c r="Z525">
        <v>1786246</v>
      </c>
    </row>
    <row r="526" spans="1:26" x14ac:dyDescent="0.25">
      <c r="A526">
        <v>522</v>
      </c>
      <c r="B526" t="s">
        <v>24</v>
      </c>
      <c r="C526" t="s">
        <v>25</v>
      </c>
      <c r="D526">
        <v>13</v>
      </c>
      <c r="E526" t="s">
        <v>367</v>
      </c>
      <c r="F526" t="s">
        <v>1594</v>
      </c>
      <c r="G526">
        <v>4511</v>
      </c>
      <c r="H526" t="s">
        <v>2581</v>
      </c>
      <c r="I526" t="s">
        <v>2582</v>
      </c>
      <c r="J526">
        <v>8</v>
      </c>
      <c r="K526">
        <v>1</v>
      </c>
      <c r="L526">
        <v>2.3842592592592591E-3</v>
      </c>
      <c r="M526" t="s">
        <v>117</v>
      </c>
      <c r="N526" t="s">
        <v>239</v>
      </c>
      <c r="O526" s="24">
        <v>46114</v>
      </c>
      <c r="P526">
        <v>605</v>
      </c>
      <c r="Q526" t="s">
        <v>34</v>
      </c>
      <c r="R526" s="24">
        <v>46136</v>
      </c>
      <c r="S526" s="51">
        <v>0.44236111111111109</v>
      </c>
      <c r="T526" s="51">
        <v>0.45624999999999999</v>
      </c>
      <c r="X526" t="s">
        <v>3142</v>
      </c>
      <c r="Y526" t="s">
        <v>3029</v>
      </c>
      <c r="Z526">
        <v>1786246</v>
      </c>
    </row>
    <row r="527" spans="1:26" x14ac:dyDescent="0.25">
      <c r="A527">
        <v>523</v>
      </c>
      <c r="B527" t="s">
        <v>24</v>
      </c>
      <c r="C527" t="s">
        <v>25</v>
      </c>
      <c r="D527">
        <v>13</v>
      </c>
      <c r="E527" t="s">
        <v>65</v>
      </c>
      <c r="F527" t="s">
        <v>368</v>
      </c>
      <c r="G527">
        <v>4511</v>
      </c>
      <c r="H527" t="s">
        <v>2171</v>
      </c>
      <c r="I527" t="s">
        <v>2172</v>
      </c>
      <c r="J527">
        <v>8</v>
      </c>
      <c r="K527">
        <v>3</v>
      </c>
      <c r="L527">
        <v>1.8518518518518517E-3</v>
      </c>
      <c r="M527" t="s">
        <v>117</v>
      </c>
      <c r="N527" t="s">
        <v>239</v>
      </c>
      <c r="O527" s="24">
        <v>46114</v>
      </c>
      <c r="P527">
        <v>605</v>
      </c>
      <c r="Q527" t="s">
        <v>34</v>
      </c>
      <c r="R527" s="24">
        <v>46136</v>
      </c>
      <c r="S527" s="51">
        <v>0.44236111111111109</v>
      </c>
      <c r="T527" s="51">
        <v>0.45624999999999999</v>
      </c>
      <c r="X527" t="s">
        <v>3142</v>
      </c>
      <c r="Y527" t="s">
        <v>3029</v>
      </c>
      <c r="Z527">
        <v>1786246</v>
      </c>
    </row>
    <row r="528" spans="1:26" x14ac:dyDescent="0.25">
      <c r="A528">
        <v>524</v>
      </c>
      <c r="B528" t="s">
        <v>24</v>
      </c>
      <c r="C528" t="s">
        <v>25</v>
      </c>
      <c r="D528">
        <v>13</v>
      </c>
      <c r="E528" t="s">
        <v>2195</v>
      </c>
      <c r="F528" t="s">
        <v>44</v>
      </c>
      <c r="G528">
        <v>4511</v>
      </c>
      <c r="H528" t="s">
        <v>48</v>
      </c>
      <c r="I528" t="s">
        <v>1119</v>
      </c>
      <c r="J528">
        <v>8</v>
      </c>
      <c r="K528">
        <v>1</v>
      </c>
      <c r="L528">
        <v>1.4699074074074074E-3</v>
      </c>
      <c r="M528" t="s">
        <v>117</v>
      </c>
      <c r="N528" t="s">
        <v>239</v>
      </c>
      <c r="O528" s="24">
        <v>46114</v>
      </c>
      <c r="P528">
        <v>605</v>
      </c>
      <c r="Q528" t="s">
        <v>34</v>
      </c>
      <c r="R528" s="24">
        <v>46136</v>
      </c>
      <c r="S528" s="51">
        <v>0.44236111111111109</v>
      </c>
      <c r="T528" s="51">
        <v>0.45624999999999999</v>
      </c>
      <c r="X528" t="s">
        <v>3142</v>
      </c>
      <c r="Y528" t="s">
        <v>3029</v>
      </c>
      <c r="Z528">
        <v>1786246</v>
      </c>
    </row>
    <row r="529" spans="1:26" x14ac:dyDescent="0.25">
      <c r="A529">
        <v>525</v>
      </c>
      <c r="B529" t="s">
        <v>24</v>
      </c>
      <c r="C529" t="s">
        <v>25</v>
      </c>
      <c r="D529">
        <v>13</v>
      </c>
      <c r="E529" t="s">
        <v>1672</v>
      </c>
      <c r="F529" t="s">
        <v>115</v>
      </c>
      <c r="G529">
        <v>4052</v>
      </c>
      <c r="H529" t="s">
        <v>2266</v>
      </c>
      <c r="I529" t="s">
        <v>2267</v>
      </c>
      <c r="J529">
        <v>8</v>
      </c>
      <c r="K529">
        <v>1</v>
      </c>
      <c r="L529">
        <v>5.8680555555555552E-3</v>
      </c>
      <c r="M529" t="s">
        <v>117</v>
      </c>
      <c r="N529" t="s">
        <v>159</v>
      </c>
      <c r="O529" s="24">
        <v>46109</v>
      </c>
      <c r="P529">
        <v>605</v>
      </c>
      <c r="Q529" t="s">
        <v>34</v>
      </c>
      <c r="R529" s="24">
        <v>46113</v>
      </c>
      <c r="S529" s="51">
        <v>0.72916666666666663</v>
      </c>
      <c r="T529" s="51">
        <v>0.74652777777777779</v>
      </c>
      <c r="X529" t="s">
        <v>188</v>
      </c>
      <c r="Y529" t="s">
        <v>3032</v>
      </c>
    </row>
    <row r="530" spans="1:26" x14ac:dyDescent="0.25">
      <c r="A530">
        <v>526</v>
      </c>
      <c r="B530" t="s">
        <v>24</v>
      </c>
      <c r="C530" t="s">
        <v>25</v>
      </c>
      <c r="D530">
        <v>13</v>
      </c>
      <c r="E530" t="s">
        <v>367</v>
      </c>
      <c r="F530" t="s">
        <v>427</v>
      </c>
      <c r="G530">
        <v>4052</v>
      </c>
      <c r="H530" t="s">
        <v>2269</v>
      </c>
      <c r="I530" t="s">
        <v>2270</v>
      </c>
      <c r="J530">
        <v>8</v>
      </c>
      <c r="K530">
        <v>1</v>
      </c>
      <c r="L530">
        <v>1.8055555555555555E-3</v>
      </c>
      <c r="M530" t="s">
        <v>117</v>
      </c>
      <c r="N530" t="s">
        <v>159</v>
      </c>
      <c r="O530" s="24">
        <v>46109</v>
      </c>
      <c r="P530">
        <v>605</v>
      </c>
      <c r="Q530" t="s">
        <v>34</v>
      </c>
      <c r="R530" s="24">
        <v>46113</v>
      </c>
      <c r="S530" s="51">
        <v>0.72916666666666663</v>
      </c>
      <c r="T530" s="51">
        <v>0.74652777777777779</v>
      </c>
      <c r="X530" t="s">
        <v>188</v>
      </c>
      <c r="Y530" t="s">
        <v>3032</v>
      </c>
    </row>
    <row r="531" spans="1:26" x14ac:dyDescent="0.25">
      <c r="A531">
        <v>527</v>
      </c>
      <c r="B531" t="s">
        <v>24</v>
      </c>
      <c r="C531" t="s">
        <v>25</v>
      </c>
      <c r="D531">
        <v>13</v>
      </c>
      <c r="E531" t="s">
        <v>367</v>
      </c>
      <c r="F531" t="s">
        <v>427</v>
      </c>
      <c r="G531">
        <v>4052</v>
      </c>
      <c r="H531" t="s">
        <v>2271</v>
      </c>
      <c r="I531" t="s">
        <v>2270</v>
      </c>
      <c r="J531">
        <v>8</v>
      </c>
      <c r="K531">
        <v>2</v>
      </c>
      <c r="L531">
        <v>3.49537037037037E-3</v>
      </c>
      <c r="M531" t="s">
        <v>117</v>
      </c>
      <c r="N531" t="s">
        <v>159</v>
      </c>
      <c r="O531" s="24">
        <v>46109</v>
      </c>
      <c r="P531">
        <v>605</v>
      </c>
      <c r="Q531" t="s">
        <v>34</v>
      </c>
      <c r="R531" s="24">
        <v>46113</v>
      </c>
      <c r="S531" s="51">
        <v>0.72916666666666663</v>
      </c>
      <c r="T531" s="51">
        <v>0.74652777777777779</v>
      </c>
      <c r="X531" t="s">
        <v>188</v>
      </c>
      <c r="Y531" t="s">
        <v>3032</v>
      </c>
    </row>
    <row r="532" spans="1:26" x14ac:dyDescent="0.25">
      <c r="A532">
        <v>528</v>
      </c>
      <c r="B532" t="s">
        <v>24</v>
      </c>
      <c r="C532" t="s">
        <v>25</v>
      </c>
      <c r="D532">
        <v>13</v>
      </c>
      <c r="E532" t="s">
        <v>367</v>
      </c>
      <c r="F532" t="s">
        <v>1594</v>
      </c>
      <c r="G532">
        <v>4052</v>
      </c>
      <c r="H532" t="s">
        <v>2272</v>
      </c>
      <c r="I532" t="s">
        <v>2273</v>
      </c>
      <c r="J532">
        <v>8</v>
      </c>
      <c r="K532">
        <v>1</v>
      </c>
      <c r="L532">
        <v>2.0486111111111109E-3</v>
      </c>
      <c r="M532" t="s">
        <v>117</v>
      </c>
      <c r="N532" t="s">
        <v>159</v>
      </c>
      <c r="O532" s="24">
        <v>46109</v>
      </c>
      <c r="P532">
        <v>605</v>
      </c>
      <c r="Q532" t="s">
        <v>34</v>
      </c>
      <c r="R532" s="24">
        <v>46113</v>
      </c>
      <c r="S532" s="51">
        <v>0.72916666666666663</v>
      </c>
      <c r="T532" s="51">
        <v>0.74652777777777779</v>
      </c>
      <c r="X532" t="s">
        <v>188</v>
      </c>
      <c r="Y532" t="s">
        <v>3032</v>
      </c>
    </row>
    <row r="533" spans="1:26" x14ac:dyDescent="0.25">
      <c r="A533">
        <v>529</v>
      </c>
      <c r="B533" t="s">
        <v>24</v>
      </c>
      <c r="C533" t="s">
        <v>25</v>
      </c>
      <c r="D533">
        <v>13</v>
      </c>
      <c r="E533" t="s">
        <v>65</v>
      </c>
      <c r="F533" t="s">
        <v>368</v>
      </c>
      <c r="G533">
        <v>4052</v>
      </c>
      <c r="H533" t="s">
        <v>2171</v>
      </c>
      <c r="I533" t="s">
        <v>2172</v>
      </c>
      <c r="J533">
        <v>8</v>
      </c>
      <c r="K533">
        <v>2</v>
      </c>
      <c r="L533">
        <v>1.2268518518518518E-3</v>
      </c>
      <c r="M533" t="s">
        <v>117</v>
      </c>
      <c r="N533" t="s">
        <v>159</v>
      </c>
      <c r="O533" s="24">
        <v>46109</v>
      </c>
      <c r="P533">
        <v>605</v>
      </c>
      <c r="Q533" t="s">
        <v>34</v>
      </c>
      <c r="R533" s="24">
        <v>46113</v>
      </c>
      <c r="S533" s="51">
        <v>0.72916666666666663</v>
      </c>
      <c r="T533" s="51">
        <v>0.74652777777777779</v>
      </c>
      <c r="X533" t="s">
        <v>188</v>
      </c>
      <c r="Y533" t="s">
        <v>3032</v>
      </c>
    </row>
    <row r="534" spans="1:26" x14ac:dyDescent="0.25">
      <c r="A534">
        <v>530</v>
      </c>
      <c r="B534" t="s">
        <v>24</v>
      </c>
      <c r="C534" t="s">
        <v>25</v>
      </c>
      <c r="D534">
        <v>13</v>
      </c>
      <c r="E534" t="s">
        <v>65</v>
      </c>
      <c r="F534" t="s">
        <v>368</v>
      </c>
      <c r="G534">
        <v>4052</v>
      </c>
      <c r="H534" t="s">
        <v>1629</v>
      </c>
      <c r="I534" t="s">
        <v>1630</v>
      </c>
      <c r="J534">
        <v>8</v>
      </c>
      <c r="K534">
        <v>1</v>
      </c>
      <c r="L534">
        <v>9.9537037037037042E-4</v>
      </c>
      <c r="M534" t="s">
        <v>117</v>
      </c>
      <c r="N534" t="s">
        <v>159</v>
      </c>
      <c r="O534" s="24">
        <v>46109</v>
      </c>
      <c r="P534">
        <v>605</v>
      </c>
      <c r="Q534" t="s">
        <v>34</v>
      </c>
      <c r="R534" s="24">
        <v>46113</v>
      </c>
      <c r="S534" s="51">
        <v>0.72916666666666663</v>
      </c>
      <c r="T534" s="51">
        <v>0.74652777777777779</v>
      </c>
      <c r="X534" t="s">
        <v>188</v>
      </c>
      <c r="Y534" t="s">
        <v>3032</v>
      </c>
    </row>
    <row r="535" spans="1:26" x14ac:dyDescent="0.25">
      <c r="A535">
        <v>531</v>
      </c>
      <c r="B535" t="s">
        <v>24</v>
      </c>
      <c r="C535" t="s">
        <v>25</v>
      </c>
      <c r="D535">
        <v>13</v>
      </c>
      <c r="E535" t="s">
        <v>65</v>
      </c>
      <c r="F535" t="s">
        <v>66</v>
      </c>
      <c r="G535">
        <v>4052</v>
      </c>
      <c r="H535" t="s">
        <v>2180</v>
      </c>
      <c r="I535" t="s">
        <v>2181</v>
      </c>
      <c r="J535">
        <v>8</v>
      </c>
      <c r="K535">
        <v>2</v>
      </c>
      <c r="L535">
        <v>1.2962962962962963E-3</v>
      </c>
      <c r="M535" t="s">
        <v>117</v>
      </c>
      <c r="N535" t="s">
        <v>159</v>
      </c>
      <c r="O535" s="24">
        <v>46109</v>
      </c>
      <c r="P535">
        <v>605</v>
      </c>
      <c r="Q535" t="s">
        <v>34</v>
      </c>
      <c r="R535" s="24">
        <v>46113</v>
      </c>
      <c r="S535" s="51">
        <v>0.72916666666666663</v>
      </c>
      <c r="T535" s="51">
        <v>0.74652777777777779</v>
      </c>
      <c r="X535" t="s">
        <v>188</v>
      </c>
      <c r="Y535" t="s">
        <v>3032</v>
      </c>
    </row>
    <row r="536" spans="1:26" x14ac:dyDescent="0.25">
      <c r="A536">
        <v>532</v>
      </c>
      <c r="B536" t="s">
        <v>24</v>
      </c>
      <c r="C536" t="s">
        <v>25</v>
      </c>
      <c r="D536">
        <v>13</v>
      </c>
      <c r="E536" t="s">
        <v>530</v>
      </c>
      <c r="F536" t="s">
        <v>44</v>
      </c>
      <c r="G536">
        <v>4090</v>
      </c>
      <c r="H536" t="s">
        <v>2381</v>
      </c>
      <c r="I536" t="s">
        <v>2216</v>
      </c>
      <c r="J536">
        <v>8</v>
      </c>
      <c r="K536">
        <v>1</v>
      </c>
      <c r="L536">
        <v>1.747685185185185E-3</v>
      </c>
      <c r="M536" t="s">
        <v>117</v>
      </c>
      <c r="N536" t="s">
        <v>159</v>
      </c>
      <c r="O536" s="24">
        <v>46109</v>
      </c>
      <c r="P536">
        <v>605</v>
      </c>
      <c r="Q536" t="s">
        <v>34</v>
      </c>
      <c r="R536" s="24">
        <v>46113</v>
      </c>
      <c r="X536" t="s">
        <v>208</v>
      </c>
      <c r="Y536" t="s">
        <v>3032</v>
      </c>
    </row>
    <row r="537" spans="1:26" x14ac:dyDescent="0.25">
      <c r="A537">
        <v>533</v>
      </c>
      <c r="B537" t="s">
        <v>24</v>
      </c>
      <c r="C537" t="s">
        <v>25</v>
      </c>
      <c r="D537">
        <v>13</v>
      </c>
      <c r="E537" t="s">
        <v>530</v>
      </c>
      <c r="F537" t="s">
        <v>44</v>
      </c>
      <c r="G537">
        <v>4090</v>
      </c>
      <c r="H537" t="s">
        <v>2382</v>
      </c>
      <c r="I537" t="s">
        <v>2216</v>
      </c>
      <c r="J537">
        <v>8</v>
      </c>
      <c r="K537">
        <v>1</v>
      </c>
      <c r="L537">
        <v>1.747685185185185E-3</v>
      </c>
      <c r="M537" t="s">
        <v>117</v>
      </c>
      <c r="N537" t="s">
        <v>159</v>
      </c>
      <c r="O537" s="24">
        <v>46109</v>
      </c>
      <c r="P537">
        <v>605</v>
      </c>
      <c r="Q537" t="s">
        <v>34</v>
      </c>
      <c r="R537" s="24">
        <v>46113</v>
      </c>
      <c r="X537" t="s">
        <v>208</v>
      </c>
      <c r="Y537" t="s">
        <v>3032</v>
      </c>
    </row>
    <row r="538" spans="1:26" x14ac:dyDescent="0.25">
      <c r="A538">
        <v>534</v>
      </c>
      <c r="B538" t="s">
        <v>24</v>
      </c>
      <c r="C538" t="s">
        <v>25</v>
      </c>
      <c r="D538">
        <v>13</v>
      </c>
      <c r="E538" t="s">
        <v>530</v>
      </c>
      <c r="F538" t="s">
        <v>44</v>
      </c>
      <c r="G538">
        <v>4090</v>
      </c>
      <c r="H538" t="s">
        <v>2383</v>
      </c>
      <c r="I538" t="s">
        <v>2384</v>
      </c>
      <c r="J538">
        <v>8</v>
      </c>
      <c r="K538">
        <v>2</v>
      </c>
      <c r="L538">
        <v>3.2638888888888887E-3</v>
      </c>
      <c r="M538" t="s">
        <v>117</v>
      </c>
      <c r="N538" t="s">
        <v>159</v>
      </c>
      <c r="O538" s="24">
        <v>46109</v>
      </c>
      <c r="P538">
        <v>605</v>
      </c>
      <c r="Q538" t="s">
        <v>34</v>
      </c>
      <c r="R538" s="24">
        <v>46113</v>
      </c>
      <c r="X538" t="s">
        <v>208</v>
      </c>
      <c r="Y538" t="s">
        <v>3032</v>
      </c>
    </row>
    <row r="539" spans="1:26" x14ac:dyDescent="0.25">
      <c r="A539">
        <v>535</v>
      </c>
      <c r="B539" t="s">
        <v>24</v>
      </c>
      <c r="C539" t="s">
        <v>25</v>
      </c>
      <c r="D539">
        <v>13</v>
      </c>
      <c r="E539" t="s">
        <v>1672</v>
      </c>
      <c r="F539" t="s">
        <v>115</v>
      </c>
      <c r="G539">
        <v>4262</v>
      </c>
      <c r="H539" t="s">
        <v>2087</v>
      </c>
      <c r="I539" t="s">
        <v>2088</v>
      </c>
      <c r="J539">
        <v>8</v>
      </c>
      <c r="K539">
        <v>1</v>
      </c>
      <c r="L539">
        <v>6.3657407407407402E-4</v>
      </c>
      <c r="M539" t="s">
        <v>117</v>
      </c>
      <c r="N539" t="s">
        <v>159</v>
      </c>
      <c r="O539" s="24">
        <v>46109</v>
      </c>
      <c r="P539">
        <v>605</v>
      </c>
      <c r="Q539" t="s">
        <v>34</v>
      </c>
      <c r="R539" s="24">
        <v>46113</v>
      </c>
      <c r="X539" t="s">
        <v>223</v>
      </c>
      <c r="Y539" t="s">
        <v>3032</v>
      </c>
    </row>
    <row r="540" spans="1:26" x14ac:dyDescent="0.25">
      <c r="A540">
        <v>536</v>
      </c>
      <c r="B540" t="s">
        <v>24</v>
      </c>
      <c r="C540" t="s">
        <v>25</v>
      </c>
      <c r="D540">
        <v>13</v>
      </c>
      <c r="E540" t="s">
        <v>367</v>
      </c>
      <c r="F540" t="s">
        <v>1593</v>
      </c>
      <c r="G540">
        <v>4262</v>
      </c>
      <c r="H540" t="s">
        <v>2046</v>
      </c>
      <c r="I540" t="s">
        <v>2047</v>
      </c>
      <c r="J540">
        <v>8</v>
      </c>
      <c r="K540">
        <v>1</v>
      </c>
      <c r="L540">
        <v>4.6296296296296293E-4</v>
      </c>
      <c r="M540" t="s">
        <v>117</v>
      </c>
      <c r="N540" t="s">
        <v>159</v>
      </c>
      <c r="O540" s="24">
        <v>46109</v>
      </c>
      <c r="P540">
        <v>605</v>
      </c>
      <c r="Q540" t="s">
        <v>34</v>
      </c>
      <c r="R540" s="24">
        <v>46113</v>
      </c>
      <c r="X540" t="s">
        <v>223</v>
      </c>
      <c r="Y540" t="s">
        <v>3032</v>
      </c>
    </row>
    <row r="541" spans="1:26" x14ac:dyDescent="0.25">
      <c r="A541">
        <v>537</v>
      </c>
      <c r="B541" t="s">
        <v>24</v>
      </c>
      <c r="C541" t="s">
        <v>25</v>
      </c>
      <c r="D541">
        <v>13</v>
      </c>
      <c r="E541" t="s">
        <v>367</v>
      </c>
      <c r="F541" t="s">
        <v>1593</v>
      </c>
      <c r="G541">
        <v>4262</v>
      </c>
      <c r="H541" t="s">
        <v>2060</v>
      </c>
      <c r="I541" t="s">
        <v>2061</v>
      </c>
      <c r="J541">
        <v>8</v>
      </c>
      <c r="K541">
        <v>3</v>
      </c>
      <c r="L541">
        <v>9.4907407407407408E-4</v>
      </c>
      <c r="M541" t="s">
        <v>117</v>
      </c>
      <c r="N541" t="s">
        <v>159</v>
      </c>
      <c r="O541" s="24">
        <v>46109</v>
      </c>
      <c r="P541">
        <v>605</v>
      </c>
      <c r="Q541" t="s">
        <v>34</v>
      </c>
      <c r="R541" s="24">
        <v>46113</v>
      </c>
      <c r="X541" t="s">
        <v>223</v>
      </c>
      <c r="Y541" t="s">
        <v>3032</v>
      </c>
    </row>
    <row r="542" spans="1:26" x14ac:dyDescent="0.25">
      <c r="A542">
        <v>538</v>
      </c>
      <c r="B542" t="s">
        <v>24</v>
      </c>
      <c r="C542" t="s">
        <v>25</v>
      </c>
      <c r="D542">
        <v>13</v>
      </c>
      <c r="E542" t="s">
        <v>1665</v>
      </c>
      <c r="F542" t="s">
        <v>512</v>
      </c>
      <c r="G542">
        <v>4063</v>
      </c>
      <c r="H542" t="s">
        <v>2225</v>
      </c>
      <c r="I542" t="s">
        <v>2226</v>
      </c>
      <c r="J542">
        <v>8</v>
      </c>
      <c r="K542">
        <v>1</v>
      </c>
      <c r="L542">
        <v>1.7708333333333332E-3</v>
      </c>
      <c r="M542" t="s">
        <v>117</v>
      </c>
      <c r="N542" t="s">
        <v>351</v>
      </c>
      <c r="O542" s="24">
        <v>46114</v>
      </c>
      <c r="P542">
        <v>606</v>
      </c>
      <c r="Q542" t="s">
        <v>34</v>
      </c>
      <c r="R542" s="24">
        <v>46136</v>
      </c>
      <c r="S542" s="51">
        <v>0.44861111111111113</v>
      </c>
      <c r="T542" s="51">
        <v>0.47569444444444442</v>
      </c>
      <c r="X542" t="s">
        <v>3125</v>
      </c>
      <c r="Y542" t="s">
        <v>3035</v>
      </c>
      <c r="Z542">
        <v>2733740</v>
      </c>
    </row>
    <row r="543" spans="1:26" x14ac:dyDescent="0.25">
      <c r="A543">
        <v>539</v>
      </c>
      <c r="B543" t="s">
        <v>24</v>
      </c>
      <c r="C543" t="s">
        <v>25</v>
      </c>
      <c r="D543">
        <v>13</v>
      </c>
      <c r="E543" t="s">
        <v>1672</v>
      </c>
      <c r="F543" t="s">
        <v>512</v>
      </c>
      <c r="G543">
        <v>4063</v>
      </c>
      <c r="H543" t="s">
        <v>2297</v>
      </c>
      <c r="I543" t="s">
        <v>2226</v>
      </c>
      <c r="J543">
        <v>8</v>
      </c>
      <c r="K543">
        <v>3</v>
      </c>
      <c r="L543">
        <v>5.324074074074074E-3</v>
      </c>
      <c r="M543" t="s">
        <v>117</v>
      </c>
      <c r="N543" t="s">
        <v>351</v>
      </c>
      <c r="O543" s="24">
        <v>46114</v>
      </c>
      <c r="P543">
        <v>606</v>
      </c>
      <c r="Q543" t="s">
        <v>34</v>
      </c>
      <c r="R543" s="24">
        <v>46136</v>
      </c>
      <c r="S543" s="51">
        <v>0.44861111111111113</v>
      </c>
      <c r="T543" s="51">
        <v>0.47569444444444442</v>
      </c>
      <c r="X543" t="s">
        <v>3125</v>
      </c>
      <c r="Y543" t="s">
        <v>3035</v>
      </c>
      <c r="Z543">
        <v>2733740</v>
      </c>
    </row>
    <row r="544" spans="1:26" x14ac:dyDescent="0.25">
      <c r="A544">
        <v>540</v>
      </c>
      <c r="B544" t="s">
        <v>24</v>
      </c>
      <c r="C544" t="s">
        <v>25</v>
      </c>
      <c r="D544">
        <v>13</v>
      </c>
      <c r="E544" t="s">
        <v>367</v>
      </c>
      <c r="F544" t="s">
        <v>1592</v>
      </c>
      <c r="G544">
        <v>4063</v>
      </c>
      <c r="H544" t="s">
        <v>2062</v>
      </c>
      <c r="I544" t="s">
        <v>2063</v>
      </c>
      <c r="J544">
        <v>8</v>
      </c>
      <c r="K544">
        <v>2</v>
      </c>
      <c r="L544">
        <v>9.0277777777777774E-4</v>
      </c>
      <c r="M544" t="s">
        <v>117</v>
      </c>
      <c r="N544" t="s">
        <v>351</v>
      </c>
      <c r="O544" s="24">
        <v>46114</v>
      </c>
      <c r="P544">
        <v>606</v>
      </c>
      <c r="Q544" t="s">
        <v>34</v>
      </c>
      <c r="R544" s="24">
        <v>46136</v>
      </c>
      <c r="S544" s="51">
        <v>0.44861111111111113</v>
      </c>
      <c r="T544" s="51">
        <v>0.47569444444444442</v>
      </c>
      <c r="X544" t="s">
        <v>3125</v>
      </c>
      <c r="Y544" t="s">
        <v>3035</v>
      </c>
      <c r="Z544">
        <v>2733740</v>
      </c>
    </row>
    <row r="545" spans="1:26" x14ac:dyDescent="0.25">
      <c r="A545">
        <v>541</v>
      </c>
      <c r="B545" t="s">
        <v>24</v>
      </c>
      <c r="C545" t="s">
        <v>25</v>
      </c>
      <c r="D545">
        <v>13</v>
      </c>
      <c r="E545" t="s">
        <v>367</v>
      </c>
      <c r="F545" t="s">
        <v>368</v>
      </c>
      <c r="G545">
        <v>4063</v>
      </c>
      <c r="H545" t="s">
        <v>2331</v>
      </c>
      <c r="I545" t="s">
        <v>2332</v>
      </c>
      <c r="J545">
        <v>8</v>
      </c>
      <c r="K545">
        <v>1</v>
      </c>
      <c r="L545">
        <v>5.393518518518518E-3</v>
      </c>
      <c r="M545" t="s">
        <v>117</v>
      </c>
      <c r="N545" t="s">
        <v>351</v>
      </c>
      <c r="O545" s="24">
        <v>46114</v>
      </c>
      <c r="P545">
        <v>606</v>
      </c>
      <c r="Q545" t="s">
        <v>34</v>
      </c>
      <c r="R545" s="24">
        <v>46136</v>
      </c>
      <c r="S545" s="51">
        <v>0.44861111111111113</v>
      </c>
      <c r="T545" s="51">
        <v>0.47569444444444442</v>
      </c>
      <c r="X545" t="s">
        <v>3125</v>
      </c>
      <c r="Y545" t="s">
        <v>3035</v>
      </c>
      <c r="Z545">
        <v>2733740</v>
      </c>
    </row>
    <row r="546" spans="1:26" x14ac:dyDescent="0.25">
      <c r="A546">
        <v>542</v>
      </c>
      <c r="B546" t="s">
        <v>24</v>
      </c>
      <c r="C546" t="s">
        <v>25</v>
      </c>
      <c r="D546">
        <v>13</v>
      </c>
      <c r="E546" t="s">
        <v>65</v>
      </c>
      <c r="F546" t="s">
        <v>66</v>
      </c>
      <c r="G546">
        <v>4063</v>
      </c>
      <c r="H546" t="s">
        <v>2333</v>
      </c>
      <c r="I546" t="s">
        <v>2253</v>
      </c>
      <c r="J546">
        <v>8</v>
      </c>
      <c r="K546">
        <v>1</v>
      </c>
      <c r="L546">
        <v>7.8703703703703705E-4</v>
      </c>
      <c r="M546" t="s">
        <v>117</v>
      </c>
      <c r="N546" t="s">
        <v>351</v>
      </c>
      <c r="O546" s="24">
        <v>46114</v>
      </c>
      <c r="P546">
        <v>606</v>
      </c>
      <c r="Q546" t="s">
        <v>34</v>
      </c>
      <c r="R546" s="24">
        <v>46136</v>
      </c>
      <c r="S546" s="51">
        <v>0.44861111111111113</v>
      </c>
      <c r="T546" s="51">
        <v>0.47569444444444442</v>
      </c>
      <c r="X546" t="s">
        <v>3125</v>
      </c>
      <c r="Y546" t="s">
        <v>3035</v>
      </c>
      <c r="Z546">
        <v>2733740</v>
      </c>
    </row>
    <row r="547" spans="1:26" x14ac:dyDescent="0.25">
      <c r="A547">
        <v>543</v>
      </c>
      <c r="B547" t="s">
        <v>24</v>
      </c>
      <c r="C547" t="s">
        <v>25</v>
      </c>
      <c r="D547">
        <v>13</v>
      </c>
      <c r="E547" t="s">
        <v>65</v>
      </c>
      <c r="F547" t="s">
        <v>66</v>
      </c>
      <c r="G547">
        <v>4063</v>
      </c>
      <c r="H547" t="s">
        <v>2180</v>
      </c>
      <c r="I547" t="s">
        <v>2181</v>
      </c>
      <c r="J547">
        <v>8</v>
      </c>
      <c r="K547">
        <v>4</v>
      </c>
      <c r="L547">
        <v>2.4768518518518516E-3</v>
      </c>
      <c r="M547" t="s">
        <v>117</v>
      </c>
      <c r="N547" t="s">
        <v>351</v>
      </c>
      <c r="O547" s="24">
        <v>46114</v>
      </c>
      <c r="P547">
        <v>606</v>
      </c>
      <c r="Q547" t="s">
        <v>34</v>
      </c>
      <c r="R547" s="24">
        <v>46136</v>
      </c>
      <c r="S547" s="51">
        <v>0.44861111111111113</v>
      </c>
      <c r="T547" s="51">
        <v>0.47569444444444442</v>
      </c>
      <c r="X547" t="s">
        <v>3125</v>
      </c>
      <c r="Y547" t="s">
        <v>3035</v>
      </c>
      <c r="Z547">
        <v>2733740</v>
      </c>
    </row>
    <row r="548" spans="1:26" x14ac:dyDescent="0.25">
      <c r="A548">
        <v>544</v>
      </c>
      <c r="B548" t="s">
        <v>24</v>
      </c>
      <c r="C548" t="s">
        <v>25</v>
      </c>
      <c r="D548">
        <v>13</v>
      </c>
      <c r="E548" t="s">
        <v>65</v>
      </c>
      <c r="F548" t="s">
        <v>66</v>
      </c>
      <c r="G548">
        <v>4063</v>
      </c>
      <c r="H548" t="s">
        <v>2334</v>
      </c>
      <c r="I548" t="s">
        <v>2335</v>
      </c>
      <c r="J548">
        <v>8</v>
      </c>
      <c r="K548">
        <v>1</v>
      </c>
      <c r="L548">
        <v>1.6550925925925926E-3</v>
      </c>
      <c r="M548" t="s">
        <v>117</v>
      </c>
      <c r="N548" t="s">
        <v>351</v>
      </c>
      <c r="O548" s="24">
        <v>46114</v>
      </c>
      <c r="P548">
        <v>606</v>
      </c>
      <c r="Q548" t="s">
        <v>34</v>
      </c>
      <c r="R548" s="24">
        <v>46136</v>
      </c>
      <c r="S548" s="51">
        <v>0.44861111111111113</v>
      </c>
      <c r="T548" s="51">
        <v>0.47569444444444442</v>
      </c>
      <c r="X548" t="s">
        <v>3125</v>
      </c>
      <c r="Y548" t="s">
        <v>3035</v>
      </c>
      <c r="Z548">
        <v>2733740</v>
      </c>
    </row>
    <row r="549" spans="1:26" x14ac:dyDescent="0.25">
      <c r="A549">
        <v>545</v>
      </c>
      <c r="B549" t="s">
        <v>24</v>
      </c>
      <c r="C549" t="s">
        <v>25</v>
      </c>
      <c r="D549">
        <v>13</v>
      </c>
      <c r="E549" t="s">
        <v>65</v>
      </c>
      <c r="F549" t="s">
        <v>66</v>
      </c>
      <c r="G549">
        <v>4063</v>
      </c>
      <c r="H549" t="s">
        <v>2336</v>
      </c>
      <c r="I549" t="s">
        <v>2335</v>
      </c>
      <c r="J549">
        <v>8</v>
      </c>
      <c r="K549">
        <v>1</v>
      </c>
      <c r="L549">
        <v>1.6550925925925926E-3</v>
      </c>
      <c r="M549" t="s">
        <v>117</v>
      </c>
      <c r="N549" t="s">
        <v>351</v>
      </c>
      <c r="O549" s="24">
        <v>46114</v>
      </c>
      <c r="P549">
        <v>606</v>
      </c>
      <c r="Q549" t="s">
        <v>34</v>
      </c>
      <c r="R549" s="24">
        <v>46136</v>
      </c>
      <c r="S549" s="51">
        <v>0.44861111111111113</v>
      </c>
      <c r="T549" s="51">
        <v>0.47569444444444442</v>
      </c>
      <c r="X549" t="s">
        <v>3125</v>
      </c>
      <c r="Y549" t="s">
        <v>3035</v>
      </c>
      <c r="Z549">
        <v>2733740</v>
      </c>
    </row>
    <row r="550" spans="1:26" x14ac:dyDescent="0.25">
      <c r="A550">
        <v>546</v>
      </c>
      <c r="B550" t="s">
        <v>24</v>
      </c>
      <c r="C550" t="s">
        <v>25</v>
      </c>
      <c r="D550">
        <v>13</v>
      </c>
      <c r="E550" t="s">
        <v>2195</v>
      </c>
      <c r="F550" t="s">
        <v>44</v>
      </c>
      <c r="G550">
        <v>4063</v>
      </c>
      <c r="H550" t="s">
        <v>48</v>
      </c>
      <c r="I550" t="s">
        <v>1119</v>
      </c>
      <c r="J550">
        <v>8</v>
      </c>
      <c r="K550">
        <v>1</v>
      </c>
      <c r="L550">
        <v>1.3888888888888887E-3</v>
      </c>
      <c r="M550" t="s">
        <v>117</v>
      </c>
      <c r="N550" t="s">
        <v>351</v>
      </c>
      <c r="O550" s="24">
        <v>46114</v>
      </c>
      <c r="P550">
        <v>606</v>
      </c>
      <c r="Q550" t="s">
        <v>34</v>
      </c>
      <c r="R550" s="24">
        <v>46136</v>
      </c>
      <c r="S550" s="51">
        <v>0.44861111111111113</v>
      </c>
      <c r="T550" s="51">
        <v>0.47569444444444442</v>
      </c>
      <c r="X550" t="s">
        <v>3125</v>
      </c>
      <c r="Y550" t="s">
        <v>3035</v>
      </c>
      <c r="Z550">
        <v>2733740</v>
      </c>
    </row>
    <row r="551" spans="1:26" x14ac:dyDescent="0.25">
      <c r="A551">
        <v>547</v>
      </c>
      <c r="B551" t="s">
        <v>24</v>
      </c>
      <c r="C551" t="s">
        <v>25</v>
      </c>
      <c r="D551">
        <v>13</v>
      </c>
      <c r="E551" t="s">
        <v>1665</v>
      </c>
      <c r="F551" t="s">
        <v>498</v>
      </c>
      <c r="G551">
        <v>4252</v>
      </c>
      <c r="H551" t="s">
        <v>2110</v>
      </c>
      <c r="I551" t="s">
        <v>2111</v>
      </c>
      <c r="J551">
        <v>8</v>
      </c>
      <c r="K551">
        <v>2</v>
      </c>
      <c r="L551">
        <v>1.261574074074074E-3</v>
      </c>
      <c r="M551" t="s">
        <v>117</v>
      </c>
      <c r="N551" t="s">
        <v>113</v>
      </c>
      <c r="O551" s="24">
        <v>46113</v>
      </c>
      <c r="P551">
        <v>603</v>
      </c>
      <c r="Q551" t="s">
        <v>34</v>
      </c>
      <c r="R551" s="24">
        <v>46113</v>
      </c>
      <c r="S551" s="51">
        <v>0.5708333333333333</v>
      </c>
      <c r="T551" s="51">
        <v>0.58125000000000004</v>
      </c>
      <c r="X551" t="s">
        <v>142</v>
      </c>
      <c r="Y551" t="s">
        <v>3072</v>
      </c>
      <c r="Z551">
        <v>2733753</v>
      </c>
    </row>
    <row r="552" spans="1:26" x14ac:dyDescent="0.25">
      <c r="A552">
        <v>548</v>
      </c>
      <c r="B552" t="s">
        <v>24</v>
      </c>
      <c r="C552" t="s">
        <v>25</v>
      </c>
      <c r="D552">
        <v>13</v>
      </c>
      <c r="E552" t="s">
        <v>1665</v>
      </c>
      <c r="F552" t="s">
        <v>498</v>
      </c>
      <c r="G552">
        <v>4053</v>
      </c>
      <c r="H552" t="s">
        <v>2110</v>
      </c>
      <c r="I552" t="s">
        <v>2111</v>
      </c>
      <c r="J552">
        <v>8</v>
      </c>
      <c r="K552">
        <v>2</v>
      </c>
      <c r="L552">
        <v>1.2037037037037036E-3</v>
      </c>
      <c r="M552" t="s">
        <v>117</v>
      </c>
      <c r="N552" t="s">
        <v>113</v>
      </c>
      <c r="O552" s="24">
        <v>46113</v>
      </c>
      <c r="P552">
        <v>603</v>
      </c>
      <c r="Q552" t="s">
        <v>34</v>
      </c>
      <c r="R552" s="24">
        <v>46113</v>
      </c>
      <c r="S552" s="51">
        <v>0.5854166666666667</v>
      </c>
      <c r="T552" s="51">
        <v>0.59513888888888888</v>
      </c>
      <c r="X552" t="s">
        <v>146</v>
      </c>
      <c r="Y552" t="s">
        <v>3072</v>
      </c>
      <c r="Z552">
        <v>2733737</v>
      </c>
    </row>
    <row r="553" spans="1:26" x14ac:dyDescent="0.25">
      <c r="A553">
        <v>549</v>
      </c>
      <c r="B553" t="s">
        <v>24</v>
      </c>
      <c r="C553" t="s">
        <v>25</v>
      </c>
      <c r="D553">
        <v>13</v>
      </c>
      <c r="E553" t="s">
        <v>1588</v>
      </c>
      <c r="F553" t="s">
        <v>44</v>
      </c>
      <c r="G553">
        <v>4053</v>
      </c>
      <c r="H553" t="s">
        <v>2275</v>
      </c>
      <c r="I553" t="s">
        <v>2216</v>
      </c>
      <c r="J553">
        <v>8</v>
      </c>
      <c r="K553">
        <v>1</v>
      </c>
      <c r="L553">
        <v>1.9212962962962962E-3</v>
      </c>
      <c r="M553" t="s">
        <v>117</v>
      </c>
      <c r="N553" t="s">
        <v>113</v>
      </c>
      <c r="O553" s="24">
        <v>46113</v>
      </c>
      <c r="P553">
        <v>603</v>
      </c>
      <c r="Q553" t="s">
        <v>34</v>
      </c>
      <c r="R553" s="24">
        <v>46113</v>
      </c>
      <c r="S553" s="51">
        <v>0.5854166666666667</v>
      </c>
      <c r="T553" s="51">
        <v>0.59513888888888888</v>
      </c>
      <c r="X553" t="s">
        <v>146</v>
      </c>
      <c r="Y553" t="s">
        <v>3072</v>
      </c>
      <c r="Z553">
        <v>2733737</v>
      </c>
    </row>
    <row r="554" spans="1:26" x14ac:dyDescent="0.25">
      <c r="A554">
        <v>550</v>
      </c>
      <c r="B554" t="s">
        <v>24</v>
      </c>
      <c r="C554" t="s">
        <v>25</v>
      </c>
      <c r="D554">
        <v>13</v>
      </c>
      <c r="E554" t="s">
        <v>367</v>
      </c>
      <c r="F554" t="s">
        <v>427</v>
      </c>
      <c r="G554">
        <v>4053</v>
      </c>
      <c r="H554" t="s">
        <v>2276</v>
      </c>
      <c r="I554" t="s">
        <v>2270</v>
      </c>
      <c r="J554">
        <v>8</v>
      </c>
      <c r="K554">
        <v>1</v>
      </c>
      <c r="L554">
        <v>1.6435185185185185E-3</v>
      </c>
      <c r="M554" t="s">
        <v>117</v>
      </c>
      <c r="N554" t="s">
        <v>113</v>
      </c>
      <c r="O554" s="24">
        <v>46113</v>
      </c>
      <c r="P554">
        <v>603</v>
      </c>
      <c r="Q554" t="s">
        <v>34</v>
      </c>
      <c r="R554" s="24">
        <v>46113</v>
      </c>
      <c r="S554" s="51">
        <v>0.5854166666666667</v>
      </c>
      <c r="T554" s="51">
        <v>0.59513888888888888</v>
      </c>
      <c r="X554" t="s">
        <v>146</v>
      </c>
      <c r="Y554" t="s">
        <v>3072</v>
      </c>
      <c r="Z554">
        <v>2733737</v>
      </c>
    </row>
    <row r="555" spans="1:26" x14ac:dyDescent="0.25">
      <c r="A555">
        <v>551</v>
      </c>
      <c r="B555" t="s">
        <v>24</v>
      </c>
      <c r="C555" t="s">
        <v>25</v>
      </c>
      <c r="D555">
        <v>13</v>
      </c>
      <c r="E555" t="s">
        <v>1672</v>
      </c>
      <c r="F555" t="s">
        <v>115</v>
      </c>
      <c r="G555">
        <v>4053</v>
      </c>
      <c r="H555" t="s">
        <v>2277</v>
      </c>
      <c r="I555" t="s">
        <v>2278</v>
      </c>
      <c r="J555">
        <v>8</v>
      </c>
      <c r="K555">
        <v>1</v>
      </c>
      <c r="L555">
        <v>7.5231481481481477E-3</v>
      </c>
      <c r="M555" t="s">
        <v>117</v>
      </c>
      <c r="N555" t="s">
        <v>113</v>
      </c>
      <c r="O555" s="24">
        <v>46113</v>
      </c>
      <c r="P555">
        <v>603</v>
      </c>
      <c r="Q555" t="s">
        <v>34</v>
      </c>
      <c r="R555" s="24">
        <v>46113</v>
      </c>
      <c r="S555" s="51">
        <v>0.5854166666666667</v>
      </c>
      <c r="T555" s="51">
        <v>0.59513888888888888</v>
      </c>
      <c r="X555" t="s">
        <v>146</v>
      </c>
      <c r="Y555" t="s">
        <v>3072</v>
      </c>
      <c r="Z555">
        <v>2733737</v>
      </c>
    </row>
    <row r="556" spans="1:26" x14ac:dyDescent="0.25">
      <c r="A556">
        <v>552</v>
      </c>
      <c r="B556" t="s">
        <v>24</v>
      </c>
      <c r="C556" t="s">
        <v>25</v>
      </c>
      <c r="D556">
        <v>13</v>
      </c>
      <c r="E556" t="s">
        <v>367</v>
      </c>
      <c r="F556" t="s">
        <v>1594</v>
      </c>
      <c r="G556">
        <v>4054</v>
      </c>
      <c r="H556" t="s">
        <v>2272</v>
      </c>
      <c r="I556" t="s">
        <v>2273</v>
      </c>
      <c r="J556">
        <v>8</v>
      </c>
      <c r="K556">
        <v>1</v>
      </c>
      <c r="L556">
        <v>1.9791666666666664E-3</v>
      </c>
      <c r="M556" t="s">
        <v>117</v>
      </c>
      <c r="N556" t="s">
        <v>239</v>
      </c>
      <c r="O556" s="24">
        <v>46114</v>
      </c>
      <c r="P556">
        <v>605</v>
      </c>
      <c r="Q556" t="s">
        <v>34</v>
      </c>
      <c r="R556" s="24">
        <v>46136</v>
      </c>
      <c r="S556" s="51">
        <v>0.83333333333333337</v>
      </c>
      <c r="T556" s="51">
        <v>0.85416666666666663</v>
      </c>
      <c r="X556" t="s">
        <v>3143</v>
      </c>
      <c r="Y556" t="s">
        <v>3032</v>
      </c>
      <c r="Z556">
        <v>3219212</v>
      </c>
    </row>
    <row r="557" spans="1:26" x14ac:dyDescent="0.25">
      <c r="A557">
        <v>553</v>
      </c>
      <c r="B557" t="s">
        <v>24</v>
      </c>
      <c r="C557" t="s">
        <v>25</v>
      </c>
      <c r="D557">
        <v>13</v>
      </c>
      <c r="E557" t="s">
        <v>367</v>
      </c>
      <c r="F557" t="s">
        <v>1594</v>
      </c>
      <c r="G557">
        <v>4054</v>
      </c>
      <c r="H557" t="s">
        <v>2280</v>
      </c>
      <c r="I557" t="s">
        <v>2273</v>
      </c>
      <c r="J557">
        <v>8</v>
      </c>
      <c r="K557">
        <v>3</v>
      </c>
      <c r="L557">
        <v>5.7407407407407407E-3</v>
      </c>
      <c r="M557" t="s">
        <v>117</v>
      </c>
      <c r="N557" t="s">
        <v>239</v>
      </c>
      <c r="O557" s="24">
        <v>46114</v>
      </c>
      <c r="P557">
        <v>605</v>
      </c>
      <c r="Q557" t="s">
        <v>34</v>
      </c>
      <c r="R557" s="24">
        <v>46136</v>
      </c>
      <c r="S557" s="51">
        <v>0.83333333333333337</v>
      </c>
      <c r="T557" s="51">
        <v>0.85416666666666663</v>
      </c>
      <c r="X557" t="s">
        <v>3143</v>
      </c>
      <c r="Y557" t="s">
        <v>3032</v>
      </c>
      <c r="Z557">
        <v>3219212</v>
      </c>
    </row>
    <row r="558" spans="1:26" x14ac:dyDescent="0.25">
      <c r="A558">
        <v>554</v>
      </c>
      <c r="B558" t="s">
        <v>24</v>
      </c>
      <c r="C558" t="s">
        <v>25</v>
      </c>
      <c r="D558">
        <v>13</v>
      </c>
      <c r="E558" t="s">
        <v>65</v>
      </c>
      <c r="F558" t="s">
        <v>368</v>
      </c>
      <c r="G558">
        <v>4054</v>
      </c>
      <c r="H558" t="s">
        <v>2281</v>
      </c>
      <c r="I558" t="s">
        <v>2282</v>
      </c>
      <c r="J558">
        <v>8</v>
      </c>
      <c r="K558">
        <v>1</v>
      </c>
      <c r="L558">
        <v>6.5277777777777773E-3</v>
      </c>
      <c r="M558" t="s">
        <v>117</v>
      </c>
      <c r="N558" t="s">
        <v>239</v>
      </c>
      <c r="O558" s="24">
        <v>46114</v>
      </c>
      <c r="P558">
        <v>605</v>
      </c>
      <c r="Q558" t="s">
        <v>34</v>
      </c>
      <c r="R558" s="24">
        <v>46136</v>
      </c>
      <c r="S558" s="51">
        <v>0.83333333333333337</v>
      </c>
      <c r="T558" s="51">
        <v>0.85416666666666663</v>
      </c>
      <c r="X558" t="s">
        <v>3143</v>
      </c>
      <c r="Y558" t="s">
        <v>3032</v>
      </c>
      <c r="Z558">
        <v>3219212</v>
      </c>
    </row>
    <row r="559" spans="1:26" x14ac:dyDescent="0.25">
      <c r="A559">
        <v>555</v>
      </c>
      <c r="B559" t="s">
        <v>24</v>
      </c>
      <c r="C559" t="s">
        <v>25</v>
      </c>
      <c r="D559">
        <v>13</v>
      </c>
      <c r="E559" t="s">
        <v>367</v>
      </c>
      <c r="F559" t="s">
        <v>1592</v>
      </c>
      <c r="G559">
        <v>4262</v>
      </c>
      <c r="H559" t="s">
        <v>2062</v>
      </c>
      <c r="I559" t="s">
        <v>2063</v>
      </c>
      <c r="J559">
        <v>8</v>
      </c>
      <c r="K559">
        <v>4</v>
      </c>
      <c r="L559">
        <v>1.4004629629629629E-3</v>
      </c>
      <c r="M559" t="s">
        <v>117</v>
      </c>
      <c r="N559" t="s">
        <v>159</v>
      </c>
      <c r="O559" s="24">
        <v>46109</v>
      </c>
      <c r="P559">
        <v>605</v>
      </c>
      <c r="Q559" t="s">
        <v>34</v>
      </c>
      <c r="R559" s="24">
        <v>46113</v>
      </c>
      <c r="X559" t="s">
        <v>223</v>
      </c>
      <c r="Y559" t="s">
        <v>3032</v>
      </c>
    </row>
    <row r="560" spans="1:26" x14ac:dyDescent="0.25">
      <c r="A560">
        <v>556</v>
      </c>
      <c r="B560" t="s">
        <v>24</v>
      </c>
      <c r="C560" t="s">
        <v>25</v>
      </c>
      <c r="D560">
        <v>13</v>
      </c>
      <c r="E560" t="s">
        <v>367</v>
      </c>
      <c r="F560" t="s">
        <v>1592</v>
      </c>
      <c r="G560">
        <v>4262</v>
      </c>
      <c r="H560" t="s">
        <v>2455</v>
      </c>
      <c r="I560" t="s">
        <v>2456</v>
      </c>
      <c r="J560">
        <v>8</v>
      </c>
      <c r="K560">
        <v>10</v>
      </c>
      <c r="L560">
        <v>3.3217592592592591E-3</v>
      </c>
      <c r="M560" t="s">
        <v>117</v>
      </c>
      <c r="N560" t="s">
        <v>159</v>
      </c>
      <c r="O560" s="24">
        <v>46109</v>
      </c>
      <c r="P560">
        <v>605</v>
      </c>
      <c r="Q560" t="s">
        <v>34</v>
      </c>
      <c r="R560" s="24">
        <v>46113</v>
      </c>
      <c r="X560" t="s">
        <v>223</v>
      </c>
      <c r="Y560" t="s">
        <v>3032</v>
      </c>
    </row>
    <row r="561" spans="1:26" x14ac:dyDescent="0.25">
      <c r="A561">
        <v>557</v>
      </c>
      <c r="B561" t="s">
        <v>24</v>
      </c>
      <c r="C561" t="s">
        <v>25</v>
      </c>
      <c r="D561">
        <v>13</v>
      </c>
      <c r="E561" t="s">
        <v>367</v>
      </c>
      <c r="F561" t="s">
        <v>368</v>
      </c>
      <c r="G561">
        <v>4262</v>
      </c>
      <c r="H561" t="s">
        <v>2457</v>
      </c>
      <c r="I561" t="s">
        <v>2458</v>
      </c>
      <c r="J561">
        <v>8</v>
      </c>
      <c r="K561">
        <v>1</v>
      </c>
      <c r="L561">
        <v>1.4004629629629629E-3</v>
      </c>
      <c r="M561" t="s">
        <v>117</v>
      </c>
      <c r="N561" t="s">
        <v>159</v>
      </c>
      <c r="O561" s="24">
        <v>46109</v>
      </c>
      <c r="P561">
        <v>605</v>
      </c>
      <c r="Q561" t="s">
        <v>34</v>
      </c>
      <c r="R561" s="24">
        <v>46113</v>
      </c>
      <c r="X561" t="s">
        <v>223</v>
      </c>
      <c r="Y561" t="s">
        <v>3032</v>
      </c>
    </row>
    <row r="562" spans="1:26" x14ac:dyDescent="0.25">
      <c r="A562">
        <v>558</v>
      </c>
      <c r="B562" t="s">
        <v>24</v>
      </c>
      <c r="C562" t="s">
        <v>25</v>
      </c>
      <c r="D562">
        <v>13</v>
      </c>
      <c r="E562" t="s">
        <v>65</v>
      </c>
      <c r="F562" t="s">
        <v>65</v>
      </c>
      <c r="G562">
        <v>4262</v>
      </c>
      <c r="H562" t="s">
        <v>2459</v>
      </c>
      <c r="I562" t="s">
        <v>2061</v>
      </c>
      <c r="J562">
        <v>8</v>
      </c>
      <c r="K562">
        <v>4</v>
      </c>
      <c r="L562">
        <v>1.261574074074074E-3</v>
      </c>
      <c r="M562" t="s">
        <v>117</v>
      </c>
      <c r="N562" t="s">
        <v>159</v>
      </c>
      <c r="O562" s="24">
        <v>46109</v>
      </c>
      <c r="P562">
        <v>605</v>
      </c>
      <c r="Q562" t="s">
        <v>34</v>
      </c>
      <c r="R562" s="24">
        <v>46113</v>
      </c>
      <c r="X562" t="s">
        <v>223</v>
      </c>
      <c r="Y562" t="s">
        <v>3032</v>
      </c>
    </row>
    <row r="563" spans="1:26" x14ac:dyDescent="0.25">
      <c r="A563">
        <v>559</v>
      </c>
      <c r="B563" t="s">
        <v>24</v>
      </c>
      <c r="C563" t="s">
        <v>25</v>
      </c>
      <c r="D563">
        <v>13</v>
      </c>
      <c r="E563" t="s">
        <v>65</v>
      </c>
      <c r="F563" t="s">
        <v>65</v>
      </c>
      <c r="G563">
        <v>4262</v>
      </c>
      <c r="H563" t="s">
        <v>2460</v>
      </c>
      <c r="I563" t="s">
        <v>2461</v>
      </c>
      <c r="J563">
        <v>8</v>
      </c>
      <c r="K563">
        <v>1</v>
      </c>
      <c r="L563">
        <v>5.4398148148148144E-4</v>
      </c>
      <c r="M563" t="s">
        <v>117</v>
      </c>
      <c r="N563" t="s">
        <v>159</v>
      </c>
      <c r="O563" s="24">
        <v>46109</v>
      </c>
      <c r="P563">
        <v>605</v>
      </c>
      <c r="Q563" t="s">
        <v>34</v>
      </c>
      <c r="R563" s="24">
        <v>46113</v>
      </c>
      <c r="X563" t="s">
        <v>223</v>
      </c>
      <c r="Y563" t="s">
        <v>3032</v>
      </c>
    </row>
    <row r="564" spans="1:26" x14ac:dyDescent="0.25">
      <c r="A564">
        <v>560</v>
      </c>
      <c r="B564" t="s">
        <v>24</v>
      </c>
      <c r="C564" t="s">
        <v>25</v>
      </c>
      <c r="D564">
        <v>13</v>
      </c>
      <c r="E564" t="s">
        <v>65</v>
      </c>
      <c r="F564" t="s">
        <v>65</v>
      </c>
      <c r="G564">
        <v>4262</v>
      </c>
      <c r="H564" t="s">
        <v>2083</v>
      </c>
      <c r="I564" t="s">
        <v>2084</v>
      </c>
      <c r="J564">
        <v>8</v>
      </c>
      <c r="K564">
        <v>12</v>
      </c>
      <c r="L564">
        <v>4.5138888888888885E-3</v>
      </c>
      <c r="M564" t="s">
        <v>117</v>
      </c>
      <c r="N564" t="s">
        <v>159</v>
      </c>
      <c r="O564" s="24">
        <v>46109</v>
      </c>
      <c r="P564">
        <v>605</v>
      </c>
      <c r="Q564" t="s">
        <v>34</v>
      </c>
      <c r="R564" s="24">
        <v>46113</v>
      </c>
      <c r="X564" t="s">
        <v>223</v>
      </c>
      <c r="Y564" t="s">
        <v>3032</v>
      </c>
    </row>
    <row r="565" spans="1:26" x14ac:dyDescent="0.25">
      <c r="A565">
        <v>561</v>
      </c>
      <c r="B565" t="s">
        <v>24</v>
      </c>
      <c r="C565" t="s">
        <v>25</v>
      </c>
      <c r="D565">
        <v>13</v>
      </c>
      <c r="E565" t="s">
        <v>53</v>
      </c>
      <c r="F565" t="s">
        <v>44</v>
      </c>
      <c r="G565">
        <v>3505</v>
      </c>
      <c r="H565" t="s">
        <v>48</v>
      </c>
      <c r="I565" t="s">
        <v>1119</v>
      </c>
      <c r="J565">
        <v>8</v>
      </c>
      <c r="K565">
        <v>23</v>
      </c>
      <c r="L565">
        <v>3.3009259259259259E-2</v>
      </c>
      <c r="M565" t="s">
        <v>3079</v>
      </c>
      <c r="X565" t="s">
        <v>3144</v>
      </c>
    </row>
    <row r="566" spans="1:26" x14ac:dyDescent="0.25">
      <c r="A566">
        <v>562</v>
      </c>
      <c r="B566" t="s">
        <v>24</v>
      </c>
      <c r="C566" t="s">
        <v>25</v>
      </c>
      <c r="D566">
        <v>13</v>
      </c>
      <c r="E566" t="s">
        <v>53</v>
      </c>
      <c r="F566" t="s">
        <v>44</v>
      </c>
      <c r="G566">
        <v>3506</v>
      </c>
      <c r="H566" t="s">
        <v>48</v>
      </c>
      <c r="I566" t="s">
        <v>1119</v>
      </c>
      <c r="J566">
        <v>8</v>
      </c>
      <c r="K566">
        <v>23</v>
      </c>
      <c r="L566">
        <v>3.3009259259259259E-2</v>
      </c>
      <c r="M566" t="s">
        <v>3079</v>
      </c>
      <c r="X566" t="s">
        <v>3145</v>
      </c>
    </row>
    <row r="567" spans="1:26" x14ac:dyDescent="0.25">
      <c r="A567">
        <v>563</v>
      </c>
      <c r="B567" t="s">
        <v>24</v>
      </c>
      <c r="C567" t="s">
        <v>25</v>
      </c>
      <c r="D567">
        <v>13</v>
      </c>
      <c r="E567" t="s">
        <v>53</v>
      </c>
      <c r="F567" t="s">
        <v>44</v>
      </c>
      <c r="G567">
        <v>3507</v>
      </c>
      <c r="H567" t="s">
        <v>48</v>
      </c>
      <c r="I567" t="s">
        <v>1119</v>
      </c>
      <c r="J567">
        <v>8</v>
      </c>
      <c r="K567">
        <v>23</v>
      </c>
      <c r="L567">
        <v>3.3009259259259259E-2</v>
      </c>
      <c r="M567" t="s">
        <v>3079</v>
      </c>
      <c r="X567" t="s">
        <v>3146</v>
      </c>
    </row>
    <row r="568" spans="1:26" x14ac:dyDescent="0.25">
      <c r="A568">
        <v>564</v>
      </c>
      <c r="B568" t="s">
        <v>24</v>
      </c>
      <c r="C568" t="s">
        <v>25</v>
      </c>
      <c r="D568">
        <v>13</v>
      </c>
      <c r="E568" t="s">
        <v>57</v>
      </c>
      <c r="F568" t="s">
        <v>44</v>
      </c>
      <c r="G568">
        <v>3508</v>
      </c>
      <c r="H568" t="s">
        <v>48</v>
      </c>
      <c r="I568" t="s">
        <v>1119</v>
      </c>
      <c r="J568">
        <v>8</v>
      </c>
      <c r="K568">
        <v>23</v>
      </c>
      <c r="L568">
        <v>3.3009259259259259E-2</v>
      </c>
      <c r="M568" t="s">
        <v>3079</v>
      </c>
      <c r="X568" t="s">
        <v>3147</v>
      </c>
    </row>
    <row r="569" spans="1:26" x14ac:dyDescent="0.25">
      <c r="A569">
        <v>565</v>
      </c>
      <c r="B569" t="s">
        <v>24</v>
      </c>
      <c r="C569" t="s">
        <v>25</v>
      </c>
      <c r="D569">
        <v>13</v>
      </c>
      <c r="E569" t="s">
        <v>58</v>
      </c>
      <c r="F569" t="s">
        <v>44</v>
      </c>
      <c r="G569">
        <v>3509</v>
      </c>
      <c r="H569" t="s">
        <v>48</v>
      </c>
      <c r="I569" t="s">
        <v>1119</v>
      </c>
      <c r="J569">
        <v>8</v>
      </c>
      <c r="K569">
        <v>23</v>
      </c>
      <c r="L569">
        <v>3.3009259259259259E-2</v>
      </c>
      <c r="M569" t="s">
        <v>3079</v>
      </c>
      <c r="X569" t="s">
        <v>3148</v>
      </c>
    </row>
    <row r="570" spans="1:26" x14ac:dyDescent="0.25">
      <c r="A570">
        <v>566</v>
      </c>
      <c r="B570" t="s">
        <v>24</v>
      </c>
      <c r="C570" t="s">
        <v>25</v>
      </c>
      <c r="D570">
        <v>13</v>
      </c>
      <c r="E570" t="s">
        <v>58</v>
      </c>
      <c r="F570" t="s">
        <v>44</v>
      </c>
      <c r="G570">
        <v>3510</v>
      </c>
      <c r="H570" t="s">
        <v>48</v>
      </c>
      <c r="I570" t="s">
        <v>1119</v>
      </c>
      <c r="J570">
        <v>8</v>
      </c>
      <c r="K570">
        <v>23</v>
      </c>
      <c r="L570">
        <v>3.3009259259259259E-2</v>
      </c>
      <c r="M570" t="s">
        <v>3079</v>
      </c>
      <c r="X570" t="s">
        <v>3149</v>
      </c>
    </row>
    <row r="571" spans="1:26" x14ac:dyDescent="0.25">
      <c r="A571">
        <v>567</v>
      </c>
      <c r="B571" t="s">
        <v>24</v>
      </c>
      <c r="C571" t="s">
        <v>25</v>
      </c>
      <c r="D571">
        <v>13</v>
      </c>
      <c r="E571" t="s">
        <v>58</v>
      </c>
      <c r="F571" t="s">
        <v>44</v>
      </c>
      <c r="G571">
        <v>3511</v>
      </c>
      <c r="H571" t="s">
        <v>48</v>
      </c>
      <c r="I571" t="s">
        <v>1119</v>
      </c>
      <c r="J571">
        <v>8</v>
      </c>
      <c r="K571">
        <v>23</v>
      </c>
      <c r="L571">
        <v>3.3009259259259259E-2</v>
      </c>
      <c r="M571" t="s">
        <v>3079</v>
      </c>
      <c r="X571" t="s">
        <v>3150</v>
      </c>
    </row>
    <row r="572" spans="1:26" x14ac:dyDescent="0.25">
      <c r="A572">
        <v>568</v>
      </c>
      <c r="B572" t="s">
        <v>24</v>
      </c>
      <c r="C572" t="s">
        <v>25</v>
      </c>
      <c r="D572">
        <v>13</v>
      </c>
      <c r="E572" t="s">
        <v>65</v>
      </c>
      <c r="F572" t="s">
        <v>44</v>
      </c>
      <c r="G572">
        <v>4054</v>
      </c>
      <c r="H572" t="s">
        <v>2283</v>
      </c>
      <c r="I572" t="s">
        <v>2284</v>
      </c>
      <c r="J572">
        <v>8</v>
      </c>
      <c r="K572">
        <v>1</v>
      </c>
      <c r="L572">
        <v>1.6550925925925926E-3</v>
      </c>
      <c r="M572" t="s">
        <v>117</v>
      </c>
      <c r="N572" t="s">
        <v>239</v>
      </c>
      <c r="O572" s="24">
        <v>46114</v>
      </c>
      <c r="P572">
        <v>605</v>
      </c>
      <c r="Q572" t="s">
        <v>34</v>
      </c>
      <c r="R572" s="24">
        <v>46136</v>
      </c>
      <c r="S572" s="51">
        <v>0.83333333333333337</v>
      </c>
      <c r="T572" s="51">
        <v>0.85416666666666663</v>
      </c>
      <c r="X572" t="s">
        <v>3143</v>
      </c>
      <c r="Y572" t="s">
        <v>3032</v>
      </c>
      <c r="Z572">
        <v>3219212</v>
      </c>
    </row>
    <row r="573" spans="1:26" x14ac:dyDescent="0.25">
      <c r="A573">
        <v>569</v>
      </c>
      <c r="B573" t="s">
        <v>24</v>
      </c>
      <c r="C573" t="s">
        <v>25</v>
      </c>
      <c r="D573">
        <v>13</v>
      </c>
      <c r="E573" t="s">
        <v>65</v>
      </c>
      <c r="F573" t="s">
        <v>1590</v>
      </c>
      <c r="G573">
        <v>4054</v>
      </c>
      <c r="H573" t="s">
        <v>2285</v>
      </c>
      <c r="I573" t="s">
        <v>2286</v>
      </c>
      <c r="J573">
        <v>8</v>
      </c>
      <c r="K573">
        <v>1</v>
      </c>
      <c r="L573">
        <v>2.1180555555555553E-3</v>
      </c>
      <c r="M573" t="s">
        <v>117</v>
      </c>
      <c r="N573" t="s">
        <v>239</v>
      </c>
      <c r="O573" s="24">
        <v>46114</v>
      </c>
      <c r="P573">
        <v>605</v>
      </c>
      <c r="Q573" t="s">
        <v>34</v>
      </c>
      <c r="R573" s="24">
        <v>46136</v>
      </c>
      <c r="S573" s="51">
        <v>0.83333333333333337</v>
      </c>
      <c r="T573" s="51">
        <v>0.85416666666666663</v>
      </c>
      <c r="X573" t="s">
        <v>3143</v>
      </c>
      <c r="Y573" t="s">
        <v>3032</v>
      </c>
      <c r="Z573">
        <v>3219212</v>
      </c>
    </row>
    <row r="574" spans="1:26" x14ac:dyDescent="0.25">
      <c r="A574">
        <v>570</v>
      </c>
      <c r="B574" t="s">
        <v>24</v>
      </c>
      <c r="C574" t="s">
        <v>25</v>
      </c>
      <c r="D574">
        <v>13</v>
      </c>
      <c r="E574" t="s">
        <v>65</v>
      </c>
      <c r="F574" t="s">
        <v>1590</v>
      </c>
      <c r="G574">
        <v>4054</v>
      </c>
      <c r="H574" t="s">
        <v>2287</v>
      </c>
      <c r="I574" t="s">
        <v>2286</v>
      </c>
      <c r="J574">
        <v>8</v>
      </c>
      <c r="K574">
        <v>1</v>
      </c>
      <c r="L574">
        <v>1.7939814814814815E-3</v>
      </c>
      <c r="M574" t="s">
        <v>117</v>
      </c>
      <c r="N574" t="s">
        <v>239</v>
      </c>
      <c r="O574" s="24">
        <v>46114</v>
      </c>
      <c r="P574">
        <v>605</v>
      </c>
      <c r="Q574" t="s">
        <v>34</v>
      </c>
      <c r="R574" s="24">
        <v>46136</v>
      </c>
      <c r="S574" s="51">
        <v>0.83333333333333337</v>
      </c>
      <c r="T574" s="51">
        <v>0.85416666666666663</v>
      </c>
      <c r="X574" t="s">
        <v>3143</v>
      </c>
      <c r="Y574" t="s">
        <v>3032</v>
      </c>
      <c r="Z574">
        <v>3219212</v>
      </c>
    </row>
    <row r="575" spans="1:26" x14ac:dyDescent="0.25">
      <c r="A575">
        <v>571</v>
      </c>
      <c r="B575" t="s">
        <v>24</v>
      </c>
      <c r="C575" t="s">
        <v>25</v>
      </c>
      <c r="D575">
        <v>13</v>
      </c>
      <c r="E575" t="s">
        <v>65</v>
      </c>
      <c r="F575" t="s">
        <v>66</v>
      </c>
      <c r="G575">
        <v>4054</v>
      </c>
      <c r="H575" t="s">
        <v>2288</v>
      </c>
      <c r="I575" t="s">
        <v>2289</v>
      </c>
      <c r="J575">
        <v>8</v>
      </c>
      <c r="K575">
        <v>2</v>
      </c>
      <c r="L575">
        <v>2.4768518518518516E-3</v>
      </c>
      <c r="M575" t="s">
        <v>117</v>
      </c>
      <c r="N575" t="s">
        <v>239</v>
      </c>
      <c r="O575" s="24">
        <v>46114</v>
      </c>
      <c r="P575">
        <v>605</v>
      </c>
      <c r="Q575" t="s">
        <v>34</v>
      </c>
      <c r="R575" s="24">
        <v>46136</v>
      </c>
      <c r="S575" s="51">
        <v>0.83333333333333337</v>
      </c>
      <c r="T575" s="51">
        <v>0.85416666666666663</v>
      </c>
      <c r="X575" t="s">
        <v>3143</v>
      </c>
      <c r="Y575" t="s">
        <v>3032</v>
      </c>
      <c r="Z575">
        <v>3219212</v>
      </c>
    </row>
    <row r="576" spans="1:26" x14ac:dyDescent="0.25">
      <c r="A576">
        <v>572</v>
      </c>
      <c r="B576" t="s">
        <v>24</v>
      </c>
      <c r="C576" t="s">
        <v>25</v>
      </c>
      <c r="D576">
        <v>13</v>
      </c>
      <c r="E576" t="s">
        <v>65</v>
      </c>
      <c r="F576" t="s">
        <v>368</v>
      </c>
      <c r="G576">
        <v>4006</v>
      </c>
      <c r="H576" t="s">
        <v>521</v>
      </c>
      <c r="I576" t="s">
        <v>522</v>
      </c>
      <c r="J576">
        <v>8</v>
      </c>
      <c r="K576">
        <v>1</v>
      </c>
      <c r="L576">
        <v>6.8055555555555551E-3</v>
      </c>
      <c r="M576" t="s">
        <v>117</v>
      </c>
      <c r="N576" t="s">
        <v>491</v>
      </c>
      <c r="O576" s="24">
        <v>46118</v>
      </c>
      <c r="P576">
        <v>603</v>
      </c>
      <c r="Q576" t="s">
        <v>34</v>
      </c>
      <c r="R576" s="24">
        <v>46113</v>
      </c>
      <c r="S576" s="51">
        <v>0.4826388888888889</v>
      </c>
      <c r="T576" s="51">
        <v>0.48680555555555555</v>
      </c>
      <c r="X576" t="s">
        <v>3151</v>
      </c>
      <c r="Y576" t="s">
        <v>3072</v>
      </c>
      <c r="Z576">
        <v>1742250</v>
      </c>
    </row>
    <row r="577" spans="1:26" x14ac:dyDescent="0.25">
      <c r="A577">
        <v>573</v>
      </c>
      <c r="B577" t="s">
        <v>24</v>
      </c>
      <c r="C577" t="s">
        <v>25</v>
      </c>
      <c r="D577">
        <v>13</v>
      </c>
      <c r="E577" t="s">
        <v>1672</v>
      </c>
      <c r="F577" t="s">
        <v>498</v>
      </c>
      <c r="G577">
        <v>3453</v>
      </c>
      <c r="H577" t="s">
        <v>2055</v>
      </c>
      <c r="I577" t="s">
        <v>2056</v>
      </c>
      <c r="J577">
        <v>8</v>
      </c>
      <c r="K577">
        <v>1</v>
      </c>
      <c r="L577">
        <v>7.9861111111111105E-4</v>
      </c>
      <c r="M577" t="s">
        <v>117</v>
      </c>
      <c r="N577" t="s">
        <v>239</v>
      </c>
      <c r="O577" s="24">
        <v>46114</v>
      </c>
      <c r="P577">
        <v>605</v>
      </c>
      <c r="Q577" t="s">
        <v>34</v>
      </c>
      <c r="R577" s="24">
        <v>46136</v>
      </c>
      <c r="S577" s="51">
        <v>0.43055555555555558</v>
      </c>
      <c r="T577" s="51">
        <v>0.43958333333333333</v>
      </c>
      <c r="X577" t="s">
        <v>3129</v>
      </c>
      <c r="Y577" t="s">
        <v>3029</v>
      </c>
      <c r="Z577">
        <v>2733740</v>
      </c>
    </row>
    <row r="578" spans="1:26" x14ac:dyDescent="0.25">
      <c r="A578">
        <v>574</v>
      </c>
      <c r="B578" t="s">
        <v>24</v>
      </c>
      <c r="C578" t="s">
        <v>25</v>
      </c>
      <c r="D578">
        <v>13</v>
      </c>
      <c r="E578" t="s">
        <v>131</v>
      </c>
      <c r="F578" t="s">
        <v>512</v>
      </c>
      <c r="G578">
        <v>4262</v>
      </c>
      <c r="H578" t="s">
        <v>2462</v>
      </c>
      <c r="I578" t="s">
        <v>2380</v>
      </c>
      <c r="J578">
        <v>8</v>
      </c>
      <c r="K578">
        <v>1</v>
      </c>
      <c r="L578">
        <v>4.2592592592592595E-3</v>
      </c>
      <c r="M578" t="s">
        <v>117</v>
      </c>
      <c r="N578" t="s">
        <v>159</v>
      </c>
      <c r="O578" s="24">
        <v>46109</v>
      </c>
      <c r="P578">
        <v>605</v>
      </c>
      <c r="Q578" t="s">
        <v>34</v>
      </c>
      <c r="R578" s="24">
        <v>46113</v>
      </c>
      <c r="X578" t="s">
        <v>223</v>
      </c>
      <c r="Y578" t="s">
        <v>3032</v>
      </c>
    </row>
    <row r="579" spans="1:26" x14ac:dyDescent="0.25">
      <c r="A579">
        <v>575</v>
      </c>
      <c r="B579" t="s">
        <v>24</v>
      </c>
      <c r="C579" t="s">
        <v>25</v>
      </c>
      <c r="D579">
        <v>13</v>
      </c>
      <c r="E579" t="s">
        <v>530</v>
      </c>
      <c r="F579" t="s">
        <v>44</v>
      </c>
      <c r="G579">
        <v>4262</v>
      </c>
      <c r="H579" t="s">
        <v>2463</v>
      </c>
      <c r="I579" t="s">
        <v>2049</v>
      </c>
      <c r="J579">
        <v>8</v>
      </c>
      <c r="K579">
        <v>2</v>
      </c>
      <c r="L579">
        <v>1.9907407407407408E-3</v>
      </c>
      <c r="M579" t="s">
        <v>117</v>
      </c>
      <c r="N579" t="s">
        <v>159</v>
      </c>
      <c r="O579" s="24">
        <v>46109</v>
      </c>
      <c r="P579">
        <v>605</v>
      </c>
      <c r="Q579" t="s">
        <v>34</v>
      </c>
      <c r="R579" s="24">
        <v>46113</v>
      </c>
      <c r="X579" t="s">
        <v>223</v>
      </c>
      <c r="Y579" t="s">
        <v>3032</v>
      </c>
    </row>
    <row r="580" spans="1:26" x14ac:dyDescent="0.25">
      <c r="A580">
        <v>576</v>
      </c>
      <c r="B580" t="s">
        <v>24</v>
      </c>
      <c r="C580" t="s">
        <v>25</v>
      </c>
      <c r="D580">
        <v>13</v>
      </c>
      <c r="E580" t="s">
        <v>530</v>
      </c>
      <c r="F580" t="s">
        <v>44</v>
      </c>
      <c r="G580">
        <v>4262</v>
      </c>
      <c r="H580" t="s">
        <v>2383</v>
      </c>
      <c r="I580" t="s">
        <v>2384</v>
      </c>
      <c r="J580">
        <v>8</v>
      </c>
      <c r="K580">
        <v>2</v>
      </c>
      <c r="L580">
        <v>2.3379629629629627E-3</v>
      </c>
      <c r="M580" t="s">
        <v>117</v>
      </c>
      <c r="N580" t="s">
        <v>159</v>
      </c>
      <c r="O580" s="24">
        <v>46109</v>
      </c>
      <c r="P580">
        <v>605</v>
      </c>
      <c r="Q580" t="s">
        <v>34</v>
      </c>
      <c r="R580" s="24">
        <v>46113</v>
      </c>
      <c r="X580" t="s">
        <v>223</v>
      </c>
      <c r="Y580" t="s">
        <v>3032</v>
      </c>
    </row>
    <row r="581" spans="1:26" x14ac:dyDescent="0.25">
      <c r="A581">
        <v>577</v>
      </c>
      <c r="B581" t="s">
        <v>24</v>
      </c>
      <c r="C581" t="s">
        <v>25</v>
      </c>
      <c r="D581">
        <v>13</v>
      </c>
      <c r="E581" t="s">
        <v>530</v>
      </c>
      <c r="F581" t="s">
        <v>44</v>
      </c>
      <c r="G581">
        <v>4262</v>
      </c>
      <c r="H581" t="s">
        <v>2448</v>
      </c>
      <c r="I581" t="s">
        <v>2049</v>
      </c>
      <c r="J581">
        <v>8</v>
      </c>
      <c r="K581">
        <v>1</v>
      </c>
      <c r="L581">
        <v>9.9537037037037042E-4</v>
      </c>
      <c r="M581" t="s">
        <v>117</v>
      </c>
      <c r="N581" t="s">
        <v>159</v>
      </c>
      <c r="O581" s="24">
        <v>46109</v>
      </c>
      <c r="P581">
        <v>605</v>
      </c>
      <c r="Q581" t="s">
        <v>34</v>
      </c>
      <c r="R581" s="24">
        <v>46113</v>
      </c>
      <c r="X581" t="s">
        <v>223</v>
      </c>
      <c r="Y581" t="s">
        <v>3032</v>
      </c>
    </row>
    <row r="582" spans="1:26" x14ac:dyDescent="0.25">
      <c r="A582">
        <v>578</v>
      </c>
      <c r="B582" t="s">
        <v>24</v>
      </c>
      <c r="C582" t="s">
        <v>25</v>
      </c>
      <c r="D582">
        <v>13</v>
      </c>
      <c r="E582" t="s">
        <v>131</v>
      </c>
      <c r="F582" t="s">
        <v>498</v>
      </c>
      <c r="G582">
        <v>4092</v>
      </c>
      <c r="H582" t="s">
        <v>541</v>
      </c>
      <c r="I582" t="s">
        <v>505</v>
      </c>
      <c r="J582">
        <v>8</v>
      </c>
      <c r="K582">
        <v>1</v>
      </c>
      <c r="L582">
        <v>6.8402777777777776E-3</v>
      </c>
      <c r="M582" t="s">
        <v>117</v>
      </c>
      <c r="N582" t="s">
        <v>491</v>
      </c>
      <c r="O582" s="24">
        <v>46118</v>
      </c>
      <c r="P582">
        <v>603</v>
      </c>
      <c r="Q582" t="s">
        <v>34</v>
      </c>
      <c r="R582" s="24">
        <v>46113</v>
      </c>
      <c r="S582" s="51">
        <v>0.48541666666666666</v>
      </c>
      <c r="T582" s="51">
        <v>0.49166666666666664</v>
      </c>
      <c r="X582" t="s">
        <v>3152</v>
      </c>
      <c r="Y582" t="s">
        <v>3072</v>
      </c>
      <c r="Z582">
        <v>1742314</v>
      </c>
    </row>
    <row r="583" spans="1:26" x14ac:dyDescent="0.25">
      <c r="A583">
        <v>579</v>
      </c>
      <c r="B583" t="s">
        <v>24</v>
      </c>
      <c r="C583" t="s">
        <v>25</v>
      </c>
      <c r="D583">
        <v>13</v>
      </c>
      <c r="E583" t="s">
        <v>1588</v>
      </c>
      <c r="F583" t="s">
        <v>44</v>
      </c>
      <c r="G583">
        <v>3453</v>
      </c>
      <c r="H583" t="s">
        <v>2057</v>
      </c>
      <c r="I583" t="s">
        <v>2049</v>
      </c>
      <c r="J583">
        <v>8</v>
      </c>
      <c r="K583">
        <v>1</v>
      </c>
      <c r="L583">
        <v>1.2152777777777778E-3</v>
      </c>
      <c r="M583" t="s">
        <v>117</v>
      </c>
      <c r="N583" t="s">
        <v>239</v>
      </c>
      <c r="O583" s="24">
        <v>46114</v>
      </c>
      <c r="P583">
        <v>605</v>
      </c>
      <c r="Q583" t="s">
        <v>34</v>
      </c>
      <c r="R583" s="24">
        <v>46136</v>
      </c>
      <c r="S583" s="51">
        <v>0.43055555555555558</v>
      </c>
      <c r="T583" s="51">
        <v>0.43958333333333333</v>
      </c>
      <c r="X583" t="s">
        <v>3129</v>
      </c>
      <c r="Y583" t="s">
        <v>3029</v>
      </c>
      <c r="Z583">
        <v>2733740</v>
      </c>
    </row>
    <row r="584" spans="1:26" x14ac:dyDescent="0.25">
      <c r="A584">
        <v>580</v>
      </c>
      <c r="B584" t="s">
        <v>24</v>
      </c>
      <c r="C584" t="s">
        <v>25</v>
      </c>
      <c r="D584">
        <v>13</v>
      </c>
      <c r="E584" t="s">
        <v>367</v>
      </c>
      <c r="F584" t="s">
        <v>367</v>
      </c>
      <c r="G584">
        <v>3453</v>
      </c>
      <c r="H584" t="s">
        <v>2058</v>
      </c>
      <c r="I584" t="s">
        <v>2059</v>
      </c>
      <c r="J584">
        <v>8</v>
      </c>
      <c r="K584">
        <v>1</v>
      </c>
      <c r="L584">
        <v>5.9027777777777778E-4</v>
      </c>
      <c r="M584" t="s">
        <v>117</v>
      </c>
      <c r="N584" t="s">
        <v>239</v>
      </c>
      <c r="O584" s="24">
        <v>46114</v>
      </c>
      <c r="P584">
        <v>605</v>
      </c>
      <c r="Q584" t="s">
        <v>34</v>
      </c>
      <c r="R584" s="24">
        <v>46136</v>
      </c>
      <c r="S584" s="51">
        <v>0.43055555555555558</v>
      </c>
      <c r="T584" s="51">
        <v>0.43958333333333333</v>
      </c>
      <c r="X584" t="s">
        <v>3129</v>
      </c>
      <c r="Y584" t="s">
        <v>3029</v>
      </c>
      <c r="Z584">
        <v>2733740</v>
      </c>
    </row>
    <row r="585" spans="1:26" x14ac:dyDescent="0.25">
      <c r="A585">
        <v>581</v>
      </c>
      <c r="B585" t="s">
        <v>24</v>
      </c>
      <c r="C585" t="s">
        <v>25</v>
      </c>
      <c r="D585">
        <v>13</v>
      </c>
      <c r="E585" t="s">
        <v>367</v>
      </c>
      <c r="F585" t="s">
        <v>1593</v>
      </c>
      <c r="G585">
        <v>3453</v>
      </c>
      <c r="H585" t="s">
        <v>2060</v>
      </c>
      <c r="I585" t="s">
        <v>2061</v>
      </c>
      <c r="J585">
        <v>8</v>
      </c>
      <c r="K585">
        <v>3</v>
      </c>
      <c r="L585">
        <v>1.1574074074074073E-3</v>
      </c>
      <c r="M585" t="s">
        <v>117</v>
      </c>
      <c r="N585" t="s">
        <v>239</v>
      </c>
      <c r="O585" s="24">
        <v>46114</v>
      </c>
      <c r="P585">
        <v>605</v>
      </c>
      <c r="Q585" t="s">
        <v>34</v>
      </c>
      <c r="R585" s="24">
        <v>46136</v>
      </c>
      <c r="S585" s="51">
        <v>0.43055555555555558</v>
      </c>
      <c r="T585" s="51">
        <v>0.43958333333333333</v>
      </c>
      <c r="X585" t="s">
        <v>3129</v>
      </c>
      <c r="Y585" t="s">
        <v>3029</v>
      </c>
      <c r="Z585">
        <v>2733740</v>
      </c>
    </row>
    <row r="586" spans="1:26" x14ac:dyDescent="0.25">
      <c r="A586">
        <v>582</v>
      </c>
      <c r="B586" t="s">
        <v>24</v>
      </c>
      <c r="C586" t="s">
        <v>25</v>
      </c>
      <c r="D586">
        <v>13</v>
      </c>
      <c r="E586" t="s">
        <v>367</v>
      </c>
      <c r="F586" t="s">
        <v>1592</v>
      </c>
      <c r="G586">
        <v>3453</v>
      </c>
      <c r="H586" t="s">
        <v>2062</v>
      </c>
      <c r="I586" t="s">
        <v>2063</v>
      </c>
      <c r="J586">
        <v>8</v>
      </c>
      <c r="K586">
        <v>1</v>
      </c>
      <c r="L586">
        <v>4.282407407407407E-4</v>
      </c>
      <c r="M586" t="s">
        <v>117</v>
      </c>
      <c r="N586" t="s">
        <v>239</v>
      </c>
      <c r="O586" s="24">
        <v>46114</v>
      </c>
      <c r="P586">
        <v>605</v>
      </c>
      <c r="Q586" t="s">
        <v>34</v>
      </c>
      <c r="R586" s="24">
        <v>46136</v>
      </c>
      <c r="S586" s="51">
        <v>0.43055555555555558</v>
      </c>
      <c r="T586" s="51">
        <v>0.43958333333333333</v>
      </c>
      <c r="X586" t="s">
        <v>3129</v>
      </c>
      <c r="Y586" t="s">
        <v>3029</v>
      </c>
      <c r="Z586">
        <v>2733740</v>
      </c>
    </row>
    <row r="587" spans="1:26" x14ac:dyDescent="0.25">
      <c r="A587">
        <v>583</v>
      </c>
      <c r="B587" t="s">
        <v>24</v>
      </c>
      <c r="C587" t="s">
        <v>25</v>
      </c>
      <c r="D587">
        <v>13</v>
      </c>
      <c r="E587" t="s">
        <v>367</v>
      </c>
      <c r="F587" t="s">
        <v>368</v>
      </c>
      <c r="G587">
        <v>3453</v>
      </c>
      <c r="H587" t="s">
        <v>2064</v>
      </c>
      <c r="I587" t="s">
        <v>2065</v>
      </c>
      <c r="J587">
        <v>8</v>
      </c>
      <c r="K587">
        <v>1</v>
      </c>
      <c r="L587">
        <v>1.7592592592592592E-3</v>
      </c>
      <c r="M587" t="s">
        <v>117</v>
      </c>
      <c r="N587" t="s">
        <v>239</v>
      </c>
      <c r="O587" s="24">
        <v>46114</v>
      </c>
      <c r="P587">
        <v>605</v>
      </c>
      <c r="Q587" t="s">
        <v>34</v>
      </c>
      <c r="R587" s="24">
        <v>46136</v>
      </c>
      <c r="S587" s="51">
        <v>0.43055555555555558</v>
      </c>
      <c r="T587" s="51">
        <v>0.43958333333333333</v>
      </c>
      <c r="X587" t="s">
        <v>3129</v>
      </c>
      <c r="Y587" t="s">
        <v>3029</v>
      </c>
      <c r="Z587">
        <v>2733740</v>
      </c>
    </row>
    <row r="588" spans="1:26" x14ac:dyDescent="0.25">
      <c r="A588">
        <v>584</v>
      </c>
      <c r="B588" t="s">
        <v>24</v>
      </c>
      <c r="C588" t="s">
        <v>25</v>
      </c>
      <c r="D588">
        <v>13</v>
      </c>
      <c r="E588" t="s">
        <v>65</v>
      </c>
      <c r="F588" t="s">
        <v>65</v>
      </c>
      <c r="G588">
        <v>3453</v>
      </c>
      <c r="H588" t="s">
        <v>2066</v>
      </c>
      <c r="I588" t="s">
        <v>2067</v>
      </c>
      <c r="J588">
        <v>8</v>
      </c>
      <c r="K588">
        <v>1</v>
      </c>
      <c r="L588">
        <v>6.8287037037037036E-4</v>
      </c>
      <c r="M588" t="s">
        <v>117</v>
      </c>
      <c r="N588" t="s">
        <v>239</v>
      </c>
      <c r="O588" s="24">
        <v>46114</v>
      </c>
      <c r="P588">
        <v>605</v>
      </c>
      <c r="Q588" t="s">
        <v>34</v>
      </c>
      <c r="R588" s="24">
        <v>46136</v>
      </c>
      <c r="S588" s="51">
        <v>0.43055555555555558</v>
      </c>
      <c r="T588" s="51">
        <v>0.43958333333333333</v>
      </c>
      <c r="X588" t="s">
        <v>3129</v>
      </c>
      <c r="Y588" t="s">
        <v>3029</v>
      </c>
      <c r="Z588">
        <v>2733740</v>
      </c>
    </row>
    <row r="589" spans="1:26" x14ac:dyDescent="0.25">
      <c r="A589">
        <v>585</v>
      </c>
      <c r="B589" t="s">
        <v>24</v>
      </c>
      <c r="C589" t="s">
        <v>25</v>
      </c>
      <c r="D589">
        <v>13</v>
      </c>
      <c r="E589" t="s">
        <v>65</v>
      </c>
      <c r="F589" t="s">
        <v>65</v>
      </c>
      <c r="G589">
        <v>3453</v>
      </c>
      <c r="H589" t="s">
        <v>2083</v>
      </c>
      <c r="I589" t="s">
        <v>2084</v>
      </c>
      <c r="J589">
        <v>8</v>
      </c>
      <c r="K589">
        <v>1</v>
      </c>
      <c r="L589">
        <v>4.5138888888888887E-4</v>
      </c>
      <c r="M589" t="s">
        <v>117</v>
      </c>
      <c r="N589" t="s">
        <v>239</v>
      </c>
      <c r="O589" s="24">
        <v>46114</v>
      </c>
      <c r="P589">
        <v>605</v>
      </c>
      <c r="Q589" t="s">
        <v>34</v>
      </c>
      <c r="R589" s="24">
        <v>46136</v>
      </c>
      <c r="S589" s="51">
        <v>0.43055555555555558</v>
      </c>
      <c r="T589" s="51">
        <v>0.43958333333333333</v>
      </c>
      <c r="X589" t="s">
        <v>3129</v>
      </c>
      <c r="Y589" t="s">
        <v>3029</v>
      </c>
      <c r="Z589">
        <v>2733740</v>
      </c>
    </row>
    <row r="590" spans="1:26" x14ac:dyDescent="0.25">
      <c r="A590">
        <v>586</v>
      </c>
      <c r="B590" t="s">
        <v>24</v>
      </c>
      <c r="C590" t="s">
        <v>25</v>
      </c>
      <c r="D590">
        <v>13</v>
      </c>
      <c r="E590" t="s">
        <v>367</v>
      </c>
      <c r="F590" t="s">
        <v>512</v>
      </c>
      <c r="G590">
        <v>4008</v>
      </c>
      <c r="H590" t="s">
        <v>2231</v>
      </c>
      <c r="I590" t="s">
        <v>2232</v>
      </c>
      <c r="J590">
        <v>8</v>
      </c>
      <c r="K590">
        <v>2</v>
      </c>
      <c r="L590">
        <v>3.2754629629629627E-3</v>
      </c>
      <c r="M590" t="s">
        <v>117</v>
      </c>
      <c r="N590" t="s">
        <v>351</v>
      </c>
      <c r="O590" s="24">
        <v>46114</v>
      </c>
      <c r="P590">
        <v>606</v>
      </c>
      <c r="Q590" t="s">
        <v>34</v>
      </c>
      <c r="R590" s="24">
        <v>46136</v>
      </c>
      <c r="S590" s="51">
        <v>0.40694444444444444</v>
      </c>
      <c r="T590" s="51">
        <v>0.42499999999999999</v>
      </c>
      <c r="X590" t="s">
        <v>3130</v>
      </c>
      <c r="Y590" t="s">
        <v>3035</v>
      </c>
      <c r="Z590">
        <v>2733740</v>
      </c>
    </row>
    <row r="591" spans="1:26" x14ac:dyDescent="0.25">
      <c r="A591">
        <v>587</v>
      </c>
      <c r="B591" t="s">
        <v>24</v>
      </c>
      <c r="C591" t="s">
        <v>25</v>
      </c>
      <c r="D591">
        <v>13</v>
      </c>
      <c r="E591" t="s">
        <v>65</v>
      </c>
      <c r="F591" t="s">
        <v>368</v>
      </c>
      <c r="G591">
        <v>4008</v>
      </c>
      <c r="H591" t="s">
        <v>2220</v>
      </c>
      <c r="I591" t="s">
        <v>2221</v>
      </c>
      <c r="J591">
        <v>8</v>
      </c>
      <c r="K591">
        <v>2</v>
      </c>
      <c r="L591">
        <v>1.3888888888888887E-3</v>
      </c>
      <c r="M591" t="s">
        <v>117</v>
      </c>
      <c r="N591" t="s">
        <v>351</v>
      </c>
      <c r="O591" s="24">
        <v>46114</v>
      </c>
      <c r="P591">
        <v>606</v>
      </c>
      <c r="Q591" t="s">
        <v>34</v>
      </c>
      <c r="R591" s="24">
        <v>46136</v>
      </c>
      <c r="S591" s="51">
        <v>0.40694444444444444</v>
      </c>
      <c r="T591" s="51">
        <v>0.42499999999999999</v>
      </c>
      <c r="X591" t="s">
        <v>3130</v>
      </c>
      <c r="Y591" t="s">
        <v>3035</v>
      </c>
      <c r="Z591">
        <v>2733740</v>
      </c>
    </row>
    <row r="592" spans="1:26" x14ac:dyDescent="0.25">
      <c r="A592">
        <v>588</v>
      </c>
      <c r="B592" t="s">
        <v>24</v>
      </c>
      <c r="C592" t="s">
        <v>25</v>
      </c>
      <c r="D592">
        <v>13</v>
      </c>
      <c r="E592" t="s">
        <v>65</v>
      </c>
      <c r="F592" t="s">
        <v>368</v>
      </c>
      <c r="G592">
        <v>4008</v>
      </c>
      <c r="H592" t="s">
        <v>1625</v>
      </c>
      <c r="I592" t="s">
        <v>1626</v>
      </c>
      <c r="J592">
        <v>8</v>
      </c>
      <c r="K592">
        <v>5</v>
      </c>
      <c r="L592">
        <v>4.5023148148148149E-3</v>
      </c>
      <c r="M592" t="s">
        <v>117</v>
      </c>
      <c r="N592" t="s">
        <v>351</v>
      </c>
      <c r="O592" s="24">
        <v>46114</v>
      </c>
      <c r="P592">
        <v>606</v>
      </c>
      <c r="Q592" t="s">
        <v>34</v>
      </c>
      <c r="R592" s="24">
        <v>46136</v>
      </c>
      <c r="S592" s="51">
        <v>0.40694444444444444</v>
      </c>
      <c r="T592" s="51">
        <v>0.42499999999999999</v>
      </c>
      <c r="X592" t="s">
        <v>3130</v>
      </c>
      <c r="Y592" t="s">
        <v>3035</v>
      </c>
      <c r="Z592">
        <v>2733740</v>
      </c>
    </row>
    <row r="593" spans="1:26" x14ac:dyDescent="0.25">
      <c r="A593">
        <v>589</v>
      </c>
      <c r="B593" t="s">
        <v>24</v>
      </c>
      <c r="C593" t="s">
        <v>25</v>
      </c>
      <c r="D593">
        <v>13</v>
      </c>
      <c r="E593" t="s">
        <v>65</v>
      </c>
      <c r="F593" t="s">
        <v>44</v>
      </c>
      <c r="G593">
        <v>4008</v>
      </c>
      <c r="H593" t="s">
        <v>2233</v>
      </c>
      <c r="I593" t="s">
        <v>2216</v>
      </c>
      <c r="J593">
        <v>8</v>
      </c>
      <c r="K593">
        <v>1</v>
      </c>
      <c r="L593">
        <v>1.6666666666666666E-3</v>
      </c>
      <c r="M593" t="s">
        <v>117</v>
      </c>
      <c r="N593" t="s">
        <v>351</v>
      </c>
      <c r="O593" s="24">
        <v>46114</v>
      </c>
      <c r="P593">
        <v>606</v>
      </c>
      <c r="Q593" t="s">
        <v>34</v>
      </c>
      <c r="R593" s="24">
        <v>46136</v>
      </c>
      <c r="S593" s="51">
        <v>0.40694444444444444</v>
      </c>
      <c r="T593" s="51">
        <v>0.42499999999999999</v>
      </c>
      <c r="X593" t="s">
        <v>3130</v>
      </c>
      <c r="Y593" t="s">
        <v>3035</v>
      </c>
      <c r="Z593">
        <v>2733740</v>
      </c>
    </row>
    <row r="594" spans="1:26" x14ac:dyDescent="0.25">
      <c r="A594">
        <v>590</v>
      </c>
      <c r="B594" t="s">
        <v>24</v>
      </c>
      <c r="C594" t="s">
        <v>25</v>
      </c>
      <c r="D594">
        <v>13</v>
      </c>
      <c r="E594" t="s">
        <v>367</v>
      </c>
      <c r="F594" t="s">
        <v>427</v>
      </c>
      <c r="G594">
        <v>4008</v>
      </c>
      <c r="H594" t="s">
        <v>2234</v>
      </c>
      <c r="I594" t="s">
        <v>2235</v>
      </c>
      <c r="J594">
        <v>8</v>
      </c>
      <c r="K594">
        <v>1</v>
      </c>
      <c r="L594">
        <v>5.6944444444444438E-3</v>
      </c>
      <c r="M594" t="s">
        <v>117</v>
      </c>
      <c r="N594" t="s">
        <v>351</v>
      </c>
      <c r="O594" s="24">
        <v>46114</v>
      </c>
      <c r="P594">
        <v>606</v>
      </c>
      <c r="Q594" t="s">
        <v>34</v>
      </c>
      <c r="R594" s="24">
        <v>46136</v>
      </c>
      <c r="S594" s="51">
        <v>0.40694444444444444</v>
      </c>
      <c r="T594" s="51">
        <v>0.42499999999999999</v>
      </c>
      <c r="X594" t="s">
        <v>3130</v>
      </c>
      <c r="Y594" t="s">
        <v>3035</v>
      </c>
      <c r="Z594">
        <v>2733740</v>
      </c>
    </row>
    <row r="595" spans="1:26" x14ac:dyDescent="0.25">
      <c r="A595">
        <v>591</v>
      </c>
      <c r="B595" t="s">
        <v>24</v>
      </c>
      <c r="C595" t="s">
        <v>25</v>
      </c>
      <c r="D595">
        <v>13</v>
      </c>
      <c r="E595" t="s">
        <v>133</v>
      </c>
      <c r="F595" t="s">
        <v>498</v>
      </c>
      <c r="G595">
        <v>4501</v>
      </c>
      <c r="H595" t="s">
        <v>566</v>
      </c>
      <c r="I595" t="s">
        <v>500</v>
      </c>
      <c r="J595">
        <v>8</v>
      </c>
      <c r="K595">
        <v>1</v>
      </c>
      <c r="L595">
        <v>6.875E-3</v>
      </c>
      <c r="M595" t="s">
        <v>117</v>
      </c>
      <c r="N595" t="s">
        <v>491</v>
      </c>
      <c r="O595" s="24">
        <v>46118</v>
      </c>
      <c r="P595">
        <v>603</v>
      </c>
      <c r="Q595" t="s">
        <v>34</v>
      </c>
      <c r="R595" s="24">
        <v>46113</v>
      </c>
      <c r="S595" s="51">
        <v>0.46388888888888891</v>
      </c>
      <c r="T595" s="51">
        <v>0.46944444444444444</v>
      </c>
      <c r="X595" t="s">
        <v>3153</v>
      </c>
      <c r="Y595" t="s">
        <v>3072</v>
      </c>
      <c r="Z595">
        <v>2733740</v>
      </c>
    </row>
    <row r="596" spans="1:26" x14ac:dyDescent="0.25">
      <c r="A596">
        <v>592</v>
      </c>
      <c r="B596" t="s">
        <v>24</v>
      </c>
      <c r="C596" t="s">
        <v>25</v>
      </c>
      <c r="D596">
        <v>13</v>
      </c>
      <c r="E596" t="s">
        <v>147</v>
      </c>
      <c r="F596" t="s">
        <v>512</v>
      </c>
      <c r="G596">
        <v>4502</v>
      </c>
      <c r="H596" t="s">
        <v>100</v>
      </c>
      <c r="I596" t="s">
        <v>119</v>
      </c>
      <c r="J596">
        <v>8</v>
      </c>
      <c r="K596">
        <v>1</v>
      </c>
      <c r="L596">
        <v>8.0787037037037025E-3</v>
      </c>
      <c r="M596" t="s">
        <v>117</v>
      </c>
      <c r="N596" t="s">
        <v>760</v>
      </c>
      <c r="O596" s="24">
        <v>46125</v>
      </c>
      <c r="P596">
        <v>603</v>
      </c>
      <c r="Q596" t="s">
        <v>34</v>
      </c>
      <c r="R596" s="24">
        <v>46113</v>
      </c>
      <c r="S596" s="51">
        <v>0.40486111111111112</v>
      </c>
      <c r="T596" s="51">
        <v>0.41180555555555554</v>
      </c>
      <c r="X596" t="s">
        <v>3154</v>
      </c>
      <c r="Y596" t="s">
        <v>3072</v>
      </c>
      <c r="Z596">
        <v>1742079</v>
      </c>
    </row>
    <row r="597" spans="1:26" x14ac:dyDescent="0.25">
      <c r="A597">
        <v>593</v>
      </c>
      <c r="B597" t="s">
        <v>24</v>
      </c>
      <c r="C597" t="s">
        <v>25</v>
      </c>
      <c r="D597">
        <v>13</v>
      </c>
      <c r="E597" t="s">
        <v>147</v>
      </c>
      <c r="F597" t="s">
        <v>115</v>
      </c>
      <c r="G597">
        <v>4503</v>
      </c>
      <c r="H597" t="s">
        <v>101</v>
      </c>
      <c r="I597" t="s">
        <v>116</v>
      </c>
      <c r="J597">
        <v>8</v>
      </c>
      <c r="K597">
        <v>1</v>
      </c>
      <c r="L597">
        <v>7.7546296296296295E-3</v>
      </c>
      <c r="M597" t="s">
        <v>117</v>
      </c>
      <c r="N597" t="s">
        <v>113</v>
      </c>
      <c r="O597" s="24">
        <v>46113</v>
      </c>
      <c r="P597">
        <v>603</v>
      </c>
      <c r="Q597" t="s">
        <v>34</v>
      </c>
      <c r="R597" s="24">
        <v>46113</v>
      </c>
      <c r="S597" s="51">
        <v>0.36249999999999999</v>
      </c>
      <c r="T597" s="51">
        <v>0.37083333333333335</v>
      </c>
      <c r="X597" t="s">
        <v>148</v>
      </c>
      <c r="Y597" t="s">
        <v>3072</v>
      </c>
      <c r="Z597">
        <v>1742255</v>
      </c>
    </row>
    <row r="598" spans="1:26" x14ac:dyDescent="0.25">
      <c r="A598">
        <v>594</v>
      </c>
      <c r="B598" t="s">
        <v>24</v>
      </c>
      <c r="C598" t="s">
        <v>25</v>
      </c>
      <c r="D598">
        <v>13</v>
      </c>
      <c r="E598" t="s">
        <v>147</v>
      </c>
      <c r="F598" t="s">
        <v>115</v>
      </c>
      <c r="G598">
        <v>4504</v>
      </c>
      <c r="H598" t="s">
        <v>102</v>
      </c>
      <c r="I598" t="s">
        <v>119</v>
      </c>
      <c r="J598">
        <v>8</v>
      </c>
      <c r="K598">
        <v>1</v>
      </c>
      <c r="L598">
        <v>6.9212962962962961E-3</v>
      </c>
      <c r="M598" t="s">
        <v>117</v>
      </c>
      <c r="N598" t="s">
        <v>113</v>
      </c>
      <c r="O598" s="24">
        <v>46113</v>
      </c>
      <c r="P598">
        <v>603</v>
      </c>
      <c r="Q598" t="s">
        <v>34</v>
      </c>
      <c r="R598" s="24">
        <v>46113</v>
      </c>
      <c r="S598" s="51">
        <v>0.35416666666666669</v>
      </c>
      <c r="T598" s="51">
        <v>0.35902777777777778</v>
      </c>
      <c r="X598" t="s">
        <v>149</v>
      </c>
      <c r="Y598" t="s">
        <v>3072</v>
      </c>
      <c r="Z598">
        <v>3219209</v>
      </c>
    </row>
    <row r="599" spans="1:26" x14ac:dyDescent="0.25">
      <c r="A599">
        <v>595</v>
      </c>
      <c r="B599" t="s">
        <v>24</v>
      </c>
      <c r="C599" t="s">
        <v>25</v>
      </c>
      <c r="D599">
        <v>13</v>
      </c>
      <c r="E599" t="s">
        <v>2195</v>
      </c>
      <c r="F599" t="s">
        <v>44</v>
      </c>
      <c r="G599">
        <v>4008</v>
      </c>
      <c r="H599" t="s">
        <v>45</v>
      </c>
      <c r="I599" t="s">
        <v>1119</v>
      </c>
      <c r="J599">
        <v>8</v>
      </c>
      <c r="K599">
        <v>1</v>
      </c>
      <c r="L599">
        <v>1.4004629629629629E-3</v>
      </c>
      <c r="M599" t="s">
        <v>117</v>
      </c>
      <c r="N599" t="s">
        <v>351</v>
      </c>
      <c r="O599" s="24">
        <v>46114</v>
      </c>
      <c r="P599">
        <v>606</v>
      </c>
      <c r="Q599" t="s">
        <v>34</v>
      </c>
      <c r="R599" s="24">
        <v>46136</v>
      </c>
      <c r="S599" s="51">
        <v>0.40694444444444444</v>
      </c>
      <c r="T599" s="51">
        <v>0.42499999999999999</v>
      </c>
      <c r="X599" t="s">
        <v>3130</v>
      </c>
      <c r="Y599" t="s">
        <v>3035</v>
      </c>
      <c r="Z599">
        <v>2733740</v>
      </c>
    </row>
    <row r="600" spans="1:26" x14ac:dyDescent="0.25">
      <c r="A600">
        <v>596</v>
      </c>
      <c r="B600" t="s">
        <v>24</v>
      </c>
      <c r="C600" t="s">
        <v>25</v>
      </c>
      <c r="D600">
        <v>13</v>
      </c>
      <c r="E600" t="s">
        <v>367</v>
      </c>
      <c r="F600" t="s">
        <v>1594</v>
      </c>
      <c r="G600">
        <v>4009</v>
      </c>
      <c r="H600" t="s">
        <v>2236</v>
      </c>
      <c r="I600" t="s">
        <v>2237</v>
      </c>
      <c r="J600">
        <v>8</v>
      </c>
      <c r="K600">
        <v>1</v>
      </c>
      <c r="L600">
        <v>3.7615740740740739E-3</v>
      </c>
      <c r="M600" t="s">
        <v>117</v>
      </c>
      <c r="N600" t="s">
        <v>239</v>
      </c>
      <c r="O600" s="24">
        <v>46114</v>
      </c>
      <c r="P600">
        <v>605</v>
      </c>
      <c r="Q600" t="s">
        <v>34</v>
      </c>
      <c r="R600" s="24">
        <v>46136</v>
      </c>
      <c r="S600" s="51">
        <v>0.57638888888888884</v>
      </c>
      <c r="T600" s="51">
        <v>0.58888888888888891</v>
      </c>
      <c r="X600" t="s">
        <v>3155</v>
      </c>
      <c r="Y600" t="s">
        <v>3029</v>
      </c>
      <c r="Z600">
        <v>1786246</v>
      </c>
    </row>
    <row r="601" spans="1:26" x14ac:dyDescent="0.25">
      <c r="A601">
        <v>597</v>
      </c>
      <c r="B601" t="s">
        <v>24</v>
      </c>
      <c r="C601" t="s">
        <v>25</v>
      </c>
      <c r="D601">
        <v>13</v>
      </c>
      <c r="E601" t="s">
        <v>367</v>
      </c>
      <c r="F601" t="s">
        <v>1599</v>
      </c>
      <c r="G601">
        <v>4009</v>
      </c>
      <c r="H601" t="s">
        <v>2239</v>
      </c>
      <c r="I601" t="s">
        <v>2240</v>
      </c>
      <c r="J601">
        <v>8</v>
      </c>
      <c r="K601">
        <v>1</v>
      </c>
      <c r="L601">
        <v>2.1643518518518518E-3</v>
      </c>
      <c r="M601" t="s">
        <v>117</v>
      </c>
      <c r="N601" t="s">
        <v>239</v>
      </c>
      <c r="O601" s="24">
        <v>46114</v>
      </c>
      <c r="P601">
        <v>605</v>
      </c>
      <c r="Q601" t="s">
        <v>34</v>
      </c>
      <c r="R601" s="24">
        <v>46136</v>
      </c>
      <c r="S601" s="51">
        <v>0.57638888888888884</v>
      </c>
      <c r="T601" s="51">
        <v>0.58888888888888891</v>
      </c>
      <c r="X601" t="s">
        <v>3155</v>
      </c>
      <c r="Y601" t="s">
        <v>3029</v>
      </c>
      <c r="Z601">
        <v>1786246</v>
      </c>
    </row>
    <row r="602" spans="1:26" x14ac:dyDescent="0.25">
      <c r="A602">
        <v>598</v>
      </c>
      <c r="B602" t="s">
        <v>24</v>
      </c>
      <c r="C602" t="s">
        <v>25</v>
      </c>
      <c r="D602">
        <v>13</v>
      </c>
      <c r="E602" t="s">
        <v>65</v>
      </c>
      <c r="F602" t="s">
        <v>368</v>
      </c>
      <c r="G602">
        <v>4009</v>
      </c>
      <c r="H602" t="s">
        <v>2156</v>
      </c>
      <c r="I602" t="s">
        <v>2157</v>
      </c>
      <c r="J602">
        <v>8</v>
      </c>
      <c r="K602">
        <v>9</v>
      </c>
      <c r="L602">
        <v>2.7777777777777775E-3</v>
      </c>
      <c r="M602" t="s">
        <v>117</v>
      </c>
      <c r="N602" t="s">
        <v>239</v>
      </c>
      <c r="O602" s="24">
        <v>46114</v>
      </c>
      <c r="P602">
        <v>605</v>
      </c>
      <c r="Q602" t="s">
        <v>34</v>
      </c>
      <c r="R602" s="24">
        <v>46136</v>
      </c>
      <c r="S602" s="51">
        <v>0.57638888888888884</v>
      </c>
      <c r="T602" s="51">
        <v>0.58888888888888891</v>
      </c>
      <c r="X602" t="s">
        <v>3155</v>
      </c>
      <c r="Y602" t="s">
        <v>3029</v>
      </c>
      <c r="Z602">
        <v>1786246</v>
      </c>
    </row>
    <row r="603" spans="1:26" x14ac:dyDescent="0.25">
      <c r="A603">
        <v>599</v>
      </c>
      <c r="B603" t="s">
        <v>24</v>
      </c>
      <c r="C603" t="s">
        <v>25</v>
      </c>
      <c r="D603">
        <v>13</v>
      </c>
      <c r="E603" t="s">
        <v>65</v>
      </c>
      <c r="F603" t="s">
        <v>66</v>
      </c>
      <c r="G603">
        <v>4009</v>
      </c>
      <c r="H603" t="s">
        <v>2180</v>
      </c>
      <c r="I603" t="s">
        <v>2181</v>
      </c>
      <c r="J603">
        <v>8</v>
      </c>
      <c r="K603">
        <v>4</v>
      </c>
      <c r="L603">
        <v>2.1990740740740738E-3</v>
      </c>
      <c r="M603" t="s">
        <v>117</v>
      </c>
      <c r="N603" t="s">
        <v>239</v>
      </c>
      <c r="O603" s="24">
        <v>46114</v>
      </c>
      <c r="P603">
        <v>605</v>
      </c>
      <c r="Q603" t="s">
        <v>34</v>
      </c>
      <c r="R603" s="24">
        <v>46136</v>
      </c>
      <c r="S603" s="51">
        <v>0.57638888888888884</v>
      </c>
      <c r="T603" s="51">
        <v>0.58888888888888891</v>
      </c>
      <c r="X603" t="s">
        <v>3155</v>
      </c>
      <c r="Y603" t="s">
        <v>3029</v>
      </c>
      <c r="Z603">
        <v>1786246</v>
      </c>
    </row>
    <row r="604" spans="1:26" x14ac:dyDescent="0.25">
      <c r="A604">
        <v>600</v>
      </c>
      <c r="B604" t="s">
        <v>24</v>
      </c>
      <c r="C604" t="s">
        <v>25</v>
      </c>
      <c r="D604">
        <v>13</v>
      </c>
      <c r="E604" t="s">
        <v>65</v>
      </c>
      <c r="F604" t="s">
        <v>368</v>
      </c>
      <c r="G604">
        <v>4010</v>
      </c>
      <c r="H604" t="s">
        <v>524</v>
      </c>
      <c r="I604" t="s">
        <v>522</v>
      </c>
      <c r="J604">
        <v>8</v>
      </c>
      <c r="K604">
        <v>1</v>
      </c>
      <c r="L604">
        <v>6.875E-3</v>
      </c>
      <c r="M604" t="s">
        <v>117</v>
      </c>
      <c r="N604" t="s">
        <v>491</v>
      </c>
      <c r="O604" s="24">
        <v>46118</v>
      </c>
      <c r="P604">
        <v>603</v>
      </c>
      <c r="Q604" t="s">
        <v>34</v>
      </c>
      <c r="R604" s="24">
        <v>46113</v>
      </c>
      <c r="S604" s="51">
        <v>0.56111111111111112</v>
      </c>
      <c r="T604" s="51">
        <v>0.56666666666666665</v>
      </c>
      <c r="X604" t="s">
        <v>3156</v>
      </c>
      <c r="Y604" t="s">
        <v>3072</v>
      </c>
      <c r="Z604">
        <v>1742079</v>
      </c>
    </row>
    <row r="605" spans="1:26" x14ac:dyDescent="0.25">
      <c r="A605">
        <v>601</v>
      </c>
      <c r="B605" t="s">
        <v>24</v>
      </c>
      <c r="C605" t="s">
        <v>25</v>
      </c>
      <c r="D605">
        <v>13</v>
      </c>
      <c r="E605" t="s">
        <v>65</v>
      </c>
      <c r="F605" t="s">
        <v>368</v>
      </c>
      <c r="G605">
        <v>4011</v>
      </c>
      <c r="H605" t="s">
        <v>524</v>
      </c>
      <c r="I605" t="s">
        <v>522</v>
      </c>
      <c r="J605">
        <v>8</v>
      </c>
      <c r="K605">
        <v>1</v>
      </c>
      <c r="L605">
        <v>6.875E-3</v>
      </c>
      <c r="M605" t="s">
        <v>117</v>
      </c>
      <c r="N605" t="s">
        <v>491</v>
      </c>
      <c r="O605" s="24">
        <v>46118</v>
      </c>
      <c r="P605">
        <v>603</v>
      </c>
      <c r="Q605" t="s">
        <v>34</v>
      </c>
      <c r="R605" s="24">
        <v>46113</v>
      </c>
      <c r="S605" s="51">
        <v>0.46736111111111112</v>
      </c>
      <c r="T605" s="51">
        <v>0.47152777777777777</v>
      </c>
      <c r="X605" t="s">
        <v>3157</v>
      </c>
      <c r="Y605" t="s">
        <v>3072</v>
      </c>
      <c r="Z605">
        <v>1742385</v>
      </c>
    </row>
    <row r="606" spans="1:26" x14ac:dyDescent="0.25">
      <c r="A606">
        <v>602</v>
      </c>
      <c r="B606" t="s">
        <v>24</v>
      </c>
      <c r="C606" t="s">
        <v>25</v>
      </c>
      <c r="D606">
        <v>13</v>
      </c>
      <c r="E606" t="s">
        <v>65</v>
      </c>
      <c r="F606" t="s">
        <v>368</v>
      </c>
      <c r="G606">
        <v>4012</v>
      </c>
      <c r="H606" t="s">
        <v>524</v>
      </c>
      <c r="I606" t="s">
        <v>522</v>
      </c>
      <c r="J606">
        <v>8</v>
      </c>
      <c r="K606">
        <v>1</v>
      </c>
      <c r="L606">
        <v>6.875E-3</v>
      </c>
      <c r="M606" t="s">
        <v>117</v>
      </c>
      <c r="N606" t="s">
        <v>491</v>
      </c>
      <c r="O606" s="24">
        <v>46118</v>
      </c>
      <c r="P606">
        <v>603</v>
      </c>
      <c r="Q606" t="s">
        <v>34</v>
      </c>
      <c r="R606" s="24">
        <v>46113</v>
      </c>
      <c r="S606" s="51">
        <v>0.55208333333333337</v>
      </c>
      <c r="T606" s="51">
        <v>0.55625000000000002</v>
      </c>
      <c r="X606" t="s">
        <v>3158</v>
      </c>
      <c r="Y606" t="s">
        <v>3072</v>
      </c>
      <c r="Z606">
        <v>1742079</v>
      </c>
    </row>
    <row r="607" spans="1:26" x14ac:dyDescent="0.25">
      <c r="A607">
        <v>603</v>
      </c>
      <c r="B607" t="s">
        <v>24</v>
      </c>
      <c r="C607" t="s">
        <v>25</v>
      </c>
      <c r="D607">
        <v>13</v>
      </c>
      <c r="E607" t="s">
        <v>65</v>
      </c>
      <c r="F607" t="s">
        <v>368</v>
      </c>
      <c r="G607">
        <v>4013</v>
      </c>
      <c r="H607" t="s">
        <v>524</v>
      </c>
      <c r="I607" t="s">
        <v>522</v>
      </c>
      <c r="J607">
        <v>8</v>
      </c>
      <c r="K607">
        <v>1</v>
      </c>
      <c r="L607">
        <v>6.875E-3</v>
      </c>
      <c r="M607" t="s">
        <v>117</v>
      </c>
      <c r="N607" t="s">
        <v>491</v>
      </c>
      <c r="O607" s="24">
        <v>46118</v>
      </c>
      <c r="P607">
        <v>603</v>
      </c>
      <c r="Q607" t="s">
        <v>34</v>
      </c>
      <c r="R607" s="24">
        <v>46113</v>
      </c>
      <c r="S607" s="51">
        <v>0.57430555555555551</v>
      </c>
      <c r="T607" s="51">
        <v>0.58125000000000004</v>
      </c>
      <c r="X607" t="s">
        <v>3159</v>
      </c>
      <c r="Y607" t="s">
        <v>3072</v>
      </c>
      <c r="Z607">
        <v>1742255</v>
      </c>
    </row>
    <row r="608" spans="1:26" x14ac:dyDescent="0.25">
      <c r="A608">
        <v>604</v>
      </c>
      <c r="B608" t="s">
        <v>24</v>
      </c>
      <c r="C608" t="s">
        <v>25</v>
      </c>
      <c r="D608">
        <v>13</v>
      </c>
      <c r="E608" t="s">
        <v>65</v>
      </c>
      <c r="F608" t="s">
        <v>368</v>
      </c>
      <c r="G608">
        <v>4014</v>
      </c>
      <c r="H608" t="s">
        <v>524</v>
      </c>
      <c r="I608" t="s">
        <v>522</v>
      </c>
      <c r="J608">
        <v>8</v>
      </c>
      <c r="K608">
        <v>1</v>
      </c>
      <c r="L608">
        <v>6.875E-3</v>
      </c>
      <c r="M608" t="s">
        <v>117</v>
      </c>
      <c r="N608" t="s">
        <v>491</v>
      </c>
      <c r="O608" s="24">
        <v>46118</v>
      </c>
      <c r="P608">
        <v>603</v>
      </c>
      <c r="Q608" t="s">
        <v>34</v>
      </c>
      <c r="R608" s="24">
        <v>46113</v>
      </c>
      <c r="S608" s="51">
        <v>0.49027777777777776</v>
      </c>
      <c r="T608" s="51">
        <v>0.49861111111111112</v>
      </c>
      <c r="X608" t="s">
        <v>3160</v>
      </c>
      <c r="Y608" t="s">
        <v>3072</v>
      </c>
      <c r="Z608">
        <v>2733753</v>
      </c>
    </row>
    <row r="609" spans="1:26" x14ac:dyDescent="0.25">
      <c r="A609">
        <v>605</v>
      </c>
      <c r="B609" t="s">
        <v>24</v>
      </c>
      <c r="C609" t="s">
        <v>25</v>
      </c>
      <c r="D609">
        <v>13</v>
      </c>
      <c r="E609" t="s">
        <v>1665</v>
      </c>
      <c r="F609" t="s">
        <v>115</v>
      </c>
      <c r="G609">
        <v>4512</v>
      </c>
      <c r="H609" t="s">
        <v>2113</v>
      </c>
      <c r="I609" t="s">
        <v>2111</v>
      </c>
      <c r="J609">
        <v>8</v>
      </c>
      <c r="K609">
        <v>1</v>
      </c>
      <c r="L609">
        <v>5.7870370370370367E-4</v>
      </c>
      <c r="M609" t="s">
        <v>117</v>
      </c>
      <c r="N609" t="s">
        <v>159</v>
      </c>
      <c r="O609" s="24">
        <v>46109</v>
      </c>
      <c r="P609">
        <v>605</v>
      </c>
      <c r="Q609" t="s">
        <v>34</v>
      </c>
      <c r="R609" s="24">
        <v>46113</v>
      </c>
      <c r="S609" s="51">
        <v>0.96875</v>
      </c>
      <c r="T609" s="51">
        <v>0.98263888888888884</v>
      </c>
      <c r="X609" t="s">
        <v>233</v>
      </c>
      <c r="Y609" t="s">
        <v>3032</v>
      </c>
    </row>
    <row r="610" spans="1:26" x14ac:dyDescent="0.25">
      <c r="A610">
        <v>606</v>
      </c>
      <c r="B610" t="s">
        <v>24</v>
      </c>
      <c r="C610" t="s">
        <v>25</v>
      </c>
      <c r="D610">
        <v>13</v>
      </c>
      <c r="E610" t="s">
        <v>1672</v>
      </c>
      <c r="F610" t="s">
        <v>512</v>
      </c>
      <c r="G610">
        <v>4512</v>
      </c>
      <c r="H610" t="s">
        <v>2584</v>
      </c>
      <c r="I610" t="s">
        <v>2585</v>
      </c>
      <c r="J610">
        <v>8</v>
      </c>
      <c r="K610">
        <v>1</v>
      </c>
      <c r="L610">
        <v>5.185185185185185E-3</v>
      </c>
      <c r="M610" t="s">
        <v>117</v>
      </c>
      <c r="N610" t="s">
        <v>159</v>
      </c>
      <c r="O610" s="24">
        <v>46109</v>
      </c>
      <c r="P610">
        <v>605</v>
      </c>
      <c r="Q610" t="s">
        <v>34</v>
      </c>
      <c r="R610" s="24">
        <v>46113</v>
      </c>
      <c r="S610" s="51">
        <v>0.96875</v>
      </c>
      <c r="T610" s="51">
        <v>0.98263888888888884</v>
      </c>
      <c r="X610" t="s">
        <v>233</v>
      </c>
      <c r="Y610" t="s">
        <v>3032</v>
      </c>
    </row>
    <row r="611" spans="1:26" x14ac:dyDescent="0.25">
      <c r="A611">
        <v>607</v>
      </c>
      <c r="B611" t="s">
        <v>24</v>
      </c>
      <c r="C611" t="s">
        <v>25</v>
      </c>
      <c r="D611">
        <v>13</v>
      </c>
      <c r="E611" t="s">
        <v>65</v>
      </c>
      <c r="F611" t="s">
        <v>65</v>
      </c>
      <c r="G611">
        <v>4512</v>
      </c>
      <c r="H611" t="s">
        <v>2083</v>
      </c>
      <c r="I611" t="s">
        <v>2084</v>
      </c>
      <c r="J611">
        <v>8</v>
      </c>
      <c r="K611">
        <v>1</v>
      </c>
      <c r="L611">
        <v>4.7453703703703704E-4</v>
      </c>
      <c r="M611" t="s">
        <v>117</v>
      </c>
      <c r="N611" t="s">
        <v>159</v>
      </c>
      <c r="O611" s="24">
        <v>46109</v>
      </c>
      <c r="P611">
        <v>605</v>
      </c>
      <c r="Q611" t="s">
        <v>34</v>
      </c>
      <c r="R611" s="24">
        <v>46113</v>
      </c>
      <c r="S611" s="51">
        <v>0.96875</v>
      </c>
      <c r="T611" s="51">
        <v>0.98263888888888884</v>
      </c>
      <c r="X611" t="s">
        <v>233</v>
      </c>
      <c r="Y611" t="s">
        <v>3032</v>
      </c>
    </row>
    <row r="612" spans="1:26" x14ac:dyDescent="0.25">
      <c r="A612">
        <v>608</v>
      </c>
      <c r="B612" t="s">
        <v>24</v>
      </c>
      <c r="C612" t="s">
        <v>25</v>
      </c>
      <c r="D612">
        <v>13</v>
      </c>
      <c r="E612" t="s">
        <v>147</v>
      </c>
      <c r="F612" t="s">
        <v>498</v>
      </c>
      <c r="G612">
        <v>4505</v>
      </c>
      <c r="H612" t="s">
        <v>568</v>
      </c>
      <c r="I612" t="s">
        <v>505</v>
      </c>
      <c r="J612">
        <v>8</v>
      </c>
      <c r="K612">
        <v>1</v>
      </c>
      <c r="L612">
        <v>6.8402777777777776E-3</v>
      </c>
      <c r="M612" t="s">
        <v>117</v>
      </c>
      <c r="N612" t="s">
        <v>491</v>
      </c>
      <c r="O612" s="24">
        <v>46118</v>
      </c>
      <c r="P612">
        <v>603</v>
      </c>
      <c r="Q612" t="s">
        <v>34</v>
      </c>
      <c r="R612" s="24">
        <v>46113</v>
      </c>
      <c r="S612" s="51">
        <v>0.61527777777777781</v>
      </c>
      <c r="T612" s="51">
        <v>0.62083333333333335</v>
      </c>
      <c r="X612" t="s">
        <v>3161</v>
      </c>
      <c r="Y612" t="s">
        <v>3072</v>
      </c>
      <c r="Z612">
        <v>1733753</v>
      </c>
    </row>
    <row r="613" spans="1:26" x14ac:dyDescent="0.25">
      <c r="A613">
        <v>609</v>
      </c>
      <c r="B613" t="s">
        <v>24</v>
      </c>
      <c r="C613" t="s">
        <v>25</v>
      </c>
      <c r="D613">
        <v>13</v>
      </c>
      <c r="E613" t="s">
        <v>147</v>
      </c>
      <c r="F613" t="s">
        <v>498</v>
      </c>
      <c r="G613">
        <v>4506</v>
      </c>
      <c r="H613" t="s">
        <v>570</v>
      </c>
      <c r="I613" t="s">
        <v>500</v>
      </c>
      <c r="J613">
        <v>8</v>
      </c>
      <c r="K613">
        <v>1</v>
      </c>
      <c r="L613">
        <v>6.875E-3</v>
      </c>
      <c r="M613" t="s">
        <v>117</v>
      </c>
      <c r="N613" t="s">
        <v>491</v>
      </c>
      <c r="O613" s="24">
        <v>46118</v>
      </c>
      <c r="P613">
        <v>603</v>
      </c>
      <c r="Q613" t="s">
        <v>34</v>
      </c>
      <c r="R613" s="24">
        <v>46113</v>
      </c>
      <c r="S613" s="51">
        <v>0.62361111111111112</v>
      </c>
      <c r="T613" s="51">
        <v>0.62777777777777777</v>
      </c>
      <c r="X613" t="s">
        <v>3162</v>
      </c>
      <c r="Y613" t="s">
        <v>3072</v>
      </c>
      <c r="Z613">
        <v>1742385</v>
      </c>
    </row>
    <row r="614" spans="1:26" x14ac:dyDescent="0.25">
      <c r="A614">
        <v>610</v>
      </c>
      <c r="B614" t="s">
        <v>24</v>
      </c>
      <c r="C614" t="s">
        <v>25</v>
      </c>
      <c r="D614">
        <v>13</v>
      </c>
      <c r="E614" t="s">
        <v>1672</v>
      </c>
      <c r="F614" t="s">
        <v>512</v>
      </c>
      <c r="G614">
        <v>4508</v>
      </c>
      <c r="H614" t="s">
        <v>2571</v>
      </c>
      <c r="I614" t="s">
        <v>2198</v>
      </c>
      <c r="J614">
        <v>8</v>
      </c>
      <c r="K614">
        <v>1</v>
      </c>
      <c r="L614">
        <v>7.4074074074074068E-3</v>
      </c>
      <c r="M614" t="s">
        <v>117</v>
      </c>
      <c r="N614" t="s">
        <v>572</v>
      </c>
      <c r="O614" s="24">
        <v>46118</v>
      </c>
      <c r="P614">
        <v>605</v>
      </c>
      <c r="Q614" t="s">
        <v>34</v>
      </c>
      <c r="R614" s="24">
        <v>46136</v>
      </c>
      <c r="S614" s="51">
        <v>0.66805555555555551</v>
      </c>
      <c r="T614" s="51">
        <v>0.67569444444444449</v>
      </c>
      <c r="X614" t="s">
        <v>3163</v>
      </c>
      <c r="Y614" t="s">
        <v>3029</v>
      </c>
      <c r="Z614">
        <v>1742079</v>
      </c>
    </row>
    <row r="615" spans="1:26" x14ac:dyDescent="0.25">
      <c r="A615">
        <v>611</v>
      </c>
      <c r="B615" t="s">
        <v>24</v>
      </c>
      <c r="C615" t="s">
        <v>25</v>
      </c>
      <c r="D615">
        <v>13</v>
      </c>
      <c r="E615" t="s">
        <v>65</v>
      </c>
      <c r="F615" t="s">
        <v>65</v>
      </c>
      <c r="G615">
        <v>4508</v>
      </c>
      <c r="H615" t="s">
        <v>2092</v>
      </c>
      <c r="I615" t="s">
        <v>2093</v>
      </c>
      <c r="J615">
        <v>8</v>
      </c>
      <c r="K615">
        <v>3</v>
      </c>
      <c r="L615">
        <v>2.1412037037037038E-3</v>
      </c>
      <c r="M615" t="s">
        <v>117</v>
      </c>
      <c r="N615" t="s">
        <v>572</v>
      </c>
      <c r="O615" s="24">
        <v>46118</v>
      </c>
      <c r="P615">
        <v>605</v>
      </c>
      <c r="Q615" t="s">
        <v>34</v>
      </c>
      <c r="R615" s="24">
        <v>46136</v>
      </c>
      <c r="S615" s="51">
        <v>0.66805555555555551</v>
      </c>
      <c r="T615" s="51">
        <v>0.67569444444444449</v>
      </c>
      <c r="X615" t="s">
        <v>3163</v>
      </c>
      <c r="Y615" t="s">
        <v>3029</v>
      </c>
      <c r="Z615">
        <v>1742079</v>
      </c>
    </row>
    <row r="616" spans="1:26" x14ac:dyDescent="0.25">
      <c r="A616">
        <v>612</v>
      </c>
      <c r="B616" t="s">
        <v>24</v>
      </c>
      <c r="C616" t="s">
        <v>25</v>
      </c>
      <c r="D616">
        <v>13</v>
      </c>
      <c r="E616" t="s">
        <v>2195</v>
      </c>
      <c r="F616" t="s">
        <v>44</v>
      </c>
      <c r="G616">
        <v>4508</v>
      </c>
      <c r="H616" t="s">
        <v>54</v>
      </c>
      <c r="I616" t="s">
        <v>1119</v>
      </c>
      <c r="J616">
        <v>8</v>
      </c>
      <c r="K616">
        <v>1</v>
      </c>
      <c r="L616">
        <v>1.3773148148148147E-3</v>
      </c>
      <c r="M616" t="s">
        <v>117</v>
      </c>
      <c r="N616" t="s">
        <v>572</v>
      </c>
      <c r="O616" s="24">
        <v>46118</v>
      </c>
      <c r="P616">
        <v>605</v>
      </c>
      <c r="Q616" t="s">
        <v>34</v>
      </c>
      <c r="R616" s="24">
        <v>46136</v>
      </c>
      <c r="S616" s="51">
        <v>0.66805555555555551</v>
      </c>
      <c r="T616" s="51">
        <v>0.67569444444444449</v>
      </c>
      <c r="X616" t="s">
        <v>3163</v>
      </c>
      <c r="Y616" t="s">
        <v>3029</v>
      </c>
      <c r="Z616">
        <v>1742079</v>
      </c>
    </row>
    <row r="617" spans="1:26" x14ac:dyDescent="0.25">
      <c r="A617">
        <v>613</v>
      </c>
      <c r="B617" t="s">
        <v>24</v>
      </c>
      <c r="C617" t="s">
        <v>25</v>
      </c>
      <c r="D617">
        <v>13</v>
      </c>
      <c r="E617" t="s">
        <v>147</v>
      </c>
      <c r="F617" t="s">
        <v>115</v>
      </c>
      <c r="G617">
        <v>3980</v>
      </c>
      <c r="H617" t="s">
        <v>2137</v>
      </c>
      <c r="I617" t="s">
        <v>2138</v>
      </c>
      <c r="J617">
        <v>8</v>
      </c>
      <c r="K617">
        <v>1</v>
      </c>
      <c r="L617">
        <v>6.122685185185185E-3</v>
      </c>
      <c r="M617" t="s">
        <v>117</v>
      </c>
      <c r="N617" t="s">
        <v>159</v>
      </c>
      <c r="O617" s="24">
        <v>46109</v>
      </c>
      <c r="P617">
        <v>605</v>
      </c>
      <c r="Q617" t="s">
        <v>34</v>
      </c>
      <c r="R617" s="24">
        <v>46113</v>
      </c>
      <c r="S617" s="51">
        <v>0.79861111111111116</v>
      </c>
      <c r="T617" s="51">
        <v>0.8125</v>
      </c>
      <c r="X617" t="s">
        <v>169</v>
      </c>
      <c r="Y617" t="s">
        <v>3032</v>
      </c>
    </row>
    <row r="618" spans="1:26" x14ac:dyDescent="0.25">
      <c r="A618">
        <v>614</v>
      </c>
      <c r="B618" t="s">
        <v>24</v>
      </c>
      <c r="C618" t="s">
        <v>25</v>
      </c>
      <c r="D618">
        <v>13</v>
      </c>
      <c r="E618" t="s">
        <v>1672</v>
      </c>
      <c r="F618" t="s">
        <v>512</v>
      </c>
      <c r="G618">
        <v>3980</v>
      </c>
      <c r="H618" t="s">
        <v>2152</v>
      </c>
      <c r="I618" t="s">
        <v>2153</v>
      </c>
      <c r="J618">
        <v>8</v>
      </c>
      <c r="K618">
        <v>4</v>
      </c>
      <c r="L618">
        <v>6.192129629629629E-3</v>
      </c>
      <c r="M618" t="s">
        <v>117</v>
      </c>
      <c r="N618" t="s">
        <v>159</v>
      </c>
      <c r="O618" s="24">
        <v>46109</v>
      </c>
      <c r="P618">
        <v>605</v>
      </c>
      <c r="Q618" t="s">
        <v>34</v>
      </c>
      <c r="R618" s="24">
        <v>46113</v>
      </c>
      <c r="S618" s="51">
        <v>0.79861111111111116</v>
      </c>
      <c r="T618" s="51">
        <v>0.8125</v>
      </c>
      <c r="X618" t="s">
        <v>169</v>
      </c>
      <c r="Y618" t="s">
        <v>3032</v>
      </c>
    </row>
    <row r="619" spans="1:26" x14ac:dyDescent="0.25">
      <c r="A619">
        <v>615</v>
      </c>
      <c r="B619" t="s">
        <v>24</v>
      </c>
      <c r="C619" t="s">
        <v>25</v>
      </c>
      <c r="D619">
        <v>13</v>
      </c>
      <c r="E619" t="s">
        <v>367</v>
      </c>
      <c r="F619" t="s">
        <v>1592</v>
      </c>
      <c r="G619">
        <v>3980</v>
      </c>
      <c r="H619" t="s">
        <v>2062</v>
      </c>
      <c r="I619" t="s">
        <v>2063</v>
      </c>
      <c r="J619">
        <v>8</v>
      </c>
      <c r="K619">
        <v>1</v>
      </c>
      <c r="L619">
        <v>4.3981481481481481E-4</v>
      </c>
      <c r="M619" t="s">
        <v>117</v>
      </c>
      <c r="N619" t="s">
        <v>159</v>
      </c>
      <c r="O619" s="24">
        <v>46109</v>
      </c>
      <c r="P619">
        <v>605</v>
      </c>
      <c r="Q619" t="s">
        <v>34</v>
      </c>
      <c r="R619" s="24">
        <v>46113</v>
      </c>
      <c r="S619" s="51">
        <v>0.79861111111111116</v>
      </c>
      <c r="T619" s="51">
        <v>0.8125</v>
      </c>
      <c r="X619" t="s">
        <v>169</v>
      </c>
      <c r="Y619" t="s">
        <v>3032</v>
      </c>
    </row>
    <row r="620" spans="1:26" x14ac:dyDescent="0.25">
      <c r="A620">
        <v>616</v>
      </c>
      <c r="B620" t="s">
        <v>24</v>
      </c>
      <c r="C620" t="s">
        <v>25</v>
      </c>
      <c r="D620">
        <v>13</v>
      </c>
      <c r="E620" t="s">
        <v>367</v>
      </c>
      <c r="F620" t="s">
        <v>367</v>
      </c>
      <c r="G620">
        <v>3980</v>
      </c>
      <c r="H620" t="s">
        <v>2154</v>
      </c>
      <c r="I620" t="s">
        <v>2155</v>
      </c>
      <c r="J620">
        <v>8</v>
      </c>
      <c r="K620">
        <v>1</v>
      </c>
      <c r="L620">
        <v>7.407407407407407E-4</v>
      </c>
      <c r="M620" t="s">
        <v>117</v>
      </c>
      <c r="N620" t="s">
        <v>159</v>
      </c>
      <c r="O620" s="24">
        <v>46109</v>
      </c>
      <c r="P620">
        <v>605</v>
      </c>
      <c r="Q620" t="s">
        <v>34</v>
      </c>
      <c r="R620" s="24">
        <v>46113</v>
      </c>
      <c r="S620" s="51">
        <v>0.79861111111111116</v>
      </c>
      <c r="T620" s="51">
        <v>0.8125</v>
      </c>
      <c r="X620" t="s">
        <v>169</v>
      </c>
      <c r="Y620" t="s">
        <v>3032</v>
      </c>
    </row>
    <row r="621" spans="1:26" x14ac:dyDescent="0.25">
      <c r="A621">
        <v>617</v>
      </c>
      <c r="B621" t="s">
        <v>24</v>
      </c>
      <c r="C621" t="s">
        <v>25</v>
      </c>
      <c r="D621">
        <v>13</v>
      </c>
      <c r="E621" t="s">
        <v>2094</v>
      </c>
      <c r="F621" t="s">
        <v>44</v>
      </c>
      <c r="G621">
        <v>4512</v>
      </c>
      <c r="H621" t="s">
        <v>45</v>
      </c>
      <c r="I621" t="s">
        <v>1119</v>
      </c>
      <c r="J621">
        <v>8</v>
      </c>
      <c r="K621">
        <v>3</v>
      </c>
      <c r="L621">
        <v>4.0393518518518513E-3</v>
      </c>
      <c r="M621" t="s">
        <v>117</v>
      </c>
      <c r="N621" t="s">
        <v>159</v>
      </c>
      <c r="O621" s="24">
        <v>46109</v>
      </c>
      <c r="P621">
        <v>605</v>
      </c>
      <c r="Q621" t="s">
        <v>34</v>
      </c>
      <c r="R621" s="24">
        <v>46113</v>
      </c>
      <c r="S621" s="51">
        <v>0.96875</v>
      </c>
      <c r="T621" s="51">
        <v>0.98263888888888884</v>
      </c>
      <c r="X621" t="s">
        <v>233</v>
      </c>
      <c r="Y621" t="s">
        <v>3032</v>
      </c>
    </row>
    <row r="622" spans="1:26" x14ac:dyDescent="0.25">
      <c r="A622">
        <v>618</v>
      </c>
      <c r="B622" t="s">
        <v>24</v>
      </c>
      <c r="C622" t="s">
        <v>25</v>
      </c>
      <c r="D622">
        <v>13</v>
      </c>
      <c r="E622" t="s">
        <v>2094</v>
      </c>
      <c r="F622" t="s">
        <v>44</v>
      </c>
      <c r="G622">
        <v>4512</v>
      </c>
      <c r="H622" t="s">
        <v>54</v>
      </c>
      <c r="I622" t="s">
        <v>1119</v>
      </c>
      <c r="J622">
        <v>8</v>
      </c>
      <c r="K622">
        <v>3</v>
      </c>
      <c r="L622">
        <v>3.6805555555555554E-3</v>
      </c>
      <c r="M622" t="s">
        <v>117</v>
      </c>
      <c r="N622" t="s">
        <v>159</v>
      </c>
      <c r="O622" s="24">
        <v>46109</v>
      </c>
      <c r="P622">
        <v>605</v>
      </c>
      <c r="Q622" t="s">
        <v>34</v>
      </c>
      <c r="R622" s="24">
        <v>46113</v>
      </c>
      <c r="S622" s="51">
        <v>0.96875</v>
      </c>
      <c r="T622" s="51">
        <v>0.98263888888888884</v>
      </c>
      <c r="X622" t="s">
        <v>233</v>
      </c>
      <c r="Y622" t="s">
        <v>3032</v>
      </c>
    </row>
    <row r="623" spans="1:26" x14ac:dyDescent="0.25">
      <c r="A623">
        <v>619</v>
      </c>
      <c r="B623" t="s">
        <v>24</v>
      </c>
      <c r="C623" t="s">
        <v>25</v>
      </c>
      <c r="D623">
        <v>13</v>
      </c>
      <c r="E623" t="s">
        <v>2195</v>
      </c>
      <c r="F623" t="s">
        <v>44</v>
      </c>
      <c r="G623">
        <v>4512</v>
      </c>
      <c r="H623" t="s">
        <v>48</v>
      </c>
      <c r="I623" t="s">
        <v>1119</v>
      </c>
      <c r="J623">
        <v>8</v>
      </c>
      <c r="K623">
        <v>1</v>
      </c>
      <c r="L623">
        <v>1.3773148148148147E-3</v>
      </c>
      <c r="M623" t="s">
        <v>117</v>
      </c>
      <c r="N623" t="s">
        <v>159</v>
      </c>
      <c r="O623" s="24">
        <v>46109</v>
      </c>
      <c r="P623">
        <v>605</v>
      </c>
      <c r="Q623" t="s">
        <v>34</v>
      </c>
      <c r="R623" s="24">
        <v>46113</v>
      </c>
      <c r="S623" s="51">
        <v>0.96875</v>
      </c>
      <c r="T623" s="51">
        <v>0.98263888888888884</v>
      </c>
      <c r="X623" t="s">
        <v>233</v>
      </c>
      <c r="Y623" t="s">
        <v>3032</v>
      </c>
    </row>
    <row r="624" spans="1:26" x14ac:dyDescent="0.25">
      <c r="A624">
        <v>620</v>
      </c>
      <c r="B624" t="s">
        <v>24</v>
      </c>
      <c r="C624" t="s">
        <v>25</v>
      </c>
      <c r="D624">
        <v>13</v>
      </c>
      <c r="E624" t="s">
        <v>1588</v>
      </c>
      <c r="F624" t="s">
        <v>512</v>
      </c>
      <c r="G624">
        <v>4251</v>
      </c>
      <c r="H624" t="s">
        <v>2413</v>
      </c>
      <c r="I624" t="s">
        <v>2414</v>
      </c>
      <c r="J624">
        <v>8</v>
      </c>
      <c r="K624">
        <v>1</v>
      </c>
      <c r="L624">
        <v>5.3240740740740744E-4</v>
      </c>
      <c r="M624" t="s">
        <v>117</v>
      </c>
      <c r="N624" t="s">
        <v>351</v>
      </c>
      <c r="O624" s="24">
        <v>46114</v>
      </c>
      <c r="P624">
        <v>606</v>
      </c>
      <c r="Q624" t="s">
        <v>34</v>
      </c>
      <c r="R624" s="24">
        <v>46136</v>
      </c>
      <c r="S624" s="51">
        <v>0.57291666666666663</v>
      </c>
      <c r="T624" s="51">
        <v>0.59097222222222223</v>
      </c>
      <c r="X624" t="s">
        <v>3164</v>
      </c>
      <c r="Y624" t="s">
        <v>3035</v>
      </c>
      <c r="Z624">
        <v>1786246</v>
      </c>
    </row>
    <row r="625" spans="1:26" x14ac:dyDescent="0.25">
      <c r="A625">
        <v>621</v>
      </c>
      <c r="B625" t="s">
        <v>24</v>
      </c>
      <c r="C625" t="s">
        <v>25</v>
      </c>
      <c r="D625">
        <v>13</v>
      </c>
      <c r="E625" t="s">
        <v>367</v>
      </c>
      <c r="F625" t="s">
        <v>367</v>
      </c>
      <c r="G625">
        <v>4251</v>
      </c>
      <c r="H625" t="s">
        <v>2416</v>
      </c>
      <c r="I625" t="s">
        <v>2329</v>
      </c>
      <c r="J625">
        <v>8</v>
      </c>
      <c r="K625">
        <v>1</v>
      </c>
      <c r="L625">
        <v>6.9444444444444436E-4</v>
      </c>
      <c r="M625" t="s">
        <v>117</v>
      </c>
      <c r="N625" t="s">
        <v>351</v>
      </c>
      <c r="O625" s="24">
        <v>46114</v>
      </c>
      <c r="P625">
        <v>606</v>
      </c>
      <c r="Q625" t="s">
        <v>34</v>
      </c>
      <c r="R625" s="24">
        <v>46136</v>
      </c>
      <c r="S625" s="51">
        <v>0.57291666666666663</v>
      </c>
      <c r="T625" s="51">
        <v>0.59097222222222223</v>
      </c>
      <c r="X625" t="s">
        <v>3164</v>
      </c>
      <c r="Y625" t="s">
        <v>3035</v>
      </c>
      <c r="Z625">
        <v>1786246</v>
      </c>
    </row>
    <row r="626" spans="1:26" x14ac:dyDescent="0.25">
      <c r="A626">
        <v>622</v>
      </c>
      <c r="B626" t="s">
        <v>24</v>
      </c>
      <c r="C626" t="s">
        <v>25</v>
      </c>
      <c r="D626">
        <v>13</v>
      </c>
      <c r="E626" t="s">
        <v>367</v>
      </c>
      <c r="F626" t="s">
        <v>367</v>
      </c>
      <c r="G626">
        <v>4251</v>
      </c>
      <c r="H626" t="s">
        <v>2328</v>
      </c>
      <c r="I626" t="s">
        <v>2329</v>
      </c>
      <c r="J626">
        <v>8</v>
      </c>
      <c r="K626">
        <v>1</v>
      </c>
      <c r="L626">
        <v>6.8287037037037036E-4</v>
      </c>
      <c r="M626" t="s">
        <v>117</v>
      </c>
      <c r="N626" t="s">
        <v>351</v>
      </c>
      <c r="O626" s="24">
        <v>46114</v>
      </c>
      <c r="P626">
        <v>606</v>
      </c>
      <c r="Q626" t="s">
        <v>34</v>
      </c>
      <c r="R626" s="24">
        <v>46136</v>
      </c>
      <c r="S626" s="51">
        <v>0.57291666666666663</v>
      </c>
      <c r="T626" s="51">
        <v>0.59097222222222223</v>
      </c>
      <c r="X626" t="s">
        <v>3164</v>
      </c>
      <c r="Y626" t="s">
        <v>3035</v>
      </c>
      <c r="Z626">
        <v>1786246</v>
      </c>
    </row>
    <row r="627" spans="1:26" x14ac:dyDescent="0.25">
      <c r="A627">
        <v>623</v>
      </c>
      <c r="B627" t="s">
        <v>24</v>
      </c>
      <c r="C627" t="s">
        <v>25</v>
      </c>
      <c r="D627">
        <v>13</v>
      </c>
      <c r="E627" t="s">
        <v>367</v>
      </c>
      <c r="F627" t="s">
        <v>427</v>
      </c>
      <c r="G627">
        <v>4251</v>
      </c>
      <c r="H627" t="s">
        <v>2417</v>
      </c>
      <c r="I627" t="s">
        <v>2418</v>
      </c>
      <c r="J627">
        <v>8</v>
      </c>
      <c r="K627">
        <v>1</v>
      </c>
      <c r="L627">
        <v>1.9675925925925924E-3</v>
      </c>
      <c r="M627" t="s">
        <v>117</v>
      </c>
      <c r="N627" t="s">
        <v>351</v>
      </c>
      <c r="O627" s="24">
        <v>46114</v>
      </c>
      <c r="P627">
        <v>606</v>
      </c>
      <c r="Q627" t="s">
        <v>34</v>
      </c>
      <c r="R627" s="24">
        <v>46136</v>
      </c>
      <c r="S627" s="51">
        <v>0.57291666666666663</v>
      </c>
      <c r="T627" s="51">
        <v>0.59097222222222223</v>
      </c>
      <c r="X627" t="s">
        <v>3164</v>
      </c>
      <c r="Y627" t="s">
        <v>3035</v>
      </c>
      <c r="Z627">
        <v>1786246</v>
      </c>
    </row>
    <row r="628" spans="1:26" x14ac:dyDescent="0.25">
      <c r="A628">
        <v>624</v>
      </c>
      <c r="B628" t="s">
        <v>24</v>
      </c>
      <c r="C628" t="s">
        <v>25</v>
      </c>
      <c r="D628">
        <v>13</v>
      </c>
      <c r="E628" t="s">
        <v>65</v>
      </c>
      <c r="F628" t="s">
        <v>66</v>
      </c>
      <c r="G628">
        <v>4251</v>
      </c>
      <c r="H628" t="s">
        <v>2178</v>
      </c>
      <c r="I628" t="s">
        <v>2179</v>
      </c>
      <c r="J628">
        <v>8</v>
      </c>
      <c r="K628">
        <v>2</v>
      </c>
      <c r="L628">
        <v>1.2268518518518518E-3</v>
      </c>
      <c r="M628" t="s">
        <v>117</v>
      </c>
      <c r="N628" t="s">
        <v>351</v>
      </c>
      <c r="O628" s="24">
        <v>46114</v>
      </c>
      <c r="P628">
        <v>606</v>
      </c>
      <c r="Q628" t="s">
        <v>34</v>
      </c>
      <c r="R628" s="24">
        <v>46136</v>
      </c>
      <c r="S628" s="51">
        <v>0.57291666666666663</v>
      </c>
      <c r="T628" s="51">
        <v>0.59097222222222223</v>
      </c>
      <c r="X628" t="s">
        <v>3164</v>
      </c>
      <c r="Y628" t="s">
        <v>3035</v>
      </c>
      <c r="Z628">
        <v>1786246</v>
      </c>
    </row>
    <row r="629" spans="1:26" x14ac:dyDescent="0.25">
      <c r="A629">
        <v>625</v>
      </c>
      <c r="B629" t="s">
        <v>24</v>
      </c>
      <c r="C629" t="s">
        <v>25</v>
      </c>
      <c r="D629">
        <v>13</v>
      </c>
      <c r="E629" t="s">
        <v>65</v>
      </c>
      <c r="F629" t="s">
        <v>66</v>
      </c>
      <c r="G629">
        <v>4251</v>
      </c>
      <c r="H629" t="s">
        <v>2180</v>
      </c>
      <c r="I629" t="s">
        <v>2181</v>
      </c>
      <c r="J629">
        <v>8</v>
      </c>
      <c r="K629">
        <v>4</v>
      </c>
      <c r="L629">
        <v>2.5000000000000001E-3</v>
      </c>
      <c r="M629" t="s">
        <v>117</v>
      </c>
      <c r="N629" t="s">
        <v>351</v>
      </c>
      <c r="O629" s="24">
        <v>46114</v>
      </c>
      <c r="P629">
        <v>606</v>
      </c>
      <c r="Q629" t="s">
        <v>34</v>
      </c>
      <c r="R629" s="24">
        <v>46136</v>
      </c>
      <c r="S629" s="51">
        <v>0.57291666666666663</v>
      </c>
      <c r="T629" s="51">
        <v>0.59097222222222223</v>
      </c>
      <c r="X629" t="s">
        <v>3164</v>
      </c>
      <c r="Y629" t="s">
        <v>3035</v>
      </c>
      <c r="Z629">
        <v>1786246</v>
      </c>
    </row>
    <row r="630" spans="1:26" x14ac:dyDescent="0.25">
      <c r="A630">
        <v>626</v>
      </c>
      <c r="B630" t="s">
        <v>24</v>
      </c>
      <c r="C630" t="s">
        <v>25</v>
      </c>
      <c r="D630">
        <v>13</v>
      </c>
      <c r="E630" t="s">
        <v>65</v>
      </c>
      <c r="F630" t="s">
        <v>492</v>
      </c>
      <c r="G630">
        <v>4251</v>
      </c>
      <c r="H630" t="s">
        <v>2419</v>
      </c>
      <c r="I630" t="s">
        <v>2420</v>
      </c>
      <c r="J630">
        <v>8</v>
      </c>
      <c r="K630">
        <v>1</v>
      </c>
      <c r="L630">
        <v>1.5046296296296296E-3</v>
      </c>
      <c r="M630" t="s">
        <v>117</v>
      </c>
      <c r="N630" t="s">
        <v>351</v>
      </c>
      <c r="O630" s="24">
        <v>46114</v>
      </c>
      <c r="P630">
        <v>606</v>
      </c>
      <c r="Q630" t="s">
        <v>34</v>
      </c>
      <c r="R630" s="24">
        <v>46136</v>
      </c>
      <c r="S630" s="51">
        <v>0.57291666666666663</v>
      </c>
      <c r="T630" s="51">
        <v>0.59097222222222223</v>
      </c>
      <c r="X630" t="s">
        <v>3164</v>
      </c>
      <c r="Y630" t="s">
        <v>3035</v>
      </c>
      <c r="Z630">
        <v>1786246</v>
      </c>
    </row>
    <row r="631" spans="1:26" x14ac:dyDescent="0.25">
      <c r="A631">
        <v>627</v>
      </c>
      <c r="B631" t="s">
        <v>24</v>
      </c>
      <c r="C631" t="s">
        <v>25</v>
      </c>
      <c r="D631">
        <v>13</v>
      </c>
      <c r="E631" t="s">
        <v>65</v>
      </c>
      <c r="F631" t="s">
        <v>492</v>
      </c>
      <c r="G631">
        <v>4251</v>
      </c>
      <c r="H631" t="s">
        <v>2421</v>
      </c>
      <c r="I631" t="s">
        <v>2422</v>
      </c>
      <c r="J631">
        <v>8</v>
      </c>
      <c r="K631">
        <v>1</v>
      </c>
      <c r="L631">
        <v>1.5046296296296296E-3</v>
      </c>
      <c r="M631" t="s">
        <v>117</v>
      </c>
      <c r="N631" t="s">
        <v>351</v>
      </c>
      <c r="O631" s="24">
        <v>46114</v>
      </c>
      <c r="P631">
        <v>606</v>
      </c>
      <c r="Q631" t="s">
        <v>34</v>
      </c>
      <c r="R631" s="24">
        <v>46136</v>
      </c>
      <c r="S631" s="51">
        <v>0.57291666666666663</v>
      </c>
      <c r="T631" s="51">
        <v>0.59097222222222223</v>
      </c>
      <c r="X631" t="s">
        <v>3164</v>
      </c>
      <c r="Y631" t="s">
        <v>3035</v>
      </c>
      <c r="Z631">
        <v>1786246</v>
      </c>
    </row>
    <row r="632" spans="1:26" x14ac:dyDescent="0.25">
      <c r="A632">
        <v>628</v>
      </c>
      <c r="B632" t="s">
        <v>24</v>
      </c>
      <c r="C632" t="s">
        <v>25</v>
      </c>
      <c r="D632">
        <v>13</v>
      </c>
      <c r="E632" t="s">
        <v>65</v>
      </c>
      <c r="F632" t="s">
        <v>1599</v>
      </c>
      <c r="G632">
        <v>4251</v>
      </c>
      <c r="H632" t="s">
        <v>2423</v>
      </c>
      <c r="I632" t="s">
        <v>2424</v>
      </c>
      <c r="J632">
        <v>8</v>
      </c>
      <c r="K632">
        <v>1</v>
      </c>
      <c r="L632">
        <v>3.5532407407407405E-3</v>
      </c>
      <c r="M632" t="s">
        <v>117</v>
      </c>
      <c r="N632" t="s">
        <v>351</v>
      </c>
      <c r="O632" s="24">
        <v>46114</v>
      </c>
      <c r="P632">
        <v>606</v>
      </c>
      <c r="Q632" t="s">
        <v>34</v>
      </c>
      <c r="R632" s="24">
        <v>46136</v>
      </c>
      <c r="S632" s="51">
        <v>0.57291666666666663</v>
      </c>
      <c r="T632" s="51">
        <v>0.59097222222222223</v>
      </c>
      <c r="X632" t="s">
        <v>3164</v>
      </c>
      <c r="Y632" t="s">
        <v>3035</v>
      </c>
      <c r="Z632">
        <v>1786246</v>
      </c>
    </row>
    <row r="633" spans="1:26" x14ac:dyDescent="0.25">
      <c r="A633">
        <v>629</v>
      </c>
      <c r="B633" t="s">
        <v>24</v>
      </c>
      <c r="C633" t="s">
        <v>25</v>
      </c>
      <c r="D633">
        <v>13</v>
      </c>
      <c r="E633" t="s">
        <v>65</v>
      </c>
      <c r="F633" t="s">
        <v>1598</v>
      </c>
      <c r="G633">
        <v>4251</v>
      </c>
      <c r="H633" t="s">
        <v>2425</v>
      </c>
      <c r="I633" t="s">
        <v>2426</v>
      </c>
      <c r="J633">
        <v>8</v>
      </c>
      <c r="K633">
        <v>1</v>
      </c>
      <c r="L633">
        <v>3.5648148148148145E-3</v>
      </c>
      <c r="M633" t="s">
        <v>117</v>
      </c>
      <c r="N633" t="s">
        <v>351</v>
      </c>
      <c r="O633" s="24">
        <v>46114</v>
      </c>
      <c r="P633">
        <v>606</v>
      </c>
      <c r="Q633" t="s">
        <v>34</v>
      </c>
      <c r="R633" s="24">
        <v>46136</v>
      </c>
      <c r="S633" s="51">
        <v>0.57291666666666663</v>
      </c>
      <c r="T633" s="51">
        <v>0.59097222222222223</v>
      </c>
      <c r="X633" t="s">
        <v>3164</v>
      </c>
      <c r="Y633" t="s">
        <v>3035</v>
      </c>
      <c r="Z633">
        <v>1786246</v>
      </c>
    </row>
    <row r="634" spans="1:26" x14ac:dyDescent="0.25">
      <c r="A634">
        <v>630</v>
      </c>
      <c r="B634" t="s">
        <v>24</v>
      </c>
      <c r="C634" t="s">
        <v>25</v>
      </c>
      <c r="D634">
        <v>13</v>
      </c>
      <c r="E634" t="s">
        <v>367</v>
      </c>
      <c r="F634" t="s">
        <v>427</v>
      </c>
      <c r="G634">
        <v>4017</v>
      </c>
      <c r="H634" t="s">
        <v>2246</v>
      </c>
      <c r="I634" t="s">
        <v>2247</v>
      </c>
      <c r="J634">
        <v>8</v>
      </c>
      <c r="K634">
        <v>1</v>
      </c>
      <c r="L634">
        <v>1.3888888888888887E-3</v>
      </c>
      <c r="M634" t="s">
        <v>117</v>
      </c>
      <c r="N634" t="s">
        <v>351</v>
      </c>
      <c r="O634" s="24">
        <v>46114</v>
      </c>
      <c r="P634">
        <v>606</v>
      </c>
      <c r="Q634" t="s">
        <v>34</v>
      </c>
      <c r="R634" s="24">
        <v>46136</v>
      </c>
      <c r="S634" s="51">
        <v>0.55972222222222223</v>
      </c>
      <c r="T634" s="51">
        <v>0.5708333333333333</v>
      </c>
      <c r="X634" t="s">
        <v>3165</v>
      </c>
      <c r="Y634" t="s">
        <v>3035</v>
      </c>
      <c r="Z634">
        <v>1742372</v>
      </c>
    </row>
    <row r="635" spans="1:26" x14ac:dyDescent="0.25">
      <c r="A635">
        <v>631</v>
      </c>
      <c r="B635" t="s">
        <v>24</v>
      </c>
      <c r="C635" t="s">
        <v>25</v>
      </c>
      <c r="D635">
        <v>13</v>
      </c>
      <c r="E635" t="s">
        <v>367</v>
      </c>
      <c r="F635" t="s">
        <v>1598</v>
      </c>
      <c r="G635">
        <v>4017</v>
      </c>
      <c r="H635" t="s">
        <v>2249</v>
      </c>
      <c r="I635" t="s">
        <v>2240</v>
      </c>
      <c r="J635">
        <v>8</v>
      </c>
      <c r="K635">
        <v>1</v>
      </c>
      <c r="L635">
        <v>2.6041666666666665E-3</v>
      </c>
      <c r="M635" t="s">
        <v>117</v>
      </c>
      <c r="N635" t="s">
        <v>351</v>
      </c>
      <c r="O635" s="24">
        <v>46114</v>
      </c>
      <c r="P635">
        <v>606</v>
      </c>
      <c r="Q635" t="s">
        <v>34</v>
      </c>
      <c r="R635" s="24">
        <v>46136</v>
      </c>
      <c r="S635" s="51">
        <v>0.55972222222222223</v>
      </c>
      <c r="T635" s="51">
        <v>0.5708333333333333</v>
      </c>
      <c r="X635" t="s">
        <v>3165</v>
      </c>
      <c r="Y635" t="s">
        <v>3035</v>
      </c>
      <c r="Z635">
        <v>1742372</v>
      </c>
    </row>
    <row r="636" spans="1:26" x14ac:dyDescent="0.25">
      <c r="A636">
        <v>632</v>
      </c>
      <c r="B636" t="s">
        <v>24</v>
      </c>
      <c r="C636" t="s">
        <v>25</v>
      </c>
      <c r="D636">
        <v>13</v>
      </c>
      <c r="E636" t="s">
        <v>65</v>
      </c>
      <c r="F636" t="s">
        <v>1590</v>
      </c>
      <c r="G636">
        <v>4017</v>
      </c>
      <c r="H636" t="s">
        <v>2102</v>
      </c>
      <c r="I636" t="s">
        <v>2103</v>
      </c>
      <c r="J636">
        <v>8</v>
      </c>
      <c r="K636">
        <v>2</v>
      </c>
      <c r="L636">
        <v>1.2962962962962963E-3</v>
      </c>
      <c r="M636" t="s">
        <v>117</v>
      </c>
      <c r="N636" t="s">
        <v>351</v>
      </c>
      <c r="O636" s="24">
        <v>46114</v>
      </c>
      <c r="P636">
        <v>606</v>
      </c>
      <c r="Q636" t="s">
        <v>34</v>
      </c>
      <c r="R636" s="24">
        <v>46136</v>
      </c>
      <c r="S636" s="51">
        <v>0.55972222222222223</v>
      </c>
      <c r="T636" s="51">
        <v>0.5708333333333333</v>
      </c>
      <c r="X636" t="s">
        <v>3165</v>
      </c>
      <c r="Y636" t="s">
        <v>3035</v>
      </c>
      <c r="Z636">
        <v>1742372</v>
      </c>
    </row>
    <row r="637" spans="1:26" x14ac:dyDescent="0.25">
      <c r="A637">
        <v>633</v>
      </c>
      <c r="B637" t="s">
        <v>24</v>
      </c>
      <c r="C637" t="s">
        <v>25</v>
      </c>
      <c r="D637">
        <v>13</v>
      </c>
      <c r="E637" t="s">
        <v>65</v>
      </c>
      <c r="F637" t="s">
        <v>66</v>
      </c>
      <c r="G637">
        <v>4017</v>
      </c>
      <c r="H637" t="s">
        <v>2250</v>
      </c>
      <c r="I637" t="s">
        <v>2251</v>
      </c>
      <c r="J637">
        <v>8</v>
      </c>
      <c r="K637">
        <v>1</v>
      </c>
      <c r="L637">
        <v>2.5115740740740741E-3</v>
      </c>
      <c r="M637" t="s">
        <v>117</v>
      </c>
      <c r="N637" t="s">
        <v>351</v>
      </c>
      <c r="O637" s="24">
        <v>46114</v>
      </c>
      <c r="P637">
        <v>606</v>
      </c>
      <c r="Q637" t="s">
        <v>34</v>
      </c>
      <c r="R637" s="24">
        <v>46136</v>
      </c>
      <c r="S637" s="51">
        <v>0.55972222222222223</v>
      </c>
      <c r="T637" s="51">
        <v>0.5708333333333333</v>
      </c>
      <c r="X637" t="s">
        <v>3165</v>
      </c>
      <c r="Y637" t="s">
        <v>3035</v>
      </c>
      <c r="Z637">
        <v>1742372</v>
      </c>
    </row>
    <row r="638" spans="1:26" x14ac:dyDescent="0.25">
      <c r="A638">
        <v>634</v>
      </c>
      <c r="B638" t="s">
        <v>24</v>
      </c>
      <c r="C638" t="s">
        <v>25</v>
      </c>
      <c r="D638">
        <v>13</v>
      </c>
      <c r="E638" t="s">
        <v>65</v>
      </c>
      <c r="F638" t="s">
        <v>66</v>
      </c>
      <c r="G638">
        <v>4017</v>
      </c>
      <c r="H638" t="s">
        <v>2252</v>
      </c>
      <c r="I638" t="s">
        <v>2253</v>
      </c>
      <c r="J638">
        <v>8</v>
      </c>
      <c r="K638">
        <v>1</v>
      </c>
      <c r="L638">
        <v>7.2916666666666659E-4</v>
      </c>
      <c r="M638" t="s">
        <v>117</v>
      </c>
      <c r="N638" t="s">
        <v>351</v>
      </c>
      <c r="O638" s="24">
        <v>46114</v>
      </c>
      <c r="P638">
        <v>606</v>
      </c>
      <c r="Q638" t="s">
        <v>34</v>
      </c>
      <c r="R638" s="24">
        <v>46136</v>
      </c>
      <c r="S638" s="51">
        <v>0.55972222222222223</v>
      </c>
      <c r="T638" s="51">
        <v>0.5708333333333333</v>
      </c>
      <c r="X638" t="s">
        <v>3165</v>
      </c>
      <c r="Y638" t="s">
        <v>3035</v>
      </c>
      <c r="Z638">
        <v>1742372</v>
      </c>
    </row>
    <row r="639" spans="1:26" x14ac:dyDescent="0.25">
      <c r="A639">
        <v>635</v>
      </c>
      <c r="B639" t="s">
        <v>24</v>
      </c>
      <c r="C639" t="s">
        <v>25</v>
      </c>
      <c r="D639">
        <v>13</v>
      </c>
      <c r="E639" t="s">
        <v>65</v>
      </c>
      <c r="F639" t="s">
        <v>66</v>
      </c>
      <c r="G639">
        <v>4017</v>
      </c>
      <c r="H639" t="s">
        <v>2180</v>
      </c>
      <c r="I639" t="s">
        <v>2181</v>
      </c>
      <c r="J639">
        <v>8</v>
      </c>
      <c r="K639">
        <v>3</v>
      </c>
      <c r="L639">
        <v>1.724537037037037E-3</v>
      </c>
      <c r="M639" t="s">
        <v>117</v>
      </c>
      <c r="N639" t="s">
        <v>351</v>
      </c>
      <c r="O639" s="24">
        <v>46114</v>
      </c>
      <c r="P639">
        <v>606</v>
      </c>
      <c r="Q639" t="s">
        <v>34</v>
      </c>
      <c r="R639" s="24">
        <v>46136</v>
      </c>
      <c r="S639" s="51">
        <v>0.55972222222222223</v>
      </c>
      <c r="T639" s="51">
        <v>0.5708333333333333</v>
      </c>
      <c r="X639" t="s">
        <v>3165</v>
      </c>
      <c r="Y639" t="s">
        <v>3035</v>
      </c>
      <c r="Z639">
        <v>1742372</v>
      </c>
    </row>
    <row r="640" spans="1:26" x14ac:dyDescent="0.25">
      <c r="A640">
        <v>636</v>
      </c>
      <c r="B640" t="s">
        <v>24</v>
      </c>
      <c r="C640" t="s">
        <v>25</v>
      </c>
      <c r="D640">
        <v>13</v>
      </c>
      <c r="E640" t="s">
        <v>1672</v>
      </c>
      <c r="F640" t="s">
        <v>115</v>
      </c>
      <c r="G640">
        <v>4314</v>
      </c>
      <c r="H640" t="s">
        <v>2087</v>
      </c>
      <c r="I640" t="s">
        <v>2088</v>
      </c>
      <c r="J640">
        <v>8</v>
      </c>
      <c r="K640">
        <v>3</v>
      </c>
      <c r="L640">
        <v>2.685185185185185E-3</v>
      </c>
      <c r="M640" t="s">
        <v>117</v>
      </c>
      <c r="N640" t="s">
        <v>159</v>
      </c>
      <c r="O640" s="24">
        <v>46109</v>
      </c>
      <c r="P640">
        <v>605</v>
      </c>
      <c r="Q640" t="s">
        <v>34</v>
      </c>
      <c r="R640" s="24">
        <v>46113</v>
      </c>
      <c r="S640" s="51">
        <v>0.78472222222222221</v>
      </c>
      <c r="T640" s="51">
        <v>0.79513888888888884</v>
      </c>
      <c r="X640" t="s">
        <v>228</v>
      </c>
      <c r="Y640" t="s">
        <v>3032</v>
      </c>
    </row>
    <row r="641" spans="1:26" x14ac:dyDescent="0.25">
      <c r="A641">
        <v>637</v>
      </c>
      <c r="B641" t="s">
        <v>24</v>
      </c>
      <c r="C641" t="s">
        <v>25</v>
      </c>
      <c r="D641">
        <v>13</v>
      </c>
      <c r="E641" t="s">
        <v>129</v>
      </c>
      <c r="F641" t="s">
        <v>115</v>
      </c>
      <c r="G641">
        <v>4314</v>
      </c>
      <c r="H641" t="s">
        <v>2466</v>
      </c>
      <c r="I641" t="s">
        <v>2138</v>
      </c>
      <c r="J641">
        <v>8</v>
      </c>
      <c r="K641">
        <v>1</v>
      </c>
      <c r="L641">
        <v>6.168981481481481E-3</v>
      </c>
      <c r="M641" t="s">
        <v>117</v>
      </c>
      <c r="N641" t="s">
        <v>159</v>
      </c>
      <c r="O641" s="24">
        <v>46109</v>
      </c>
      <c r="P641">
        <v>605</v>
      </c>
      <c r="Q641" t="s">
        <v>34</v>
      </c>
      <c r="R641" s="24">
        <v>46113</v>
      </c>
      <c r="S641" s="51">
        <v>0.78472222222222221</v>
      </c>
      <c r="T641" s="51">
        <v>0.79513888888888884</v>
      </c>
      <c r="X641" t="s">
        <v>228</v>
      </c>
      <c r="Y641" t="s">
        <v>3032</v>
      </c>
    </row>
    <row r="642" spans="1:26" x14ac:dyDescent="0.25">
      <c r="A642">
        <v>638</v>
      </c>
      <c r="B642" t="s">
        <v>24</v>
      </c>
      <c r="C642" t="s">
        <v>25</v>
      </c>
      <c r="D642">
        <v>13</v>
      </c>
      <c r="E642" t="s">
        <v>114</v>
      </c>
      <c r="F642" t="s">
        <v>512</v>
      </c>
      <c r="G642">
        <v>4314</v>
      </c>
      <c r="H642" t="s">
        <v>2394</v>
      </c>
      <c r="I642" t="s">
        <v>2161</v>
      </c>
      <c r="J642">
        <v>8</v>
      </c>
      <c r="K642">
        <v>2</v>
      </c>
      <c r="L642">
        <v>3.6226851851851849E-3</v>
      </c>
      <c r="M642" t="s">
        <v>117</v>
      </c>
      <c r="N642" t="s">
        <v>159</v>
      </c>
      <c r="O642" s="24">
        <v>46109</v>
      </c>
      <c r="P642">
        <v>605</v>
      </c>
      <c r="Q642" t="s">
        <v>34</v>
      </c>
      <c r="R642" s="24">
        <v>46113</v>
      </c>
      <c r="S642" s="51">
        <v>0.78472222222222221</v>
      </c>
      <c r="T642" s="51">
        <v>0.79513888888888884</v>
      </c>
      <c r="X642" t="s">
        <v>228</v>
      </c>
      <c r="Y642" t="s">
        <v>3032</v>
      </c>
    </row>
    <row r="643" spans="1:26" x14ac:dyDescent="0.25">
      <c r="A643">
        <v>639</v>
      </c>
      <c r="B643" t="s">
        <v>24</v>
      </c>
      <c r="C643" t="s">
        <v>25</v>
      </c>
      <c r="D643">
        <v>13</v>
      </c>
      <c r="E643" t="s">
        <v>131</v>
      </c>
      <c r="F643" t="s">
        <v>512</v>
      </c>
      <c r="G643">
        <v>4314</v>
      </c>
      <c r="H643" t="s">
        <v>2467</v>
      </c>
      <c r="I643" t="s">
        <v>2371</v>
      </c>
      <c r="J643">
        <v>8</v>
      </c>
      <c r="K643">
        <v>1</v>
      </c>
      <c r="L643">
        <v>1.7129629629629628E-3</v>
      </c>
      <c r="M643" t="s">
        <v>117</v>
      </c>
      <c r="N643" t="s">
        <v>159</v>
      </c>
      <c r="O643" s="24">
        <v>46109</v>
      </c>
      <c r="P643">
        <v>605</v>
      </c>
      <c r="Q643" t="s">
        <v>34</v>
      </c>
      <c r="R643" s="24">
        <v>46113</v>
      </c>
      <c r="S643" s="51">
        <v>0.78472222222222221</v>
      </c>
      <c r="T643" s="51">
        <v>0.79513888888888884</v>
      </c>
      <c r="X643" t="s">
        <v>228</v>
      </c>
      <c r="Y643" t="s">
        <v>3032</v>
      </c>
    </row>
    <row r="644" spans="1:26" x14ac:dyDescent="0.25">
      <c r="A644">
        <v>640</v>
      </c>
      <c r="B644" t="s">
        <v>24</v>
      </c>
      <c r="C644" t="s">
        <v>25</v>
      </c>
      <c r="D644">
        <v>13</v>
      </c>
      <c r="E644" t="s">
        <v>1672</v>
      </c>
      <c r="F644" t="s">
        <v>115</v>
      </c>
      <c r="G644">
        <v>4094</v>
      </c>
      <c r="H644" t="s">
        <v>2087</v>
      </c>
      <c r="I644" t="s">
        <v>2088</v>
      </c>
      <c r="J644">
        <v>8</v>
      </c>
      <c r="K644">
        <v>2</v>
      </c>
      <c r="L644">
        <v>1.8055555555555555E-3</v>
      </c>
      <c r="M644" t="s">
        <v>117</v>
      </c>
      <c r="N644" t="s">
        <v>159</v>
      </c>
      <c r="O644" s="24">
        <v>46109</v>
      </c>
      <c r="P644">
        <v>605</v>
      </c>
      <c r="Q644" t="s">
        <v>34</v>
      </c>
      <c r="R644" s="24">
        <v>46113</v>
      </c>
      <c r="S644" s="51">
        <v>0.875</v>
      </c>
      <c r="T644" s="51">
        <v>0.88888888888888884</v>
      </c>
      <c r="X644" t="s">
        <v>213</v>
      </c>
      <c r="Y644" t="s">
        <v>3032</v>
      </c>
    </row>
    <row r="645" spans="1:26" x14ac:dyDescent="0.25">
      <c r="A645">
        <v>641</v>
      </c>
      <c r="B645" t="s">
        <v>24</v>
      </c>
      <c r="C645" t="s">
        <v>25</v>
      </c>
      <c r="D645">
        <v>13</v>
      </c>
      <c r="E645" t="s">
        <v>1672</v>
      </c>
      <c r="F645" t="s">
        <v>498</v>
      </c>
      <c r="G645">
        <v>4094</v>
      </c>
      <c r="H645" t="s">
        <v>2299</v>
      </c>
      <c r="I645" t="s">
        <v>2300</v>
      </c>
      <c r="J645">
        <v>8</v>
      </c>
      <c r="K645">
        <v>3</v>
      </c>
      <c r="L645">
        <v>6.0300925925925921E-3</v>
      </c>
      <c r="M645" t="s">
        <v>117</v>
      </c>
      <c r="N645" t="s">
        <v>159</v>
      </c>
      <c r="O645" s="24">
        <v>46109</v>
      </c>
      <c r="P645">
        <v>605</v>
      </c>
      <c r="Q645" t="s">
        <v>34</v>
      </c>
      <c r="R645" s="24">
        <v>46113</v>
      </c>
      <c r="S645" s="51">
        <v>0.875</v>
      </c>
      <c r="T645" s="51">
        <v>0.88888888888888884</v>
      </c>
      <c r="X645" t="s">
        <v>213</v>
      </c>
      <c r="Y645" t="s">
        <v>3032</v>
      </c>
    </row>
    <row r="646" spans="1:26" x14ac:dyDescent="0.25">
      <c r="A646">
        <v>642</v>
      </c>
      <c r="B646" t="s">
        <v>24</v>
      </c>
      <c r="C646" t="s">
        <v>25</v>
      </c>
      <c r="D646">
        <v>13</v>
      </c>
      <c r="E646" t="s">
        <v>131</v>
      </c>
      <c r="F646" t="s">
        <v>115</v>
      </c>
      <c r="G646">
        <v>4094</v>
      </c>
      <c r="H646" t="s">
        <v>2387</v>
      </c>
      <c r="I646" t="s">
        <v>2138</v>
      </c>
      <c r="J646">
        <v>8</v>
      </c>
      <c r="K646">
        <v>1</v>
      </c>
      <c r="L646">
        <v>6.2384259259259259E-3</v>
      </c>
      <c r="M646" t="s">
        <v>117</v>
      </c>
      <c r="N646" t="s">
        <v>159</v>
      </c>
      <c r="O646" s="24">
        <v>46109</v>
      </c>
      <c r="P646">
        <v>605</v>
      </c>
      <c r="Q646" t="s">
        <v>34</v>
      </c>
      <c r="R646" s="24">
        <v>46113</v>
      </c>
      <c r="S646" s="51">
        <v>0.875</v>
      </c>
      <c r="T646" s="51">
        <v>0.88888888888888884</v>
      </c>
      <c r="X646" t="s">
        <v>213</v>
      </c>
      <c r="Y646" t="s">
        <v>3032</v>
      </c>
    </row>
    <row r="647" spans="1:26" x14ac:dyDescent="0.25">
      <c r="A647">
        <v>643</v>
      </c>
      <c r="B647" t="s">
        <v>24</v>
      </c>
      <c r="C647" t="s">
        <v>25</v>
      </c>
      <c r="D647">
        <v>13</v>
      </c>
      <c r="E647" t="s">
        <v>1672</v>
      </c>
      <c r="F647" t="s">
        <v>512</v>
      </c>
      <c r="G647">
        <v>4095</v>
      </c>
      <c r="H647" t="s">
        <v>2297</v>
      </c>
      <c r="I647" t="s">
        <v>2226</v>
      </c>
      <c r="J647">
        <v>8</v>
      </c>
      <c r="K647">
        <v>2</v>
      </c>
      <c r="L647">
        <v>3.3333333333333331E-3</v>
      </c>
      <c r="M647" t="s">
        <v>117</v>
      </c>
      <c r="N647" t="s">
        <v>572</v>
      </c>
      <c r="O647" s="24">
        <v>46118</v>
      </c>
      <c r="P647">
        <v>605</v>
      </c>
      <c r="Q647" t="s">
        <v>34</v>
      </c>
      <c r="R647" s="24">
        <v>46136</v>
      </c>
      <c r="S647" s="51">
        <v>0.41388888888888886</v>
      </c>
      <c r="T647" s="51">
        <v>0.4375</v>
      </c>
      <c r="X647" t="s">
        <v>3166</v>
      </c>
      <c r="Y647" t="s">
        <v>3029</v>
      </c>
      <c r="Z647">
        <v>3220579</v>
      </c>
    </row>
    <row r="648" spans="1:26" x14ac:dyDescent="0.25">
      <c r="A648">
        <v>644</v>
      </c>
      <c r="B648" t="s">
        <v>24</v>
      </c>
      <c r="C648" t="s">
        <v>25</v>
      </c>
      <c r="D648">
        <v>13</v>
      </c>
      <c r="E648" t="s">
        <v>1672</v>
      </c>
      <c r="F648" t="s">
        <v>115</v>
      </c>
      <c r="G648">
        <v>4095</v>
      </c>
      <c r="H648" t="s">
        <v>2087</v>
      </c>
      <c r="I648" t="s">
        <v>2088</v>
      </c>
      <c r="J648">
        <v>8</v>
      </c>
      <c r="K648">
        <v>1</v>
      </c>
      <c r="L648">
        <v>7.7546296296296293E-4</v>
      </c>
      <c r="M648" t="s">
        <v>117</v>
      </c>
      <c r="N648" t="s">
        <v>572</v>
      </c>
      <c r="O648" s="24">
        <v>46118</v>
      </c>
      <c r="P648">
        <v>605</v>
      </c>
      <c r="Q648" t="s">
        <v>34</v>
      </c>
      <c r="R648" s="24">
        <v>46136</v>
      </c>
      <c r="S648" s="51">
        <v>0.41388888888888886</v>
      </c>
      <c r="T648" s="51">
        <v>0.4375</v>
      </c>
      <c r="X648" t="s">
        <v>3166</v>
      </c>
      <c r="Y648" t="s">
        <v>3029</v>
      </c>
      <c r="Z648">
        <v>3220579</v>
      </c>
    </row>
    <row r="649" spans="1:26" x14ac:dyDescent="0.25">
      <c r="A649">
        <v>645</v>
      </c>
      <c r="B649" t="s">
        <v>24</v>
      </c>
      <c r="C649" t="s">
        <v>25</v>
      </c>
      <c r="D649">
        <v>13</v>
      </c>
      <c r="E649" t="s">
        <v>147</v>
      </c>
      <c r="F649" t="s">
        <v>512</v>
      </c>
      <c r="G649">
        <v>4095</v>
      </c>
      <c r="H649" t="s">
        <v>2352</v>
      </c>
      <c r="I649" t="s">
        <v>2161</v>
      </c>
      <c r="J649">
        <v>8</v>
      </c>
      <c r="K649">
        <v>4</v>
      </c>
      <c r="L649">
        <v>6.2847222222222219E-3</v>
      </c>
      <c r="M649" t="s">
        <v>117</v>
      </c>
      <c r="N649" t="s">
        <v>572</v>
      </c>
      <c r="O649" s="24">
        <v>46118</v>
      </c>
      <c r="P649">
        <v>605</v>
      </c>
      <c r="Q649" t="s">
        <v>34</v>
      </c>
      <c r="R649" s="24">
        <v>46136</v>
      </c>
      <c r="S649" s="51">
        <v>0.41388888888888886</v>
      </c>
      <c r="T649" s="51">
        <v>0.4375</v>
      </c>
      <c r="X649" t="s">
        <v>3166</v>
      </c>
      <c r="Y649" t="s">
        <v>3029</v>
      </c>
      <c r="Z649">
        <v>3220579</v>
      </c>
    </row>
    <row r="650" spans="1:26" x14ac:dyDescent="0.25">
      <c r="A650">
        <v>646</v>
      </c>
      <c r="B650" t="s">
        <v>24</v>
      </c>
      <c r="C650" t="s">
        <v>25</v>
      </c>
      <c r="D650">
        <v>13</v>
      </c>
      <c r="E650" t="s">
        <v>65</v>
      </c>
      <c r="F650" t="s">
        <v>1597</v>
      </c>
      <c r="G650">
        <v>4017</v>
      </c>
      <c r="H650" t="s">
        <v>2254</v>
      </c>
      <c r="I650" t="s">
        <v>2255</v>
      </c>
      <c r="J650">
        <v>8</v>
      </c>
      <c r="K650">
        <v>1</v>
      </c>
      <c r="L650">
        <v>2.7893518518518519E-3</v>
      </c>
      <c r="M650" t="s">
        <v>117</v>
      </c>
      <c r="N650" t="s">
        <v>351</v>
      </c>
      <c r="O650" s="24">
        <v>46114</v>
      </c>
      <c r="P650">
        <v>606</v>
      </c>
      <c r="Q650" t="s">
        <v>34</v>
      </c>
      <c r="R650" s="24">
        <v>46136</v>
      </c>
      <c r="S650" s="51">
        <v>0.55972222222222223</v>
      </c>
      <c r="T650" s="51">
        <v>0.5708333333333333</v>
      </c>
      <c r="X650" t="s">
        <v>3165</v>
      </c>
      <c r="Y650" t="s">
        <v>3035</v>
      </c>
      <c r="Z650">
        <v>1742372</v>
      </c>
    </row>
    <row r="651" spans="1:26" x14ac:dyDescent="0.25">
      <c r="A651">
        <v>647</v>
      </c>
      <c r="B651" t="s">
        <v>24</v>
      </c>
      <c r="C651" t="s">
        <v>25</v>
      </c>
      <c r="D651">
        <v>13</v>
      </c>
      <c r="E651" t="s">
        <v>367</v>
      </c>
      <c r="F651" t="s">
        <v>1592</v>
      </c>
      <c r="G651">
        <v>4513</v>
      </c>
      <c r="H651" t="s">
        <v>2455</v>
      </c>
      <c r="I651" t="s">
        <v>2456</v>
      </c>
      <c r="J651">
        <v>8</v>
      </c>
      <c r="K651">
        <v>2</v>
      </c>
      <c r="L651">
        <v>8.4490740740740739E-4</v>
      </c>
      <c r="M651" t="s">
        <v>117</v>
      </c>
      <c r="N651" t="s">
        <v>351</v>
      </c>
      <c r="O651" s="24">
        <v>46114</v>
      </c>
      <c r="P651">
        <v>606</v>
      </c>
      <c r="Q651" t="s">
        <v>34</v>
      </c>
      <c r="R651" s="24">
        <v>46136</v>
      </c>
      <c r="S651" s="51">
        <v>0.67361111111111116</v>
      </c>
      <c r="T651" s="51">
        <v>0.70208333333333328</v>
      </c>
      <c r="X651" t="s">
        <v>3167</v>
      </c>
      <c r="Y651" t="s">
        <v>3035</v>
      </c>
      <c r="Z651">
        <v>2733753</v>
      </c>
    </row>
    <row r="652" spans="1:26" x14ac:dyDescent="0.25">
      <c r="A652">
        <v>648</v>
      </c>
      <c r="B652" t="s">
        <v>24</v>
      </c>
      <c r="C652" t="s">
        <v>25</v>
      </c>
      <c r="D652">
        <v>13</v>
      </c>
      <c r="E652" t="s">
        <v>65</v>
      </c>
      <c r="F652" t="s">
        <v>1590</v>
      </c>
      <c r="G652">
        <v>4513</v>
      </c>
      <c r="H652" t="s">
        <v>2102</v>
      </c>
      <c r="I652" t="s">
        <v>2103</v>
      </c>
      <c r="J652">
        <v>8</v>
      </c>
      <c r="K652">
        <v>2</v>
      </c>
      <c r="L652">
        <v>1.3888888888888887E-3</v>
      </c>
      <c r="M652" t="s">
        <v>117</v>
      </c>
      <c r="N652" t="s">
        <v>351</v>
      </c>
      <c r="O652" s="24">
        <v>46114</v>
      </c>
      <c r="P652">
        <v>606</v>
      </c>
      <c r="Q652" t="s">
        <v>34</v>
      </c>
      <c r="R652" s="24">
        <v>46136</v>
      </c>
      <c r="S652" s="51">
        <v>0.67361111111111116</v>
      </c>
      <c r="T652" s="51">
        <v>0.70208333333333328</v>
      </c>
      <c r="X652" t="s">
        <v>3167</v>
      </c>
      <c r="Y652" t="s">
        <v>3035</v>
      </c>
      <c r="Z652">
        <v>2733753</v>
      </c>
    </row>
    <row r="653" spans="1:26" x14ac:dyDescent="0.25">
      <c r="A653">
        <v>649</v>
      </c>
      <c r="B653" t="s">
        <v>24</v>
      </c>
      <c r="C653" t="s">
        <v>25</v>
      </c>
      <c r="D653">
        <v>13</v>
      </c>
      <c r="E653" t="s">
        <v>65</v>
      </c>
      <c r="F653" t="s">
        <v>492</v>
      </c>
      <c r="G653">
        <v>4513</v>
      </c>
      <c r="H653" t="s">
        <v>2587</v>
      </c>
      <c r="I653" t="s">
        <v>2582</v>
      </c>
      <c r="J653">
        <v>8</v>
      </c>
      <c r="K653">
        <v>1</v>
      </c>
      <c r="L653">
        <v>2.3148148148148147E-3</v>
      </c>
      <c r="M653" t="s">
        <v>117</v>
      </c>
      <c r="N653" t="s">
        <v>351</v>
      </c>
      <c r="O653" s="24">
        <v>46114</v>
      </c>
      <c r="P653">
        <v>606</v>
      </c>
      <c r="Q653" t="s">
        <v>34</v>
      </c>
      <c r="R653" s="24">
        <v>46136</v>
      </c>
      <c r="S653" s="51">
        <v>0.67361111111111116</v>
      </c>
      <c r="T653" s="51">
        <v>0.70208333333333328</v>
      </c>
      <c r="X653" t="s">
        <v>3167</v>
      </c>
      <c r="Y653" t="s">
        <v>3035</v>
      </c>
      <c r="Z653">
        <v>2733753</v>
      </c>
    </row>
    <row r="654" spans="1:26" x14ac:dyDescent="0.25">
      <c r="A654">
        <v>650</v>
      </c>
      <c r="B654" t="s">
        <v>24</v>
      </c>
      <c r="C654" t="s">
        <v>25</v>
      </c>
      <c r="D654">
        <v>13</v>
      </c>
      <c r="E654" t="s">
        <v>65</v>
      </c>
      <c r="F654" t="s">
        <v>1596</v>
      </c>
      <c r="G654">
        <v>4513</v>
      </c>
      <c r="H654" t="s">
        <v>2588</v>
      </c>
      <c r="I654" t="s">
        <v>2255</v>
      </c>
      <c r="J654">
        <v>8</v>
      </c>
      <c r="K654">
        <v>1</v>
      </c>
      <c r="L654">
        <v>2.5231481481481481E-3</v>
      </c>
      <c r="M654" t="s">
        <v>117</v>
      </c>
      <c r="N654" t="s">
        <v>351</v>
      </c>
      <c r="O654" s="24">
        <v>46114</v>
      </c>
      <c r="P654">
        <v>606</v>
      </c>
      <c r="Q654" t="s">
        <v>34</v>
      </c>
      <c r="R654" s="24">
        <v>46136</v>
      </c>
      <c r="S654" s="51">
        <v>0.67361111111111116</v>
      </c>
      <c r="T654" s="51">
        <v>0.70208333333333328</v>
      </c>
      <c r="X654" t="s">
        <v>3167</v>
      </c>
      <c r="Y654" t="s">
        <v>3035</v>
      </c>
      <c r="Z654">
        <v>2733753</v>
      </c>
    </row>
    <row r="655" spans="1:26" x14ac:dyDescent="0.25">
      <c r="A655">
        <v>651</v>
      </c>
      <c r="B655" t="s">
        <v>24</v>
      </c>
      <c r="C655" t="s">
        <v>25</v>
      </c>
      <c r="D655">
        <v>13</v>
      </c>
      <c r="E655" t="s">
        <v>65</v>
      </c>
      <c r="F655" t="s">
        <v>492</v>
      </c>
      <c r="G655">
        <v>4513</v>
      </c>
      <c r="H655" t="s">
        <v>2589</v>
      </c>
      <c r="I655" t="s">
        <v>2582</v>
      </c>
      <c r="J655">
        <v>8</v>
      </c>
      <c r="K655">
        <v>1</v>
      </c>
      <c r="L655">
        <v>2.3726851851851851E-3</v>
      </c>
      <c r="M655" t="s">
        <v>117</v>
      </c>
      <c r="N655" t="s">
        <v>351</v>
      </c>
      <c r="O655" s="24">
        <v>46114</v>
      </c>
      <c r="P655">
        <v>606</v>
      </c>
      <c r="Q655" t="s">
        <v>34</v>
      </c>
      <c r="R655" s="24">
        <v>46136</v>
      </c>
      <c r="S655" s="51">
        <v>0.67361111111111116</v>
      </c>
      <c r="T655" s="51">
        <v>0.70208333333333328</v>
      </c>
      <c r="X655" t="s">
        <v>3167</v>
      </c>
      <c r="Y655" t="s">
        <v>3035</v>
      </c>
      <c r="Z655">
        <v>2733753</v>
      </c>
    </row>
    <row r="656" spans="1:26" x14ac:dyDescent="0.25">
      <c r="A656">
        <v>652</v>
      </c>
      <c r="B656" t="s">
        <v>24</v>
      </c>
      <c r="C656" t="s">
        <v>25</v>
      </c>
      <c r="D656">
        <v>13</v>
      </c>
      <c r="E656" t="s">
        <v>2094</v>
      </c>
      <c r="F656" t="s">
        <v>44</v>
      </c>
      <c r="G656">
        <v>4513</v>
      </c>
      <c r="H656" t="s">
        <v>48</v>
      </c>
      <c r="I656" t="s">
        <v>1119</v>
      </c>
      <c r="J656">
        <v>8</v>
      </c>
      <c r="K656">
        <v>3</v>
      </c>
      <c r="L656">
        <v>4.1550925925925922E-3</v>
      </c>
      <c r="M656" t="s">
        <v>117</v>
      </c>
      <c r="N656" t="s">
        <v>351</v>
      </c>
      <c r="O656" s="24">
        <v>46114</v>
      </c>
      <c r="P656">
        <v>606</v>
      </c>
      <c r="Q656" t="s">
        <v>34</v>
      </c>
      <c r="R656" s="24">
        <v>46136</v>
      </c>
      <c r="S656" s="51">
        <v>0.67361111111111116</v>
      </c>
      <c r="T656" s="51">
        <v>0.70208333333333328</v>
      </c>
      <c r="X656" t="s">
        <v>3167</v>
      </c>
      <c r="Y656" t="s">
        <v>3035</v>
      </c>
      <c r="Z656">
        <v>2733753</v>
      </c>
    </row>
    <row r="657" spans="1:26" x14ac:dyDescent="0.25">
      <c r="A657">
        <v>653</v>
      </c>
      <c r="B657" t="s">
        <v>24</v>
      </c>
      <c r="C657" t="s">
        <v>25</v>
      </c>
      <c r="D657">
        <v>13</v>
      </c>
      <c r="E657" t="s">
        <v>1665</v>
      </c>
      <c r="F657" t="s">
        <v>498</v>
      </c>
      <c r="G657">
        <v>4479</v>
      </c>
      <c r="H657" t="s">
        <v>2311</v>
      </c>
      <c r="I657" t="s">
        <v>2300</v>
      </c>
      <c r="J657">
        <v>8</v>
      </c>
      <c r="K657">
        <v>2</v>
      </c>
      <c r="L657">
        <v>3.7615740740740739E-3</v>
      </c>
      <c r="M657" t="s">
        <v>117</v>
      </c>
      <c r="N657" t="s">
        <v>572</v>
      </c>
      <c r="O657" s="24">
        <v>46118</v>
      </c>
      <c r="P657">
        <v>605</v>
      </c>
      <c r="Q657" t="s">
        <v>34</v>
      </c>
      <c r="R657" s="24">
        <v>46136</v>
      </c>
      <c r="S657" s="51">
        <v>0.35486111111111113</v>
      </c>
      <c r="T657" s="51">
        <v>0.37638888888888888</v>
      </c>
      <c r="X657" t="s">
        <v>3168</v>
      </c>
      <c r="Y657" t="s">
        <v>3029</v>
      </c>
      <c r="Z657">
        <v>2778453</v>
      </c>
    </row>
    <row r="658" spans="1:26" x14ac:dyDescent="0.25">
      <c r="A658">
        <v>654</v>
      </c>
      <c r="B658" t="s">
        <v>24</v>
      </c>
      <c r="C658" t="s">
        <v>25</v>
      </c>
      <c r="D658">
        <v>13</v>
      </c>
      <c r="E658" t="s">
        <v>1672</v>
      </c>
      <c r="F658" t="s">
        <v>498</v>
      </c>
      <c r="G658">
        <v>4479</v>
      </c>
      <c r="H658" t="s">
        <v>2299</v>
      </c>
      <c r="I658" t="s">
        <v>2300</v>
      </c>
      <c r="J658">
        <v>8</v>
      </c>
      <c r="K658">
        <v>3</v>
      </c>
      <c r="L658">
        <v>5.6365740740740742E-3</v>
      </c>
      <c r="M658" t="s">
        <v>117</v>
      </c>
      <c r="N658" t="s">
        <v>572</v>
      </c>
      <c r="O658" s="24">
        <v>46118</v>
      </c>
      <c r="P658">
        <v>605</v>
      </c>
      <c r="Q658" t="s">
        <v>34</v>
      </c>
      <c r="R658" s="24">
        <v>46136</v>
      </c>
      <c r="S658" s="51">
        <v>0.35486111111111113</v>
      </c>
      <c r="T658" s="51">
        <v>0.37638888888888888</v>
      </c>
      <c r="X658" t="s">
        <v>3168</v>
      </c>
      <c r="Y658" t="s">
        <v>3029</v>
      </c>
      <c r="Z658">
        <v>2778453</v>
      </c>
    </row>
    <row r="659" spans="1:26" x14ac:dyDescent="0.25">
      <c r="A659">
        <v>655</v>
      </c>
      <c r="B659" t="s">
        <v>24</v>
      </c>
      <c r="C659" t="s">
        <v>25</v>
      </c>
      <c r="D659">
        <v>13</v>
      </c>
      <c r="E659" t="s">
        <v>65</v>
      </c>
      <c r="F659" t="s">
        <v>1590</v>
      </c>
      <c r="G659">
        <v>4479</v>
      </c>
      <c r="H659" t="s">
        <v>2489</v>
      </c>
      <c r="I659" t="s">
        <v>2258</v>
      </c>
      <c r="J659">
        <v>8</v>
      </c>
      <c r="K659">
        <v>1</v>
      </c>
      <c r="L659">
        <v>5.9375000000000001E-3</v>
      </c>
      <c r="M659" t="s">
        <v>117</v>
      </c>
      <c r="N659" t="s">
        <v>572</v>
      </c>
      <c r="O659" s="24">
        <v>46118</v>
      </c>
      <c r="P659">
        <v>605</v>
      </c>
      <c r="Q659" t="s">
        <v>34</v>
      </c>
      <c r="R659" s="24">
        <v>46136</v>
      </c>
      <c r="S659" s="51">
        <v>0.35486111111111113</v>
      </c>
      <c r="T659" s="51">
        <v>0.37638888888888888</v>
      </c>
      <c r="X659" t="s">
        <v>3168</v>
      </c>
      <c r="Y659" t="s">
        <v>3029</v>
      </c>
      <c r="Z659">
        <v>2778453</v>
      </c>
    </row>
    <row r="660" spans="1:26" x14ac:dyDescent="0.25">
      <c r="A660">
        <v>656</v>
      </c>
      <c r="B660" t="s">
        <v>24</v>
      </c>
      <c r="C660" t="s">
        <v>25</v>
      </c>
      <c r="D660">
        <v>13</v>
      </c>
      <c r="E660" t="s">
        <v>1672</v>
      </c>
      <c r="F660" t="s">
        <v>498</v>
      </c>
      <c r="G660">
        <v>4252</v>
      </c>
      <c r="H660" t="s">
        <v>2055</v>
      </c>
      <c r="I660" t="s">
        <v>2056</v>
      </c>
      <c r="J660">
        <v>8</v>
      </c>
      <c r="K660">
        <v>1</v>
      </c>
      <c r="L660">
        <v>9.1435185185185185E-4</v>
      </c>
      <c r="M660" t="s">
        <v>117</v>
      </c>
      <c r="N660" t="s">
        <v>113</v>
      </c>
      <c r="O660" s="24">
        <v>46113</v>
      </c>
      <c r="P660">
        <v>603</v>
      </c>
      <c r="Q660" t="s">
        <v>34</v>
      </c>
      <c r="R660" s="24">
        <v>46113</v>
      </c>
      <c r="S660" s="51">
        <v>0.5708333333333333</v>
      </c>
      <c r="T660" s="51">
        <v>0.58125000000000004</v>
      </c>
      <c r="X660" t="s">
        <v>142</v>
      </c>
      <c r="Y660" t="s">
        <v>3072</v>
      </c>
      <c r="Z660">
        <v>2733753</v>
      </c>
    </row>
    <row r="661" spans="1:26" x14ac:dyDescent="0.25">
      <c r="A661">
        <v>657</v>
      </c>
      <c r="B661" t="s">
        <v>24</v>
      </c>
      <c r="C661" t="s">
        <v>25</v>
      </c>
      <c r="D661">
        <v>13</v>
      </c>
      <c r="E661" t="s">
        <v>367</v>
      </c>
      <c r="F661" t="s">
        <v>367</v>
      </c>
      <c r="G661">
        <v>4252</v>
      </c>
      <c r="H661" t="s">
        <v>2328</v>
      </c>
      <c r="I661" t="s">
        <v>2329</v>
      </c>
      <c r="J661">
        <v>8</v>
      </c>
      <c r="K661">
        <v>1</v>
      </c>
      <c r="L661">
        <v>7.2916666666666659E-4</v>
      </c>
      <c r="M661" t="s">
        <v>117</v>
      </c>
      <c r="N661" t="s">
        <v>113</v>
      </c>
      <c r="O661" s="24">
        <v>46113</v>
      </c>
      <c r="P661">
        <v>603</v>
      </c>
      <c r="Q661" t="s">
        <v>34</v>
      </c>
      <c r="R661" s="24">
        <v>46113</v>
      </c>
      <c r="S661" s="51">
        <v>0.5708333333333333</v>
      </c>
      <c r="T661" s="51">
        <v>0.58125000000000004</v>
      </c>
      <c r="X661" t="s">
        <v>142</v>
      </c>
      <c r="Y661" t="s">
        <v>3072</v>
      </c>
      <c r="Z661">
        <v>2733753</v>
      </c>
    </row>
    <row r="662" spans="1:26" x14ac:dyDescent="0.25">
      <c r="A662">
        <v>658</v>
      </c>
      <c r="B662" t="s">
        <v>24</v>
      </c>
      <c r="C662" t="s">
        <v>25</v>
      </c>
      <c r="D662">
        <v>13</v>
      </c>
      <c r="E662" t="s">
        <v>65</v>
      </c>
      <c r="F662" t="s">
        <v>1591</v>
      </c>
      <c r="G662">
        <v>4252</v>
      </c>
      <c r="H662" t="s">
        <v>2428</v>
      </c>
      <c r="I662" t="s">
        <v>2191</v>
      </c>
      <c r="J662">
        <v>8</v>
      </c>
      <c r="K662">
        <v>1</v>
      </c>
      <c r="L662">
        <v>8.5648148148148139E-4</v>
      </c>
      <c r="M662" t="s">
        <v>117</v>
      </c>
      <c r="N662" t="s">
        <v>113</v>
      </c>
      <c r="O662" s="24">
        <v>46113</v>
      </c>
      <c r="P662">
        <v>603</v>
      </c>
      <c r="Q662" t="s">
        <v>34</v>
      </c>
      <c r="R662" s="24">
        <v>46113</v>
      </c>
      <c r="S662" s="51">
        <v>0.5708333333333333</v>
      </c>
      <c r="T662" s="51">
        <v>0.58125000000000004</v>
      </c>
      <c r="X662" t="s">
        <v>142</v>
      </c>
      <c r="Y662" t="s">
        <v>3072</v>
      </c>
      <c r="Z662">
        <v>2733753</v>
      </c>
    </row>
    <row r="663" spans="1:26" x14ac:dyDescent="0.25">
      <c r="A663">
        <v>659</v>
      </c>
      <c r="B663" t="s">
        <v>24</v>
      </c>
      <c r="C663" t="s">
        <v>25</v>
      </c>
      <c r="D663">
        <v>13</v>
      </c>
      <c r="E663" t="s">
        <v>65</v>
      </c>
      <c r="F663" t="s">
        <v>1598</v>
      </c>
      <c r="G663">
        <v>4252</v>
      </c>
      <c r="H663" t="s">
        <v>2429</v>
      </c>
      <c r="I663" t="s">
        <v>2306</v>
      </c>
      <c r="J663">
        <v>8</v>
      </c>
      <c r="K663">
        <v>1</v>
      </c>
      <c r="L663">
        <v>8.5648148148148139E-4</v>
      </c>
      <c r="M663" t="s">
        <v>117</v>
      </c>
      <c r="N663" t="s">
        <v>113</v>
      </c>
      <c r="O663" s="24">
        <v>46113</v>
      </c>
      <c r="P663">
        <v>603</v>
      </c>
      <c r="Q663" t="s">
        <v>34</v>
      </c>
      <c r="R663" s="24">
        <v>46113</v>
      </c>
      <c r="S663" s="51">
        <v>0.5708333333333333</v>
      </c>
      <c r="T663" s="51">
        <v>0.58125000000000004</v>
      </c>
      <c r="X663" t="s">
        <v>142</v>
      </c>
      <c r="Y663" t="s">
        <v>3072</v>
      </c>
      <c r="Z663">
        <v>2733753</v>
      </c>
    </row>
    <row r="664" spans="1:26" x14ac:dyDescent="0.25">
      <c r="A664">
        <v>660</v>
      </c>
      <c r="B664" t="s">
        <v>24</v>
      </c>
      <c r="C664" t="s">
        <v>25</v>
      </c>
      <c r="D664">
        <v>13</v>
      </c>
      <c r="E664" t="s">
        <v>2430</v>
      </c>
      <c r="F664" t="s">
        <v>44</v>
      </c>
      <c r="G664">
        <v>4252</v>
      </c>
      <c r="H664" t="s">
        <v>54</v>
      </c>
      <c r="I664" t="s">
        <v>1119</v>
      </c>
      <c r="J664">
        <v>8</v>
      </c>
      <c r="K664">
        <v>1</v>
      </c>
      <c r="L664">
        <v>1.3310185185185185E-3</v>
      </c>
      <c r="M664" t="s">
        <v>117</v>
      </c>
      <c r="N664" t="s">
        <v>113</v>
      </c>
      <c r="O664" s="24">
        <v>46113</v>
      </c>
      <c r="P664">
        <v>603</v>
      </c>
      <c r="Q664" t="s">
        <v>34</v>
      </c>
      <c r="R664" s="24">
        <v>46113</v>
      </c>
      <c r="S664" s="51">
        <v>0.5708333333333333</v>
      </c>
      <c r="T664" s="51">
        <v>0.58125000000000004</v>
      </c>
      <c r="X664" t="s">
        <v>142</v>
      </c>
      <c r="Y664" t="s">
        <v>3072</v>
      </c>
      <c r="Z664">
        <v>2733753</v>
      </c>
    </row>
    <row r="665" spans="1:26" x14ac:dyDescent="0.25">
      <c r="A665">
        <v>661</v>
      </c>
      <c r="B665" t="s">
        <v>24</v>
      </c>
      <c r="C665" t="s">
        <v>25</v>
      </c>
      <c r="D665">
        <v>13</v>
      </c>
      <c r="E665" t="s">
        <v>1665</v>
      </c>
      <c r="F665" t="s">
        <v>115</v>
      </c>
      <c r="G665">
        <v>4252</v>
      </c>
      <c r="H665" t="s">
        <v>2431</v>
      </c>
      <c r="I665" t="s">
        <v>2278</v>
      </c>
      <c r="J665">
        <v>8</v>
      </c>
      <c r="K665">
        <v>1</v>
      </c>
      <c r="L665">
        <v>6.8634259259259256E-3</v>
      </c>
      <c r="M665" t="s">
        <v>117</v>
      </c>
      <c r="N665" t="s">
        <v>113</v>
      </c>
      <c r="O665" s="24">
        <v>46113</v>
      </c>
      <c r="P665">
        <v>603</v>
      </c>
      <c r="Q665" t="s">
        <v>34</v>
      </c>
      <c r="R665" s="24">
        <v>46113</v>
      </c>
      <c r="S665" s="51">
        <v>0.5708333333333333</v>
      </c>
      <c r="T665" s="51">
        <v>0.58125000000000004</v>
      </c>
      <c r="X665" t="s">
        <v>142</v>
      </c>
      <c r="Y665" t="s">
        <v>3072</v>
      </c>
      <c r="Z665">
        <v>2733753</v>
      </c>
    </row>
    <row r="666" spans="1:26" x14ac:dyDescent="0.25">
      <c r="A666">
        <v>662</v>
      </c>
      <c r="B666" t="s">
        <v>24</v>
      </c>
      <c r="C666" t="s">
        <v>25</v>
      </c>
      <c r="D666">
        <v>13</v>
      </c>
      <c r="E666" t="s">
        <v>1665</v>
      </c>
      <c r="F666" t="s">
        <v>498</v>
      </c>
      <c r="G666">
        <v>4253</v>
      </c>
      <c r="H666" t="s">
        <v>2110</v>
      </c>
      <c r="I666" t="s">
        <v>2111</v>
      </c>
      <c r="J666">
        <v>8</v>
      </c>
      <c r="K666">
        <v>7</v>
      </c>
      <c r="L666">
        <v>3.7615740740740739E-3</v>
      </c>
      <c r="M666" t="s">
        <v>117</v>
      </c>
      <c r="N666" t="s">
        <v>239</v>
      </c>
      <c r="O666" s="24">
        <v>46114</v>
      </c>
      <c r="P666">
        <v>605</v>
      </c>
      <c r="Q666" t="s">
        <v>34</v>
      </c>
      <c r="R666" s="24">
        <v>46136</v>
      </c>
      <c r="S666" s="51">
        <v>0.47986111111111113</v>
      </c>
      <c r="T666" s="51">
        <v>0.48958333333333331</v>
      </c>
      <c r="X666" t="s">
        <v>3169</v>
      </c>
      <c r="Y666" t="s">
        <v>3029</v>
      </c>
      <c r="Z666">
        <v>1786246</v>
      </c>
    </row>
    <row r="667" spans="1:26" x14ac:dyDescent="0.25">
      <c r="A667">
        <v>663</v>
      </c>
      <c r="B667" t="s">
        <v>24</v>
      </c>
      <c r="C667" t="s">
        <v>25</v>
      </c>
      <c r="D667">
        <v>13</v>
      </c>
      <c r="E667" t="s">
        <v>367</v>
      </c>
      <c r="F667" t="s">
        <v>1593</v>
      </c>
      <c r="G667">
        <v>4253</v>
      </c>
      <c r="H667" t="s">
        <v>2046</v>
      </c>
      <c r="I667" t="s">
        <v>2047</v>
      </c>
      <c r="J667">
        <v>8</v>
      </c>
      <c r="K667">
        <v>2</v>
      </c>
      <c r="L667">
        <v>1.0995370370370369E-3</v>
      </c>
      <c r="M667" t="s">
        <v>117</v>
      </c>
      <c r="N667" t="s">
        <v>239</v>
      </c>
      <c r="O667" s="24">
        <v>46114</v>
      </c>
      <c r="P667">
        <v>605</v>
      </c>
      <c r="Q667" t="s">
        <v>34</v>
      </c>
      <c r="R667" s="24">
        <v>46136</v>
      </c>
      <c r="S667" s="51">
        <v>0.47986111111111113</v>
      </c>
      <c r="T667" s="51">
        <v>0.48958333333333331</v>
      </c>
      <c r="X667" t="s">
        <v>3169</v>
      </c>
      <c r="Y667" t="s">
        <v>3029</v>
      </c>
      <c r="Z667">
        <v>1786246</v>
      </c>
    </row>
    <row r="668" spans="1:26" x14ac:dyDescent="0.25">
      <c r="A668">
        <v>664</v>
      </c>
      <c r="B668" t="s">
        <v>24</v>
      </c>
      <c r="C668" t="s">
        <v>25</v>
      </c>
      <c r="D668">
        <v>13</v>
      </c>
      <c r="E668" t="s">
        <v>367</v>
      </c>
      <c r="F668" t="s">
        <v>1594</v>
      </c>
      <c r="G668">
        <v>4253</v>
      </c>
      <c r="H668" t="s">
        <v>2433</v>
      </c>
      <c r="I668" t="s">
        <v>2434</v>
      </c>
      <c r="J668">
        <v>8</v>
      </c>
      <c r="K668">
        <v>1</v>
      </c>
      <c r="L668">
        <v>3.1828703703703702E-3</v>
      </c>
      <c r="M668" t="s">
        <v>117</v>
      </c>
      <c r="N668" t="s">
        <v>239</v>
      </c>
      <c r="O668" s="24">
        <v>46114</v>
      </c>
      <c r="P668">
        <v>605</v>
      </c>
      <c r="Q668" t="s">
        <v>34</v>
      </c>
      <c r="R668" s="24">
        <v>46136</v>
      </c>
      <c r="S668" s="51">
        <v>0.47986111111111113</v>
      </c>
      <c r="T668" s="51">
        <v>0.48958333333333331</v>
      </c>
      <c r="X668" t="s">
        <v>3169</v>
      </c>
      <c r="Y668" t="s">
        <v>3029</v>
      </c>
      <c r="Z668">
        <v>1786246</v>
      </c>
    </row>
    <row r="669" spans="1:26" x14ac:dyDescent="0.25">
      <c r="A669">
        <v>665</v>
      </c>
      <c r="B669" t="s">
        <v>24</v>
      </c>
      <c r="C669" t="s">
        <v>25</v>
      </c>
      <c r="D669">
        <v>13</v>
      </c>
      <c r="E669" t="s">
        <v>65</v>
      </c>
      <c r="F669" t="s">
        <v>1589</v>
      </c>
      <c r="G669">
        <v>4253</v>
      </c>
      <c r="H669" t="s">
        <v>2435</v>
      </c>
      <c r="I669" t="s">
        <v>2436</v>
      </c>
      <c r="J669">
        <v>8</v>
      </c>
      <c r="K669">
        <v>1</v>
      </c>
      <c r="L669">
        <v>1.5393518518518519E-3</v>
      </c>
      <c r="M669" t="s">
        <v>117</v>
      </c>
      <c r="N669" t="s">
        <v>239</v>
      </c>
      <c r="O669" s="24">
        <v>46114</v>
      </c>
      <c r="P669">
        <v>605</v>
      </c>
      <c r="Q669" t="s">
        <v>34</v>
      </c>
      <c r="R669" s="24">
        <v>46136</v>
      </c>
      <c r="S669" s="51">
        <v>0.47986111111111113</v>
      </c>
      <c r="T669" s="51">
        <v>0.48958333333333331</v>
      </c>
      <c r="X669" t="s">
        <v>3169</v>
      </c>
      <c r="Y669" t="s">
        <v>3029</v>
      </c>
      <c r="Z669">
        <v>1786246</v>
      </c>
    </row>
    <row r="670" spans="1:26" x14ac:dyDescent="0.25">
      <c r="A670">
        <v>666</v>
      </c>
      <c r="B670" t="s">
        <v>24</v>
      </c>
      <c r="C670" t="s">
        <v>25</v>
      </c>
      <c r="D670">
        <v>13</v>
      </c>
      <c r="E670" t="s">
        <v>65</v>
      </c>
      <c r="F670" t="s">
        <v>1591</v>
      </c>
      <c r="G670">
        <v>4253</v>
      </c>
      <c r="H670" t="s">
        <v>2437</v>
      </c>
      <c r="I670" t="s">
        <v>2262</v>
      </c>
      <c r="J670">
        <v>8</v>
      </c>
      <c r="K670">
        <v>1</v>
      </c>
      <c r="L670">
        <v>3.2291666666666666E-3</v>
      </c>
      <c r="M670" t="s">
        <v>117</v>
      </c>
      <c r="N670" t="s">
        <v>239</v>
      </c>
      <c r="O670" s="24">
        <v>46114</v>
      </c>
      <c r="P670">
        <v>605</v>
      </c>
      <c r="Q670" t="s">
        <v>34</v>
      </c>
      <c r="R670" s="24">
        <v>46136</v>
      </c>
      <c r="S670" s="51">
        <v>0.47986111111111113</v>
      </c>
      <c r="T670" s="51">
        <v>0.48958333333333331</v>
      </c>
      <c r="X670" t="s">
        <v>3169</v>
      </c>
      <c r="Y670" t="s">
        <v>3029</v>
      </c>
      <c r="Z670">
        <v>1786246</v>
      </c>
    </row>
    <row r="671" spans="1:26" x14ac:dyDescent="0.25">
      <c r="A671">
        <v>667</v>
      </c>
      <c r="B671" t="s">
        <v>24</v>
      </c>
      <c r="C671" t="s">
        <v>25</v>
      </c>
      <c r="D671">
        <v>13</v>
      </c>
      <c r="E671" t="s">
        <v>65</v>
      </c>
      <c r="F671" t="s">
        <v>1597</v>
      </c>
      <c r="G671">
        <v>4253</v>
      </c>
      <c r="H671" t="s">
        <v>2438</v>
      </c>
      <c r="I671" t="s">
        <v>2319</v>
      </c>
      <c r="J671">
        <v>8</v>
      </c>
      <c r="K671">
        <v>1</v>
      </c>
      <c r="L671">
        <v>2.3032407407407407E-3</v>
      </c>
      <c r="M671" t="s">
        <v>117</v>
      </c>
      <c r="N671" t="s">
        <v>239</v>
      </c>
      <c r="O671" s="24">
        <v>46114</v>
      </c>
      <c r="P671">
        <v>605</v>
      </c>
      <c r="Q671" t="s">
        <v>34</v>
      </c>
      <c r="R671" s="24">
        <v>46136</v>
      </c>
      <c r="S671" s="51">
        <v>0.47986111111111113</v>
      </c>
      <c r="T671" s="51">
        <v>0.48958333333333331</v>
      </c>
      <c r="X671" t="s">
        <v>3169</v>
      </c>
      <c r="Y671" t="s">
        <v>3029</v>
      </c>
      <c r="Z671">
        <v>1786246</v>
      </c>
    </row>
    <row r="672" spans="1:26" x14ac:dyDescent="0.25">
      <c r="A672">
        <v>668</v>
      </c>
      <c r="B672" t="s">
        <v>24</v>
      </c>
      <c r="C672" t="s">
        <v>25</v>
      </c>
      <c r="D672">
        <v>13</v>
      </c>
      <c r="E672" t="s">
        <v>1665</v>
      </c>
      <c r="F672" t="s">
        <v>512</v>
      </c>
      <c r="G672">
        <v>4516</v>
      </c>
      <c r="H672" t="s">
        <v>2225</v>
      </c>
      <c r="I672" t="s">
        <v>2226</v>
      </c>
      <c r="J672">
        <v>8</v>
      </c>
      <c r="K672">
        <v>6</v>
      </c>
      <c r="L672">
        <v>1.0729166666666666E-2</v>
      </c>
      <c r="M672" t="s">
        <v>117</v>
      </c>
      <c r="N672" t="s">
        <v>159</v>
      </c>
      <c r="O672" s="24">
        <v>46109</v>
      </c>
      <c r="P672">
        <v>605</v>
      </c>
      <c r="Q672" t="s">
        <v>34</v>
      </c>
      <c r="R672" s="24">
        <v>46113</v>
      </c>
      <c r="S672" s="51">
        <v>0.89236111111111116</v>
      </c>
      <c r="T672" s="51">
        <v>0.96527777777777779</v>
      </c>
      <c r="X672" t="s">
        <v>238</v>
      </c>
      <c r="Y672" t="s">
        <v>3032</v>
      </c>
    </row>
    <row r="673" spans="1:26" x14ac:dyDescent="0.25">
      <c r="A673">
        <v>669</v>
      </c>
      <c r="B673" t="s">
        <v>24</v>
      </c>
      <c r="C673" t="s">
        <v>25</v>
      </c>
      <c r="D673">
        <v>13</v>
      </c>
      <c r="E673" t="s">
        <v>1665</v>
      </c>
      <c r="F673" t="s">
        <v>512</v>
      </c>
      <c r="G673">
        <v>4095</v>
      </c>
      <c r="H673" t="s">
        <v>2228</v>
      </c>
      <c r="I673" t="s">
        <v>2153</v>
      </c>
      <c r="J673">
        <v>8</v>
      </c>
      <c r="K673">
        <v>2</v>
      </c>
      <c r="L673">
        <v>2.9745370370370368E-3</v>
      </c>
      <c r="M673" t="s">
        <v>117</v>
      </c>
      <c r="N673" t="s">
        <v>572</v>
      </c>
      <c r="O673" s="24">
        <v>46118</v>
      </c>
      <c r="P673">
        <v>605</v>
      </c>
      <c r="Q673" t="s">
        <v>34</v>
      </c>
      <c r="R673" s="24">
        <v>46136</v>
      </c>
      <c r="S673" s="51">
        <v>0.41388888888888886</v>
      </c>
      <c r="T673" s="51">
        <v>0.4375</v>
      </c>
      <c r="X673" t="s">
        <v>3166</v>
      </c>
      <c r="Y673" t="s">
        <v>3029</v>
      </c>
      <c r="Z673">
        <v>3220579</v>
      </c>
    </row>
    <row r="674" spans="1:26" x14ac:dyDescent="0.25">
      <c r="A674">
        <v>670</v>
      </c>
      <c r="B674" t="s">
        <v>24</v>
      </c>
      <c r="C674" t="s">
        <v>25</v>
      </c>
      <c r="D674">
        <v>13</v>
      </c>
      <c r="E674" t="s">
        <v>65</v>
      </c>
      <c r="F674" t="s">
        <v>65</v>
      </c>
      <c r="G674">
        <v>4095</v>
      </c>
      <c r="H674" t="s">
        <v>2083</v>
      </c>
      <c r="I674" t="s">
        <v>2084</v>
      </c>
      <c r="J674">
        <v>8</v>
      </c>
      <c r="K674">
        <v>11</v>
      </c>
      <c r="L674">
        <v>5.0000000000000001E-3</v>
      </c>
      <c r="M674" t="s">
        <v>117</v>
      </c>
      <c r="N674" t="s">
        <v>572</v>
      </c>
      <c r="O674" s="24">
        <v>46118</v>
      </c>
      <c r="P674">
        <v>605</v>
      </c>
      <c r="Q674" t="s">
        <v>34</v>
      </c>
      <c r="R674" s="24">
        <v>46136</v>
      </c>
      <c r="S674" s="51">
        <v>0.41388888888888886</v>
      </c>
      <c r="T674" s="51">
        <v>0.4375</v>
      </c>
      <c r="X674" t="s">
        <v>3166</v>
      </c>
      <c r="Y674" t="s">
        <v>3029</v>
      </c>
      <c r="Z674">
        <v>3220579</v>
      </c>
    </row>
    <row r="675" spans="1:26" x14ac:dyDescent="0.25">
      <c r="A675">
        <v>671</v>
      </c>
      <c r="B675" t="s">
        <v>24</v>
      </c>
      <c r="C675" t="s">
        <v>25</v>
      </c>
      <c r="D675">
        <v>13</v>
      </c>
      <c r="E675" t="s">
        <v>65</v>
      </c>
      <c r="F675" t="s">
        <v>368</v>
      </c>
      <c r="G675">
        <v>4095</v>
      </c>
      <c r="H675" t="s">
        <v>2389</v>
      </c>
      <c r="I675" t="s">
        <v>2165</v>
      </c>
      <c r="J675">
        <v>8</v>
      </c>
      <c r="K675">
        <v>1</v>
      </c>
      <c r="L675">
        <v>1.1111111111111111E-3</v>
      </c>
      <c r="M675" t="s">
        <v>117</v>
      </c>
      <c r="N675" t="s">
        <v>572</v>
      </c>
      <c r="O675" s="24">
        <v>46118</v>
      </c>
      <c r="P675">
        <v>605</v>
      </c>
      <c r="Q675" t="s">
        <v>34</v>
      </c>
      <c r="R675" s="24">
        <v>46136</v>
      </c>
      <c r="S675" s="51">
        <v>0.41388888888888886</v>
      </c>
      <c r="T675" s="51">
        <v>0.4375</v>
      </c>
      <c r="X675" t="s">
        <v>3166</v>
      </c>
      <c r="Y675" t="s">
        <v>3029</v>
      </c>
      <c r="Z675">
        <v>3220579</v>
      </c>
    </row>
    <row r="676" spans="1:26" x14ac:dyDescent="0.25">
      <c r="A676">
        <v>672</v>
      </c>
      <c r="B676" t="s">
        <v>24</v>
      </c>
      <c r="C676" t="s">
        <v>25</v>
      </c>
      <c r="D676">
        <v>13</v>
      </c>
      <c r="E676" t="s">
        <v>65</v>
      </c>
      <c r="F676" t="s">
        <v>1590</v>
      </c>
      <c r="G676">
        <v>4095</v>
      </c>
      <c r="H676" t="s">
        <v>2390</v>
      </c>
      <c r="I676" t="s">
        <v>2391</v>
      </c>
      <c r="J676">
        <v>8</v>
      </c>
      <c r="K676">
        <v>1</v>
      </c>
      <c r="L676">
        <v>6.8287037037037036E-4</v>
      </c>
      <c r="M676" t="s">
        <v>117</v>
      </c>
      <c r="N676" t="s">
        <v>572</v>
      </c>
      <c r="O676" s="24">
        <v>46118</v>
      </c>
      <c r="P676">
        <v>605</v>
      </c>
      <c r="Q676" t="s">
        <v>34</v>
      </c>
      <c r="R676" s="24">
        <v>46136</v>
      </c>
      <c r="S676" s="51">
        <v>0.41388888888888886</v>
      </c>
      <c r="T676" s="51">
        <v>0.4375</v>
      </c>
      <c r="X676" t="s">
        <v>3166</v>
      </c>
      <c r="Y676" t="s">
        <v>3029</v>
      </c>
      <c r="Z676">
        <v>3220579</v>
      </c>
    </row>
    <row r="677" spans="1:26" x14ac:dyDescent="0.25">
      <c r="A677">
        <v>673</v>
      </c>
      <c r="B677" t="s">
        <v>24</v>
      </c>
      <c r="C677" t="s">
        <v>25</v>
      </c>
      <c r="D677">
        <v>13</v>
      </c>
      <c r="E677" t="s">
        <v>65</v>
      </c>
      <c r="F677" t="s">
        <v>1590</v>
      </c>
      <c r="G677">
        <v>4095</v>
      </c>
      <c r="H677" t="s">
        <v>2392</v>
      </c>
      <c r="I677" t="s">
        <v>2391</v>
      </c>
      <c r="J677">
        <v>8</v>
      </c>
      <c r="K677">
        <v>1</v>
      </c>
      <c r="L677">
        <v>6.9444444444444436E-4</v>
      </c>
      <c r="M677" t="s">
        <v>117</v>
      </c>
      <c r="N677" t="s">
        <v>572</v>
      </c>
      <c r="O677" s="24">
        <v>46118</v>
      </c>
      <c r="P677">
        <v>605</v>
      </c>
      <c r="Q677" t="s">
        <v>34</v>
      </c>
      <c r="R677" s="24">
        <v>46136</v>
      </c>
      <c r="S677" s="51">
        <v>0.41388888888888886</v>
      </c>
      <c r="T677" s="51">
        <v>0.4375</v>
      </c>
      <c r="X677" t="s">
        <v>3166</v>
      </c>
      <c r="Y677" t="s">
        <v>3029</v>
      </c>
      <c r="Z677">
        <v>3220579</v>
      </c>
    </row>
    <row r="678" spans="1:26" x14ac:dyDescent="0.25">
      <c r="A678">
        <v>674</v>
      </c>
      <c r="B678" t="s">
        <v>24</v>
      </c>
      <c r="C678" t="s">
        <v>25</v>
      </c>
      <c r="D678">
        <v>13</v>
      </c>
      <c r="E678" t="s">
        <v>131</v>
      </c>
      <c r="F678" t="s">
        <v>512</v>
      </c>
      <c r="G678">
        <v>4095</v>
      </c>
      <c r="H678" t="s">
        <v>2393</v>
      </c>
      <c r="I678" t="s">
        <v>2321</v>
      </c>
      <c r="J678">
        <v>8</v>
      </c>
      <c r="K678">
        <v>1</v>
      </c>
      <c r="L678">
        <v>1.4814814814814814E-3</v>
      </c>
      <c r="M678" t="s">
        <v>117</v>
      </c>
      <c r="N678" t="s">
        <v>572</v>
      </c>
      <c r="O678" s="24">
        <v>46118</v>
      </c>
      <c r="P678">
        <v>605</v>
      </c>
      <c r="Q678" t="s">
        <v>34</v>
      </c>
      <c r="R678" s="24">
        <v>46136</v>
      </c>
      <c r="S678" s="51">
        <v>0.41388888888888886</v>
      </c>
      <c r="T678" s="51">
        <v>0.4375</v>
      </c>
      <c r="X678" t="s">
        <v>3166</v>
      </c>
      <c r="Y678" t="s">
        <v>3029</v>
      </c>
      <c r="Z678">
        <v>3220579</v>
      </c>
    </row>
    <row r="679" spans="1:26" x14ac:dyDescent="0.25">
      <c r="A679">
        <v>675</v>
      </c>
      <c r="B679" t="s">
        <v>24</v>
      </c>
      <c r="C679" t="s">
        <v>25</v>
      </c>
      <c r="D679">
        <v>13</v>
      </c>
      <c r="E679" t="s">
        <v>114</v>
      </c>
      <c r="F679" t="s">
        <v>512</v>
      </c>
      <c r="G679">
        <v>4095</v>
      </c>
      <c r="H679" t="s">
        <v>2394</v>
      </c>
      <c r="I679" t="s">
        <v>2161</v>
      </c>
      <c r="J679">
        <v>8</v>
      </c>
      <c r="K679">
        <v>5</v>
      </c>
      <c r="L679">
        <v>7.858796296296296E-3</v>
      </c>
      <c r="M679" t="s">
        <v>117</v>
      </c>
      <c r="N679" t="s">
        <v>572</v>
      </c>
      <c r="O679" s="24">
        <v>46118</v>
      </c>
      <c r="P679">
        <v>605</v>
      </c>
      <c r="Q679" t="s">
        <v>34</v>
      </c>
      <c r="R679" s="24">
        <v>46136</v>
      </c>
      <c r="S679" s="51">
        <v>0.41388888888888886</v>
      </c>
      <c r="T679" s="51">
        <v>0.4375</v>
      </c>
      <c r="X679" t="s">
        <v>3166</v>
      </c>
      <c r="Y679" t="s">
        <v>3029</v>
      </c>
      <c r="Z679">
        <v>3220579</v>
      </c>
    </row>
    <row r="680" spans="1:26" x14ac:dyDescent="0.25">
      <c r="A680">
        <v>676</v>
      </c>
      <c r="B680" t="s">
        <v>24</v>
      </c>
      <c r="C680" t="s">
        <v>25</v>
      </c>
      <c r="D680">
        <v>13</v>
      </c>
      <c r="E680" t="s">
        <v>2395</v>
      </c>
      <c r="F680" t="s">
        <v>44</v>
      </c>
      <c r="G680">
        <v>4095</v>
      </c>
      <c r="H680" t="s">
        <v>48</v>
      </c>
      <c r="I680" t="s">
        <v>1119</v>
      </c>
      <c r="J680">
        <v>8</v>
      </c>
      <c r="K680">
        <v>1</v>
      </c>
      <c r="L680">
        <v>1.3078703703703703E-3</v>
      </c>
      <c r="M680" t="s">
        <v>117</v>
      </c>
      <c r="N680" t="s">
        <v>572</v>
      </c>
      <c r="O680" s="24">
        <v>46118</v>
      </c>
      <c r="P680">
        <v>605</v>
      </c>
      <c r="Q680" t="s">
        <v>34</v>
      </c>
      <c r="R680" s="24">
        <v>46136</v>
      </c>
      <c r="S680" s="51">
        <v>0.41388888888888886</v>
      </c>
      <c r="T680" s="51">
        <v>0.4375</v>
      </c>
      <c r="X680" t="s">
        <v>3166</v>
      </c>
      <c r="Y680" t="s">
        <v>3029</v>
      </c>
      <c r="Z680">
        <v>3220579</v>
      </c>
    </row>
    <row r="681" spans="1:26" x14ac:dyDescent="0.25">
      <c r="A681">
        <v>677</v>
      </c>
      <c r="B681" t="s">
        <v>24</v>
      </c>
      <c r="C681" t="s">
        <v>25</v>
      </c>
      <c r="D681">
        <v>13</v>
      </c>
      <c r="E681" t="s">
        <v>150</v>
      </c>
      <c r="F681" t="s">
        <v>115</v>
      </c>
      <c r="G681">
        <v>4096</v>
      </c>
      <c r="H681" t="s">
        <v>87</v>
      </c>
      <c r="I681" t="s">
        <v>116</v>
      </c>
      <c r="J681">
        <v>8</v>
      </c>
      <c r="K681">
        <v>1</v>
      </c>
      <c r="L681">
        <v>7.7546296296296295E-3</v>
      </c>
      <c r="M681" t="s">
        <v>117</v>
      </c>
      <c r="N681" t="s">
        <v>113</v>
      </c>
      <c r="O681" s="24">
        <v>46113</v>
      </c>
      <c r="P681">
        <v>603</v>
      </c>
      <c r="Q681" t="s">
        <v>34</v>
      </c>
      <c r="R681" s="24">
        <v>46113</v>
      </c>
      <c r="S681" s="51">
        <v>0.64652777777777781</v>
      </c>
      <c r="T681" s="51">
        <v>0.65277777777777779</v>
      </c>
      <c r="X681" t="s">
        <v>151</v>
      </c>
      <c r="Y681" t="s">
        <v>3072</v>
      </c>
      <c r="Z681">
        <v>1742255</v>
      </c>
    </row>
    <row r="682" spans="1:26" x14ac:dyDescent="0.25">
      <c r="A682">
        <v>678</v>
      </c>
      <c r="B682" t="s">
        <v>24</v>
      </c>
      <c r="C682" t="s">
        <v>25</v>
      </c>
      <c r="D682">
        <v>13</v>
      </c>
      <c r="E682" t="s">
        <v>131</v>
      </c>
      <c r="F682" t="s">
        <v>512</v>
      </c>
      <c r="G682">
        <v>4027</v>
      </c>
      <c r="H682" t="s">
        <v>84</v>
      </c>
      <c r="I682" t="s">
        <v>770</v>
      </c>
      <c r="J682">
        <v>8</v>
      </c>
      <c r="K682">
        <v>1</v>
      </c>
      <c r="L682">
        <v>8.9351851851851849E-3</v>
      </c>
      <c r="M682" t="s">
        <v>117</v>
      </c>
      <c r="N682" t="s">
        <v>760</v>
      </c>
      <c r="O682" s="24">
        <v>46125</v>
      </c>
      <c r="P682">
        <v>603</v>
      </c>
      <c r="Q682" t="s">
        <v>34</v>
      </c>
      <c r="R682" s="24">
        <v>46113</v>
      </c>
      <c r="S682" s="51">
        <v>0.38958333333333334</v>
      </c>
      <c r="T682" s="51">
        <v>0.39652777777777776</v>
      </c>
      <c r="X682" t="s">
        <v>3170</v>
      </c>
      <c r="Y682" t="s">
        <v>3072</v>
      </c>
      <c r="Z682">
        <v>1742079</v>
      </c>
    </row>
    <row r="683" spans="1:26" x14ac:dyDescent="0.25">
      <c r="A683">
        <v>679</v>
      </c>
      <c r="B683" t="s">
        <v>24</v>
      </c>
      <c r="C683" t="s">
        <v>25</v>
      </c>
      <c r="D683">
        <v>13</v>
      </c>
      <c r="E683" t="s">
        <v>1583</v>
      </c>
      <c r="F683" t="s">
        <v>1583</v>
      </c>
      <c r="G683">
        <v>4269</v>
      </c>
      <c r="H683" t="s">
        <v>1888</v>
      </c>
      <c r="I683" t="s">
        <v>1889</v>
      </c>
      <c r="J683">
        <v>12</v>
      </c>
      <c r="K683">
        <v>2</v>
      </c>
      <c r="L683">
        <v>1.4467592592592592E-3</v>
      </c>
      <c r="M683" t="s">
        <v>117</v>
      </c>
      <c r="N683" t="s">
        <v>663</v>
      </c>
      <c r="O683" s="24">
        <v>46125</v>
      </c>
      <c r="P683">
        <v>606</v>
      </c>
      <c r="Q683" t="s">
        <v>34</v>
      </c>
      <c r="R683" s="24">
        <v>46136</v>
      </c>
      <c r="S683" s="51">
        <v>0.3923611111111111</v>
      </c>
      <c r="T683" s="51">
        <v>0.41458333333333336</v>
      </c>
      <c r="X683" t="s">
        <v>3171</v>
      </c>
      <c r="Y683" t="s">
        <v>3029</v>
      </c>
      <c r="Z683">
        <v>1781427</v>
      </c>
    </row>
    <row r="684" spans="1:26" x14ac:dyDescent="0.25">
      <c r="A684">
        <v>680</v>
      </c>
      <c r="B684" t="s">
        <v>24</v>
      </c>
      <c r="C684" t="s">
        <v>25</v>
      </c>
      <c r="D684">
        <v>13</v>
      </c>
      <c r="E684" t="s">
        <v>65</v>
      </c>
      <c r="F684" t="s">
        <v>1596</v>
      </c>
      <c r="G684">
        <v>4269</v>
      </c>
      <c r="H684" t="s">
        <v>2444</v>
      </c>
      <c r="I684" t="s">
        <v>2445</v>
      </c>
      <c r="J684">
        <v>12</v>
      </c>
      <c r="K684">
        <v>1</v>
      </c>
      <c r="L684">
        <v>9.0277777777777774E-4</v>
      </c>
      <c r="M684" t="s">
        <v>117</v>
      </c>
      <c r="N684" t="s">
        <v>663</v>
      </c>
      <c r="O684" s="24">
        <v>46125</v>
      </c>
      <c r="P684">
        <v>606</v>
      </c>
      <c r="Q684" t="s">
        <v>34</v>
      </c>
      <c r="R684" s="24">
        <v>46136</v>
      </c>
      <c r="S684" s="51">
        <v>0.3923611111111111</v>
      </c>
      <c r="T684" s="51">
        <v>0.41458333333333336</v>
      </c>
      <c r="X684" t="s">
        <v>3171</v>
      </c>
      <c r="Y684" t="s">
        <v>3029</v>
      </c>
      <c r="Z684">
        <v>1781427</v>
      </c>
    </row>
    <row r="685" spans="1:26" x14ac:dyDescent="0.25">
      <c r="A685">
        <v>681</v>
      </c>
      <c r="B685" t="s">
        <v>24</v>
      </c>
      <c r="C685" t="s">
        <v>25</v>
      </c>
      <c r="D685">
        <v>13</v>
      </c>
      <c r="E685" t="s">
        <v>152</v>
      </c>
      <c r="F685" t="s">
        <v>152</v>
      </c>
      <c r="G685">
        <v>4269</v>
      </c>
      <c r="H685" t="s">
        <v>2446</v>
      </c>
      <c r="I685" t="s">
        <v>2447</v>
      </c>
      <c r="J685">
        <v>12</v>
      </c>
      <c r="K685">
        <v>1</v>
      </c>
      <c r="L685">
        <v>3.1249999999999997E-3</v>
      </c>
      <c r="M685" t="s">
        <v>117</v>
      </c>
      <c r="N685" t="s">
        <v>663</v>
      </c>
      <c r="O685" s="24">
        <v>46125</v>
      </c>
      <c r="P685">
        <v>606</v>
      </c>
      <c r="Q685" t="s">
        <v>34</v>
      </c>
      <c r="R685" s="24">
        <v>46136</v>
      </c>
      <c r="S685" s="51">
        <v>0.3923611111111111</v>
      </c>
      <c r="T685" s="51">
        <v>0.41458333333333336</v>
      </c>
      <c r="X685" t="s">
        <v>3171</v>
      </c>
      <c r="Y685" t="s">
        <v>3029</v>
      </c>
      <c r="Z685">
        <v>1781427</v>
      </c>
    </row>
    <row r="686" spans="1:26" x14ac:dyDescent="0.25">
      <c r="A686">
        <v>682</v>
      </c>
      <c r="B686" t="s">
        <v>24</v>
      </c>
      <c r="C686" t="s">
        <v>25</v>
      </c>
      <c r="D686">
        <v>13</v>
      </c>
      <c r="E686" t="s">
        <v>65</v>
      </c>
      <c r="F686" t="s">
        <v>368</v>
      </c>
      <c r="G686">
        <v>3980</v>
      </c>
      <c r="H686" t="s">
        <v>2156</v>
      </c>
      <c r="I686" t="s">
        <v>2157</v>
      </c>
      <c r="J686">
        <v>8</v>
      </c>
      <c r="K686">
        <v>2</v>
      </c>
      <c r="L686">
        <v>6.7129629629629625E-4</v>
      </c>
      <c r="M686" t="s">
        <v>117</v>
      </c>
      <c r="N686" t="s">
        <v>159</v>
      </c>
      <c r="O686" s="24">
        <v>46109</v>
      </c>
      <c r="P686">
        <v>605</v>
      </c>
      <c r="Q686" t="s">
        <v>34</v>
      </c>
      <c r="R686" s="24">
        <v>46113</v>
      </c>
      <c r="S686" s="51">
        <v>0.79861111111111116</v>
      </c>
      <c r="T686" s="51">
        <v>0.8125</v>
      </c>
      <c r="X686" t="s">
        <v>169</v>
      </c>
      <c r="Y686" t="s">
        <v>3032</v>
      </c>
    </row>
    <row r="687" spans="1:26" x14ac:dyDescent="0.25">
      <c r="A687">
        <v>683</v>
      </c>
      <c r="B687" t="s">
        <v>24</v>
      </c>
      <c r="C687" t="s">
        <v>25</v>
      </c>
      <c r="D687">
        <v>13</v>
      </c>
      <c r="E687" t="s">
        <v>150</v>
      </c>
      <c r="F687" t="s">
        <v>115</v>
      </c>
      <c r="G687">
        <v>3981</v>
      </c>
      <c r="H687" t="s">
        <v>2158</v>
      </c>
      <c r="I687" t="s">
        <v>2138</v>
      </c>
      <c r="J687">
        <v>8</v>
      </c>
      <c r="K687">
        <v>1</v>
      </c>
      <c r="L687">
        <v>6.4120370370370364E-3</v>
      </c>
      <c r="M687" t="s">
        <v>117</v>
      </c>
      <c r="N687" t="s">
        <v>159</v>
      </c>
      <c r="O687" s="24">
        <v>46109</v>
      </c>
      <c r="P687">
        <v>605</v>
      </c>
      <c r="Q687" t="s">
        <v>34</v>
      </c>
      <c r="R687" s="24">
        <v>46113</v>
      </c>
      <c r="S687" s="51">
        <v>0.75</v>
      </c>
      <c r="T687" s="51">
        <v>0.76388888888888884</v>
      </c>
      <c r="X687" t="s">
        <v>174</v>
      </c>
      <c r="Y687" t="s">
        <v>3032</v>
      </c>
    </row>
    <row r="688" spans="1:26" x14ac:dyDescent="0.25">
      <c r="A688">
        <v>684</v>
      </c>
      <c r="B688" t="s">
        <v>24</v>
      </c>
      <c r="C688" t="s">
        <v>25</v>
      </c>
      <c r="D688">
        <v>13</v>
      </c>
      <c r="E688" t="s">
        <v>150</v>
      </c>
      <c r="F688" t="s">
        <v>512</v>
      </c>
      <c r="G688">
        <v>3981</v>
      </c>
      <c r="H688" t="s">
        <v>2160</v>
      </c>
      <c r="I688" t="s">
        <v>2161</v>
      </c>
      <c r="J688">
        <v>8</v>
      </c>
      <c r="K688">
        <v>2</v>
      </c>
      <c r="L688">
        <v>3.4259259259259256E-3</v>
      </c>
      <c r="M688" t="s">
        <v>117</v>
      </c>
      <c r="N688" t="s">
        <v>159</v>
      </c>
      <c r="O688" s="24">
        <v>46109</v>
      </c>
      <c r="P688">
        <v>605</v>
      </c>
      <c r="Q688" t="s">
        <v>34</v>
      </c>
      <c r="R688" s="24">
        <v>46113</v>
      </c>
      <c r="S688" s="51">
        <v>0.75</v>
      </c>
      <c r="T688" s="51">
        <v>0.76388888888888884</v>
      </c>
      <c r="X688" t="s">
        <v>174</v>
      </c>
      <c r="Y688" t="s">
        <v>3032</v>
      </c>
    </row>
    <row r="689" spans="1:26" x14ac:dyDescent="0.25">
      <c r="A689">
        <v>685</v>
      </c>
      <c r="B689" t="s">
        <v>24</v>
      </c>
      <c r="C689" t="s">
        <v>25</v>
      </c>
      <c r="D689">
        <v>13</v>
      </c>
      <c r="E689" t="s">
        <v>367</v>
      </c>
      <c r="F689" t="s">
        <v>1593</v>
      </c>
      <c r="G689">
        <v>3981</v>
      </c>
      <c r="H689" t="s">
        <v>2060</v>
      </c>
      <c r="I689" t="s">
        <v>2061</v>
      </c>
      <c r="J689">
        <v>8</v>
      </c>
      <c r="K689">
        <v>1</v>
      </c>
      <c r="L689">
        <v>4.1666666666666664E-4</v>
      </c>
      <c r="M689" t="s">
        <v>117</v>
      </c>
      <c r="N689" t="s">
        <v>159</v>
      </c>
      <c r="O689" s="24">
        <v>46109</v>
      </c>
      <c r="P689">
        <v>605</v>
      </c>
      <c r="Q689" t="s">
        <v>34</v>
      </c>
      <c r="R689" s="24">
        <v>46113</v>
      </c>
      <c r="S689" s="51">
        <v>0.75</v>
      </c>
      <c r="T689" s="51">
        <v>0.76388888888888884</v>
      </c>
      <c r="X689" t="s">
        <v>174</v>
      </c>
      <c r="Y689" t="s">
        <v>3032</v>
      </c>
    </row>
    <row r="690" spans="1:26" x14ac:dyDescent="0.25">
      <c r="A690">
        <v>686</v>
      </c>
      <c r="B690" t="s">
        <v>24</v>
      </c>
      <c r="C690" t="s">
        <v>25</v>
      </c>
      <c r="D690">
        <v>13</v>
      </c>
      <c r="E690" t="s">
        <v>367</v>
      </c>
      <c r="F690" t="s">
        <v>367</v>
      </c>
      <c r="G690">
        <v>3981</v>
      </c>
      <c r="H690" t="s">
        <v>2162</v>
      </c>
      <c r="I690" t="s">
        <v>2163</v>
      </c>
      <c r="J690">
        <v>8</v>
      </c>
      <c r="K690">
        <v>1</v>
      </c>
      <c r="L690">
        <v>2.2800925925925927E-3</v>
      </c>
      <c r="M690" t="s">
        <v>117</v>
      </c>
      <c r="N690" t="s">
        <v>159</v>
      </c>
      <c r="O690" s="24">
        <v>46109</v>
      </c>
      <c r="P690">
        <v>605</v>
      </c>
      <c r="Q690" t="s">
        <v>34</v>
      </c>
      <c r="R690" s="24">
        <v>46113</v>
      </c>
      <c r="S690" s="51">
        <v>0.75</v>
      </c>
      <c r="T690" s="51">
        <v>0.76388888888888884</v>
      </c>
      <c r="X690" t="s">
        <v>174</v>
      </c>
      <c r="Y690" t="s">
        <v>3032</v>
      </c>
    </row>
    <row r="691" spans="1:26" x14ac:dyDescent="0.25">
      <c r="A691">
        <v>687</v>
      </c>
      <c r="B691" t="s">
        <v>24</v>
      </c>
      <c r="C691" t="s">
        <v>25</v>
      </c>
      <c r="D691">
        <v>13</v>
      </c>
      <c r="E691" t="s">
        <v>1665</v>
      </c>
      <c r="F691" t="s">
        <v>512</v>
      </c>
      <c r="G691">
        <v>4516</v>
      </c>
      <c r="H691" t="s">
        <v>2607</v>
      </c>
      <c r="I691" t="s">
        <v>2585</v>
      </c>
      <c r="J691">
        <v>8</v>
      </c>
      <c r="K691">
        <v>1</v>
      </c>
      <c r="L691">
        <v>5.7523148148148143E-3</v>
      </c>
      <c r="M691" t="s">
        <v>117</v>
      </c>
      <c r="N691" t="s">
        <v>159</v>
      </c>
      <c r="O691" s="24">
        <v>46109</v>
      </c>
      <c r="P691">
        <v>605</v>
      </c>
      <c r="Q691" t="s">
        <v>34</v>
      </c>
      <c r="R691" s="24">
        <v>46113</v>
      </c>
      <c r="S691" s="51">
        <v>0.89236111111111116</v>
      </c>
      <c r="T691" s="51">
        <v>0.96527777777777779</v>
      </c>
      <c r="X691" t="s">
        <v>238</v>
      </c>
      <c r="Y691" t="s">
        <v>3032</v>
      </c>
    </row>
    <row r="692" spans="1:26" x14ac:dyDescent="0.25">
      <c r="A692">
        <v>688</v>
      </c>
      <c r="B692" t="s">
        <v>24</v>
      </c>
      <c r="C692" t="s">
        <v>25</v>
      </c>
      <c r="D692">
        <v>13</v>
      </c>
      <c r="E692" t="s">
        <v>65</v>
      </c>
      <c r="F692" t="s">
        <v>44</v>
      </c>
      <c r="G692">
        <v>4516</v>
      </c>
      <c r="H692" t="s">
        <v>2608</v>
      </c>
      <c r="I692" t="s">
        <v>2284</v>
      </c>
      <c r="J692">
        <v>8</v>
      </c>
      <c r="K692">
        <v>1</v>
      </c>
      <c r="L692">
        <v>1.6319444444444443E-3</v>
      </c>
      <c r="M692" t="s">
        <v>117</v>
      </c>
      <c r="N692" t="s">
        <v>159</v>
      </c>
      <c r="O692" s="24">
        <v>46109</v>
      </c>
      <c r="P692">
        <v>605</v>
      </c>
      <c r="Q692" t="s">
        <v>34</v>
      </c>
      <c r="R692" s="24">
        <v>46113</v>
      </c>
      <c r="S692" s="51">
        <v>0.89236111111111116</v>
      </c>
      <c r="T692" s="51">
        <v>0.96527777777777779</v>
      </c>
      <c r="X692" t="s">
        <v>238</v>
      </c>
      <c r="Y692" t="s">
        <v>3032</v>
      </c>
    </row>
    <row r="693" spans="1:26" x14ac:dyDescent="0.25">
      <c r="A693">
        <v>689</v>
      </c>
      <c r="B693" t="s">
        <v>24</v>
      </c>
      <c r="C693" t="s">
        <v>25</v>
      </c>
      <c r="D693">
        <v>13</v>
      </c>
      <c r="E693" t="s">
        <v>65</v>
      </c>
      <c r="F693" t="s">
        <v>1590</v>
      </c>
      <c r="G693">
        <v>4516</v>
      </c>
      <c r="H693" t="s">
        <v>2102</v>
      </c>
      <c r="I693" t="s">
        <v>2103</v>
      </c>
      <c r="J693">
        <v>8</v>
      </c>
      <c r="K693">
        <v>4</v>
      </c>
      <c r="L693">
        <v>2.8124999999999999E-3</v>
      </c>
      <c r="M693" t="s">
        <v>117</v>
      </c>
      <c r="N693" t="s">
        <v>159</v>
      </c>
      <c r="O693" s="24">
        <v>46109</v>
      </c>
      <c r="P693">
        <v>605</v>
      </c>
      <c r="Q693" t="s">
        <v>34</v>
      </c>
      <c r="R693" s="24">
        <v>46113</v>
      </c>
      <c r="S693" s="51">
        <v>0.89236111111111116</v>
      </c>
      <c r="T693" s="51">
        <v>0.96527777777777779</v>
      </c>
      <c r="X693" t="s">
        <v>238</v>
      </c>
      <c r="Y693" t="s">
        <v>3032</v>
      </c>
    </row>
    <row r="694" spans="1:26" x14ac:dyDescent="0.25">
      <c r="A694">
        <v>690</v>
      </c>
      <c r="B694" t="s">
        <v>24</v>
      </c>
      <c r="C694" t="s">
        <v>25</v>
      </c>
      <c r="D694">
        <v>13</v>
      </c>
      <c r="E694" t="s">
        <v>2195</v>
      </c>
      <c r="F694" t="s">
        <v>44</v>
      </c>
      <c r="G694">
        <v>4516</v>
      </c>
      <c r="H694" t="s">
        <v>48</v>
      </c>
      <c r="I694" t="s">
        <v>1119</v>
      </c>
      <c r="J694">
        <v>8</v>
      </c>
      <c r="K694">
        <v>1</v>
      </c>
      <c r="L694">
        <v>1.4004629629629629E-3</v>
      </c>
      <c r="M694" t="s">
        <v>117</v>
      </c>
      <c r="N694" t="s">
        <v>159</v>
      </c>
      <c r="O694" s="24">
        <v>46109</v>
      </c>
      <c r="P694">
        <v>605</v>
      </c>
      <c r="Q694" t="s">
        <v>34</v>
      </c>
      <c r="R694" s="24">
        <v>46113</v>
      </c>
      <c r="S694" s="51">
        <v>0.89236111111111116</v>
      </c>
      <c r="T694" s="51">
        <v>0.96527777777777779</v>
      </c>
      <c r="X694" t="s">
        <v>238</v>
      </c>
      <c r="Y694" t="s">
        <v>3032</v>
      </c>
    </row>
    <row r="695" spans="1:26" x14ac:dyDescent="0.25">
      <c r="A695">
        <v>691</v>
      </c>
      <c r="B695" t="s">
        <v>24</v>
      </c>
      <c r="C695" t="s">
        <v>25</v>
      </c>
      <c r="D695">
        <v>13</v>
      </c>
      <c r="E695" t="s">
        <v>1665</v>
      </c>
      <c r="F695" t="s">
        <v>115</v>
      </c>
      <c r="G695">
        <v>4518</v>
      </c>
      <c r="H695" t="s">
        <v>2113</v>
      </c>
      <c r="I695" t="s">
        <v>2111</v>
      </c>
      <c r="J695">
        <v>8</v>
      </c>
      <c r="K695">
        <v>2</v>
      </c>
      <c r="L695">
        <v>1.2037037037037036E-3</v>
      </c>
      <c r="M695" t="s">
        <v>117</v>
      </c>
      <c r="N695" t="s">
        <v>239</v>
      </c>
      <c r="O695" s="24">
        <v>46114</v>
      </c>
      <c r="P695">
        <v>605</v>
      </c>
      <c r="Q695" t="s">
        <v>34</v>
      </c>
      <c r="R695" s="24">
        <v>46136</v>
      </c>
      <c r="S695" s="51">
        <v>0.42708333333333331</v>
      </c>
      <c r="T695" s="51">
        <v>0.44374999999999998</v>
      </c>
      <c r="X695" t="s">
        <v>3031</v>
      </c>
      <c r="Y695" t="s">
        <v>3029</v>
      </c>
      <c r="Z695">
        <v>1786246</v>
      </c>
    </row>
    <row r="696" spans="1:26" x14ac:dyDescent="0.25">
      <c r="A696">
        <v>692</v>
      </c>
      <c r="B696" t="s">
        <v>24</v>
      </c>
      <c r="C696" t="s">
        <v>25</v>
      </c>
      <c r="D696">
        <v>13</v>
      </c>
      <c r="E696" t="s">
        <v>1665</v>
      </c>
      <c r="F696" t="s">
        <v>512</v>
      </c>
      <c r="G696">
        <v>4518</v>
      </c>
      <c r="H696" t="s">
        <v>2225</v>
      </c>
      <c r="I696" t="s">
        <v>2226</v>
      </c>
      <c r="J696">
        <v>8</v>
      </c>
      <c r="K696">
        <v>2</v>
      </c>
      <c r="L696">
        <v>3.6458333333333334E-3</v>
      </c>
      <c r="M696" t="s">
        <v>117</v>
      </c>
      <c r="N696" t="s">
        <v>239</v>
      </c>
      <c r="O696" s="24">
        <v>46114</v>
      </c>
      <c r="P696">
        <v>605</v>
      </c>
      <c r="Q696" t="s">
        <v>34</v>
      </c>
      <c r="R696" s="24">
        <v>46136</v>
      </c>
      <c r="S696" s="51">
        <v>0.42708333333333331</v>
      </c>
      <c r="T696" s="51">
        <v>0.44374999999999998</v>
      </c>
      <c r="X696" t="s">
        <v>3031</v>
      </c>
      <c r="Y696" t="s">
        <v>3029</v>
      </c>
      <c r="Z696">
        <v>1786246</v>
      </c>
    </row>
    <row r="697" spans="1:26" x14ac:dyDescent="0.25">
      <c r="A697">
        <v>693</v>
      </c>
      <c r="B697" t="s">
        <v>24</v>
      </c>
      <c r="C697" t="s">
        <v>25</v>
      </c>
      <c r="D697">
        <v>13</v>
      </c>
      <c r="E697" t="s">
        <v>1672</v>
      </c>
      <c r="F697" t="s">
        <v>512</v>
      </c>
      <c r="G697">
        <v>4518</v>
      </c>
      <c r="H697" t="s">
        <v>2297</v>
      </c>
      <c r="I697" t="s">
        <v>2226</v>
      </c>
      <c r="J697">
        <v>8</v>
      </c>
      <c r="K697">
        <v>3</v>
      </c>
      <c r="L697">
        <v>5.4629629629629629E-3</v>
      </c>
      <c r="M697" t="s">
        <v>117</v>
      </c>
      <c r="N697" t="s">
        <v>239</v>
      </c>
      <c r="O697" s="24">
        <v>46114</v>
      </c>
      <c r="P697">
        <v>605</v>
      </c>
      <c r="Q697" t="s">
        <v>34</v>
      </c>
      <c r="R697" s="24">
        <v>46136</v>
      </c>
      <c r="S697" s="51">
        <v>0.42708333333333331</v>
      </c>
      <c r="T697" s="51">
        <v>0.44374999999999998</v>
      </c>
      <c r="X697" t="s">
        <v>3031</v>
      </c>
      <c r="Y697" t="s">
        <v>3029</v>
      </c>
      <c r="Z697">
        <v>1786246</v>
      </c>
    </row>
    <row r="698" spans="1:26" x14ac:dyDescent="0.25">
      <c r="A698">
        <v>694</v>
      </c>
      <c r="B698" t="s">
        <v>24</v>
      </c>
      <c r="C698" t="s">
        <v>25</v>
      </c>
      <c r="D698">
        <v>13</v>
      </c>
      <c r="E698" t="s">
        <v>2094</v>
      </c>
      <c r="F698" t="s">
        <v>44</v>
      </c>
      <c r="G698">
        <v>4479</v>
      </c>
      <c r="H698" t="s">
        <v>45</v>
      </c>
      <c r="I698" t="s">
        <v>1119</v>
      </c>
      <c r="J698">
        <v>8</v>
      </c>
      <c r="K698">
        <v>3</v>
      </c>
      <c r="L698">
        <v>4.1550925925925922E-3</v>
      </c>
      <c r="M698" t="s">
        <v>117</v>
      </c>
      <c r="N698" t="s">
        <v>572</v>
      </c>
      <c r="O698" s="24">
        <v>46118</v>
      </c>
      <c r="P698">
        <v>605</v>
      </c>
      <c r="Q698" t="s">
        <v>34</v>
      </c>
      <c r="R698" s="24">
        <v>46136</v>
      </c>
      <c r="S698" s="51">
        <v>0.35486111111111113</v>
      </c>
      <c r="T698" s="51">
        <v>0.37638888888888888</v>
      </c>
      <c r="X698" t="s">
        <v>3168</v>
      </c>
      <c r="Y698" t="s">
        <v>3029</v>
      </c>
      <c r="Z698">
        <v>2778453</v>
      </c>
    </row>
    <row r="699" spans="1:26" x14ac:dyDescent="0.25">
      <c r="A699">
        <v>695</v>
      </c>
      <c r="B699" t="s">
        <v>24</v>
      </c>
      <c r="C699" t="s">
        <v>25</v>
      </c>
      <c r="D699">
        <v>13</v>
      </c>
      <c r="E699" t="s">
        <v>1665</v>
      </c>
      <c r="F699" t="s">
        <v>115</v>
      </c>
      <c r="G699">
        <v>4480</v>
      </c>
      <c r="H699" t="s">
        <v>2356</v>
      </c>
      <c r="I699" t="s">
        <v>2310</v>
      </c>
      <c r="J699">
        <v>8</v>
      </c>
      <c r="K699">
        <v>5</v>
      </c>
      <c r="L699">
        <v>9.0624999999999994E-3</v>
      </c>
      <c r="M699" t="s">
        <v>117</v>
      </c>
      <c r="N699" t="s">
        <v>572</v>
      </c>
      <c r="O699" s="24">
        <v>46118</v>
      </c>
      <c r="P699">
        <v>605</v>
      </c>
      <c r="Q699" t="s">
        <v>34</v>
      </c>
      <c r="R699" s="24">
        <v>46136</v>
      </c>
      <c r="S699" s="51">
        <v>0.46597222222222223</v>
      </c>
      <c r="T699" s="51">
        <v>0.48055555555555557</v>
      </c>
      <c r="X699" t="s">
        <v>3172</v>
      </c>
      <c r="Y699" t="s">
        <v>3029</v>
      </c>
      <c r="Z699">
        <v>1742079</v>
      </c>
    </row>
    <row r="700" spans="1:26" x14ac:dyDescent="0.25">
      <c r="A700">
        <v>696</v>
      </c>
      <c r="B700" t="s">
        <v>24</v>
      </c>
      <c r="C700" t="s">
        <v>25</v>
      </c>
      <c r="D700">
        <v>13</v>
      </c>
      <c r="E700" t="s">
        <v>65</v>
      </c>
      <c r="F700" t="s">
        <v>1590</v>
      </c>
      <c r="G700">
        <v>4480</v>
      </c>
      <c r="H700" t="s">
        <v>2491</v>
      </c>
      <c r="I700" t="s">
        <v>2258</v>
      </c>
      <c r="J700">
        <v>8</v>
      </c>
      <c r="K700">
        <v>1</v>
      </c>
      <c r="L700">
        <v>6.0532407407407401E-3</v>
      </c>
      <c r="M700" t="s">
        <v>117</v>
      </c>
      <c r="N700" t="s">
        <v>572</v>
      </c>
      <c r="O700" s="24">
        <v>46118</v>
      </c>
      <c r="P700">
        <v>605</v>
      </c>
      <c r="Q700" t="s">
        <v>34</v>
      </c>
      <c r="R700" s="24">
        <v>46136</v>
      </c>
      <c r="S700" s="51">
        <v>0.46597222222222223</v>
      </c>
      <c r="T700" s="51">
        <v>0.48055555555555557</v>
      </c>
      <c r="X700" t="s">
        <v>3172</v>
      </c>
      <c r="Y700" t="s">
        <v>3029</v>
      </c>
      <c r="Z700">
        <v>1742079</v>
      </c>
    </row>
    <row r="701" spans="1:26" x14ac:dyDescent="0.25">
      <c r="A701">
        <v>697</v>
      </c>
      <c r="B701" t="s">
        <v>24</v>
      </c>
      <c r="C701" t="s">
        <v>25</v>
      </c>
      <c r="D701">
        <v>13</v>
      </c>
      <c r="E701" t="s">
        <v>2094</v>
      </c>
      <c r="F701" t="s">
        <v>44</v>
      </c>
      <c r="G701">
        <v>4480</v>
      </c>
      <c r="H701" t="s">
        <v>45</v>
      </c>
      <c r="I701" t="s">
        <v>1119</v>
      </c>
      <c r="J701">
        <v>8</v>
      </c>
      <c r="K701">
        <v>3</v>
      </c>
      <c r="L701">
        <v>4.1550925925925922E-3</v>
      </c>
      <c r="M701" t="s">
        <v>117</v>
      </c>
      <c r="N701" t="s">
        <v>572</v>
      </c>
      <c r="O701" s="24">
        <v>46118</v>
      </c>
      <c r="P701">
        <v>605</v>
      </c>
      <c r="Q701" t="s">
        <v>34</v>
      </c>
      <c r="R701" s="24">
        <v>46136</v>
      </c>
      <c r="S701" s="51">
        <v>0.46597222222222223</v>
      </c>
      <c r="T701" s="51">
        <v>0.48055555555555557</v>
      </c>
      <c r="X701" t="s">
        <v>3172</v>
      </c>
      <c r="Y701" t="s">
        <v>3029</v>
      </c>
      <c r="Z701">
        <v>1742079</v>
      </c>
    </row>
    <row r="702" spans="1:26" x14ac:dyDescent="0.25">
      <c r="A702">
        <v>698</v>
      </c>
      <c r="B702" t="s">
        <v>24</v>
      </c>
      <c r="C702" t="s">
        <v>25</v>
      </c>
      <c r="D702">
        <v>13</v>
      </c>
      <c r="E702" t="s">
        <v>1665</v>
      </c>
      <c r="F702" t="s">
        <v>512</v>
      </c>
      <c r="G702">
        <v>4021</v>
      </c>
      <c r="H702" t="s">
        <v>2225</v>
      </c>
      <c r="I702" t="s">
        <v>2226</v>
      </c>
      <c r="J702">
        <v>8</v>
      </c>
      <c r="K702">
        <v>5</v>
      </c>
      <c r="L702">
        <v>8.7499999999999991E-3</v>
      </c>
      <c r="M702" t="s">
        <v>117</v>
      </c>
      <c r="N702" t="s">
        <v>572</v>
      </c>
      <c r="O702" s="24">
        <v>46118</v>
      </c>
      <c r="P702">
        <v>605</v>
      </c>
      <c r="Q702" t="s">
        <v>34</v>
      </c>
      <c r="R702" s="24">
        <v>46136</v>
      </c>
      <c r="S702" s="51">
        <v>0.44305555555555554</v>
      </c>
      <c r="T702" s="51">
        <v>0.46250000000000002</v>
      </c>
      <c r="X702" t="s">
        <v>3173</v>
      </c>
      <c r="Y702" t="s">
        <v>3029</v>
      </c>
      <c r="Z702">
        <v>3219209</v>
      </c>
    </row>
    <row r="703" spans="1:26" x14ac:dyDescent="0.25">
      <c r="A703">
        <v>699</v>
      </c>
      <c r="B703" t="s">
        <v>24</v>
      </c>
      <c r="C703" t="s">
        <v>25</v>
      </c>
      <c r="D703">
        <v>13</v>
      </c>
      <c r="E703" t="s">
        <v>1588</v>
      </c>
      <c r="F703" t="s">
        <v>44</v>
      </c>
      <c r="G703">
        <v>4021</v>
      </c>
      <c r="H703" t="s">
        <v>2217</v>
      </c>
      <c r="I703" t="s">
        <v>2049</v>
      </c>
      <c r="J703">
        <v>8</v>
      </c>
      <c r="K703">
        <v>1</v>
      </c>
      <c r="L703">
        <v>1.261574074074074E-3</v>
      </c>
      <c r="M703" t="s">
        <v>117</v>
      </c>
      <c r="N703" t="s">
        <v>572</v>
      </c>
      <c r="O703" s="24">
        <v>46118</v>
      </c>
      <c r="P703">
        <v>605</v>
      </c>
      <c r="Q703" t="s">
        <v>34</v>
      </c>
      <c r="R703" s="24">
        <v>46136</v>
      </c>
      <c r="S703" s="51">
        <v>0.44305555555555554</v>
      </c>
      <c r="T703" s="51">
        <v>0.46250000000000002</v>
      </c>
      <c r="X703" t="s">
        <v>3173</v>
      </c>
      <c r="Y703" t="s">
        <v>3029</v>
      </c>
      <c r="Z703">
        <v>3219209</v>
      </c>
    </row>
    <row r="704" spans="1:26" x14ac:dyDescent="0.25">
      <c r="A704">
        <v>700</v>
      </c>
      <c r="B704" t="s">
        <v>24</v>
      </c>
      <c r="C704" t="s">
        <v>25</v>
      </c>
      <c r="D704">
        <v>13</v>
      </c>
      <c r="E704" t="s">
        <v>65</v>
      </c>
      <c r="F704" t="s">
        <v>368</v>
      </c>
      <c r="G704">
        <v>4021</v>
      </c>
      <c r="H704" t="s">
        <v>1625</v>
      </c>
      <c r="I704" t="s">
        <v>1626</v>
      </c>
      <c r="J704">
        <v>8</v>
      </c>
      <c r="K704">
        <v>2</v>
      </c>
      <c r="L704">
        <v>1.7129629629629628E-3</v>
      </c>
      <c r="M704" t="s">
        <v>117</v>
      </c>
      <c r="N704" t="s">
        <v>572</v>
      </c>
      <c r="O704" s="24">
        <v>46118</v>
      </c>
      <c r="P704">
        <v>605</v>
      </c>
      <c r="Q704" t="s">
        <v>34</v>
      </c>
      <c r="R704" s="24">
        <v>46136</v>
      </c>
      <c r="S704" s="51">
        <v>0.44305555555555554</v>
      </c>
      <c r="T704" s="51">
        <v>0.46250000000000002</v>
      </c>
      <c r="X704" t="s">
        <v>3173</v>
      </c>
      <c r="Y704" t="s">
        <v>3029</v>
      </c>
      <c r="Z704">
        <v>3219209</v>
      </c>
    </row>
    <row r="705" spans="1:26" x14ac:dyDescent="0.25">
      <c r="A705">
        <v>701</v>
      </c>
      <c r="B705" t="s">
        <v>24</v>
      </c>
      <c r="C705" t="s">
        <v>25</v>
      </c>
      <c r="D705">
        <v>13</v>
      </c>
      <c r="E705" t="s">
        <v>65</v>
      </c>
      <c r="F705" t="s">
        <v>1590</v>
      </c>
      <c r="G705">
        <v>4021</v>
      </c>
      <c r="H705" t="s">
        <v>2257</v>
      </c>
      <c r="I705" t="s">
        <v>2258</v>
      </c>
      <c r="J705">
        <v>8</v>
      </c>
      <c r="K705">
        <v>1</v>
      </c>
      <c r="L705">
        <v>4.3981481481481476E-3</v>
      </c>
      <c r="M705" t="s">
        <v>117</v>
      </c>
      <c r="N705" t="s">
        <v>572</v>
      </c>
      <c r="O705" s="24">
        <v>46118</v>
      </c>
      <c r="P705">
        <v>605</v>
      </c>
      <c r="Q705" t="s">
        <v>34</v>
      </c>
      <c r="R705" s="24">
        <v>46136</v>
      </c>
      <c r="S705" s="51">
        <v>0.44305555555555554</v>
      </c>
      <c r="T705" s="51">
        <v>0.46250000000000002</v>
      </c>
      <c r="X705" t="s">
        <v>3173</v>
      </c>
      <c r="Y705" t="s">
        <v>3029</v>
      </c>
      <c r="Z705">
        <v>3219209</v>
      </c>
    </row>
    <row r="706" spans="1:26" x14ac:dyDescent="0.25">
      <c r="A706">
        <v>702</v>
      </c>
      <c r="B706" t="s">
        <v>24</v>
      </c>
      <c r="C706" t="s">
        <v>25</v>
      </c>
      <c r="D706">
        <v>13</v>
      </c>
      <c r="E706" t="s">
        <v>65</v>
      </c>
      <c r="F706" t="s">
        <v>66</v>
      </c>
      <c r="G706">
        <v>4021</v>
      </c>
      <c r="H706" t="s">
        <v>2180</v>
      </c>
      <c r="I706" t="s">
        <v>2181</v>
      </c>
      <c r="J706">
        <v>8</v>
      </c>
      <c r="K706">
        <v>4</v>
      </c>
      <c r="L706">
        <v>2.4421296296296296E-3</v>
      </c>
      <c r="M706" t="s">
        <v>117</v>
      </c>
      <c r="N706" t="s">
        <v>572</v>
      </c>
      <c r="O706" s="24">
        <v>46118</v>
      </c>
      <c r="P706">
        <v>605</v>
      </c>
      <c r="Q706" t="s">
        <v>34</v>
      </c>
      <c r="R706" s="24">
        <v>46136</v>
      </c>
      <c r="S706" s="51">
        <v>0.44305555555555554</v>
      </c>
      <c r="T706" s="51">
        <v>0.46250000000000002</v>
      </c>
      <c r="X706" t="s">
        <v>3173</v>
      </c>
      <c r="Y706" t="s">
        <v>3029</v>
      </c>
      <c r="Z706">
        <v>3219209</v>
      </c>
    </row>
    <row r="707" spans="1:26" x14ac:dyDescent="0.25">
      <c r="A707">
        <v>703</v>
      </c>
      <c r="B707" t="s">
        <v>24</v>
      </c>
      <c r="C707" t="s">
        <v>25</v>
      </c>
      <c r="D707">
        <v>13</v>
      </c>
      <c r="E707" t="s">
        <v>2259</v>
      </c>
      <c r="F707" t="s">
        <v>44</v>
      </c>
      <c r="G707">
        <v>4021</v>
      </c>
      <c r="H707" t="s">
        <v>54</v>
      </c>
      <c r="I707" t="s">
        <v>1119</v>
      </c>
      <c r="J707">
        <v>8</v>
      </c>
      <c r="K707">
        <v>2</v>
      </c>
      <c r="L707">
        <v>2.4305555555555556E-3</v>
      </c>
      <c r="M707" t="s">
        <v>117</v>
      </c>
      <c r="N707" t="s">
        <v>572</v>
      </c>
      <c r="O707" s="24">
        <v>46118</v>
      </c>
      <c r="P707">
        <v>605</v>
      </c>
      <c r="Q707" t="s">
        <v>34</v>
      </c>
      <c r="R707" s="24">
        <v>46136</v>
      </c>
      <c r="S707" s="51">
        <v>0.44305555555555554</v>
      </c>
      <c r="T707" s="51">
        <v>0.46250000000000002</v>
      </c>
      <c r="X707" t="s">
        <v>3173</v>
      </c>
      <c r="Y707" t="s">
        <v>3029</v>
      </c>
      <c r="Z707">
        <v>3219209</v>
      </c>
    </row>
    <row r="708" spans="1:26" x14ac:dyDescent="0.25">
      <c r="A708">
        <v>704</v>
      </c>
      <c r="B708" t="s">
        <v>24</v>
      </c>
      <c r="C708" t="s">
        <v>25</v>
      </c>
      <c r="D708">
        <v>13</v>
      </c>
      <c r="E708" t="s">
        <v>367</v>
      </c>
      <c r="F708" t="s">
        <v>367</v>
      </c>
      <c r="G708">
        <v>4514</v>
      </c>
      <c r="H708" t="s">
        <v>2058</v>
      </c>
      <c r="I708" t="s">
        <v>2059</v>
      </c>
      <c r="J708">
        <v>8</v>
      </c>
      <c r="K708">
        <v>3</v>
      </c>
      <c r="L708">
        <v>1.7824074074074072E-3</v>
      </c>
      <c r="M708" t="s">
        <v>117</v>
      </c>
      <c r="N708" t="s">
        <v>351</v>
      </c>
      <c r="O708" s="24">
        <v>46114</v>
      </c>
      <c r="P708">
        <v>606</v>
      </c>
      <c r="Q708" t="s">
        <v>34</v>
      </c>
      <c r="R708" s="24">
        <v>46136</v>
      </c>
      <c r="S708" s="51">
        <v>0.6875</v>
      </c>
      <c r="T708" s="51">
        <v>0.69791666666666663</v>
      </c>
      <c r="X708" t="s">
        <v>3174</v>
      </c>
      <c r="Y708" t="s">
        <v>3035</v>
      </c>
      <c r="Z708">
        <v>2733753</v>
      </c>
    </row>
    <row r="709" spans="1:26" x14ac:dyDescent="0.25">
      <c r="A709">
        <v>705</v>
      </c>
      <c r="B709" t="s">
        <v>24</v>
      </c>
      <c r="C709" t="s">
        <v>25</v>
      </c>
      <c r="D709">
        <v>13</v>
      </c>
      <c r="E709" t="s">
        <v>65</v>
      </c>
      <c r="F709" t="s">
        <v>66</v>
      </c>
      <c r="G709">
        <v>4514</v>
      </c>
      <c r="H709" t="s">
        <v>2591</v>
      </c>
      <c r="I709" t="s">
        <v>2592</v>
      </c>
      <c r="J709">
        <v>8</v>
      </c>
      <c r="K709">
        <v>1</v>
      </c>
      <c r="L709">
        <v>3.5879629629629629E-3</v>
      </c>
      <c r="M709" t="s">
        <v>117</v>
      </c>
      <c r="N709" t="s">
        <v>351</v>
      </c>
      <c r="O709" s="24">
        <v>46114</v>
      </c>
      <c r="P709">
        <v>606</v>
      </c>
      <c r="Q709" t="s">
        <v>34</v>
      </c>
      <c r="R709" s="24">
        <v>46136</v>
      </c>
      <c r="S709" s="51">
        <v>0.6875</v>
      </c>
      <c r="T709" s="51">
        <v>0.69791666666666663</v>
      </c>
      <c r="X709" t="s">
        <v>3174</v>
      </c>
      <c r="Y709" t="s">
        <v>3035</v>
      </c>
      <c r="Z709">
        <v>2733753</v>
      </c>
    </row>
    <row r="710" spans="1:26" x14ac:dyDescent="0.25">
      <c r="A710">
        <v>706</v>
      </c>
      <c r="B710" t="s">
        <v>24</v>
      </c>
      <c r="C710" t="s">
        <v>25</v>
      </c>
      <c r="D710">
        <v>13</v>
      </c>
      <c r="E710" t="s">
        <v>65</v>
      </c>
      <c r="F710" t="s">
        <v>66</v>
      </c>
      <c r="G710">
        <v>4514</v>
      </c>
      <c r="H710" t="s">
        <v>2593</v>
      </c>
      <c r="I710" t="s">
        <v>2594</v>
      </c>
      <c r="J710">
        <v>8</v>
      </c>
      <c r="K710">
        <v>1</v>
      </c>
      <c r="L710">
        <v>3.2638888888888887E-3</v>
      </c>
      <c r="M710" t="s">
        <v>117</v>
      </c>
      <c r="N710" t="s">
        <v>351</v>
      </c>
      <c r="O710" s="24">
        <v>46114</v>
      </c>
      <c r="P710">
        <v>606</v>
      </c>
      <c r="Q710" t="s">
        <v>34</v>
      </c>
      <c r="R710" s="24">
        <v>46136</v>
      </c>
      <c r="S710" s="51">
        <v>0.6875</v>
      </c>
      <c r="T710" s="51">
        <v>0.69791666666666663</v>
      </c>
      <c r="X710" t="s">
        <v>3174</v>
      </c>
      <c r="Y710" t="s">
        <v>3035</v>
      </c>
      <c r="Z710">
        <v>2733753</v>
      </c>
    </row>
    <row r="711" spans="1:26" x14ac:dyDescent="0.25">
      <c r="A711">
        <v>707</v>
      </c>
      <c r="B711" t="s">
        <v>24</v>
      </c>
      <c r="C711" t="s">
        <v>25</v>
      </c>
      <c r="D711">
        <v>13</v>
      </c>
      <c r="E711" t="s">
        <v>2094</v>
      </c>
      <c r="F711" t="s">
        <v>44</v>
      </c>
      <c r="G711">
        <v>4514</v>
      </c>
      <c r="H711" t="s">
        <v>54</v>
      </c>
      <c r="I711" t="s">
        <v>1119</v>
      </c>
      <c r="J711">
        <v>8</v>
      </c>
      <c r="K711">
        <v>3</v>
      </c>
      <c r="L711">
        <v>3.5300925925925925E-3</v>
      </c>
      <c r="M711" t="s">
        <v>117</v>
      </c>
      <c r="N711" t="s">
        <v>351</v>
      </c>
      <c r="O711" s="24">
        <v>46114</v>
      </c>
      <c r="P711">
        <v>606</v>
      </c>
      <c r="Q711" t="s">
        <v>34</v>
      </c>
      <c r="R711" s="24">
        <v>46136</v>
      </c>
      <c r="S711" s="51">
        <v>0.6875</v>
      </c>
      <c r="T711" s="51">
        <v>0.69791666666666663</v>
      </c>
      <c r="X711" t="s">
        <v>3174</v>
      </c>
      <c r="Y711" t="s">
        <v>3035</v>
      </c>
      <c r="Z711">
        <v>2733753</v>
      </c>
    </row>
    <row r="712" spans="1:26" x14ac:dyDescent="0.25">
      <c r="A712">
        <v>708</v>
      </c>
      <c r="B712" t="s">
        <v>24</v>
      </c>
      <c r="C712" t="s">
        <v>25</v>
      </c>
      <c r="D712">
        <v>13</v>
      </c>
      <c r="E712" t="s">
        <v>2195</v>
      </c>
      <c r="F712" t="s">
        <v>44</v>
      </c>
      <c r="G712">
        <v>4514</v>
      </c>
      <c r="H712" t="s">
        <v>48</v>
      </c>
      <c r="I712" t="s">
        <v>1119</v>
      </c>
      <c r="J712">
        <v>8</v>
      </c>
      <c r="K712">
        <v>1</v>
      </c>
      <c r="L712">
        <v>1.3194444444444445E-3</v>
      </c>
      <c r="M712" t="s">
        <v>117</v>
      </c>
      <c r="N712" t="s">
        <v>351</v>
      </c>
      <c r="O712" s="24">
        <v>46114</v>
      </c>
      <c r="P712">
        <v>606</v>
      </c>
      <c r="Q712" t="s">
        <v>34</v>
      </c>
      <c r="R712" s="24">
        <v>46136</v>
      </c>
      <c r="S712" s="51">
        <v>0.6875</v>
      </c>
      <c r="T712" s="51">
        <v>0.69791666666666663</v>
      </c>
      <c r="X712" t="s">
        <v>3174</v>
      </c>
      <c r="Y712" t="s">
        <v>3035</v>
      </c>
      <c r="Z712">
        <v>2733753</v>
      </c>
    </row>
    <row r="713" spans="1:26" x14ac:dyDescent="0.25">
      <c r="A713">
        <v>709</v>
      </c>
      <c r="B713" t="s">
        <v>24</v>
      </c>
      <c r="C713" t="s">
        <v>25</v>
      </c>
      <c r="D713">
        <v>13</v>
      </c>
      <c r="E713" t="s">
        <v>1665</v>
      </c>
      <c r="F713" t="s">
        <v>115</v>
      </c>
      <c r="G713">
        <v>4026</v>
      </c>
      <c r="H713" t="s">
        <v>2113</v>
      </c>
      <c r="I713" t="s">
        <v>2111</v>
      </c>
      <c r="J713">
        <v>8</v>
      </c>
      <c r="K713">
        <v>1</v>
      </c>
      <c r="L713">
        <v>5.2083333333333333E-4</v>
      </c>
      <c r="M713" t="s">
        <v>117</v>
      </c>
      <c r="N713" t="s">
        <v>239</v>
      </c>
      <c r="O713" s="24">
        <v>46114</v>
      </c>
      <c r="P713">
        <v>605</v>
      </c>
      <c r="Q713" t="s">
        <v>34</v>
      </c>
      <c r="R713" s="24">
        <v>46136</v>
      </c>
      <c r="S713" s="51">
        <v>0.85763888888888884</v>
      </c>
      <c r="T713" s="51">
        <v>0.86805555555555558</v>
      </c>
      <c r="X713" t="s">
        <v>3175</v>
      </c>
      <c r="Y713" t="s">
        <v>3032</v>
      </c>
      <c r="Z713">
        <v>1742314</v>
      </c>
    </row>
    <row r="714" spans="1:26" x14ac:dyDescent="0.25">
      <c r="A714">
        <v>710</v>
      </c>
      <c r="B714" t="s">
        <v>24</v>
      </c>
      <c r="C714" t="s">
        <v>25</v>
      </c>
      <c r="D714">
        <v>13</v>
      </c>
      <c r="E714" t="s">
        <v>367</v>
      </c>
      <c r="F714" t="s">
        <v>1593</v>
      </c>
      <c r="G714">
        <v>4026</v>
      </c>
      <c r="H714" t="s">
        <v>2060</v>
      </c>
      <c r="I714" t="s">
        <v>2061</v>
      </c>
      <c r="J714">
        <v>8</v>
      </c>
      <c r="K714">
        <v>2</v>
      </c>
      <c r="L714">
        <v>7.407407407407407E-4</v>
      </c>
      <c r="M714" t="s">
        <v>117</v>
      </c>
      <c r="N714" t="s">
        <v>239</v>
      </c>
      <c r="O714" s="24">
        <v>46114</v>
      </c>
      <c r="P714">
        <v>605</v>
      </c>
      <c r="Q714" t="s">
        <v>34</v>
      </c>
      <c r="R714" s="24">
        <v>46136</v>
      </c>
      <c r="S714" s="51">
        <v>0.85763888888888884</v>
      </c>
      <c r="T714" s="51">
        <v>0.86805555555555558</v>
      </c>
      <c r="X714" t="s">
        <v>3175</v>
      </c>
      <c r="Y714" t="s">
        <v>3032</v>
      </c>
      <c r="Z714">
        <v>1742314</v>
      </c>
    </row>
    <row r="715" spans="1:26" x14ac:dyDescent="0.25">
      <c r="A715">
        <v>711</v>
      </c>
      <c r="B715" t="s">
        <v>24</v>
      </c>
      <c r="C715" t="s">
        <v>25</v>
      </c>
      <c r="D715">
        <v>13</v>
      </c>
      <c r="E715" t="s">
        <v>367</v>
      </c>
      <c r="F715" t="s">
        <v>1592</v>
      </c>
      <c r="G715">
        <v>4026</v>
      </c>
      <c r="H715" t="s">
        <v>2062</v>
      </c>
      <c r="I715" t="s">
        <v>2063</v>
      </c>
      <c r="J715">
        <v>8</v>
      </c>
      <c r="K715">
        <v>1</v>
      </c>
      <c r="L715">
        <v>4.0509259259259258E-4</v>
      </c>
      <c r="M715" t="s">
        <v>117</v>
      </c>
      <c r="N715" t="s">
        <v>239</v>
      </c>
      <c r="O715" s="24">
        <v>46114</v>
      </c>
      <c r="P715">
        <v>605</v>
      </c>
      <c r="Q715" t="s">
        <v>34</v>
      </c>
      <c r="R715" s="24">
        <v>46136</v>
      </c>
      <c r="S715" s="51">
        <v>0.85763888888888884</v>
      </c>
      <c r="T715" s="51">
        <v>0.86805555555555558</v>
      </c>
      <c r="X715" t="s">
        <v>3175</v>
      </c>
      <c r="Y715" t="s">
        <v>3032</v>
      </c>
      <c r="Z715">
        <v>1742314</v>
      </c>
    </row>
    <row r="716" spans="1:26" x14ac:dyDescent="0.25">
      <c r="A716">
        <v>712</v>
      </c>
      <c r="B716" t="s">
        <v>24</v>
      </c>
      <c r="C716" t="s">
        <v>25</v>
      </c>
      <c r="D716">
        <v>13</v>
      </c>
      <c r="E716" t="s">
        <v>367</v>
      </c>
      <c r="F716" t="s">
        <v>1594</v>
      </c>
      <c r="G716">
        <v>4518</v>
      </c>
      <c r="H716" t="s">
        <v>2610</v>
      </c>
      <c r="I716" t="s">
        <v>2611</v>
      </c>
      <c r="J716">
        <v>8</v>
      </c>
      <c r="K716">
        <v>1</v>
      </c>
      <c r="L716">
        <v>4.3171296296296291E-3</v>
      </c>
      <c r="M716" t="s">
        <v>117</v>
      </c>
      <c r="N716" t="s">
        <v>239</v>
      </c>
      <c r="O716" s="24">
        <v>46114</v>
      </c>
      <c r="P716">
        <v>605</v>
      </c>
      <c r="Q716" t="s">
        <v>34</v>
      </c>
      <c r="R716" s="24">
        <v>46136</v>
      </c>
      <c r="S716" s="51">
        <v>0.42708333333333331</v>
      </c>
      <c r="T716" s="51">
        <v>0.44374999999999998</v>
      </c>
      <c r="X716" t="s">
        <v>3031</v>
      </c>
      <c r="Y716" t="s">
        <v>3029</v>
      </c>
      <c r="Z716">
        <v>1786246</v>
      </c>
    </row>
    <row r="717" spans="1:26" x14ac:dyDescent="0.25">
      <c r="A717">
        <v>713</v>
      </c>
      <c r="B717" t="s">
        <v>24</v>
      </c>
      <c r="C717" t="s">
        <v>25</v>
      </c>
      <c r="D717">
        <v>13</v>
      </c>
      <c r="E717" t="s">
        <v>65</v>
      </c>
      <c r="F717" t="s">
        <v>65</v>
      </c>
      <c r="G717">
        <v>4518</v>
      </c>
      <c r="H717" t="s">
        <v>2460</v>
      </c>
      <c r="I717" t="s">
        <v>2461</v>
      </c>
      <c r="J717">
        <v>8</v>
      </c>
      <c r="K717">
        <v>1</v>
      </c>
      <c r="L717">
        <v>7.1759259259259259E-4</v>
      </c>
      <c r="M717" t="s">
        <v>117</v>
      </c>
      <c r="N717" t="s">
        <v>239</v>
      </c>
      <c r="O717" s="24">
        <v>46114</v>
      </c>
      <c r="P717">
        <v>605</v>
      </c>
      <c r="Q717" t="s">
        <v>34</v>
      </c>
      <c r="R717" s="24">
        <v>46136</v>
      </c>
      <c r="S717" s="51">
        <v>0.42708333333333331</v>
      </c>
      <c r="T717" s="51">
        <v>0.44374999999999998</v>
      </c>
      <c r="X717" t="s">
        <v>3031</v>
      </c>
      <c r="Y717" t="s">
        <v>3029</v>
      </c>
      <c r="Z717">
        <v>1786246</v>
      </c>
    </row>
    <row r="718" spans="1:26" x14ac:dyDescent="0.25">
      <c r="A718">
        <v>714</v>
      </c>
      <c r="B718" t="s">
        <v>24</v>
      </c>
      <c r="C718" t="s">
        <v>25</v>
      </c>
      <c r="D718">
        <v>13</v>
      </c>
      <c r="E718" t="s">
        <v>1588</v>
      </c>
      <c r="F718" t="s">
        <v>44</v>
      </c>
      <c r="G718">
        <v>4069</v>
      </c>
      <c r="H718" t="s">
        <v>2057</v>
      </c>
      <c r="I718" t="s">
        <v>2049</v>
      </c>
      <c r="J718">
        <v>8</v>
      </c>
      <c r="K718">
        <v>1</v>
      </c>
      <c r="L718">
        <v>1.2384259259259258E-3</v>
      </c>
      <c r="M718" t="s">
        <v>117</v>
      </c>
      <c r="N718" t="s">
        <v>351</v>
      </c>
      <c r="O718" s="24">
        <v>46114</v>
      </c>
      <c r="P718">
        <v>606</v>
      </c>
      <c r="Q718" t="s">
        <v>34</v>
      </c>
      <c r="R718" s="24">
        <v>46136</v>
      </c>
      <c r="S718" s="51">
        <v>0.34027777777777779</v>
      </c>
      <c r="T718" s="51">
        <v>0.36249999999999999</v>
      </c>
      <c r="X718" t="s">
        <v>3120</v>
      </c>
      <c r="Y718" t="s">
        <v>3035</v>
      </c>
      <c r="Z718">
        <v>1742255</v>
      </c>
    </row>
    <row r="719" spans="1:26" x14ac:dyDescent="0.25">
      <c r="A719">
        <v>715</v>
      </c>
      <c r="B719" t="s">
        <v>24</v>
      </c>
      <c r="C719" t="s">
        <v>25</v>
      </c>
      <c r="D719">
        <v>13</v>
      </c>
      <c r="E719" t="s">
        <v>367</v>
      </c>
      <c r="F719" t="s">
        <v>1598</v>
      </c>
      <c r="G719">
        <v>4069</v>
      </c>
      <c r="H719" t="s">
        <v>2168</v>
      </c>
      <c r="I719" t="s">
        <v>1634</v>
      </c>
      <c r="J719">
        <v>8</v>
      </c>
      <c r="K719">
        <v>1</v>
      </c>
      <c r="L719">
        <v>6.9444444444444436E-4</v>
      </c>
      <c r="M719" t="s">
        <v>117</v>
      </c>
      <c r="N719" t="s">
        <v>351</v>
      </c>
      <c r="O719" s="24">
        <v>46114</v>
      </c>
      <c r="P719">
        <v>606</v>
      </c>
      <c r="Q719" t="s">
        <v>34</v>
      </c>
      <c r="R719" s="24">
        <v>46136</v>
      </c>
      <c r="S719" s="51">
        <v>0.34027777777777779</v>
      </c>
      <c r="T719" s="51">
        <v>0.36249999999999999</v>
      </c>
      <c r="X719" t="s">
        <v>3120</v>
      </c>
      <c r="Y719" t="s">
        <v>3035</v>
      </c>
      <c r="Z719">
        <v>1742255</v>
      </c>
    </row>
    <row r="720" spans="1:26" x14ac:dyDescent="0.25">
      <c r="A720">
        <v>716</v>
      </c>
      <c r="B720" t="s">
        <v>24</v>
      </c>
      <c r="C720" t="s">
        <v>25</v>
      </c>
      <c r="D720">
        <v>13</v>
      </c>
      <c r="E720" t="s">
        <v>65</v>
      </c>
      <c r="F720" t="s">
        <v>1590</v>
      </c>
      <c r="G720">
        <v>4060</v>
      </c>
      <c r="H720" t="s">
        <v>2316</v>
      </c>
      <c r="I720" t="s">
        <v>2286</v>
      </c>
      <c r="J720">
        <v>8</v>
      </c>
      <c r="K720">
        <v>1</v>
      </c>
      <c r="L720">
        <v>1.8518518518518517E-3</v>
      </c>
      <c r="M720" t="s">
        <v>117</v>
      </c>
      <c r="N720" t="s">
        <v>239</v>
      </c>
      <c r="O720" s="24">
        <v>46114</v>
      </c>
      <c r="P720">
        <v>605</v>
      </c>
      <c r="Q720" t="s">
        <v>34</v>
      </c>
      <c r="R720" s="24">
        <v>46136</v>
      </c>
      <c r="S720" s="51">
        <v>0.47986111111111113</v>
      </c>
      <c r="T720" s="51">
        <v>0.48958333333333331</v>
      </c>
      <c r="X720" t="s">
        <v>3176</v>
      </c>
      <c r="Y720" t="s">
        <v>3029</v>
      </c>
      <c r="Z720">
        <v>1786246</v>
      </c>
    </row>
    <row r="721" spans="1:26" x14ac:dyDescent="0.25">
      <c r="A721">
        <v>717</v>
      </c>
      <c r="B721" t="s">
        <v>24</v>
      </c>
      <c r="C721" t="s">
        <v>25</v>
      </c>
      <c r="D721">
        <v>13</v>
      </c>
      <c r="E721" t="s">
        <v>65</v>
      </c>
      <c r="F721" t="s">
        <v>1596</v>
      </c>
      <c r="G721">
        <v>4060</v>
      </c>
      <c r="H721" t="s">
        <v>2318</v>
      </c>
      <c r="I721" t="s">
        <v>2319</v>
      </c>
      <c r="J721">
        <v>8</v>
      </c>
      <c r="K721">
        <v>1</v>
      </c>
      <c r="L721">
        <v>2.2453703703703702E-3</v>
      </c>
      <c r="M721" t="s">
        <v>117</v>
      </c>
      <c r="N721" t="s">
        <v>239</v>
      </c>
      <c r="O721" s="24">
        <v>46114</v>
      </c>
      <c r="P721">
        <v>605</v>
      </c>
      <c r="Q721" t="s">
        <v>34</v>
      </c>
      <c r="R721" s="24">
        <v>46136</v>
      </c>
      <c r="S721" s="51">
        <v>0.47986111111111113</v>
      </c>
      <c r="T721" s="51">
        <v>0.48958333333333331</v>
      </c>
      <c r="X721" t="s">
        <v>3176</v>
      </c>
      <c r="Y721" t="s">
        <v>3029</v>
      </c>
      <c r="Z721">
        <v>1786246</v>
      </c>
    </row>
    <row r="722" spans="1:26" x14ac:dyDescent="0.25">
      <c r="A722">
        <v>718</v>
      </c>
      <c r="B722" t="s">
        <v>24</v>
      </c>
      <c r="C722" t="s">
        <v>25</v>
      </c>
      <c r="D722">
        <v>13</v>
      </c>
      <c r="E722" t="s">
        <v>129</v>
      </c>
      <c r="F722" t="s">
        <v>512</v>
      </c>
      <c r="G722">
        <v>4060</v>
      </c>
      <c r="H722" t="s">
        <v>2320</v>
      </c>
      <c r="I722" t="s">
        <v>2321</v>
      </c>
      <c r="J722">
        <v>8</v>
      </c>
      <c r="K722">
        <v>1</v>
      </c>
      <c r="L722">
        <v>1.6435185185185185E-3</v>
      </c>
      <c r="M722" t="s">
        <v>117</v>
      </c>
      <c r="N722" t="s">
        <v>239</v>
      </c>
      <c r="O722" s="24">
        <v>46114</v>
      </c>
      <c r="P722">
        <v>605</v>
      </c>
      <c r="Q722" t="s">
        <v>34</v>
      </c>
      <c r="R722" s="24">
        <v>46136</v>
      </c>
      <c r="S722" s="51">
        <v>0.47986111111111113</v>
      </c>
      <c r="T722" s="51">
        <v>0.48958333333333331</v>
      </c>
      <c r="X722" t="s">
        <v>3176</v>
      </c>
      <c r="Y722" t="s">
        <v>3029</v>
      </c>
      <c r="Z722">
        <v>1786246</v>
      </c>
    </row>
    <row r="723" spans="1:26" x14ac:dyDescent="0.25">
      <c r="A723">
        <v>719</v>
      </c>
      <c r="B723" t="s">
        <v>24</v>
      </c>
      <c r="C723" t="s">
        <v>25</v>
      </c>
      <c r="D723">
        <v>13</v>
      </c>
      <c r="E723" t="s">
        <v>65</v>
      </c>
      <c r="F723" t="s">
        <v>368</v>
      </c>
      <c r="G723">
        <v>3981</v>
      </c>
      <c r="H723" t="s">
        <v>2164</v>
      </c>
      <c r="I723" t="s">
        <v>2165</v>
      </c>
      <c r="J723">
        <v>8</v>
      </c>
      <c r="K723">
        <v>1</v>
      </c>
      <c r="L723">
        <v>1.4120370370370369E-3</v>
      </c>
      <c r="M723" t="s">
        <v>117</v>
      </c>
      <c r="N723" t="s">
        <v>159</v>
      </c>
      <c r="O723" s="24">
        <v>46109</v>
      </c>
      <c r="P723">
        <v>605</v>
      </c>
      <c r="Q723" t="s">
        <v>34</v>
      </c>
      <c r="R723" s="24">
        <v>46113</v>
      </c>
      <c r="S723" s="51">
        <v>0.75</v>
      </c>
      <c r="T723" s="51">
        <v>0.76388888888888884</v>
      </c>
      <c r="X723" t="s">
        <v>174</v>
      </c>
      <c r="Y723" t="s">
        <v>3032</v>
      </c>
    </row>
    <row r="724" spans="1:26" x14ac:dyDescent="0.25">
      <c r="A724">
        <v>720</v>
      </c>
      <c r="B724" t="s">
        <v>24</v>
      </c>
      <c r="C724" t="s">
        <v>25</v>
      </c>
      <c r="D724">
        <v>13</v>
      </c>
      <c r="E724" t="s">
        <v>367</v>
      </c>
      <c r="F724" t="s">
        <v>427</v>
      </c>
      <c r="G724">
        <v>3982</v>
      </c>
      <c r="H724" t="s">
        <v>428</v>
      </c>
      <c r="I724" t="s">
        <v>429</v>
      </c>
      <c r="J724">
        <v>8</v>
      </c>
      <c r="K724">
        <v>1</v>
      </c>
      <c r="L724">
        <v>6.9212962962962961E-3</v>
      </c>
      <c r="M724" t="s">
        <v>117</v>
      </c>
      <c r="N724" t="s">
        <v>351</v>
      </c>
      <c r="O724" s="24">
        <v>46114</v>
      </c>
      <c r="P724">
        <v>606</v>
      </c>
      <c r="Q724" t="s">
        <v>34</v>
      </c>
      <c r="R724" s="24">
        <v>46136</v>
      </c>
      <c r="S724" s="51">
        <v>0.49027777777777776</v>
      </c>
      <c r="T724" s="51">
        <v>0.49375000000000002</v>
      </c>
      <c r="X724" t="s">
        <v>3177</v>
      </c>
      <c r="Y724" t="s">
        <v>3035</v>
      </c>
      <c r="Z724">
        <v>1786246</v>
      </c>
    </row>
    <row r="725" spans="1:26" x14ac:dyDescent="0.25">
      <c r="A725">
        <v>721</v>
      </c>
      <c r="B725" t="s">
        <v>24</v>
      </c>
      <c r="C725" t="s">
        <v>25</v>
      </c>
      <c r="D725">
        <v>13</v>
      </c>
      <c r="E725" t="s">
        <v>1665</v>
      </c>
      <c r="F725" t="s">
        <v>498</v>
      </c>
      <c r="G725">
        <v>3983</v>
      </c>
      <c r="H725" t="s">
        <v>2110</v>
      </c>
      <c r="I725" t="s">
        <v>2111</v>
      </c>
      <c r="J725">
        <v>8</v>
      </c>
      <c r="K725">
        <v>2</v>
      </c>
      <c r="L725">
        <v>1.0416666666666667E-3</v>
      </c>
      <c r="M725" t="s">
        <v>117</v>
      </c>
      <c r="N725" t="s">
        <v>351</v>
      </c>
      <c r="O725" s="24">
        <v>46114</v>
      </c>
      <c r="P725">
        <v>606</v>
      </c>
      <c r="Q725" t="s">
        <v>34</v>
      </c>
      <c r="R725" s="24">
        <v>46136</v>
      </c>
      <c r="S725" s="51">
        <v>0.6694444444444444</v>
      </c>
      <c r="T725" s="51">
        <v>0.68333333333333335</v>
      </c>
      <c r="X725" t="s">
        <v>3178</v>
      </c>
      <c r="Y725" t="s">
        <v>3035</v>
      </c>
      <c r="Z725">
        <v>1742402</v>
      </c>
    </row>
    <row r="726" spans="1:26" x14ac:dyDescent="0.25">
      <c r="A726">
        <v>722</v>
      </c>
      <c r="B726" t="s">
        <v>24</v>
      </c>
      <c r="C726" t="s">
        <v>25</v>
      </c>
      <c r="D726">
        <v>13</v>
      </c>
      <c r="E726" t="s">
        <v>1588</v>
      </c>
      <c r="F726" t="s">
        <v>44</v>
      </c>
      <c r="G726">
        <v>3983</v>
      </c>
      <c r="H726" t="s">
        <v>1623</v>
      </c>
      <c r="I726" t="s">
        <v>1624</v>
      </c>
      <c r="J726">
        <v>8</v>
      </c>
      <c r="K726">
        <v>1</v>
      </c>
      <c r="L726">
        <v>1.4930555555555554E-3</v>
      </c>
      <c r="M726" t="s">
        <v>117</v>
      </c>
      <c r="N726" t="s">
        <v>351</v>
      </c>
      <c r="O726" s="24">
        <v>46114</v>
      </c>
      <c r="P726">
        <v>606</v>
      </c>
      <c r="Q726" t="s">
        <v>34</v>
      </c>
      <c r="R726" s="24">
        <v>46136</v>
      </c>
      <c r="S726" s="51">
        <v>0.6694444444444444</v>
      </c>
      <c r="T726" s="51">
        <v>0.68333333333333335</v>
      </c>
      <c r="X726" t="s">
        <v>3178</v>
      </c>
      <c r="Y726" t="s">
        <v>3035</v>
      </c>
      <c r="Z726">
        <v>1742402</v>
      </c>
    </row>
    <row r="727" spans="1:26" x14ac:dyDescent="0.25">
      <c r="A727">
        <v>723</v>
      </c>
      <c r="B727" t="s">
        <v>24</v>
      </c>
      <c r="C727" t="s">
        <v>25</v>
      </c>
      <c r="D727">
        <v>13</v>
      </c>
      <c r="E727" t="s">
        <v>1588</v>
      </c>
      <c r="F727" t="s">
        <v>44</v>
      </c>
      <c r="G727">
        <v>3983</v>
      </c>
      <c r="H727" t="s">
        <v>2048</v>
      </c>
      <c r="I727" t="s">
        <v>2049</v>
      </c>
      <c r="J727">
        <v>8</v>
      </c>
      <c r="K727">
        <v>1</v>
      </c>
      <c r="L727">
        <v>1.1342592592592591E-3</v>
      </c>
      <c r="M727" t="s">
        <v>117</v>
      </c>
      <c r="N727" t="s">
        <v>351</v>
      </c>
      <c r="O727" s="24">
        <v>46114</v>
      </c>
      <c r="P727">
        <v>606</v>
      </c>
      <c r="Q727" t="s">
        <v>34</v>
      </c>
      <c r="R727" s="24">
        <v>46136</v>
      </c>
      <c r="S727" s="51">
        <v>0.6694444444444444</v>
      </c>
      <c r="T727" s="51">
        <v>0.68333333333333335</v>
      </c>
      <c r="X727" t="s">
        <v>3178</v>
      </c>
      <c r="Y727" t="s">
        <v>3035</v>
      </c>
      <c r="Z727">
        <v>1742402</v>
      </c>
    </row>
    <row r="728" spans="1:26" x14ac:dyDescent="0.25">
      <c r="A728">
        <v>724</v>
      </c>
      <c r="B728" t="s">
        <v>24</v>
      </c>
      <c r="C728" t="s">
        <v>25</v>
      </c>
      <c r="D728">
        <v>13</v>
      </c>
      <c r="E728" t="s">
        <v>367</v>
      </c>
      <c r="F728" t="s">
        <v>1598</v>
      </c>
      <c r="G728">
        <v>3983</v>
      </c>
      <c r="H728" t="s">
        <v>2168</v>
      </c>
      <c r="I728" t="s">
        <v>1634</v>
      </c>
      <c r="J728">
        <v>8</v>
      </c>
      <c r="K728">
        <v>1</v>
      </c>
      <c r="L728">
        <v>6.3657407407407402E-4</v>
      </c>
      <c r="M728" t="s">
        <v>117</v>
      </c>
      <c r="N728" t="s">
        <v>351</v>
      </c>
      <c r="O728" s="24">
        <v>46114</v>
      </c>
      <c r="P728">
        <v>606</v>
      </c>
      <c r="Q728" t="s">
        <v>34</v>
      </c>
      <c r="R728" s="24">
        <v>46136</v>
      </c>
      <c r="S728" s="51">
        <v>0.6694444444444444</v>
      </c>
      <c r="T728" s="51">
        <v>0.68333333333333335</v>
      </c>
      <c r="X728" t="s">
        <v>3178</v>
      </c>
      <c r="Y728" t="s">
        <v>3035</v>
      </c>
      <c r="Z728">
        <v>1742402</v>
      </c>
    </row>
    <row r="729" spans="1:26" x14ac:dyDescent="0.25">
      <c r="A729">
        <v>725</v>
      </c>
      <c r="B729" t="s">
        <v>24</v>
      </c>
      <c r="C729" t="s">
        <v>25</v>
      </c>
      <c r="D729">
        <v>13</v>
      </c>
      <c r="E729" t="s">
        <v>367</v>
      </c>
      <c r="F729" t="s">
        <v>368</v>
      </c>
      <c r="G729">
        <v>3983</v>
      </c>
      <c r="H729" t="s">
        <v>2169</v>
      </c>
      <c r="I729" t="s">
        <v>2170</v>
      </c>
      <c r="J729">
        <v>8</v>
      </c>
      <c r="K729">
        <v>1</v>
      </c>
      <c r="L729">
        <v>4.9768518518518521E-4</v>
      </c>
      <c r="M729" t="s">
        <v>117</v>
      </c>
      <c r="N729" t="s">
        <v>351</v>
      </c>
      <c r="O729" s="24">
        <v>46114</v>
      </c>
      <c r="P729">
        <v>606</v>
      </c>
      <c r="Q729" t="s">
        <v>34</v>
      </c>
      <c r="R729" s="24">
        <v>46136</v>
      </c>
      <c r="S729" s="51">
        <v>0.6694444444444444</v>
      </c>
      <c r="T729" s="51">
        <v>0.68333333333333335</v>
      </c>
      <c r="X729" t="s">
        <v>3178</v>
      </c>
      <c r="Y729" t="s">
        <v>3035</v>
      </c>
      <c r="Z729">
        <v>1742402</v>
      </c>
    </row>
    <row r="730" spans="1:26" x14ac:dyDescent="0.25">
      <c r="A730">
        <v>726</v>
      </c>
      <c r="B730" t="s">
        <v>24</v>
      </c>
      <c r="C730" t="s">
        <v>25</v>
      </c>
      <c r="D730">
        <v>13</v>
      </c>
      <c r="E730" t="s">
        <v>65</v>
      </c>
      <c r="F730" t="s">
        <v>368</v>
      </c>
      <c r="G730">
        <v>3983</v>
      </c>
      <c r="H730" t="s">
        <v>2171</v>
      </c>
      <c r="I730" t="s">
        <v>2172</v>
      </c>
      <c r="J730">
        <v>8</v>
      </c>
      <c r="K730">
        <v>4</v>
      </c>
      <c r="L730">
        <v>2.0833333333333333E-3</v>
      </c>
      <c r="M730" t="s">
        <v>117</v>
      </c>
      <c r="N730" t="s">
        <v>351</v>
      </c>
      <c r="O730" s="24">
        <v>46114</v>
      </c>
      <c r="P730">
        <v>606</v>
      </c>
      <c r="Q730" t="s">
        <v>34</v>
      </c>
      <c r="R730" s="24">
        <v>46136</v>
      </c>
      <c r="S730" s="51">
        <v>0.6694444444444444</v>
      </c>
      <c r="T730" s="51">
        <v>0.68333333333333335</v>
      </c>
      <c r="X730" t="s">
        <v>3178</v>
      </c>
      <c r="Y730" t="s">
        <v>3035</v>
      </c>
      <c r="Z730">
        <v>1742402</v>
      </c>
    </row>
    <row r="731" spans="1:26" x14ac:dyDescent="0.25">
      <c r="A731">
        <v>727</v>
      </c>
      <c r="B731" t="s">
        <v>24</v>
      </c>
      <c r="C731" t="s">
        <v>25</v>
      </c>
      <c r="D731">
        <v>13</v>
      </c>
      <c r="E731" t="s">
        <v>65</v>
      </c>
      <c r="F731" t="s">
        <v>1589</v>
      </c>
      <c r="G731">
        <v>3983</v>
      </c>
      <c r="H731" t="s">
        <v>2173</v>
      </c>
      <c r="I731" t="s">
        <v>2103</v>
      </c>
      <c r="J731">
        <v>8</v>
      </c>
      <c r="K731">
        <v>1</v>
      </c>
      <c r="L731">
        <v>6.134259259259259E-4</v>
      </c>
      <c r="M731" t="s">
        <v>117</v>
      </c>
      <c r="N731" t="s">
        <v>351</v>
      </c>
      <c r="O731" s="24">
        <v>46114</v>
      </c>
      <c r="P731">
        <v>606</v>
      </c>
      <c r="Q731" t="s">
        <v>34</v>
      </c>
      <c r="R731" s="24">
        <v>46136</v>
      </c>
      <c r="S731" s="51">
        <v>0.6694444444444444</v>
      </c>
      <c r="T731" s="51">
        <v>0.68333333333333335</v>
      </c>
      <c r="X731" t="s">
        <v>3178</v>
      </c>
      <c r="Y731" t="s">
        <v>3035</v>
      </c>
      <c r="Z731">
        <v>1742402</v>
      </c>
    </row>
    <row r="732" spans="1:26" x14ac:dyDescent="0.25">
      <c r="A732">
        <v>728</v>
      </c>
      <c r="B732" t="s">
        <v>24</v>
      </c>
      <c r="C732" t="s">
        <v>25</v>
      </c>
      <c r="D732">
        <v>13</v>
      </c>
      <c r="E732" t="s">
        <v>65</v>
      </c>
      <c r="F732" t="s">
        <v>1590</v>
      </c>
      <c r="G732">
        <v>3983</v>
      </c>
      <c r="H732" t="s">
        <v>2100</v>
      </c>
      <c r="I732" t="s">
        <v>2101</v>
      </c>
      <c r="J732">
        <v>8</v>
      </c>
      <c r="K732">
        <v>1</v>
      </c>
      <c r="L732">
        <v>5.5555555555555556E-4</v>
      </c>
      <c r="M732" t="s">
        <v>117</v>
      </c>
      <c r="N732" t="s">
        <v>351</v>
      </c>
      <c r="O732" s="24">
        <v>46114</v>
      </c>
      <c r="P732">
        <v>606</v>
      </c>
      <c r="Q732" t="s">
        <v>34</v>
      </c>
      <c r="R732" s="24">
        <v>46136</v>
      </c>
      <c r="S732" s="51">
        <v>0.6694444444444444</v>
      </c>
      <c r="T732" s="51">
        <v>0.68333333333333335</v>
      </c>
      <c r="X732" t="s">
        <v>3178</v>
      </c>
      <c r="Y732" t="s">
        <v>3035</v>
      </c>
      <c r="Z732">
        <v>1742402</v>
      </c>
    </row>
    <row r="733" spans="1:26" x14ac:dyDescent="0.25">
      <c r="A733">
        <v>729</v>
      </c>
      <c r="B733" t="s">
        <v>24</v>
      </c>
      <c r="C733" t="s">
        <v>25</v>
      </c>
      <c r="D733">
        <v>13</v>
      </c>
      <c r="E733" t="s">
        <v>65</v>
      </c>
      <c r="F733" t="s">
        <v>1590</v>
      </c>
      <c r="G733">
        <v>3983</v>
      </c>
      <c r="H733" t="s">
        <v>2174</v>
      </c>
      <c r="I733" t="s">
        <v>2175</v>
      </c>
      <c r="J733">
        <v>8</v>
      </c>
      <c r="K733">
        <v>1</v>
      </c>
      <c r="L733">
        <v>3.2870370370370371E-3</v>
      </c>
      <c r="M733" t="s">
        <v>117</v>
      </c>
      <c r="N733" t="s">
        <v>351</v>
      </c>
      <c r="O733" s="24">
        <v>46114</v>
      </c>
      <c r="P733">
        <v>606</v>
      </c>
      <c r="Q733" t="s">
        <v>34</v>
      </c>
      <c r="R733" s="24">
        <v>46136</v>
      </c>
      <c r="S733" s="51">
        <v>0.6694444444444444</v>
      </c>
      <c r="T733" s="51">
        <v>0.68333333333333335</v>
      </c>
      <c r="X733" t="s">
        <v>3178</v>
      </c>
      <c r="Y733" t="s">
        <v>3035</v>
      </c>
      <c r="Z733">
        <v>1742402</v>
      </c>
    </row>
    <row r="734" spans="1:26" x14ac:dyDescent="0.25">
      <c r="A734">
        <v>730</v>
      </c>
      <c r="B734" t="s">
        <v>24</v>
      </c>
      <c r="C734" t="s">
        <v>25</v>
      </c>
      <c r="D734">
        <v>13</v>
      </c>
      <c r="E734" t="s">
        <v>65</v>
      </c>
      <c r="F734" t="s">
        <v>1591</v>
      </c>
      <c r="G734">
        <v>3983</v>
      </c>
      <c r="H734" t="s">
        <v>2176</v>
      </c>
      <c r="I734" t="s">
        <v>2177</v>
      </c>
      <c r="J734">
        <v>8</v>
      </c>
      <c r="K734">
        <v>1</v>
      </c>
      <c r="L734">
        <v>5.2083333333333333E-4</v>
      </c>
      <c r="M734" t="s">
        <v>117</v>
      </c>
      <c r="N734" t="s">
        <v>351</v>
      </c>
      <c r="O734" s="24">
        <v>46114</v>
      </c>
      <c r="P734">
        <v>606</v>
      </c>
      <c r="Q734" t="s">
        <v>34</v>
      </c>
      <c r="R734" s="24">
        <v>46136</v>
      </c>
      <c r="S734" s="51">
        <v>0.6694444444444444</v>
      </c>
      <c r="T734" s="51">
        <v>0.68333333333333335</v>
      </c>
      <c r="X734" t="s">
        <v>3178</v>
      </c>
      <c r="Y734" t="s">
        <v>3035</v>
      </c>
      <c r="Z734">
        <v>1742402</v>
      </c>
    </row>
    <row r="735" spans="1:26" x14ac:dyDescent="0.25">
      <c r="A735">
        <v>731</v>
      </c>
      <c r="B735" t="s">
        <v>24</v>
      </c>
      <c r="C735" t="s">
        <v>25</v>
      </c>
      <c r="D735">
        <v>13</v>
      </c>
      <c r="E735" t="s">
        <v>65</v>
      </c>
      <c r="F735" t="s">
        <v>66</v>
      </c>
      <c r="G735">
        <v>3983</v>
      </c>
      <c r="H735" t="s">
        <v>2178</v>
      </c>
      <c r="I735" t="s">
        <v>2179</v>
      </c>
      <c r="J735">
        <v>8</v>
      </c>
      <c r="K735">
        <v>1</v>
      </c>
      <c r="L735">
        <v>5.3240740740740744E-4</v>
      </c>
      <c r="M735" t="s">
        <v>117</v>
      </c>
      <c r="N735" t="s">
        <v>351</v>
      </c>
      <c r="O735" s="24">
        <v>46114</v>
      </c>
      <c r="P735">
        <v>606</v>
      </c>
      <c r="Q735" t="s">
        <v>34</v>
      </c>
      <c r="R735" s="24">
        <v>46136</v>
      </c>
      <c r="S735" s="51">
        <v>0.6694444444444444</v>
      </c>
      <c r="T735" s="51">
        <v>0.68333333333333335</v>
      </c>
      <c r="X735" t="s">
        <v>3178</v>
      </c>
      <c r="Y735" t="s">
        <v>3035</v>
      </c>
      <c r="Z735">
        <v>1742402</v>
      </c>
    </row>
    <row r="736" spans="1:26" x14ac:dyDescent="0.25">
      <c r="A736">
        <v>732</v>
      </c>
      <c r="B736" t="s">
        <v>24</v>
      </c>
      <c r="C736" t="s">
        <v>25</v>
      </c>
      <c r="D736">
        <v>13</v>
      </c>
      <c r="E736" t="s">
        <v>65</v>
      </c>
      <c r="F736" t="s">
        <v>66</v>
      </c>
      <c r="G736">
        <v>3983</v>
      </c>
      <c r="H736" t="s">
        <v>2180</v>
      </c>
      <c r="I736" t="s">
        <v>2181</v>
      </c>
      <c r="J736">
        <v>8</v>
      </c>
      <c r="K736">
        <v>1</v>
      </c>
      <c r="L736">
        <v>5.4398148148148144E-4</v>
      </c>
      <c r="M736" t="s">
        <v>117</v>
      </c>
      <c r="N736" t="s">
        <v>351</v>
      </c>
      <c r="O736" s="24">
        <v>46114</v>
      </c>
      <c r="P736">
        <v>606</v>
      </c>
      <c r="Q736" t="s">
        <v>34</v>
      </c>
      <c r="R736" s="24">
        <v>46136</v>
      </c>
      <c r="S736" s="51">
        <v>0.6694444444444444</v>
      </c>
      <c r="T736" s="51">
        <v>0.68333333333333335</v>
      </c>
      <c r="X736" t="s">
        <v>3178</v>
      </c>
      <c r="Y736" t="s">
        <v>3035</v>
      </c>
      <c r="Z736">
        <v>1742402</v>
      </c>
    </row>
    <row r="737" spans="1:26" x14ac:dyDescent="0.25">
      <c r="A737">
        <v>733</v>
      </c>
      <c r="B737" t="s">
        <v>24</v>
      </c>
      <c r="C737" t="s">
        <v>25</v>
      </c>
      <c r="D737">
        <v>13</v>
      </c>
      <c r="E737" t="s">
        <v>550</v>
      </c>
      <c r="F737" t="s">
        <v>512</v>
      </c>
      <c r="G737">
        <v>3983</v>
      </c>
      <c r="H737" t="s">
        <v>2182</v>
      </c>
      <c r="I737" t="s">
        <v>2183</v>
      </c>
      <c r="J737">
        <v>8</v>
      </c>
      <c r="K737">
        <v>1</v>
      </c>
      <c r="L737">
        <v>5.7175925925925927E-3</v>
      </c>
      <c r="M737" t="s">
        <v>117</v>
      </c>
      <c r="N737" t="s">
        <v>351</v>
      </c>
      <c r="O737" s="24">
        <v>46114</v>
      </c>
      <c r="P737">
        <v>606</v>
      </c>
      <c r="Q737" t="s">
        <v>34</v>
      </c>
      <c r="R737" s="24">
        <v>46136</v>
      </c>
      <c r="S737" s="51">
        <v>0.6694444444444444</v>
      </c>
      <c r="T737" s="51">
        <v>0.68333333333333335</v>
      </c>
      <c r="X737" t="s">
        <v>3178</v>
      </c>
      <c r="Y737" t="s">
        <v>3035</v>
      </c>
      <c r="Z737">
        <v>1742402</v>
      </c>
    </row>
    <row r="738" spans="1:26" x14ac:dyDescent="0.25">
      <c r="A738">
        <v>734</v>
      </c>
      <c r="B738" t="s">
        <v>24</v>
      </c>
      <c r="C738" t="s">
        <v>25</v>
      </c>
      <c r="D738">
        <v>13</v>
      </c>
      <c r="E738" t="s">
        <v>367</v>
      </c>
      <c r="F738" t="s">
        <v>368</v>
      </c>
      <c r="G738">
        <v>4060</v>
      </c>
      <c r="H738" t="s">
        <v>2322</v>
      </c>
      <c r="I738" t="s">
        <v>2323</v>
      </c>
      <c r="J738">
        <v>8</v>
      </c>
      <c r="K738">
        <v>1</v>
      </c>
      <c r="L738">
        <v>1.5856481481481481E-3</v>
      </c>
      <c r="M738" t="s">
        <v>117</v>
      </c>
      <c r="N738" t="s">
        <v>239</v>
      </c>
      <c r="O738" s="24">
        <v>46114</v>
      </c>
      <c r="P738">
        <v>605</v>
      </c>
      <c r="Q738" t="s">
        <v>34</v>
      </c>
      <c r="R738" s="24">
        <v>46136</v>
      </c>
      <c r="S738" s="51">
        <v>0.47986111111111113</v>
      </c>
      <c r="T738" s="51">
        <v>0.48958333333333331</v>
      </c>
      <c r="X738" t="s">
        <v>3176</v>
      </c>
      <c r="Y738" t="s">
        <v>3029</v>
      </c>
      <c r="Z738">
        <v>1786246</v>
      </c>
    </row>
    <row r="739" spans="1:26" x14ac:dyDescent="0.25">
      <c r="A739">
        <v>735</v>
      </c>
      <c r="B739" t="s">
        <v>24</v>
      </c>
      <c r="C739" t="s">
        <v>25</v>
      </c>
      <c r="D739">
        <v>13</v>
      </c>
      <c r="E739" t="s">
        <v>367</v>
      </c>
      <c r="F739" t="s">
        <v>367</v>
      </c>
      <c r="G739">
        <v>4060</v>
      </c>
      <c r="H739" t="s">
        <v>2324</v>
      </c>
      <c r="I739" t="s">
        <v>2325</v>
      </c>
      <c r="J739">
        <v>8</v>
      </c>
      <c r="K739">
        <v>1</v>
      </c>
      <c r="L739">
        <v>1.3541666666666667E-3</v>
      </c>
      <c r="M739" t="s">
        <v>117</v>
      </c>
      <c r="N739" t="s">
        <v>239</v>
      </c>
      <c r="O739" s="24">
        <v>46114</v>
      </c>
      <c r="P739">
        <v>605</v>
      </c>
      <c r="Q739" t="s">
        <v>34</v>
      </c>
      <c r="R739" s="24">
        <v>46136</v>
      </c>
      <c r="S739" s="51">
        <v>0.47986111111111113</v>
      </c>
      <c r="T739" s="51">
        <v>0.48958333333333331</v>
      </c>
      <c r="X739" t="s">
        <v>3176</v>
      </c>
      <c r="Y739" t="s">
        <v>3029</v>
      </c>
      <c r="Z739">
        <v>1786246</v>
      </c>
    </row>
    <row r="740" spans="1:26" x14ac:dyDescent="0.25">
      <c r="A740">
        <v>736</v>
      </c>
      <c r="B740" t="s">
        <v>24</v>
      </c>
      <c r="C740" t="s">
        <v>25</v>
      </c>
      <c r="D740">
        <v>13</v>
      </c>
      <c r="E740" t="s">
        <v>367</v>
      </c>
      <c r="F740" t="s">
        <v>1594</v>
      </c>
      <c r="G740">
        <v>4060</v>
      </c>
      <c r="H740" t="s">
        <v>2326</v>
      </c>
      <c r="I740" t="s">
        <v>2327</v>
      </c>
      <c r="J740">
        <v>8</v>
      </c>
      <c r="K740">
        <v>1</v>
      </c>
      <c r="L740">
        <v>3.6111111111111109E-3</v>
      </c>
      <c r="M740" t="s">
        <v>117</v>
      </c>
      <c r="N740" t="s">
        <v>239</v>
      </c>
      <c r="O740" s="24">
        <v>46114</v>
      </c>
      <c r="P740">
        <v>605</v>
      </c>
      <c r="Q740" t="s">
        <v>34</v>
      </c>
      <c r="R740" s="24">
        <v>46136</v>
      </c>
      <c r="S740" s="51">
        <v>0.47986111111111113</v>
      </c>
      <c r="T740" s="51">
        <v>0.48958333333333331</v>
      </c>
      <c r="X740" t="s">
        <v>3176</v>
      </c>
      <c r="Y740" t="s">
        <v>3029</v>
      </c>
      <c r="Z740">
        <v>1786246</v>
      </c>
    </row>
    <row r="741" spans="1:26" x14ac:dyDescent="0.25">
      <c r="A741">
        <v>737</v>
      </c>
      <c r="B741" t="s">
        <v>24</v>
      </c>
      <c r="C741" t="s">
        <v>25</v>
      </c>
      <c r="D741">
        <v>13</v>
      </c>
      <c r="E741" t="s">
        <v>65</v>
      </c>
      <c r="F741" t="s">
        <v>1598</v>
      </c>
      <c r="G741">
        <v>4068</v>
      </c>
      <c r="H741" t="s">
        <v>2339</v>
      </c>
      <c r="I741" t="s">
        <v>2226</v>
      </c>
      <c r="J741">
        <v>8</v>
      </c>
      <c r="K741">
        <v>1</v>
      </c>
      <c r="L741">
        <v>1.7592592592592592E-3</v>
      </c>
      <c r="M741" t="s">
        <v>117</v>
      </c>
      <c r="N741" t="s">
        <v>351</v>
      </c>
      <c r="O741" s="24">
        <v>46114</v>
      </c>
      <c r="P741">
        <v>606</v>
      </c>
      <c r="Q741" t="s">
        <v>34</v>
      </c>
      <c r="R741" s="24">
        <v>46136</v>
      </c>
      <c r="S741" s="51">
        <v>0.40625</v>
      </c>
      <c r="T741" s="51">
        <v>0.42291666666666666</v>
      </c>
      <c r="X741" t="s">
        <v>3034</v>
      </c>
      <c r="Y741" t="s">
        <v>3035</v>
      </c>
      <c r="Z741">
        <v>1742372</v>
      </c>
    </row>
    <row r="742" spans="1:26" x14ac:dyDescent="0.25">
      <c r="A742">
        <v>738</v>
      </c>
      <c r="B742" t="s">
        <v>24</v>
      </c>
      <c r="C742" t="s">
        <v>25</v>
      </c>
      <c r="D742">
        <v>13</v>
      </c>
      <c r="E742" t="s">
        <v>65</v>
      </c>
      <c r="F742" t="s">
        <v>368</v>
      </c>
      <c r="G742">
        <v>4026</v>
      </c>
      <c r="H742" t="s">
        <v>2171</v>
      </c>
      <c r="I742" t="s">
        <v>2172</v>
      </c>
      <c r="J742">
        <v>8</v>
      </c>
      <c r="K742">
        <v>1</v>
      </c>
      <c r="L742">
        <v>5.2083333333333333E-4</v>
      </c>
      <c r="M742" t="s">
        <v>117</v>
      </c>
      <c r="N742" t="s">
        <v>239</v>
      </c>
      <c r="O742" s="24">
        <v>46114</v>
      </c>
      <c r="P742">
        <v>605</v>
      </c>
      <c r="Q742" t="s">
        <v>34</v>
      </c>
      <c r="R742" s="24">
        <v>46136</v>
      </c>
      <c r="S742" s="51">
        <v>0.85763888888888884</v>
      </c>
      <c r="T742" s="51">
        <v>0.86805555555555558</v>
      </c>
      <c r="X742" t="s">
        <v>3175</v>
      </c>
      <c r="Y742" t="s">
        <v>3032</v>
      </c>
      <c r="Z742">
        <v>1742314</v>
      </c>
    </row>
    <row r="743" spans="1:26" x14ac:dyDescent="0.25">
      <c r="A743">
        <v>739</v>
      </c>
      <c r="B743" t="s">
        <v>24</v>
      </c>
      <c r="C743" t="s">
        <v>25</v>
      </c>
      <c r="D743">
        <v>13</v>
      </c>
      <c r="E743" t="s">
        <v>65</v>
      </c>
      <c r="F743" t="s">
        <v>1589</v>
      </c>
      <c r="G743">
        <v>4026</v>
      </c>
      <c r="H743" t="s">
        <v>2261</v>
      </c>
      <c r="I743" t="s">
        <v>2262</v>
      </c>
      <c r="J743">
        <v>8</v>
      </c>
      <c r="K743">
        <v>1</v>
      </c>
      <c r="L743">
        <v>3.1828703703703702E-3</v>
      </c>
      <c r="M743" t="s">
        <v>117</v>
      </c>
      <c r="N743" t="s">
        <v>239</v>
      </c>
      <c r="O743" s="24">
        <v>46114</v>
      </c>
      <c r="P743">
        <v>605</v>
      </c>
      <c r="Q743" t="s">
        <v>34</v>
      </c>
      <c r="R743" s="24">
        <v>46136</v>
      </c>
      <c r="S743" s="51">
        <v>0.85763888888888884</v>
      </c>
      <c r="T743" s="51">
        <v>0.86805555555555558</v>
      </c>
      <c r="X743" t="s">
        <v>3175</v>
      </c>
      <c r="Y743" t="s">
        <v>3032</v>
      </c>
      <c r="Z743">
        <v>1742314</v>
      </c>
    </row>
    <row r="744" spans="1:26" x14ac:dyDescent="0.25">
      <c r="A744">
        <v>740</v>
      </c>
      <c r="B744" t="s">
        <v>24</v>
      </c>
      <c r="C744" t="s">
        <v>25</v>
      </c>
      <c r="D744">
        <v>13</v>
      </c>
      <c r="E744" t="s">
        <v>65</v>
      </c>
      <c r="F744" t="s">
        <v>1590</v>
      </c>
      <c r="G744">
        <v>4026</v>
      </c>
      <c r="H744" t="s">
        <v>2263</v>
      </c>
      <c r="I744" t="s">
        <v>2258</v>
      </c>
      <c r="J744">
        <v>8</v>
      </c>
      <c r="K744">
        <v>1</v>
      </c>
      <c r="L744">
        <v>4.0393518518518513E-3</v>
      </c>
      <c r="M744" t="s">
        <v>117</v>
      </c>
      <c r="N744" t="s">
        <v>239</v>
      </c>
      <c r="O744" s="24">
        <v>46114</v>
      </c>
      <c r="P744">
        <v>605</v>
      </c>
      <c r="Q744" t="s">
        <v>34</v>
      </c>
      <c r="R744" s="24">
        <v>46136</v>
      </c>
      <c r="S744" s="51">
        <v>0.85763888888888884</v>
      </c>
      <c r="T744" s="51">
        <v>0.86805555555555558</v>
      </c>
      <c r="X744" t="s">
        <v>3175</v>
      </c>
      <c r="Y744" t="s">
        <v>3032</v>
      </c>
      <c r="Z744">
        <v>1742314</v>
      </c>
    </row>
    <row r="745" spans="1:26" x14ac:dyDescent="0.25">
      <c r="A745">
        <v>741</v>
      </c>
      <c r="B745" t="s">
        <v>24</v>
      </c>
      <c r="C745" t="s">
        <v>25</v>
      </c>
      <c r="D745">
        <v>13</v>
      </c>
      <c r="E745" t="s">
        <v>367</v>
      </c>
      <c r="F745" t="s">
        <v>512</v>
      </c>
      <c r="G745">
        <v>3522</v>
      </c>
      <c r="H745" t="s">
        <v>2498</v>
      </c>
      <c r="I745" t="s">
        <v>1689</v>
      </c>
      <c r="J745">
        <v>16</v>
      </c>
      <c r="K745">
        <v>1</v>
      </c>
      <c r="L745">
        <v>9.7222222222222219E-4</v>
      </c>
      <c r="M745" t="s">
        <v>117</v>
      </c>
      <c r="N745" t="s">
        <v>239</v>
      </c>
      <c r="O745" s="24">
        <v>46114</v>
      </c>
      <c r="P745">
        <v>605</v>
      </c>
      <c r="Q745" t="s">
        <v>34</v>
      </c>
      <c r="R745" s="24">
        <v>46136</v>
      </c>
      <c r="S745" s="51">
        <v>0.62152777777777779</v>
      </c>
      <c r="T745" s="51">
        <v>0.66180555555555554</v>
      </c>
      <c r="X745" t="s">
        <v>3084</v>
      </c>
      <c r="Y745" t="s">
        <v>3029</v>
      </c>
      <c r="Z745">
        <v>2777669</v>
      </c>
    </row>
    <row r="746" spans="1:26" x14ac:dyDescent="0.25">
      <c r="A746">
        <v>742</v>
      </c>
      <c r="B746" t="s">
        <v>24</v>
      </c>
      <c r="C746" t="s">
        <v>25</v>
      </c>
      <c r="D746">
        <v>13</v>
      </c>
      <c r="E746" t="s">
        <v>367</v>
      </c>
      <c r="F746" t="s">
        <v>512</v>
      </c>
      <c r="G746">
        <v>3522</v>
      </c>
      <c r="H746" t="s">
        <v>2499</v>
      </c>
      <c r="I746" t="s">
        <v>2500</v>
      </c>
      <c r="J746">
        <v>16</v>
      </c>
      <c r="K746">
        <v>1</v>
      </c>
      <c r="L746">
        <v>1.1111111111111111E-3</v>
      </c>
      <c r="M746" t="s">
        <v>117</v>
      </c>
      <c r="N746" t="s">
        <v>239</v>
      </c>
      <c r="O746" s="24">
        <v>46114</v>
      </c>
      <c r="P746">
        <v>605</v>
      </c>
      <c r="Q746" t="s">
        <v>34</v>
      </c>
      <c r="R746" s="24">
        <v>46136</v>
      </c>
      <c r="S746" s="51">
        <v>0.62152777777777779</v>
      </c>
      <c r="T746" s="51">
        <v>0.66180555555555554</v>
      </c>
      <c r="X746" t="s">
        <v>3084</v>
      </c>
      <c r="Y746" t="s">
        <v>3029</v>
      </c>
      <c r="Z746">
        <v>2777669</v>
      </c>
    </row>
    <row r="747" spans="1:26" x14ac:dyDescent="0.25">
      <c r="A747">
        <v>743</v>
      </c>
      <c r="B747" t="s">
        <v>24</v>
      </c>
      <c r="C747" t="s">
        <v>25</v>
      </c>
      <c r="D747">
        <v>13</v>
      </c>
      <c r="E747" t="s">
        <v>367</v>
      </c>
      <c r="F747" t="s">
        <v>1594</v>
      </c>
      <c r="G747">
        <v>3522</v>
      </c>
      <c r="H747" t="s">
        <v>1793</v>
      </c>
      <c r="I747" t="s">
        <v>1642</v>
      </c>
      <c r="J747">
        <v>16</v>
      </c>
      <c r="K747">
        <v>1</v>
      </c>
      <c r="L747">
        <v>7.0601851851851847E-4</v>
      </c>
      <c r="M747" t="s">
        <v>117</v>
      </c>
      <c r="N747" t="s">
        <v>239</v>
      </c>
      <c r="O747" s="24">
        <v>46114</v>
      </c>
      <c r="P747">
        <v>605</v>
      </c>
      <c r="Q747" t="s">
        <v>34</v>
      </c>
      <c r="R747" s="24">
        <v>46136</v>
      </c>
      <c r="S747" s="51">
        <v>0.62152777777777779</v>
      </c>
      <c r="T747" s="51">
        <v>0.66180555555555554</v>
      </c>
      <c r="X747" t="s">
        <v>3084</v>
      </c>
      <c r="Y747" t="s">
        <v>3029</v>
      </c>
      <c r="Z747">
        <v>2777669</v>
      </c>
    </row>
    <row r="748" spans="1:26" x14ac:dyDescent="0.25">
      <c r="A748">
        <v>744</v>
      </c>
      <c r="B748" t="s">
        <v>24</v>
      </c>
      <c r="C748" t="s">
        <v>25</v>
      </c>
      <c r="D748">
        <v>13</v>
      </c>
      <c r="E748" t="s">
        <v>65</v>
      </c>
      <c r="F748" t="s">
        <v>512</v>
      </c>
      <c r="G748">
        <v>3522</v>
      </c>
      <c r="H748" t="s">
        <v>1692</v>
      </c>
      <c r="I748" t="s">
        <v>1693</v>
      </c>
      <c r="J748">
        <v>16</v>
      </c>
      <c r="K748">
        <v>1</v>
      </c>
      <c r="L748">
        <v>7.0601851851851847E-4</v>
      </c>
      <c r="M748" t="s">
        <v>117</v>
      </c>
      <c r="N748" t="s">
        <v>239</v>
      </c>
      <c r="O748" s="24">
        <v>46114</v>
      </c>
      <c r="P748">
        <v>605</v>
      </c>
      <c r="Q748" t="s">
        <v>34</v>
      </c>
      <c r="R748" s="24">
        <v>46136</v>
      </c>
      <c r="S748" s="51">
        <v>0.62152777777777779</v>
      </c>
      <c r="T748" s="51">
        <v>0.66180555555555554</v>
      </c>
      <c r="X748" t="s">
        <v>3084</v>
      </c>
      <c r="Y748" t="s">
        <v>3029</v>
      </c>
      <c r="Z748">
        <v>2777669</v>
      </c>
    </row>
    <row r="749" spans="1:26" x14ac:dyDescent="0.25">
      <c r="A749">
        <v>745</v>
      </c>
      <c r="B749" t="s">
        <v>24</v>
      </c>
      <c r="C749" t="s">
        <v>25</v>
      </c>
      <c r="D749">
        <v>13</v>
      </c>
      <c r="E749" t="s">
        <v>65</v>
      </c>
      <c r="F749" t="s">
        <v>512</v>
      </c>
      <c r="G749">
        <v>3522</v>
      </c>
      <c r="H749" t="s">
        <v>1694</v>
      </c>
      <c r="I749" t="s">
        <v>1693</v>
      </c>
      <c r="J749">
        <v>16</v>
      </c>
      <c r="K749">
        <v>1</v>
      </c>
      <c r="L749">
        <v>7.0601851851851847E-4</v>
      </c>
      <c r="M749" t="s">
        <v>117</v>
      </c>
      <c r="N749" t="s">
        <v>239</v>
      </c>
      <c r="O749" s="24">
        <v>46114</v>
      </c>
      <c r="P749">
        <v>605</v>
      </c>
      <c r="Q749" t="s">
        <v>34</v>
      </c>
      <c r="R749" s="24">
        <v>46136</v>
      </c>
      <c r="S749" s="51">
        <v>0.62152777777777779</v>
      </c>
      <c r="T749" s="51">
        <v>0.66180555555555554</v>
      </c>
      <c r="X749" t="s">
        <v>3084</v>
      </c>
      <c r="Y749" t="s">
        <v>3029</v>
      </c>
      <c r="Z749">
        <v>2777669</v>
      </c>
    </row>
    <row r="750" spans="1:26" x14ac:dyDescent="0.25">
      <c r="A750">
        <v>746</v>
      </c>
      <c r="B750" t="s">
        <v>24</v>
      </c>
      <c r="C750" t="s">
        <v>25</v>
      </c>
      <c r="D750">
        <v>13</v>
      </c>
      <c r="E750" t="s">
        <v>65</v>
      </c>
      <c r="F750" t="s">
        <v>1598</v>
      </c>
      <c r="G750">
        <v>3522</v>
      </c>
      <c r="H750" t="s">
        <v>2501</v>
      </c>
      <c r="I750" t="s">
        <v>1807</v>
      </c>
      <c r="J750">
        <v>16</v>
      </c>
      <c r="K750">
        <v>1</v>
      </c>
      <c r="L750">
        <v>1.7939814814814815E-3</v>
      </c>
      <c r="M750" t="s">
        <v>117</v>
      </c>
      <c r="N750" t="s">
        <v>239</v>
      </c>
      <c r="O750" s="24">
        <v>46114</v>
      </c>
      <c r="P750">
        <v>605</v>
      </c>
      <c r="Q750" t="s">
        <v>34</v>
      </c>
      <c r="R750" s="24">
        <v>46136</v>
      </c>
      <c r="S750" s="51">
        <v>0.62152777777777779</v>
      </c>
      <c r="T750" s="51">
        <v>0.66180555555555554</v>
      </c>
      <c r="X750" t="s">
        <v>3084</v>
      </c>
      <c r="Y750" t="s">
        <v>3029</v>
      </c>
      <c r="Z750">
        <v>2777669</v>
      </c>
    </row>
    <row r="751" spans="1:26" x14ac:dyDescent="0.25">
      <c r="A751">
        <v>747</v>
      </c>
      <c r="B751" t="s">
        <v>24</v>
      </c>
      <c r="C751" t="s">
        <v>25</v>
      </c>
      <c r="D751">
        <v>13</v>
      </c>
      <c r="E751" t="s">
        <v>367</v>
      </c>
      <c r="F751" t="s">
        <v>367</v>
      </c>
      <c r="G751">
        <v>3522</v>
      </c>
      <c r="H751" t="s">
        <v>2502</v>
      </c>
      <c r="I751" t="s">
        <v>2503</v>
      </c>
      <c r="J751">
        <v>16</v>
      </c>
      <c r="K751">
        <v>1</v>
      </c>
      <c r="L751">
        <v>1.6087962962962963E-3</v>
      </c>
      <c r="M751" t="s">
        <v>117</v>
      </c>
      <c r="N751" t="s">
        <v>239</v>
      </c>
      <c r="O751" s="24">
        <v>46114</v>
      </c>
      <c r="P751">
        <v>605</v>
      </c>
      <c r="Q751" t="s">
        <v>34</v>
      </c>
      <c r="R751" s="24">
        <v>46136</v>
      </c>
      <c r="S751" s="51">
        <v>0.62152777777777779</v>
      </c>
      <c r="T751" s="51">
        <v>0.66180555555555554</v>
      </c>
      <c r="X751" t="s">
        <v>3084</v>
      </c>
      <c r="Y751" t="s">
        <v>3029</v>
      </c>
      <c r="Z751">
        <v>2777669</v>
      </c>
    </row>
    <row r="752" spans="1:26" x14ac:dyDescent="0.25">
      <c r="A752">
        <v>748</v>
      </c>
      <c r="B752" t="s">
        <v>24</v>
      </c>
      <c r="C752" t="s">
        <v>25</v>
      </c>
      <c r="D752">
        <v>13</v>
      </c>
      <c r="E752" t="s">
        <v>367</v>
      </c>
      <c r="F752" t="s">
        <v>367</v>
      </c>
      <c r="G752">
        <v>3522</v>
      </c>
      <c r="H752" t="s">
        <v>2504</v>
      </c>
      <c r="I752" t="s">
        <v>2503</v>
      </c>
      <c r="J752">
        <v>16</v>
      </c>
      <c r="K752">
        <v>1</v>
      </c>
      <c r="L752">
        <v>1.6087962962962963E-3</v>
      </c>
      <c r="M752" t="s">
        <v>117</v>
      </c>
      <c r="N752" t="s">
        <v>239</v>
      </c>
      <c r="O752" s="24">
        <v>46114</v>
      </c>
      <c r="P752">
        <v>605</v>
      </c>
      <c r="Q752" t="s">
        <v>34</v>
      </c>
      <c r="R752" s="24">
        <v>46136</v>
      </c>
      <c r="S752" s="51">
        <v>0.62152777777777779</v>
      </c>
      <c r="T752" s="51">
        <v>0.66180555555555554</v>
      </c>
      <c r="X752" t="s">
        <v>3084</v>
      </c>
      <c r="Y752" t="s">
        <v>3029</v>
      </c>
      <c r="Z752">
        <v>2777669</v>
      </c>
    </row>
    <row r="753" spans="1:26" x14ac:dyDescent="0.25">
      <c r="A753">
        <v>749</v>
      </c>
      <c r="B753" t="s">
        <v>24</v>
      </c>
      <c r="C753" t="s">
        <v>25</v>
      </c>
      <c r="D753">
        <v>13</v>
      </c>
      <c r="E753" t="s">
        <v>65</v>
      </c>
      <c r="F753" t="s">
        <v>368</v>
      </c>
      <c r="G753">
        <v>3522</v>
      </c>
      <c r="H753" t="s">
        <v>2505</v>
      </c>
      <c r="I753" t="s">
        <v>2506</v>
      </c>
      <c r="J753">
        <v>16</v>
      </c>
      <c r="K753">
        <v>1</v>
      </c>
      <c r="L753">
        <v>1.4004629629629629E-3</v>
      </c>
      <c r="M753" t="s">
        <v>117</v>
      </c>
      <c r="N753" t="s">
        <v>239</v>
      </c>
      <c r="O753" s="24">
        <v>46114</v>
      </c>
      <c r="P753">
        <v>605</v>
      </c>
      <c r="Q753" t="s">
        <v>34</v>
      </c>
      <c r="R753" s="24">
        <v>46136</v>
      </c>
      <c r="S753" s="51">
        <v>0.62152777777777779</v>
      </c>
      <c r="T753" s="51">
        <v>0.66180555555555554</v>
      </c>
      <c r="X753" t="s">
        <v>3084</v>
      </c>
      <c r="Y753" t="s">
        <v>3029</v>
      </c>
      <c r="Z753">
        <v>2777669</v>
      </c>
    </row>
    <row r="754" spans="1:26" x14ac:dyDescent="0.25">
      <c r="A754">
        <v>750</v>
      </c>
      <c r="B754" t="s">
        <v>24</v>
      </c>
      <c r="C754" t="s">
        <v>25</v>
      </c>
      <c r="D754">
        <v>13</v>
      </c>
      <c r="E754" t="s">
        <v>65</v>
      </c>
      <c r="F754" t="s">
        <v>368</v>
      </c>
      <c r="G754">
        <v>3522</v>
      </c>
      <c r="H754" t="s">
        <v>2507</v>
      </c>
      <c r="I754" t="s">
        <v>2506</v>
      </c>
      <c r="J754">
        <v>16</v>
      </c>
      <c r="K754">
        <v>1</v>
      </c>
      <c r="L754">
        <v>1.4004629629629629E-3</v>
      </c>
      <c r="M754" t="s">
        <v>117</v>
      </c>
      <c r="N754" t="s">
        <v>239</v>
      </c>
      <c r="O754" s="24">
        <v>46114</v>
      </c>
      <c r="P754">
        <v>605</v>
      </c>
      <c r="Q754" t="s">
        <v>34</v>
      </c>
      <c r="R754" s="24">
        <v>46136</v>
      </c>
      <c r="S754" s="51">
        <v>0.62152777777777779</v>
      </c>
      <c r="T754" s="51">
        <v>0.66180555555555554</v>
      </c>
      <c r="X754" t="s">
        <v>3084</v>
      </c>
      <c r="Y754" t="s">
        <v>3029</v>
      </c>
      <c r="Z754">
        <v>2777669</v>
      </c>
    </row>
    <row r="755" spans="1:26" x14ac:dyDescent="0.25">
      <c r="A755">
        <v>751</v>
      </c>
      <c r="B755" t="s">
        <v>24</v>
      </c>
      <c r="C755" t="s">
        <v>25</v>
      </c>
      <c r="D755">
        <v>13</v>
      </c>
      <c r="E755" t="s">
        <v>60</v>
      </c>
      <c r="F755" t="s">
        <v>60</v>
      </c>
      <c r="G755">
        <v>3696</v>
      </c>
      <c r="H755" t="s">
        <v>939</v>
      </c>
      <c r="I755" t="s">
        <v>2508</v>
      </c>
      <c r="J755">
        <v>6</v>
      </c>
      <c r="K755">
        <v>2</v>
      </c>
      <c r="L755">
        <v>6.3078703703703699E-3</v>
      </c>
      <c r="M755" t="s">
        <v>3079</v>
      </c>
      <c r="X755" t="s">
        <v>3179</v>
      </c>
    </row>
    <row r="756" spans="1:26" x14ac:dyDescent="0.25">
      <c r="A756">
        <v>752</v>
      </c>
      <c r="B756" t="s">
        <v>24</v>
      </c>
      <c r="C756" t="s">
        <v>25</v>
      </c>
      <c r="D756">
        <v>13</v>
      </c>
      <c r="E756" t="s">
        <v>60</v>
      </c>
      <c r="F756" t="s">
        <v>60</v>
      </c>
      <c r="G756">
        <v>3696</v>
      </c>
      <c r="H756" t="s">
        <v>2511</v>
      </c>
      <c r="I756" t="s">
        <v>940</v>
      </c>
      <c r="J756">
        <v>6</v>
      </c>
      <c r="K756">
        <v>1</v>
      </c>
      <c r="L756">
        <v>3.1481481481481482E-3</v>
      </c>
      <c r="M756" t="s">
        <v>3079</v>
      </c>
      <c r="X756" t="s">
        <v>3179</v>
      </c>
    </row>
    <row r="757" spans="1:26" x14ac:dyDescent="0.25">
      <c r="A757">
        <v>753</v>
      </c>
      <c r="B757" t="s">
        <v>24</v>
      </c>
      <c r="C757" t="s">
        <v>25</v>
      </c>
      <c r="D757">
        <v>13</v>
      </c>
      <c r="E757" t="s">
        <v>60</v>
      </c>
      <c r="F757" t="s">
        <v>60</v>
      </c>
      <c r="G757">
        <v>3697</v>
      </c>
      <c r="H757" t="s">
        <v>939</v>
      </c>
      <c r="I757" t="s">
        <v>2508</v>
      </c>
      <c r="J757">
        <v>6</v>
      </c>
      <c r="K757">
        <v>1</v>
      </c>
      <c r="L757">
        <v>3.1018518518518517E-3</v>
      </c>
      <c r="M757" t="s">
        <v>3079</v>
      </c>
      <c r="X757" t="s">
        <v>3180</v>
      </c>
    </row>
    <row r="758" spans="1:26" x14ac:dyDescent="0.25">
      <c r="A758">
        <v>754</v>
      </c>
      <c r="B758" t="s">
        <v>24</v>
      </c>
      <c r="C758" t="s">
        <v>25</v>
      </c>
      <c r="D758">
        <v>13</v>
      </c>
      <c r="E758" t="s">
        <v>60</v>
      </c>
      <c r="F758" t="s">
        <v>60</v>
      </c>
      <c r="G758">
        <v>3697</v>
      </c>
      <c r="H758" t="s">
        <v>2511</v>
      </c>
      <c r="I758" t="s">
        <v>940</v>
      </c>
      <c r="J758">
        <v>6</v>
      </c>
      <c r="K758">
        <v>2</v>
      </c>
      <c r="L758">
        <v>6.2037037037037035E-3</v>
      </c>
      <c r="M758" t="s">
        <v>3079</v>
      </c>
      <c r="X758" t="s">
        <v>3180</v>
      </c>
    </row>
    <row r="759" spans="1:26" x14ac:dyDescent="0.25">
      <c r="A759">
        <v>755</v>
      </c>
      <c r="B759" t="s">
        <v>24</v>
      </c>
      <c r="C759" t="s">
        <v>25</v>
      </c>
      <c r="D759">
        <v>13</v>
      </c>
      <c r="E759" t="s">
        <v>60</v>
      </c>
      <c r="F759" t="s">
        <v>60</v>
      </c>
      <c r="G759">
        <v>3692</v>
      </c>
      <c r="H759" t="s">
        <v>2513</v>
      </c>
      <c r="I759" t="s">
        <v>2514</v>
      </c>
      <c r="J759">
        <v>6</v>
      </c>
      <c r="K759">
        <v>2</v>
      </c>
      <c r="L759">
        <v>5.2314814814814811E-3</v>
      </c>
      <c r="M759" t="s">
        <v>3079</v>
      </c>
      <c r="X759" t="s">
        <v>3181</v>
      </c>
    </row>
    <row r="760" spans="1:26" x14ac:dyDescent="0.25">
      <c r="A760">
        <v>756</v>
      </c>
      <c r="B760" t="s">
        <v>24</v>
      </c>
      <c r="C760" t="s">
        <v>25</v>
      </c>
      <c r="D760">
        <v>13</v>
      </c>
      <c r="E760" t="s">
        <v>60</v>
      </c>
      <c r="F760" t="s">
        <v>60</v>
      </c>
      <c r="G760">
        <v>3692</v>
      </c>
      <c r="H760" t="s">
        <v>2516</v>
      </c>
      <c r="I760" t="s">
        <v>2517</v>
      </c>
      <c r="J760">
        <v>6</v>
      </c>
      <c r="K760">
        <v>1</v>
      </c>
      <c r="L760">
        <v>2.6157407407407405E-3</v>
      </c>
      <c r="M760" t="s">
        <v>3079</v>
      </c>
      <c r="X760" t="s">
        <v>3181</v>
      </c>
    </row>
    <row r="761" spans="1:26" x14ac:dyDescent="0.25">
      <c r="A761">
        <v>757</v>
      </c>
      <c r="B761" t="s">
        <v>24</v>
      </c>
      <c r="C761" t="s">
        <v>25</v>
      </c>
      <c r="D761">
        <v>13</v>
      </c>
      <c r="E761" t="s">
        <v>60</v>
      </c>
      <c r="F761" t="s">
        <v>60</v>
      </c>
      <c r="G761">
        <v>3692</v>
      </c>
      <c r="H761" t="s">
        <v>2518</v>
      </c>
      <c r="I761" t="s">
        <v>2519</v>
      </c>
      <c r="J761">
        <v>6</v>
      </c>
      <c r="K761">
        <v>1</v>
      </c>
      <c r="L761">
        <v>2.3379629629629627E-3</v>
      </c>
      <c r="M761" t="s">
        <v>3079</v>
      </c>
      <c r="X761" t="s">
        <v>3181</v>
      </c>
    </row>
    <row r="762" spans="1:26" x14ac:dyDescent="0.25">
      <c r="A762">
        <v>758</v>
      </c>
      <c r="B762" t="s">
        <v>24</v>
      </c>
      <c r="C762" t="s">
        <v>25</v>
      </c>
      <c r="D762">
        <v>13</v>
      </c>
      <c r="E762" t="s">
        <v>60</v>
      </c>
      <c r="F762" t="s">
        <v>60</v>
      </c>
      <c r="G762">
        <v>3692</v>
      </c>
      <c r="H762" t="s">
        <v>2520</v>
      </c>
      <c r="I762" t="s">
        <v>2519</v>
      </c>
      <c r="J762">
        <v>6</v>
      </c>
      <c r="K762">
        <v>2</v>
      </c>
      <c r="L762">
        <v>4.2476851851851851E-3</v>
      </c>
      <c r="M762" t="s">
        <v>3079</v>
      </c>
      <c r="X762" t="s">
        <v>3181</v>
      </c>
    </row>
    <row r="763" spans="1:26" x14ac:dyDescent="0.25">
      <c r="A763">
        <v>759</v>
      </c>
      <c r="B763" t="s">
        <v>24</v>
      </c>
      <c r="C763" t="s">
        <v>25</v>
      </c>
      <c r="D763">
        <v>13</v>
      </c>
      <c r="E763" t="s">
        <v>60</v>
      </c>
      <c r="F763" t="s">
        <v>60</v>
      </c>
      <c r="G763">
        <v>3693</v>
      </c>
      <c r="H763" t="s">
        <v>2513</v>
      </c>
      <c r="I763" t="s">
        <v>2514</v>
      </c>
      <c r="J763">
        <v>6</v>
      </c>
      <c r="K763">
        <v>1</v>
      </c>
      <c r="L763">
        <v>2.6157407407407405E-3</v>
      </c>
      <c r="M763" t="s">
        <v>3079</v>
      </c>
      <c r="X763" t="s">
        <v>3182</v>
      </c>
    </row>
    <row r="764" spans="1:26" x14ac:dyDescent="0.25">
      <c r="A764">
        <v>760</v>
      </c>
      <c r="B764" t="s">
        <v>24</v>
      </c>
      <c r="C764" t="s">
        <v>25</v>
      </c>
      <c r="D764">
        <v>13</v>
      </c>
      <c r="E764" t="s">
        <v>60</v>
      </c>
      <c r="F764" t="s">
        <v>60</v>
      </c>
      <c r="G764">
        <v>3693</v>
      </c>
      <c r="H764" t="s">
        <v>2516</v>
      </c>
      <c r="I764" t="s">
        <v>2517</v>
      </c>
      <c r="J764">
        <v>6</v>
      </c>
      <c r="K764">
        <v>1</v>
      </c>
      <c r="L764">
        <v>2.6157407407407405E-3</v>
      </c>
      <c r="M764" t="s">
        <v>3079</v>
      </c>
      <c r="X764" t="s">
        <v>3182</v>
      </c>
    </row>
    <row r="765" spans="1:26" x14ac:dyDescent="0.25">
      <c r="A765">
        <v>761</v>
      </c>
      <c r="B765" t="s">
        <v>24</v>
      </c>
      <c r="C765" t="s">
        <v>25</v>
      </c>
      <c r="D765">
        <v>13</v>
      </c>
      <c r="E765" t="s">
        <v>60</v>
      </c>
      <c r="F765" t="s">
        <v>60</v>
      </c>
      <c r="G765">
        <v>3693</v>
      </c>
      <c r="H765" t="s">
        <v>2522</v>
      </c>
      <c r="I765" t="s">
        <v>2519</v>
      </c>
      <c r="J765">
        <v>6</v>
      </c>
      <c r="K765">
        <v>2</v>
      </c>
      <c r="L765">
        <v>4.6759259259259254E-3</v>
      </c>
      <c r="M765" t="s">
        <v>3079</v>
      </c>
      <c r="X765" t="s">
        <v>3182</v>
      </c>
    </row>
    <row r="766" spans="1:26" x14ac:dyDescent="0.25">
      <c r="A766">
        <v>762</v>
      </c>
      <c r="B766" t="s">
        <v>24</v>
      </c>
      <c r="C766" t="s">
        <v>25</v>
      </c>
      <c r="D766">
        <v>13</v>
      </c>
      <c r="E766" t="s">
        <v>60</v>
      </c>
      <c r="F766" t="s">
        <v>60</v>
      </c>
      <c r="G766">
        <v>3693</v>
      </c>
      <c r="H766" t="s">
        <v>2523</v>
      </c>
      <c r="I766" t="s">
        <v>2519</v>
      </c>
      <c r="J766">
        <v>6</v>
      </c>
      <c r="K766">
        <v>1</v>
      </c>
      <c r="L766">
        <v>2.1180555555555553E-3</v>
      </c>
      <c r="M766" t="s">
        <v>3079</v>
      </c>
      <c r="X766" t="s">
        <v>3182</v>
      </c>
    </row>
    <row r="767" spans="1:26" x14ac:dyDescent="0.25">
      <c r="A767">
        <v>763</v>
      </c>
      <c r="B767" t="s">
        <v>24</v>
      </c>
      <c r="C767" t="s">
        <v>25</v>
      </c>
      <c r="D767">
        <v>13</v>
      </c>
      <c r="E767" t="s">
        <v>60</v>
      </c>
      <c r="F767" t="s">
        <v>60</v>
      </c>
      <c r="G767">
        <v>3693</v>
      </c>
      <c r="H767" t="s">
        <v>2524</v>
      </c>
      <c r="I767" t="s">
        <v>2514</v>
      </c>
      <c r="J767">
        <v>6</v>
      </c>
      <c r="K767">
        <v>1</v>
      </c>
      <c r="L767">
        <v>2.6157407407407405E-3</v>
      </c>
      <c r="M767" t="s">
        <v>3079</v>
      </c>
      <c r="X767" t="s">
        <v>3182</v>
      </c>
    </row>
    <row r="768" spans="1:26" x14ac:dyDescent="0.25">
      <c r="A768">
        <v>764</v>
      </c>
      <c r="B768" t="s">
        <v>24</v>
      </c>
      <c r="C768" t="s">
        <v>25</v>
      </c>
      <c r="D768">
        <v>13</v>
      </c>
      <c r="E768" t="s">
        <v>60</v>
      </c>
      <c r="F768" t="s">
        <v>60</v>
      </c>
      <c r="G768">
        <v>3690</v>
      </c>
      <c r="H768" t="s">
        <v>939</v>
      </c>
      <c r="I768" t="s">
        <v>2508</v>
      </c>
      <c r="J768">
        <v>6</v>
      </c>
      <c r="K768">
        <v>1</v>
      </c>
      <c r="L768">
        <v>3.0902777777777777E-3</v>
      </c>
      <c r="M768" t="s">
        <v>3079</v>
      </c>
      <c r="X768" t="s">
        <v>3183</v>
      </c>
    </row>
    <row r="769" spans="1:26" x14ac:dyDescent="0.25">
      <c r="A769">
        <v>765</v>
      </c>
      <c r="B769" t="s">
        <v>24</v>
      </c>
      <c r="C769" t="s">
        <v>25</v>
      </c>
      <c r="D769">
        <v>13</v>
      </c>
      <c r="E769" t="s">
        <v>60</v>
      </c>
      <c r="F769" t="s">
        <v>60</v>
      </c>
      <c r="G769">
        <v>3690</v>
      </c>
      <c r="H769" t="s">
        <v>2516</v>
      </c>
      <c r="I769" t="s">
        <v>2517</v>
      </c>
      <c r="J769">
        <v>6</v>
      </c>
      <c r="K769">
        <v>1</v>
      </c>
      <c r="L769">
        <v>2.696759259259259E-3</v>
      </c>
      <c r="M769" t="s">
        <v>3079</v>
      </c>
      <c r="X769" t="s">
        <v>3183</v>
      </c>
    </row>
    <row r="770" spans="1:26" x14ac:dyDescent="0.25">
      <c r="A770">
        <v>766</v>
      </c>
      <c r="B770" t="s">
        <v>24</v>
      </c>
      <c r="C770" t="s">
        <v>25</v>
      </c>
      <c r="D770">
        <v>13</v>
      </c>
      <c r="E770" t="s">
        <v>60</v>
      </c>
      <c r="F770" t="s">
        <v>60</v>
      </c>
      <c r="G770">
        <v>3690</v>
      </c>
      <c r="H770" t="s">
        <v>2511</v>
      </c>
      <c r="I770" t="s">
        <v>940</v>
      </c>
      <c r="J770">
        <v>6</v>
      </c>
      <c r="K770">
        <v>1</v>
      </c>
      <c r="L770">
        <v>3.0902777777777777E-3</v>
      </c>
      <c r="M770" t="s">
        <v>3079</v>
      </c>
      <c r="X770" t="s">
        <v>3183</v>
      </c>
    </row>
    <row r="771" spans="1:26" x14ac:dyDescent="0.25">
      <c r="A771">
        <v>767</v>
      </c>
      <c r="B771" t="s">
        <v>24</v>
      </c>
      <c r="C771" t="s">
        <v>25</v>
      </c>
      <c r="D771">
        <v>13</v>
      </c>
      <c r="E771" t="s">
        <v>60</v>
      </c>
      <c r="F771" t="s">
        <v>60</v>
      </c>
      <c r="G771">
        <v>3690</v>
      </c>
      <c r="H771" t="s">
        <v>2518</v>
      </c>
      <c r="I771" t="s">
        <v>2519</v>
      </c>
      <c r="J771">
        <v>6</v>
      </c>
      <c r="K771">
        <v>1</v>
      </c>
      <c r="L771">
        <v>2.3958333333333331E-3</v>
      </c>
      <c r="M771" t="s">
        <v>3079</v>
      </c>
      <c r="X771" t="s">
        <v>3183</v>
      </c>
    </row>
    <row r="772" spans="1:26" x14ac:dyDescent="0.25">
      <c r="A772">
        <v>768</v>
      </c>
      <c r="B772" t="s">
        <v>24</v>
      </c>
      <c r="C772" t="s">
        <v>25</v>
      </c>
      <c r="D772">
        <v>13</v>
      </c>
      <c r="E772" t="s">
        <v>65</v>
      </c>
      <c r="F772" t="s">
        <v>66</v>
      </c>
      <c r="G772">
        <v>3694</v>
      </c>
      <c r="H772" t="s">
        <v>64</v>
      </c>
      <c r="I772" t="s">
        <v>2526</v>
      </c>
      <c r="J772">
        <v>6</v>
      </c>
      <c r="K772">
        <v>2</v>
      </c>
      <c r="L772">
        <v>6.6203703703703702E-3</v>
      </c>
      <c r="M772" t="s">
        <v>3079</v>
      </c>
      <c r="X772" t="s">
        <v>3184</v>
      </c>
    </row>
    <row r="773" spans="1:26" x14ac:dyDescent="0.25">
      <c r="A773">
        <v>769</v>
      </c>
      <c r="B773" t="s">
        <v>24</v>
      </c>
      <c r="C773" t="s">
        <v>25</v>
      </c>
      <c r="D773">
        <v>13</v>
      </c>
      <c r="E773" t="s">
        <v>65</v>
      </c>
      <c r="F773" t="s">
        <v>66</v>
      </c>
      <c r="G773">
        <v>3695</v>
      </c>
      <c r="H773" t="s">
        <v>2528</v>
      </c>
      <c r="I773" t="s">
        <v>1430</v>
      </c>
      <c r="J773">
        <v>6</v>
      </c>
      <c r="K773">
        <v>2</v>
      </c>
      <c r="L773">
        <v>5.0347222222222217E-3</v>
      </c>
      <c r="M773" t="s">
        <v>3079</v>
      </c>
      <c r="X773" t="s">
        <v>3185</v>
      </c>
    </row>
    <row r="774" spans="1:26" x14ac:dyDescent="0.25">
      <c r="A774">
        <v>770</v>
      </c>
      <c r="B774" t="s">
        <v>24</v>
      </c>
      <c r="C774" t="s">
        <v>25</v>
      </c>
      <c r="D774">
        <v>13</v>
      </c>
      <c r="E774" t="s">
        <v>65</v>
      </c>
      <c r="F774" t="s">
        <v>66</v>
      </c>
      <c r="G774">
        <v>3695</v>
      </c>
      <c r="H774" t="s">
        <v>2530</v>
      </c>
      <c r="I774" t="s">
        <v>1430</v>
      </c>
      <c r="J774">
        <v>6</v>
      </c>
      <c r="K774">
        <v>2</v>
      </c>
      <c r="L774">
        <v>5.0347222222222217E-3</v>
      </c>
      <c r="M774" t="s">
        <v>3079</v>
      </c>
      <c r="X774" t="s">
        <v>3185</v>
      </c>
    </row>
    <row r="775" spans="1:26" x14ac:dyDescent="0.25">
      <c r="A775">
        <v>771</v>
      </c>
      <c r="B775" t="s">
        <v>24</v>
      </c>
      <c r="C775" t="s">
        <v>25</v>
      </c>
      <c r="D775">
        <v>13</v>
      </c>
      <c r="E775" t="s">
        <v>511</v>
      </c>
      <c r="F775" t="s">
        <v>511</v>
      </c>
      <c r="G775">
        <v>3709</v>
      </c>
      <c r="H775" t="s">
        <v>1875</v>
      </c>
      <c r="I775" t="s">
        <v>1813</v>
      </c>
      <c r="J775">
        <v>12</v>
      </c>
      <c r="K775">
        <v>1</v>
      </c>
      <c r="L775">
        <v>1.4444444444444444E-2</v>
      </c>
      <c r="M775" t="s">
        <v>117</v>
      </c>
      <c r="N775" t="s">
        <v>663</v>
      </c>
      <c r="O775" s="24">
        <v>46125</v>
      </c>
      <c r="P775">
        <v>606</v>
      </c>
      <c r="Q775" t="s">
        <v>34</v>
      </c>
      <c r="R775" s="24">
        <v>46136</v>
      </c>
      <c r="S775" s="51">
        <v>0.75347222222222221</v>
      </c>
      <c r="T775" s="51">
        <v>0.7944444444444444</v>
      </c>
      <c r="X775" t="s">
        <v>3186</v>
      </c>
      <c r="Y775" t="s">
        <v>3032</v>
      </c>
      <c r="Z775">
        <v>1781427</v>
      </c>
    </row>
    <row r="776" spans="1:26" x14ac:dyDescent="0.25">
      <c r="A776">
        <v>772</v>
      </c>
      <c r="B776" t="s">
        <v>24</v>
      </c>
      <c r="C776" t="s">
        <v>25</v>
      </c>
      <c r="D776">
        <v>13</v>
      </c>
      <c r="E776" t="s">
        <v>1672</v>
      </c>
      <c r="F776" t="s">
        <v>115</v>
      </c>
      <c r="G776">
        <v>3709</v>
      </c>
      <c r="H776" t="s">
        <v>1885</v>
      </c>
      <c r="I776" t="s">
        <v>1886</v>
      </c>
      <c r="J776">
        <v>12</v>
      </c>
      <c r="K776">
        <v>2</v>
      </c>
      <c r="L776">
        <v>1.7824074074074072E-3</v>
      </c>
      <c r="M776" t="s">
        <v>117</v>
      </c>
      <c r="N776" t="s">
        <v>663</v>
      </c>
      <c r="O776" s="24">
        <v>46125</v>
      </c>
      <c r="P776">
        <v>606</v>
      </c>
      <c r="Q776" t="s">
        <v>34</v>
      </c>
      <c r="R776" s="24">
        <v>46136</v>
      </c>
      <c r="S776" s="51">
        <v>0.75347222222222221</v>
      </c>
      <c r="T776" s="51">
        <v>0.7944444444444444</v>
      </c>
      <c r="X776" t="s">
        <v>3186</v>
      </c>
      <c r="Y776" t="s">
        <v>3032</v>
      </c>
      <c r="Z776">
        <v>1781427</v>
      </c>
    </row>
    <row r="777" spans="1:26" x14ac:dyDescent="0.25">
      <c r="A777">
        <v>773</v>
      </c>
      <c r="B777" t="s">
        <v>24</v>
      </c>
      <c r="C777" t="s">
        <v>25</v>
      </c>
      <c r="D777">
        <v>13</v>
      </c>
      <c r="E777" t="s">
        <v>150</v>
      </c>
      <c r="F777" t="s">
        <v>115</v>
      </c>
      <c r="G777">
        <v>3709</v>
      </c>
      <c r="H777" t="s">
        <v>1808</v>
      </c>
      <c r="I777" t="s">
        <v>1809</v>
      </c>
      <c r="J777">
        <v>12</v>
      </c>
      <c r="K777">
        <v>1</v>
      </c>
      <c r="L777">
        <v>1.1689814814814813E-3</v>
      </c>
      <c r="M777" t="s">
        <v>117</v>
      </c>
      <c r="N777" t="s">
        <v>663</v>
      </c>
      <c r="O777" s="24">
        <v>46125</v>
      </c>
      <c r="P777">
        <v>606</v>
      </c>
      <c r="Q777" t="s">
        <v>34</v>
      </c>
      <c r="R777" s="24">
        <v>46136</v>
      </c>
      <c r="S777" s="51">
        <v>0.75347222222222221</v>
      </c>
      <c r="T777" s="51">
        <v>0.7944444444444444</v>
      </c>
      <c r="X777" t="s">
        <v>3186</v>
      </c>
      <c r="Y777" t="s">
        <v>3032</v>
      </c>
      <c r="Z777">
        <v>1781427</v>
      </c>
    </row>
    <row r="778" spans="1:26" x14ac:dyDescent="0.25">
      <c r="A778">
        <v>774</v>
      </c>
      <c r="B778" t="s">
        <v>24</v>
      </c>
      <c r="C778" t="s">
        <v>25</v>
      </c>
      <c r="D778">
        <v>13</v>
      </c>
      <c r="E778" t="s">
        <v>1583</v>
      </c>
      <c r="F778" t="s">
        <v>1583</v>
      </c>
      <c r="G778">
        <v>3709</v>
      </c>
      <c r="H778" t="s">
        <v>1888</v>
      </c>
      <c r="I778" t="s">
        <v>1889</v>
      </c>
      <c r="J778">
        <v>12</v>
      </c>
      <c r="K778">
        <v>4</v>
      </c>
      <c r="L778">
        <v>2.7777777777777775E-3</v>
      </c>
      <c r="M778" t="s">
        <v>117</v>
      </c>
      <c r="N778" t="s">
        <v>663</v>
      </c>
      <c r="O778" s="24">
        <v>46125</v>
      </c>
      <c r="P778">
        <v>606</v>
      </c>
      <c r="Q778" t="s">
        <v>34</v>
      </c>
      <c r="R778" s="24">
        <v>46136</v>
      </c>
      <c r="S778" s="51">
        <v>0.75347222222222221</v>
      </c>
      <c r="T778" s="51">
        <v>0.7944444444444444</v>
      </c>
      <c r="X778" t="s">
        <v>3186</v>
      </c>
      <c r="Y778" t="s">
        <v>3032</v>
      </c>
      <c r="Z778">
        <v>1781427</v>
      </c>
    </row>
    <row r="779" spans="1:26" x14ac:dyDescent="0.25">
      <c r="A779">
        <v>775</v>
      </c>
      <c r="B779" t="s">
        <v>24</v>
      </c>
      <c r="C779" t="s">
        <v>25</v>
      </c>
      <c r="D779">
        <v>13</v>
      </c>
      <c r="E779" t="s">
        <v>511</v>
      </c>
      <c r="F779" t="s">
        <v>511</v>
      </c>
      <c r="G779">
        <v>3710</v>
      </c>
      <c r="H779" t="s">
        <v>1875</v>
      </c>
      <c r="I779" t="s">
        <v>1813</v>
      </c>
      <c r="J779">
        <v>12</v>
      </c>
      <c r="K779">
        <v>1</v>
      </c>
      <c r="L779">
        <v>1.4444444444444444E-2</v>
      </c>
      <c r="M779" t="s">
        <v>117</v>
      </c>
      <c r="N779" t="s">
        <v>663</v>
      </c>
      <c r="O779" s="24">
        <v>46125</v>
      </c>
      <c r="P779">
        <v>606</v>
      </c>
      <c r="Q779" t="s">
        <v>34</v>
      </c>
      <c r="R779" s="24">
        <v>46136</v>
      </c>
      <c r="S779" s="51">
        <v>0.39097222222222222</v>
      </c>
      <c r="T779" s="51">
        <v>0.41944444444444445</v>
      </c>
      <c r="X779" t="s">
        <v>3187</v>
      </c>
      <c r="Y779" t="s">
        <v>3029</v>
      </c>
      <c r="Z779">
        <v>3215737</v>
      </c>
    </row>
    <row r="780" spans="1:26" x14ac:dyDescent="0.25">
      <c r="A780">
        <v>776</v>
      </c>
      <c r="B780" t="s">
        <v>24</v>
      </c>
      <c r="C780" t="s">
        <v>25</v>
      </c>
      <c r="D780">
        <v>13</v>
      </c>
      <c r="E780" t="s">
        <v>1672</v>
      </c>
      <c r="F780" t="s">
        <v>115</v>
      </c>
      <c r="G780">
        <v>3710</v>
      </c>
      <c r="H780" t="s">
        <v>1885</v>
      </c>
      <c r="I780" t="s">
        <v>1886</v>
      </c>
      <c r="J780">
        <v>12</v>
      </c>
      <c r="K780">
        <v>2</v>
      </c>
      <c r="L780">
        <v>1.7824074074074072E-3</v>
      </c>
      <c r="M780" t="s">
        <v>117</v>
      </c>
      <c r="N780" t="s">
        <v>663</v>
      </c>
      <c r="O780" s="24">
        <v>46125</v>
      </c>
      <c r="P780">
        <v>606</v>
      </c>
      <c r="Q780" t="s">
        <v>34</v>
      </c>
      <c r="R780" s="24">
        <v>46136</v>
      </c>
      <c r="S780" s="51">
        <v>0.39097222222222222</v>
      </c>
      <c r="T780" s="51">
        <v>0.41944444444444445</v>
      </c>
      <c r="X780" t="s">
        <v>3187</v>
      </c>
      <c r="Y780" t="s">
        <v>3029</v>
      </c>
      <c r="Z780">
        <v>3215737</v>
      </c>
    </row>
    <row r="781" spans="1:26" x14ac:dyDescent="0.25">
      <c r="A781">
        <v>777</v>
      </c>
      <c r="B781" t="s">
        <v>24</v>
      </c>
      <c r="C781" t="s">
        <v>25</v>
      </c>
      <c r="D781">
        <v>13</v>
      </c>
      <c r="E781" t="s">
        <v>150</v>
      </c>
      <c r="F781" t="s">
        <v>115</v>
      </c>
      <c r="G781">
        <v>3710</v>
      </c>
      <c r="H781" t="s">
        <v>1808</v>
      </c>
      <c r="I781" t="s">
        <v>1809</v>
      </c>
      <c r="J781">
        <v>12</v>
      </c>
      <c r="K781">
        <v>1</v>
      </c>
      <c r="L781">
        <v>1.1689814814814813E-3</v>
      </c>
      <c r="M781" t="s">
        <v>117</v>
      </c>
      <c r="N781" t="s">
        <v>663</v>
      </c>
      <c r="O781" s="24">
        <v>46125</v>
      </c>
      <c r="P781">
        <v>606</v>
      </c>
      <c r="Q781" t="s">
        <v>34</v>
      </c>
      <c r="R781" s="24">
        <v>46136</v>
      </c>
      <c r="S781" s="51">
        <v>0.39097222222222222</v>
      </c>
      <c r="T781" s="51">
        <v>0.41944444444444445</v>
      </c>
      <c r="X781" t="s">
        <v>3187</v>
      </c>
      <c r="Y781" t="s">
        <v>3029</v>
      </c>
      <c r="Z781">
        <v>3215737</v>
      </c>
    </row>
    <row r="782" spans="1:26" x14ac:dyDescent="0.25">
      <c r="A782">
        <v>778</v>
      </c>
      <c r="B782" t="s">
        <v>24</v>
      </c>
      <c r="C782" t="s">
        <v>25</v>
      </c>
      <c r="D782">
        <v>13</v>
      </c>
      <c r="E782" t="s">
        <v>1583</v>
      </c>
      <c r="F782" t="s">
        <v>1583</v>
      </c>
      <c r="G782">
        <v>3710</v>
      </c>
      <c r="H782" t="s">
        <v>1888</v>
      </c>
      <c r="I782" t="s">
        <v>1889</v>
      </c>
      <c r="J782">
        <v>12</v>
      </c>
      <c r="K782">
        <v>4</v>
      </c>
      <c r="L782">
        <v>2.7777777777777775E-3</v>
      </c>
      <c r="M782" t="s">
        <v>117</v>
      </c>
      <c r="N782" t="s">
        <v>663</v>
      </c>
      <c r="O782" s="24">
        <v>46125</v>
      </c>
      <c r="P782">
        <v>606</v>
      </c>
      <c r="Q782" t="s">
        <v>34</v>
      </c>
      <c r="R782" s="24">
        <v>46136</v>
      </c>
      <c r="S782" s="51">
        <v>0.39097222222222222</v>
      </c>
      <c r="T782" s="51">
        <v>0.41944444444444445</v>
      </c>
      <c r="X782" t="s">
        <v>3187</v>
      </c>
      <c r="Y782" t="s">
        <v>3029</v>
      </c>
      <c r="Z782">
        <v>3215737</v>
      </c>
    </row>
    <row r="783" spans="1:26" x14ac:dyDescent="0.25">
      <c r="A783">
        <v>779</v>
      </c>
      <c r="B783" t="s">
        <v>24</v>
      </c>
      <c r="C783" t="s">
        <v>25</v>
      </c>
      <c r="D783">
        <v>13</v>
      </c>
      <c r="E783" t="s">
        <v>511</v>
      </c>
      <c r="F783" t="s">
        <v>511</v>
      </c>
      <c r="G783">
        <v>3711</v>
      </c>
      <c r="H783" t="s">
        <v>1875</v>
      </c>
      <c r="I783" t="s">
        <v>1813</v>
      </c>
      <c r="J783">
        <v>12</v>
      </c>
      <c r="K783">
        <v>1</v>
      </c>
      <c r="L783">
        <v>1.398148148148148E-2</v>
      </c>
      <c r="M783" t="s">
        <v>117</v>
      </c>
      <c r="N783" t="s">
        <v>663</v>
      </c>
      <c r="O783" s="24">
        <v>46125</v>
      </c>
      <c r="P783">
        <v>606</v>
      </c>
      <c r="Q783" t="s">
        <v>34</v>
      </c>
      <c r="R783" s="24">
        <v>46136</v>
      </c>
      <c r="S783" s="51">
        <v>0.73958333333333337</v>
      </c>
      <c r="T783" s="51">
        <v>0.78472222222222221</v>
      </c>
      <c r="X783" t="s">
        <v>3188</v>
      </c>
      <c r="Y783" t="s">
        <v>3032</v>
      </c>
      <c r="Z783">
        <v>3215737</v>
      </c>
    </row>
    <row r="784" spans="1:26" x14ac:dyDescent="0.25">
      <c r="A784">
        <v>780</v>
      </c>
      <c r="B784" t="s">
        <v>24</v>
      </c>
      <c r="C784" t="s">
        <v>25</v>
      </c>
      <c r="D784">
        <v>13</v>
      </c>
      <c r="E784" t="s">
        <v>1665</v>
      </c>
      <c r="F784" t="s">
        <v>115</v>
      </c>
      <c r="G784">
        <v>3711</v>
      </c>
      <c r="H784" t="s">
        <v>1940</v>
      </c>
      <c r="I784" t="s">
        <v>1886</v>
      </c>
      <c r="J784">
        <v>12</v>
      </c>
      <c r="K784">
        <v>1</v>
      </c>
      <c r="L784">
        <v>7.8703703703703705E-4</v>
      </c>
      <c r="M784" t="s">
        <v>117</v>
      </c>
      <c r="N784" t="s">
        <v>663</v>
      </c>
      <c r="O784" s="24">
        <v>46125</v>
      </c>
      <c r="P784">
        <v>606</v>
      </c>
      <c r="Q784" t="s">
        <v>34</v>
      </c>
      <c r="R784" s="24">
        <v>46136</v>
      </c>
      <c r="S784" s="51">
        <v>0.73958333333333337</v>
      </c>
      <c r="T784" s="51">
        <v>0.78472222222222221</v>
      </c>
      <c r="X784" t="s">
        <v>3188</v>
      </c>
      <c r="Y784" t="s">
        <v>3032</v>
      </c>
      <c r="Z784">
        <v>3215737</v>
      </c>
    </row>
    <row r="785" spans="1:26" x14ac:dyDescent="0.25">
      <c r="A785">
        <v>781</v>
      </c>
      <c r="B785" t="s">
        <v>24</v>
      </c>
      <c r="C785" t="s">
        <v>25</v>
      </c>
      <c r="D785">
        <v>13</v>
      </c>
      <c r="E785" t="s">
        <v>150</v>
      </c>
      <c r="F785" t="s">
        <v>115</v>
      </c>
      <c r="G785">
        <v>3711</v>
      </c>
      <c r="H785" t="s">
        <v>1808</v>
      </c>
      <c r="I785" t="s">
        <v>1809</v>
      </c>
      <c r="J785">
        <v>12</v>
      </c>
      <c r="K785">
        <v>4</v>
      </c>
      <c r="L785">
        <v>4.5370370370370365E-3</v>
      </c>
      <c r="M785" t="s">
        <v>117</v>
      </c>
      <c r="N785" t="s">
        <v>663</v>
      </c>
      <c r="O785" s="24">
        <v>46125</v>
      </c>
      <c r="P785">
        <v>606</v>
      </c>
      <c r="Q785" t="s">
        <v>34</v>
      </c>
      <c r="R785" s="24">
        <v>46136</v>
      </c>
      <c r="S785" s="51">
        <v>0.73958333333333337</v>
      </c>
      <c r="T785" s="51">
        <v>0.78472222222222221</v>
      </c>
      <c r="X785" t="s">
        <v>3188</v>
      </c>
      <c r="Y785" t="s">
        <v>3032</v>
      </c>
      <c r="Z785">
        <v>3215737</v>
      </c>
    </row>
    <row r="786" spans="1:26" x14ac:dyDescent="0.25">
      <c r="A786">
        <v>782</v>
      </c>
      <c r="B786" t="s">
        <v>24</v>
      </c>
      <c r="C786" t="s">
        <v>25</v>
      </c>
      <c r="D786">
        <v>13</v>
      </c>
      <c r="E786" t="s">
        <v>1583</v>
      </c>
      <c r="F786" t="s">
        <v>1583</v>
      </c>
      <c r="G786">
        <v>3711</v>
      </c>
      <c r="H786" t="s">
        <v>1888</v>
      </c>
      <c r="I786" t="s">
        <v>1889</v>
      </c>
      <c r="J786">
        <v>12</v>
      </c>
      <c r="K786">
        <v>2</v>
      </c>
      <c r="L786">
        <v>1.3425925925925925E-3</v>
      </c>
      <c r="M786" t="s">
        <v>117</v>
      </c>
      <c r="N786" t="s">
        <v>663</v>
      </c>
      <c r="O786" s="24">
        <v>46125</v>
      </c>
      <c r="P786">
        <v>606</v>
      </c>
      <c r="Q786" t="s">
        <v>34</v>
      </c>
      <c r="R786" s="24">
        <v>46136</v>
      </c>
      <c r="S786" s="51">
        <v>0.73958333333333337</v>
      </c>
      <c r="T786" s="51">
        <v>0.78472222222222221</v>
      </c>
      <c r="X786" t="s">
        <v>3188</v>
      </c>
      <c r="Y786" t="s">
        <v>3032</v>
      </c>
      <c r="Z786">
        <v>3215737</v>
      </c>
    </row>
    <row r="787" spans="1:26" x14ac:dyDescent="0.25">
      <c r="A787">
        <v>783</v>
      </c>
      <c r="B787" t="s">
        <v>24</v>
      </c>
      <c r="C787" t="s">
        <v>25</v>
      </c>
      <c r="D787">
        <v>13</v>
      </c>
      <c r="E787" t="s">
        <v>511</v>
      </c>
      <c r="F787" t="s">
        <v>511</v>
      </c>
      <c r="G787">
        <v>3714</v>
      </c>
      <c r="H787" t="s">
        <v>1875</v>
      </c>
      <c r="I787" t="s">
        <v>1813</v>
      </c>
      <c r="J787">
        <v>12</v>
      </c>
      <c r="K787">
        <v>1</v>
      </c>
      <c r="L787">
        <v>1.4409722222222221E-2</v>
      </c>
      <c r="M787" t="s">
        <v>117</v>
      </c>
      <c r="N787" t="s">
        <v>663</v>
      </c>
      <c r="O787" s="24">
        <v>46125</v>
      </c>
      <c r="P787">
        <v>606</v>
      </c>
      <c r="Q787" t="s">
        <v>34</v>
      </c>
      <c r="R787" s="24">
        <v>46136</v>
      </c>
      <c r="S787" s="51">
        <v>0.78472222222222221</v>
      </c>
      <c r="T787" s="51">
        <v>0.82986111111111116</v>
      </c>
      <c r="X787" t="s">
        <v>3189</v>
      </c>
      <c r="Y787" t="s">
        <v>3032</v>
      </c>
      <c r="Z787">
        <v>3215737</v>
      </c>
    </row>
    <row r="788" spans="1:26" x14ac:dyDescent="0.25">
      <c r="A788">
        <v>784</v>
      </c>
      <c r="B788" t="s">
        <v>24</v>
      </c>
      <c r="C788" t="s">
        <v>25</v>
      </c>
      <c r="D788">
        <v>13</v>
      </c>
      <c r="E788" t="s">
        <v>147</v>
      </c>
      <c r="F788" t="s">
        <v>115</v>
      </c>
      <c r="G788">
        <v>3714</v>
      </c>
      <c r="H788" t="s">
        <v>1840</v>
      </c>
      <c r="I788" t="s">
        <v>1809</v>
      </c>
      <c r="J788">
        <v>12</v>
      </c>
      <c r="K788">
        <v>4</v>
      </c>
      <c r="L788">
        <v>3.4375E-3</v>
      </c>
      <c r="M788" t="s">
        <v>117</v>
      </c>
      <c r="N788" t="s">
        <v>663</v>
      </c>
      <c r="O788" s="24">
        <v>46125</v>
      </c>
      <c r="P788">
        <v>606</v>
      </c>
      <c r="Q788" t="s">
        <v>34</v>
      </c>
      <c r="R788" s="24">
        <v>46136</v>
      </c>
      <c r="S788" s="51">
        <v>0.78472222222222221</v>
      </c>
      <c r="T788" s="51">
        <v>0.82986111111111116</v>
      </c>
      <c r="X788" t="s">
        <v>3189</v>
      </c>
      <c r="Y788" t="s">
        <v>3032</v>
      </c>
      <c r="Z788">
        <v>3215737</v>
      </c>
    </row>
    <row r="789" spans="1:26" x14ac:dyDescent="0.25">
      <c r="A789">
        <v>785</v>
      </c>
      <c r="B789" t="s">
        <v>24</v>
      </c>
      <c r="C789" t="s">
        <v>25</v>
      </c>
      <c r="D789">
        <v>13</v>
      </c>
      <c r="E789" t="s">
        <v>1665</v>
      </c>
      <c r="F789" t="s">
        <v>115</v>
      </c>
      <c r="G789">
        <v>3714</v>
      </c>
      <c r="H789" t="s">
        <v>1940</v>
      </c>
      <c r="I789" t="s">
        <v>1886</v>
      </c>
      <c r="J789">
        <v>12</v>
      </c>
      <c r="K789">
        <v>2</v>
      </c>
      <c r="L789">
        <v>1.6319444444444443E-3</v>
      </c>
      <c r="M789" t="s">
        <v>117</v>
      </c>
      <c r="N789" t="s">
        <v>663</v>
      </c>
      <c r="O789" s="24">
        <v>46125</v>
      </c>
      <c r="P789">
        <v>606</v>
      </c>
      <c r="Q789" t="s">
        <v>34</v>
      </c>
      <c r="R789" s="24">
        <v>46136</v>
      </c>
      <c r="S789" s="51">
        <v>0.78472222222222221</v>
      </c>
      <c r="T789" s="51">
        <v>0.82986111111111116</v>
      </c>
      <c r="X789" t="s">
        <v>3189</v>
      </c>
      <c r="Y789" t="s">
        <v>3032</v>
      </c>
      <c r="Z789">
        <v>3215737</v>
      </c>
    </row>
    <row r="790" spans="1:26" x14ac:dyDescent="0.25">
      <c r="A790">
        <v>786</v>
      </c>
      <c r="B790" t="s">
        <v>24</v>
      </c>
      <c r="C790" t="s">
        <v>25</v>
      </c>
      <c r="D790">
        <v>13</v>
      </c>
      <c r="E790" t="s">
        <v>1672</v>
      </c>
      <c r="F790" t="s">
        <v>115</v>
      </c>
      <c r="G790">
        <v>3714</v>
      </c>
      <c r="H790" t="s">
        <v>1885</v>
      </c>
      <c r="I790" t="s">
        <v>1886</v>
      </c>
      <c r="J790">
        <v>12</v>
      </c>
      <c r="K790">
        <v>1</v>
      </c>
      <c r="L790">
        <v>8.7962962962962962E-4</v>
      </c>
      <c r="M790" t="s">
        <v>117</v>
      </c>
      <c r="N790" t="s">
        <v>663</v>
      </c>
      <c r="O790" s="24">
        <v>46125</v>
      </c>
      <c r="P790">
        <v>606</v>
      </c>
      <c r="Q790" t="s">
        <v>34</v>
      </c>
      <c r="R790" s="24">
        <v>46136</v>
      </c>
      <c r="S790" s="51">
        <v>0.78472222222222221</v>
      </c>
      <c r="T790" s="51">
        <v>0.82986111111111116</v>
      </c>
      <c r="X790" t="s">
        <v>3189</v>
      </c>
      <c r="Y790" t="s">
        <v>3032</v>
      </c>
      <c r="Z790">
        <v>3215737</v>
      </c>
    </row>
    <row r="791" spans="1:26" x14ac:dyDescent="0.25">
      <c r="A791">
        <v>787</v>
      </c>
      <c r="B791" t="s">
        <v>24</v>
      </c>
      <c r="C791" t="s">
        <v>25</v>
      </c>
      <c r="D791">
        <v>13</v>
      </c>
      <c r="E791" t="s">
        <v>65</v>
      </c>
      <c r="F791" t="s">
        <v>66</v>
      </c>
      <c r="G791">
        <v>3714</v>
      </c>
      <c r="H791" t="s">
        <v>1963</v>
      </c>
      <c r="I791" t="s">
        <v>1964</v>
      </c>
      <c r="J791">
        <v>12</v>
      </c>
      <c r="K791">
        <v>1</v>
      </c>
      <c r="L791">
        <v>1.0648148148148149E-3</v>
      </c>
      <c r="M791" t="s">
        <v>117</v>
      </c>
      <c r="N791" t="s">
        <v>663</v>
      </c>
      <c r="O791" s="24">
        <v>46125</v>
      </c>
      <c r="P791">
        <v>606</v>
      </c>
      <c r="Q791" t="s">
        <v>34</v>
      </c>
      <c r="R791" s="24">
        <v>46136</v>
      </c>
      <c r="S791" s="51">
        <v>0.78472222222222221</v>
      </c>
      <c r="T791" s="51">
        <v>0.82986111111111116</v>
      </c>
      <c r="X791" t="s">
        <v>3189</v>
      </c>
      <c r="Y791" t="s">
        <v>3032</v>
      </c>
      <c r="Z791">
        <v>3215737</v>
      </c>
    </row>
    <row r="792" spans="1:26" x14ac:dyDescent="0.25">
      <c r="A792">
        <v>788</v>
      </c>
      <c r="B792" t="s">
        <v>24</v>
      </c>
      <c r="C792" t="s">
        <v>25</v>
      </c>
      <c r="D792">
        <v>13</v>
      </c>
      <c r="E792" t="s">
        <v>511</v>
      </c>
      <c r="F792" t="s">
        <v>511</v>
      </c>
      <c r="G792">
        <v>3712</v>
      </c>
      <c r="H792" t="s">
        <v>1875</v>
      </c>
      <c r="I792" t="s">
        <v>1813</v>
      </c>
      <c r="J792">
        <v>12</v>
      </c>
      <c r="K792">
        <v>1</v>
      </c>
      <c r="L792">
        <v>1.4386574074074074E-2</v>
      </c>
      <c r="M792" t="s">
        <v>117</v>
      </c>
      <c r="N792" t="s">
        <v>663</v>
      </c>
      <c r="O792" s="24">
        <v>46125</v>
      </c>
      <c r="P792">
        <v>606</v>
      </c>
      <c r="Q792" t="s">
        <v>34</v>
      </c>
      <c r="R792" s="24">
        <v>46136</v>
      </c>
      <c r="S792" s="51">
        <v>1.3888888888888888E-2</v>
      </c>
      <c r="T792" s="51">
        <v>5.5555555555555552E-2</v>
      </c>
      <c r="X792" t="s">
        <v>3190</v>
      </c>
      <c r="Y792" t="s">
        <v>3032</v>
      </c>
      <c r="Z792">
        <v>2777672</v>
      </c>
    </row>
    <row r="793" spans="1:26" x14ac:dyDescent="0.25">
      <c r="A793">
        <v>789</v>
      </c>
      <c r="B793" t="s">
        <v>24</v>
      </c>
      <c r="C793" t="s">
        <v>25</v>
      </c>
      <c r="D793">
        <v>13</v>
      </c>
      <c r="E793" t="s">
        <v>147</v>
      </c>
      <c r="F793" t="s">
        <v>115</v>
      </c>
      <c r="G793">
        <v>3712</v>
      </c>
      <c r="H793" t="s">
        <v>1840</v>
      </c>
      <c r="I793" t="s">
        <v>1809</v>
      </c>
      <c r="J793">
        <v>12</v>
      </c>
      <c r="K793">
        <v>4</v>
      </c>
      <c r="L793">
        <v>3.4259259259259256E-3</v>
      </c>
      <c r="M793" t="s">
        <v>117</v>
      </c>
      <c r="N793" t="s">
        <v>663</v>
      </c>
      <c r="O793" s="24">
        <v>46125</v>
      </c>
      <c r="P793">
        <v>606</v>
      </c>
      <c r="Q793" t="s">
        <v>34</v>
      </c>
      <c r="R793" s="24">
        <v>46136</v>
      </c>
      <c r="S793" s="51">
        <v>1.3888888888888888E-2</v>
      </c>
      <c r="T793" s="51">
        <v>5.5555555555555552E-2</v>
      </c>
      <c r="X793" t="s">
        <v>3190</v>
      </c>
      <c r="Y793" t="s">
        <v>3032</v>
      </c>
      <c r="Z793">
        <v>2777672</v>
      </c>
    </row>
    <row r="794" spans="1:26" x14ac:dyDescent="0.25">
      <c r="A794">
        <v>790</v>
      </c>
      <c r="B794" t="s">
        <v>24</v>
      </c>
      <c r="C794" t="s">
        <v>25</v>
      </c>
      <c r="D794">
        <v>13</v>
      </c>
      <c r="E794" t="s">
        <v>1665</v>
      </c>
      <c r="F794" t="s">
        <v>115</v>
      </c>
      <c r="G794">
        <v>3712</v>
      </c>
      <c r="H794" t="s">
        <v>1940</v>
      </c>
      <c r="I794" t="s">
        <v>1886</v>
      </c>
      <c r="J794">
        <v>12</v>
      </c>
      <c r="K794">
        <v>4</v>
      </c>
      <c r="L794">
        <v>3.2523148148148147E-3</v>
      </c>
      <c r="M794" t="s">
        <v>117</v>
      </c>
      <c r="N794" t="s">
        <v>663</v>
      </c>
      <c r="O794" s="24">
        <v>46125</v>
      </c>
      <c r="P794">
        <v>606</v>
      </c>
      <c r="Q794" t="s">
        <v>34</v>
      </c>
      <c r="R794" s="24">
        <v>46136</v>
      </c>
      <c r="S794" s="51">
        <v>1.3888888888888888E-2</v>
      </c>
      <c r="T794" s="51">
        <v>5.5555555555555552E-2</v>
      </c>
      <c r="X794" t="s">
        <v>3190</v>
      </c>
      <c r="Y794" t="s">
        <v>3032</v>
      </c>
      <c r="Z794">
        <v>2777672</v>
      </c>
    </row>
    <row r="795" spans="1:26" x14ac:dyDescent="0.25">
      <c r="A795">
        <v>791</v>
      </c>
      <c r="B795" t="s">
        <v>24</v>
      </c>
      <c r="C795" t="s">
        <v>25</v>
      </c>
      <c r="D795">
        <v>13</v>
      </c>
      <c r="E795" t="s">
        <v>147</v>
      </c>
      <c r="F795" t="s">
        <v>115</v>
      </c>
      <c r="G795">
        <v>4334</v>
      </c>
      <c r="H795" t="s">
        <v>1840</v>
      </c>
      <c r="I795" t="s">
        <v>1809</v>
      </c>
      <c r="J795">
        <v>12</v>
      </c>
      <c r="K795">
        <v>2</v>
      </c>
      <c r="L795">
        <v>1.6087962962962963E-3</v>
      </c>
      <c r="M795" t="s">
        <v>117</v>
      </c>
      <c r="N795" t="s">
        <v>663</v>
      </c>
      <c r="O795" s="24">
        <v>46125</v>
      </c>
      <c r="P795">
        <v>606</v>
      </c>
      <c r="Q795" t="s">
        <v>34</v>
      </c>
      <c r="R795" s="24">
        <v>46136</v>
      </c>
      <c r="S795" s="51">
        <v>0.4201388888888889</v>
      </c>
      <c r="T795" s="51">
        <v>0.44930555555555557</v>
      </c>
      <c r="X795" t="s">
        <v>3191</v>
      </c>
      <c r="Y795" t="s">
        <v>3029</v>
      </c>
      <c r="Z795">
        <v>3215737</v>
      </c>
    </row>
    <row r="796" spans="1:26" x14ac:dyDescent="0.25">
      <c r="A796">
        <v>792</v>
      </c>
      <c r="B796" t="s">
        <v>24</v>
      </c>
      <c r="C796" t="s">
        <v>25</v>
      </c>
      <c r="D796">
        <v>13</v>
      </c>
      <c r="E796" t="s">
        <v>150</v>
      </c>
      <c r="F796" t="s">
        <v>115</v>
      </c>
      <c r="G796">
        <v>4334</v>
      </c>
      <c r="H796" t="s">
        <v>1808</v>
      </c>
      <c r="I796" t="s">
        <v>1809</v>
      </c>
      <c r="J796">
        <v>12</v>
      </c>
      <c r="K796">
        <v>5</v>
      </c>
      <c r="L796">
        <v>5.4861111111111109E-3</v>
      </c>
      <c r="M796" t="s">
        <v>117</v>
      </c>
      <c r="N796" t="s">
        <v>663</v>
      </c>
      <c r="O796" s="24">
        <v>46125</v>
      </c>
      <c r="P796">
        <v>606</v>
      </c>
      <c r="Q796" t="s">
        <v>34</v>
      </c>
      <c r="R796" s="24">
        <v>46136</v>
      </c>
      <c r="S796" s="51">
        <v>0.4201388888888889</v>
      </c>
      <c r="T796" s="51">
        <v>0.44930555555555557</v>
      </c>
      <c r="X796" t="s">
        <v>3191</v>
      </c>
      <c r="Y796" t="s">
        <v>3029</v>
      </c>
      <c r="Z796">
        <v>3215737</v>
      </c>
    </row>
    <row r="797" spans="1:26" x14ac:dyDescent="0.25">
      <c r="A797">
        <v>793</v>
      </c>
      <c r="B797" t="s">
        <v>24</v>
      </c>
      <c r="C797" t="s">
        <v>25</v>
      </c>
      <c r="D797">
        <v>13</v>
      </c>
      <c r="E797" t="s">
        <v>152</v>
      </c>
      <c r="F797" t="s">
        <v>152</v>
      </c>
      <c r="G797">
        <v>4334</v>
      </c>
      <c r="H797" t="s">
        <v>1846</v>
      </c>
      <c r="I797" t="s">
        <v>1813</v>
      </c>
      <c r="J797">
        <v>12</v>
      </c>
      <c r="K797">
        <v>1</v>
      </c>
      <c r="L797">
        <v>1.3449074074074073E-2</v>
      </c>
      <c r="M797" t="s">
        <v>117</v>
      </c>
      <c r="N797" t="s">
        <v>663</v>
      </c>
      <c r="O797" s="24">
        <v>46125</v>
      </c>
      <c r="P797">
        <v>606</v>
      </c>
      <c r="Q797" t="s">
        <v>34</v>
      </c>
      <c r="R797" s="24">
        <v>46136</v>
      </c>
      <c r="S797" s="51">
        <v>0.4201388888888889</v>
      </c>
      <c r="T797" s="51">
        <v>0.44930555555555557</v>
      </c>
      <c r="X797" t="s">
        <v>3191</v>
      </c>
      <c r="Y797" t="s">
        <v>3029</v>
      </c>
      <c r="Z797">
        <v>3215737</v>
      </c>
    </row>
    <row r="798" spans="1:26" x14ac:dyDescent="0.25">
      <c r="A798">
        <v>794</v>
      </c>
      <c r="B798" t="s">
        <v>24</v>
      </c>
      <c r="C798" t="s">
        <v>25</v>
      </c>
      <c r="D798">
        <v>13</v>
      </c>
      <c r="E798" t="s">
        <v>65</v>
      </c>
      <c r="F798" t="s">
        <v>1591</v>
      </c>
      <c r="G798">
        <v>4334</v>
      </c>
      <c r="H798" t="s">
        <v>2537</v>
      </c>
      <c r="I798" t="s">
        <v>1893</v>
      </c>
      <c r="J798">
        <v>12</v>
      </c>
      <c r="K798">
        <v>1</v>
      </c>
      <c r="L798">
        <v>5.2083333333333333E-4</v>
      </c>
      <c r="M798" t="s">
        <v>117</v>
      </c>
      <c r="N798" t="s">
        <v>663</v>
      </c>
      <c r="O798" s="24">
        <v>46125</v>
      </c>
      <c r="P798">
        <v>606</v>
      </c>
      <c r="Q798" t="s">
        <v>34</v>
      </c>
      <c r="R798" s="24">
        <v>46136</v>
      </c>
      <c r="S798" s="51">
        <v>0.4201388888888889</v>
      </c>
      <c r="T798" s="51">
        <v>0.44930555555555557</v>
      </c>
      <c r="X798" t="s">
        <v>3191</v>
      </c>
      <c r="Y798" t="s">
        <v>3029</v>
      </c>
      <c r="Z798">
        <v>3215737</v>
      </c>
    </row>
    <row r="799" spans="1:26" x14ac:dyDescent="0.25">
      <c r="A799">
        <v>795</v>
      </c>
      <c r="B799" t="s">
        <v>24</v>
      </c>
      <c r="C799" t="s">
        <v>25</v>
      </c>
      <c r="D799">
        <v>13</v>
      </c>
      <c r="E799" t="s">
        <v>65</v>
      </c>
      <c r="F799" t="s">
        <v>1591</v>
      </c>
      <c r="G799">
        <v>4334</v>
      </c>
      <c r="H799" t="s">
        <v>2538</v>
      </c>
      <c r="I799" t="s">
        <v>1893</v>
      </c>
      <c r="J799">
        <v>12</v>
      </c>
      <c r="K799">
        <v>1</v>
      </c>
      <c r="L799">
        <v>4.9768518518518521E-4</v>
      </c>
      <c r="M799" t="s">
        <v>117</v>
      </c>
      <c r="N799" t="s">
        <v>663</v>
      </c>
      <c r="O799" s="24">
        <v>46125</v>
      </c>
      <c r="P799">
        <v>606</v>
      </c>
      <c r="Q799" t="s">
        <v>34</v>
      </c>
      <c r="R799" s="24">
        <v>46136</v>
      </c>
      <c r="S799" s="51">
        <v>0.4201388888888889</v>
      </c>
      <c r="T799" s="51">
        <v>0.44930555555555557</v>
      </c>
      <c r="X799" t="s">
        <v>3191</v>
      </c>
      <c r="Y799" t="s">
        <v>3029</v>
      </c>
      <c r="Z799">
        <v>3215737</v>
      </c>
    </row>
    <row r="800" spans="1:26" x14ac:dyDescent="0.25">
      <c r="A800">
        <v>796</v>
      </c>
      <c r="B800" t="s">
        <v>24</v>
      </c>
      <c r="C800" t="s">
        <v>25</v>
      </c>
      <c r="D800">
        <v>13</v>
      </c>
      <c r="E800" t="s">
        <v>511</v>
      </c>
      <c r="F800" t="s">
        <v>512</v>
      </c>
      <c r="G800">
        <v>3716</v>
      </c>
      <c r="H800" t="s">
        <v>2033</v>
      </c>
      <c r="I800" t="s">
        <v>1962</v>
      </c>
      <c r="J800">
        <v>12</v>
      </c>
      <c r="K800">
        <v>4</v>
      </c>
      <c r="L800">
        <v>5.9953703703703705E-3</v>
      </c>
      <c r="M800" t="s">
        <v>117</v>
      </c>
      <c r="N800" t="s">
        <v>663</v>
      </c>
      <c r="O800" s="24">
        <v>46125</v>
      </c>
      <c r="P800">
        <v>606</v>
      </c>
      <c r="Q800" t="s">
        <v>34</v>
      </c>
      <c r="R800" s="24">
        <v>46136</v>
      </c>
      <c r="S800" s="51">
        <v>0.68263888888888891</v>
      </c>
      <c r="T800" s="51">
        <v>0.70833333333333337</v>
      </c>
      <c r="X800" t="s">
        <v>3192</v>
      </c>
      <c r="Y800" t="s">
        <v>3029</v>
      </c>
      <c r="Z800">
        <v>2777698</v>
      </c>
    </row>
    <row r="801" spans="1:26" x14ac:dyDescent="0.25">
      <c r="A801">
        <v>797</v>
      </c>
      <c r="B801" t="s">
        <v>24</v>
      </c>
      <c r="C801" t="s">
        <v>25</v>
      </c>
      <c r="D801">
        <v>13</v>
      </c>
      <c r="E801" t="s">
        <v>1665</v>
      </c>
      <c r="F801" t="s">
        <v>512</v>
      </c>
      <c r="G801">
        <v>3716</v>
      </c>
      <c r="H801" t="s">
        <v>2034</v>
      </c>
      <c r="I801" t="s">
        <v>1897</v>
      </c>
      <c r="J801">
        <v>12</v>
      </c>
      <c r="K801">
        <v>2</v>
      </c>
      <c r="L801">
        <v>1.1111111111111111E-3</v>
      </c>
      <c r="M801" t="s">
        <v>117</v>
      </c>
      <c r="N801" t="s">
        <v>663</v>
      </c>
      <c r="O801" s="24">
        <v>46125</v>
      </c>
      <c r="P801">
        <v>606</v>
      </c>
      <c r="Q801" t="s">
        <v>34</v>
      </c>
      <c r="R801" s="24">
        <v>46136</v>
      </c>
      <c r="S801" s="51">
        <v>0.68263888888888891</v>
      </c>
      <c r="T801" s="51">
        <v>0.70833333333333337</v>
      </c>
      <c r="X801" t="s">
        <v>3192</v>
      </c>
      <c r="Y801" t="s">
        <v>3029</v>
      </c>
      <c r="Z801">
        <v>2777698</v>
      </c>
    </row>
    <row r="802" spans="1:26" x14ac:dyDescent="0.25">
      <c r="A802">
        <v>798</v>
      </c>
      <c r="B802" t="s">
        <v>24</v>
      </c>
      <c r="C802" t="s">
        <v>25</v>
      </c>
      <c r="D802">
        <v>13</v>
      </c>
      <c r="E802" t="s">
        <v>1672</v>
      </c>
      <c r="F802" t="s">
        <v>115</v>
      </c>
      <c r="G802">
        <v>3716</v>
      </c>
      <c r="H802" t="s">
        <v>1900</v>
      </c>
      <c r="I802" t="s">
        <v>1899</v>
      </c>
      <c r="J802">
        <v>12</v>
      </c>
      <c r="K802">
        <v>7</v>
      </c>
      <c r="L802">
        <v>5.6249999999999998E-3</v>
      </c>
      <c r="M802" t="s">
        <v>117</v>
      </c>
      <c r="N802" t="s">
        <v>663</v>
      </c>
      <c r="O802" s="24">
        <v>46125</v>
      </c>
      <c r="P802">
        <v>606</v>
      </c>
      <c r="Q802" t="s">
        <v>34</v>
      </c>
      <c r="R802" s="24">
        <v>46136</v>
      </c>
      <c r="S802" s="51">
        <v>0.68263888888888891</v>
      </c>
      <c r="T802" s="51">
        <v>0.70833333333333337</v>
      </c>
      <c r="X802" t="s">
        <v>3192</v>
      </c>
      <c r="Y802" t="s">
        <v>3029</v>
      </c>
      <c r="Z802">
        <v>2777698</v>
      </c>
    </row>
    <row r="803" spans="1:26" x14ac:dyDescent="0.25">
      <c r="A803">
        <v>799</v>
      </c>
      <c r="B803" t="s">
        <v>24</v>
      </c>
      <c r="C803" t="s">
        <v>25</v>
      </c>
      <c r="D803">
        <v>13</v>
      </c>
      <c r="E803" t="s">
        <v>511</v>
      </c>
      <c r="F803" t="s">
        <v>512</v>
      </c>
      <c r="G803">
        <v>3716</v>
      </c>
      <c r="H803" t="s">
        <v>1961</v>
      </c>
      <c r="I803" t="s">
        <v>1962</v>
      </c>
      <c r="J803">
        <v>12</v>
      </c>
      <c r="K803">
        <v>2</v>
      </c>
      <c r="L803">
        <v>3.3449074074074071E-3</v>
      </c>
      <c r="M803" t="s">
        <v>117</v>
      </c>
      <c r="N803" t="s">
        <v>663</v>
      </c>
      <c r="O803" s="24">
        <v>46125</v>
      </c>
      <c r="P803">
        <v>606</v>
      </c>
      <c r="Q803" t="s">
        <v>34</v>
      </c>
      <c r="R803" s="24">
        <v>46136</v>
      </c>
      <c r="S803" s="51">
        <v>0.68263888888888891</v>
      </c>
      <c r="T803" s="51">
        <v>0.70833333333333337</v>
      </c>
      <c r="X803" t="s">
        <v>3192</v>
      </c>
      <c r="Y803" t="s">
        <v>3029</v>
      </c>
      <c r="Z803">
        <v>2777698</v>
      </c>
    </row>
    <row r="804" spans="1:26" x14ac:dyDescent="0.25">
      <c r="A804">
        <v>800</v>
      </c>
      <c r="B804" t="s">
        <v>24</v>
      </c>
      <c r="C804" t="s">
        <v>25</v>
      </c>
      <c r="D804">
        <v>13</v>
      </c>
      <c r="E804" t="s">
        <v>150</v>
      </c>
      <c r="F804" t="s">
        <v>115</v>
      </c>
      <c r="G804">
        <v>3718</v>
      </c>
      <c r="H804" t="s">
        <v>1808</v>
      </c>
      <c r="I804" t="s">
        <v>1809</v>
      </c>
      <c r="J804">
        <v>12</v>
      </c>
      <c r="K804">
        <v>2</v>
      </c>
      <c r="L804">
        <v>2.0949074074074073E-3</v>
      </c>
      <c r="M804" t="s">
        <v>117</v>
      </c>
      <c r="N804" t="s">
        <v>239</v>
      </c>
      <c r="O804" s="24">
        <v>46114</v>
      </c>
      <c r="P804">
        <v>605</v>
      </c>
      <c r="Q804" t="s">
        <v>34</v>
      </c>
      <c r="R804" s="24">
        <v>46136</v>
      </c>
      <c r="S804" s="51">
        <v>0.98263888888888884</v>
      </c>
      <c r="T804" s="51">
        <v>9.0277777777777769E-3</v>
      </c>
      <c r="X804" t="s">
        <v>3193</v>
      </c>
      <c r="Y804" t="s">
        <v>3032</v>
      </c>
      <c r="Z804">
        <v>1781401</v>
      </c>
    </row>
    <row r="805" spans="1:26" x14ac:dyDescent="0.25">
      <c r="A805">
        <v>801</v>
      </c>
      <c r="B805" t="s">
        <v>24</v>
      </c>
      <c r="C805" t="s">
        <v>25</v>
      </c>
      <c r="D805">
        <v>13</v>
      </c>
      <c r="E805" t="s">
        <v>367</v>
      </c>
      <c r="F805" t="s">
        <v>512</v>
      </c>
      <c r="G805">
        <v>3718</v>
      </c>
      <c r="H805" t="s">
        <v>2541</v>
      </c>
      <c r="I805" t="s">
        <v>2542</v>
      </c>
      <c r="J805">
        <v>12</v>
      </c>
      <c r="K805">
        <v>1</v>
      </c>
      <c r="L805">
        <v>1.4583333333333332E-3</v>
      </c>
      <c r="M805" t="s">
        <v>117</v>
      </c>
      <c r="N805" t="s">
        <v>239</v>
      </c>
      <c r="O805" s="24">
        <v>46114</v>
      </c>
      <c r="P805">
        <v>605</v>
      </c>
      <c r="Q805" t="s">
        <v>34</v>
      </c>
      <c r="R805" s="24">
        <v>46136</v>
      </c>
      <c r="S805" s="51">
        <v>0.98263888888888884</v>
      </c>
      <c r="T805" s="51">
        <v>9.0277777777777769E-3</v>
      </c>
      <c r="X805" t="s">
        <v>3193</v>
      </c>
      <c r="Y805" t="s">
        <v>3032</v>
      </c>
      <c r="Z805">
        <v>1781401</v>
      </c>
    </row>
    <row r="806" spans="1:26" x14ac:dyDescent="0.25">
      <c r="A806">
        <v>802</v>
      </c>
      <c r="B806" t="s">
        <v>24</v>
      </c>
      <c r="C806" t="s">
        <v>25</v>
      </c>
      <c r="D806">
        <v>13</v>
      </c>
      <c r="E806" t="s">
        <v>367</v>
      </c>
      <c r="F806" t="s">
        <v>512</v>
      </c>
      <c r="G806">
        <v>3718</v>
      </c>
      <c r="H806" t="s">
        <v>2543</v>
      </c>
      <c r="I806" t="s">
        <v>2544</v>
      </c>
      <c r="J806">
        <v>12</v>
      </c>
      <c r="K806">
        <v>1</v>
      </c>
      <c r="L806">
        <v>1.4583333333333332E-3</v>
      </c>
      <c r="M806" t="s">
        <v>117</v>
      </c>
      <c r="N806" t="s">
        <v>239</v>
      </c>
      <c r="O806" s="24">
        <v>46114</v>
      </c>
      <c r="P806">
        <v>605</v>
      </c>
      <c r="Q806" t="s">
        <v>34</v>
      </c>
      <c r="R806" s="24">
        <v>46136</v>
      </c>
      <c r="S806" s="51">
        <v>0.98263888888888884</v>
      </c>
      <c r="T806" s="51">
        <v>9.0277777777777769E-3</v>
      </c>
      <c r="X806" t="s">
        <v>3193</v>
      </c>
      <c r="Y806" t="s">
        <v>3032</v>
      </c>
      <c r="Z806">
        <v>1781401</v>
      </c>
    </row>
    <row r="807" spans="1:26" x14ac:dyDescent="0.25">
      <c r="A807">
        <v>803</v>
      </c>
      <c r="B807" t="s">
        <v>24</v>
      </c>
      <c r="C807" t="s">
        <v>25</v>
      </c>
      <c r="D807">
        <v>13</v>
      </c>
      <c r="E807" t="s">
        <v>65</v>
      </c>
      <c r="F807" t="s">
        <v>66</v>
      </c>
      <c r="G807">
        <v>3718</v>
      </c>
      <c r="H807" t="s">
        <v>2545</v>
      </c>
      <c r="I807" t="s">
        <v>1809</v>
      </c>
      <c r="J807">
        <v>12</v>
      </c>
      <c r="K807">
        <v>1</v>
      </c>
      <c r="L807">
        <v>1.4120370370370369E-3</v>
      </c>
      <c r="M807" t="s">
        <v>117</v>
      </c>
      <c r="N807" t="s">
        <v>239</v>
      </c>
      <c r="O807" s="24">
        <v>46114</v>
      </c>
      <c r="P807">
        <v>605</v>
      </c>
      <c r="Q807" t="s">
        <v>34</v>
      </c>
      <c r="R807" s="24">
        <v>46136</v>
      </c>
      <c r="S807" s="51">
        <v>0.98263888888888884</v>
      </c>
      <c r="T807" s="51">
        <v>9.0277777777777769E-3</v>
      </c>
      <c r="X807" t="s">
        <v>3193</v>
      </c>
      <c r="Y807" t="s">
        <v>3032</v>
      </c>
      <c r="Z807">
        <v>1781401</v>
      </c>
    </row>
    <row r="808" spans="1:26" x14ac:dyDescent="0.25">
      <c r="A808">
        <v>804</v>
      </c>
      <c r="B808" t="s">
        <v>24</v>
      </c>
      <c r="C808" t="s">
        <v>25</v>
      </c>
      <c r="D808">
        <v>13</v>
      </c>
      <c r="E808" t="s">
        <v>511</v>
      </c>
      <c r="F808" t="s">
        <v>512</v>
      </c>
      <c r="G808">
        <v>3718</v>
      </c>
      <c r="H808" t="s">
        <v>1961</v>
      </c>
      <c r="I808" t="s">
        <v>1962</v>
      </c>
      <c r="J808">
        <v>12</v>
      </c>
      <c r="K808">
        <v>2</v>
      </c>
      <c r="L808">
        <v>3.4259259259259256E-3</v>
      </c>
      <c r="M808" t="s">
        <v>117</v>
      </c>
      <c r="N808" t="s">
        <v>239</v>
      </c>
      <c r="O808" s="24">
        <v>46114</v>
      </c>
      <c r="P808">
        <v>605</v>
      </c>
      <c r="Q808" t="s">
        <v>34</v>
      </c>
      <c r="R808" s="24">
        <v>46136</v>
      </c>
      <c r="S808" s="51">
        <v>0.98263888888888884</v>
      </c>
      <c r="T808" s="51">
        <v>9.0277777777777769E-3</v>
      </c>
      <c r="X808" t="s">
        <v>3193</v>
      </c>
      <c r="Y808" t="s">
        <v>3032</v>
      </c>
      <c r="Z808">
        <v>1781401</v>
      </c>
    </row>
    <row r="809" spans="1:26" x14ac:dyDescent="0.25">
      <c r="A809">
        <v>805</v>
      </c>
      <c r="B809" t="s">
        <v>24</v>
      </c>
      <c r="C809" t="s">
        <v>25</v>
      </c>
      <c r="D809">
        <v>13</v>
      </c>
      <c r="E809" t="s">
        <v>367</v>
      </c>
      <c r="F809" t="s">
        <v>1598</v>
      </c>
      <c r="G809">
        <v>3718</v>
      </c>
      <c r="H809" t="s">
        <v>2546</v>
      </c>
      <c r="I809" t="s">
        <v>2547</v>
      </c>
      <c r="J809">
        <v>12</v>
      </c>
      <c r="K809">
        <v>1</v>
      </c>
      <c r="L809">
        <v>1.4814814814814814E-3</v>
      </c>
      <c r="M809" t="s">
        <v>117</v>
      </c>
      <c r="N809" t="s">
        <v>239</v>
      </c>
      <c r="O809" s="24">
        <v>46114</v>
      </c>
      <c r="P809">
        <v>605</v>
      </c>
      <c r="Q809" t="s">
        <v>34</v>
      </c>
      <c r="R809" s="24">
        <v>46136</v>
      </c>
      <c r="S809" s="51">
        <v>0.98263888888888884</v>
      </c>
      <c r="T809" s="51">
        <v>9.0277777777777769E-3</v>
      </c>
      <c r="X809" t="s">
        <v>3193</v>
      </c>
      <c r="Y809" t="s">
        <v>3032</v>
      </c>
      <c r="Z809">
        <v>1781401</v>
      </c>
    </row>
    <row r="810" spans="1:26" x14ac:dyDescent="0.25">
      <c r="A810">
        <v>806</v>
      </c>
      <c r="B810" t="s">
        <v>24</v>
      </c>
      <c r="C810" t="s">
        <v>25</v>
      </c>
      <c r="D810">
        <v>13</v>
      </c>
      <c r="E810" t="s">
        <v>367</v>
      </c>
      <c r="F810" t="s">
        <v>1599</v>
      </c>
      <c r="G810">
        <v>3718</v>
      </c>
      <c r="H810" t="s">
        <v>2548</v>
      </c>
      <c r="I810" t="s">
        <v>2547</v>
      </c>
      <c r="J810">
        <v>12</v>
      </c>
      <c r="K810">
        <v>1</v>
      </c>
      <c r="L810">
        <v>1.4814814814814814E-3</v>
      </c>
      <c r="M810" t="s">
        <v>117</v>
      </c>
      <c r="N810" t="s">
        <v>239</v>
      </c>
      <c r="O810" s="24">
        <v>46114</v>
      </c>
      <c r="P810">
        <v>605</v>
      </c>
      <c r="Q810" t="s">
        <v>34</v>
      </c>
      <c r="R810" s="24">
        <v>46136</v>
      </c>
      <c r="S810" s="51">
        <v>0.98263888888888884</v>
      </c>
      <c r="T810" s="51">
        <v>9.0277777777777769E-3</v>
      </c>
      <c r="X810" t="s">
        <v>3193</v>
      </c>
      <c r="Y810" t="s">
        <v>3032</v>
      </c>
      <c r="Z810">
        <v>1781401</v>
      </c>
    </row>
    <row r="811" spans="1:26" x14ac:dyDescent="0.25">
      <c r="A811">
        <v>807</v>
      </c>
      <c r="B811" t="s">
        <v>24</v>
      </c>
      <c r="C811" t="s">
        <v>25</v>
      </c>
      <c r="D811">
        <v>13</v>
      </c>
      <c r="E811" t="s">
        <v>65</v>
      </c>
      <c r="F811" t="s">
        <v>66</v>
      </c>
      <c r="G811">
        <v>3718</v>
      </c>
      <c r="H811" t="s">
        <v>1963</v>
      </c>
      <c r="I811" t="s">
        <v>1964</v>
      </c>
      <c r="J811">
        <v>12</v>
      </c>
      <c r="K811">
        <v>1</v>
      </c>
      <c r="L811">
        <v>9.6064814814814808E-4</v>
      </c>
      <c r="M811" t="s">
        <v>117</v>
      </c>
      <c r="N811" t="s">
        <v>239</v>
      </c>
      <c r="O811" s="24">
        <v>46114</v>
      </c>
      <c r="P811">
        <v>605</v>
      </c>
      <c r="Q811" t="s">
        <v>34</v>
      </c>
      <c r="R811" s="24">
        <v>46136</v>
      </c>
      <c r="S811" s="51">
        <v>0.98263888888888884</v>
      </c>
      <c r="T811" s="51">
        <v>9.0277777777777769E-3</v>
      </c>
      <c r="X811" t="s">
        <v>3193</v>
      </c>
      <c r="Y811" t="s">
        <v>3032</v>
      </c>
      <c r="Z811">
        <v>1781401</v>
      </c>
    </row>
    <row r="812" spans="1:26" x14ac:dyDescent="0.25">
      <c r="A812">
        <v>808</v>
      </c>
      <c r="B812" t="s">
        <v>24</v>
      </c>
      <c r="C812" t="s">
        <v>25</v>
      </c>
      <c r="D812">
        <v>13</v>
      </c>
      <c r="E812" t="s">
        <v>152</v>
      </c>
      <c r="F812" t="s">
        <v>152</v>
      </c>
      <c r="G812">
        <v>3718</v>
      </c>
      <c r="H812" t="s">
        <v>1965</v>
      </c>
      <c r="I812" t="s">
        <v>1966</v>
      </c>
      <c r="J812">
        <v>12</v>
      </c>
      <c r="K812">
        <v>1</v>
      </c>
      <c r="L812">
        <v>1.9212962962962962E-3</v>
      </c>
      <c r="M812" t="s">
        <v>117</v>
      </c>
      <c r="N812" t="s">
        <v>239</v>
      </c>
      <c r="O812" s="24">
        <v>46114</v>
      </c>
      <c r="P812">
        <v>605</v>
      </c>
      <c r="Q812" t="s">
        <v>34</v>
      </c>
      <c r="R812" s="24">
        <v>46136</v>
      </c>
      <c r="S812" s="51">
        <v>0.98263888888888884</v>
      </c>
      <c r="T812" s="51">
        <v>9.0277777777777769E-3</v>
      </c>
      <c r="X812" t="s">
        <v>3193</v>
      </c>
      <c r="Y812" t="s">
        <v>3032</v>
      </c>
      <c r="Z812">
        <v>1781401</v>
      </c>
    </row>
    <row r="813" spans="1:26" x14ac:dyDescent="0.25">
      <c r="A813">
        <v>809</v>
      </c>
      <c r="B813" t="s">
        <v>24</v>
      </c>
      <c r="C813" t="s">
        <v>25</v>
      </c>
      <c r="D813">
        <v>13</v>
      </c>
      <c r="E813" t="s">
        <v>1672</v>
      </c>
      <c r="F813" t="s">
        <v>498</v>
      </c>
      <c r="G813">
        <v>3705</v>
      </c>
      <c r="H813" t="s">
        <v>1977</v>
      </c>
      <c r="I813" t="s">
        <v>1978</v>
      </c>
      <c r="J813">
        <v>10</v>
      </c>
      <c r="K813">
        <v>9</v>
      </c>
      <c r="L813">
        <v>3.3912037037037036E-3</v>
      </c>
      <c r="M813" t="s">
        <v>117</v>
      </c>
      <c r="N813" t="s">
        <v>446</v>
      </c>
      <c r="O813" s="24">
        <v>46118</v>
      </c>
      <c r="P813">
        <v>606</v>
      </c>
      <c r="Q813" t="s">
        <v>34</v>
      </c>
      <c r="R813" s="24">
        <v>46113</v>
      </c>
      <c r="S813" s="51">
        <v>0.6333333333333333</v>
      </c>
      <c r="T813" s="51">
        <v>0.6694444444444444</v>
      </c>
      <c r="X813" t="s">
        <v>3194</v>
      </c>
      <c r="Y813" t="s">
        <v>3035</v>
      </c>
      <c r="Z813">
        <v>2733391</v>
      </c>
    </row>
    <row r="814" spans="1:26" x14ac:dyDescent="0.25">
      <c r="A814">
        <v>810</v>
      </c>
      <c r="B814" t="s">
        <v>24</v>
      </c>
      <c r="C814" t="s">
        <v>25</v>
      </c>
      <c r="D814">
        <v>13</v>
      </c>
      <c r="E814" t="s">
        <v>1665</v>
      </c>
      <c r="F814" t="s">
        <v>498</v>
      </c>
      <c r="G814">
        <v>3705</v>
      </c>
      <c r="H814" t="s">
        <v>1981</v>
      </c>
      <c r="I814" t="s">
        <v>1978</v>
      </c>
      <c r="J814">
        <v>10</v>
      </c>
      <c r="K814">
        <v>29</v>
      </c>
      <c r="L814">
        <v>1.4826388888888889E-2</v>
      </c>
      <c r="M814" t="s">
        <v>117</v>
      </c>
      <c r="N814" t="s">
        <v>446</v>
      </c>
      <c r="O814" s="24">
        <v>46118</v>
      </c>
      <c r="P814">
        <v>606</v>
      </c>
      <c r="Q814" t="s">
        <v>34</v>
      </c>
      <c r="R814" s="24">
        <v>46113</v>
      </c>
      <c r="S814" s="51">
        <v>0.6333333333333333</v>
      </c>
      <c r="T814" s="51">
        <v>0.6694444444444444</v>
      </c>
      <c r="X814" t="s">
        <v>3194</v>
      </c>
      <c r="Y814" t="s">
        <v>3035</v>
      </c>
      <c r="Z814">
        <v>2733391</v>
      </c>
    </row>
    <row r="815" spans="1:26" x14ac:dyDescent="0.25">
      <c r="A815">
        <v>811</v>
      </c>
      <c r="B815" t="s">
        <v>24</v>
      </c>
      <c r="C815" t="s">
        <v>25</v>
      </c>
      <c r="D815">
        <v>13</v>
      </c>
      <c r="E815" t="s">
        <v>65</v>
      </c>
      <c r="F815" t="s">
        <v>65</v>
      </c>
      <c r="G815">
        <v>3705</v>
      </c>
      <c r="H815" t="s">
        <v>1990</v>
      </c>
      <c r="I815" t="s">
        <v>1991</v>
      </c>
      <c r="J815">
        <v>10</v>
      </c>
      <c r="K815">
        <v>3</v>
      </c>
      <c r="L815">
        <v>1.0185185185185184E-3</v>
      </c>
      <c r="M815" t="s">
        <v>117</v>
      </c>
      <c r="N815" t="s">
        <v>446</v>
      </c>
      <c r="O815" s="24">
        <v>46118</v>
      </c>
      <c r="P815">
        <v>606</v>
      </c>
      <c r="Q815" t="s">
        <v>34</v>
      </c>
      <c r="R815" s="24">
        <v>46113</v>
      </c>
      <c r="S815" s="51">
        <v>0.6333333333333333</v>
      </c>
      <c r="T815" s="51">
        <v>0.6694444444444444</v>
      </c>
      <c r="X815" t="s">
        <v>3194</v>
      </c>
      <c r="Y815" t="s">
        <v>3035</v>
      </c>
      <c r="Z815">
        <v>2733391</v>
      </c>
    </row>
    <row r="816" spans="1:26" x14ac:dyDescent="0.25">
      <c r="A816">
        <v>812</v>
      </c>
      <c r="B816" t="s">
        <v>24</v>
      </c>
      <c r="C816" t="s">
        <v>25</v>
      </c>
      <c r="D816">
        <v>13</v>
      </c>
      <c r="E816" t="s">
        <v>65</v>
      </c>
      <c r="F816" t="s">
        <v>1590</v>
      </c>
      <c r="G816">
        <v>3705</v>
      </c>
      <c r="H816" t="s">
        <v>1992</v>
      </c>
      <c r="I816" t="s">
        <v>1993</v>
      </c>
      <c r="J816">
        <v>10</v>
      </c>
      <c r="K816">
        <v>6</v>
      </c>
      <c r="L816">
        <v>3.3449074074074071E-3</v>
      </c>
      <c r="M816" t="s">
        <v>117</v>
      </c>
      <c r="N816" t="s">
        <v>446</v>
      </c>
      <c r="O816" s="24">
        <v>46118</v>
      </c>
      <c r="P816">
        <v>606</v>
      </c>
      <c r="Q816" t="s">
        <v>34</v>
      </c>
      <c r="R816" s="24">
        <v>46113</v>
      </c>
      <c r="S816" s="51">
        <v>0.6333333333333333</v>
      </c>
      <c r="T816" s="51">
        <v>0.6694444444444444</v>
      </c>
      <c r="X816" t="s">
        <v>3194</v>
      </c>
      <c r="Y816" t="s">
        <v>3035</v>
      </c>
      <c r="Z816">
        <v>2733391</v>
      </c>
    </row>
    <row r="817" spans="1:26" x14ac:dyDescent="0.25">
      <c r="A817">
        <v>813</v>
      </c>
      <c r="B817" t="s">
        <v>24</v>
      </c>
      <c r="C817" t="s">
        <v>25</v>
      </c>
      <c r="D817">
        <v>13</v>
      </c>
      <c r="E817" t="s">
        <v>65</v>
      </c>
      <c r="F817" t="s">
        <v>368</v>
      </c>
      <c r="G817">
        <v>3705</v>
      </c>
      <c r="H817" t="s">
        <v>2014</v>
      </c>
      <c r="I817" t="s">
        <v>2015</v>
      </c>
      <c r="J817">
        <v>10</v>
      </c>
      <c r="K817">
        <v>4</v>
      </c>
      <c r="L817">
        <v>3.1249999999999997E-3</v>
      </c>
      <c r="M817" t="s">
        <v>117</v>
      </c>
      <c r="N817" t="s">
        <v>446</v>
      </c>
      <c r="O817" s="24">
        <v>46118</v>
      </c>
      <c r="P817">
        <v>606</v>
      </c>
      <c r="Q817" t="s">
        <v>34</v>
      </c>
      <c r="R817" s="24">
        <v>46113</v>
      </c>
      <c r="S817" s="51">
        <v>0.6333333333333333</v>
      </c>
      <c r="T817" s="51">
        <v>0.6694444444444444</v>
      </c>
      <c r="X817" t="s">
        <v>3194</v>
      </c>
      <c r="Y817" t="s">
        <v>3035</v>
      </c>
      <c r="Z817">
        <v>2733391</v>
      </c>
    </row>
    <row r="818" spans="1:26" x14ac:dyDescent="0.25">
      <c r="A818">
        <v>814</v>
      </c>
      <c r="B818" t="s">
        <v>24</v>
      </c>
      <c r="C818" t="s">
        <v>25</v>
      </c>
      <c r="D818">
        <v>13</v>
      </c>
      <c r="E818" t="s">
        <v>152</v>
      </c>
      <c r="F818" t="s">
        <v>152</v>
      </c>
      <c r="G818">
        <v>4071</v>
      </c>
      <c r="H818" t="s">
        <v>153</v>
      </c>
      <c r="I818" t="s">
        <v>119</v>
      </c>
      <c r="J818">
        <v>8</v>
      </c>
      <c r="K818">
        <v>1</v>
      </c>
      <c r="L818">
        <v>6.9097222222222216E-3</v>
      </c>
      <c r="M818" t="s">
        <v>117</v>
      </c>
      <c r="N818" t="s">
        <v>113</v>
      </c>
      <c r="O818" s="24">
        <v>46113</v>
      </c>
      <c r="P818">
        <v>603</v>
      </c>
      <c r="Q818" t="s">
        <v>34</v>
      </c>
      <c r="R818" s="24">
        <v>46113</v>
      </c>
      <c r="S818" s="51">
        <v>0.37916666666666665</v>
      </c>
      <c r="T818" s="51">
        <v>0.3840277777777778</v>
      </c>
      <c r="X818" t="s">
        <v>154</v>
      </c>
      <c r="Y818" t="s">
        <v>3072</v>
      </c>
      <c r="Z818">
        <v>3219209</v>
      </c>
    </row>
    <row r="819" spans="1:26" x14ac:dyDescent="0.25">
      <c r="A819">
        <v>815</v>
      </c>
      <c r="B819" t="s">
        <v>24</v>
      </c>
      <c r="C819" t="s">
        <v>25</v>
      </c>
      <c r="D819">
        <v>13</v>
      </c>
      <c r="E819" t="s">
        <v>530</v>
      </c>
      <c r="F819" t="s">
        <v>512</v>
      </c>
      <c r="G819">
        <v>4073</v>
      </c>
      <c r="H819" t="s">
        <v>531</v>
      </c>
      <c r="I819" t="s">
        <v>119</v>
      </c>
      <c r="J819">
        <v>8</v>
      </c>
      <c r="K819">
        <v>1</v>
      </c>
      <c r="L819">
        <v>6.9212962962962961E-3</v>
      </c>
      <c r="M819" t="s">
        <v>117</v>
      </c>
      <c r="N819" t="s">
        <v>491</v>
      </c>
      <c r="O819" s="24">
        <v>46118</v>
      </c>
      <c r="P819">
        <v>603</v>
      </c>
      <c r="Q819" t="s">
        <v>34</v>
      </c>
      <c r="R819" s="24">
        <v>46113</v>
      </c>
      <c r="S819" s="51">
        <v>0.39791666666666664</v>
      </c>
      <c r="T819" s="51">
        <v>0.40277777777777779</v>
      </c>
      <c r="X819" t="s">
        <v>3195</v>
      </c>
      <c r="Y819" t="s">
        <v>3072</v>
      </c>
      <c r="Z819">
        <v>1742255</v>
      </c>
    </row>
    <row r="820" spans="1:26" x14ac:dyDescent="0.25">
      <c r="A820">
        <v>816</v>
      </c>
      <c r="B820" t="s">
        <v>24</v>
      </c>
      <c r="C820" t="s">
        <v>25</v>
      </c>
      <c r="D820">
        <v>13</v>
      </c>
      <c r="E820" t="s">
        <v>1672</v>
      </c>
      <c r="F820" t="s">
        <v>115</v>
      </c>
      <c r="G820">
        <v>4074</v>
      </c>
      <c r="H820" t="s">
        <v>2309</v>
      </c>
      <c r="I820" t="s">
        <v>2310</v>
      </c>
      <c r="J820">
        <v>8</v>
      </c>
      <c r="K820">
        <v>3</v>
      </c>
      <c r="L820">
        <v>5.8217592592592592E-3</v>
      </c>
      <c r="M820" t="s">
        <v>117</v>
      </c>
      <c r="N820" t="s">
        <v>760</v>
      </c>
      <c r="O820" s="24">
        <v>46125</v>
      </c>
      <c r="P820">
        <v>603</v>
      </c>
      <c r="Q820" t="s">
        <v>34</v>
      </c>
      <c r="R820" s="24">
        <v>46136</v>
      </c>
      <c r="S820" s="51">
        <v>0.40694444444444444</v>
      </c>
      <c r="T820" s="51">
        <v>0.42499999999999999</v>
      </c>
      <c r="X820" t="s">
        <v>3196</v>
      </c>
      <c r="Y820" t="s">
        <v>3029</v>
      </c>
      <c r="Z820">
        <v>2733740</v>
      </c>
    </row>
    <row r="821" spans="1:26" x14ac:dyDescent="0.25">
      <c r="A821">
        <v>817</v>
      </c>
      <c r="B821" t="s">
        <v>24</v>
      </c>
      <c r="C821" t="s">
        <v>25</v>
      </c>
      <c r="D821">
        <v>13</v>
      </c>
      <c r="E821" t="s">
        <v>1665</v>
      </c>
      <c r="F821" t="s">
        <v>498</v>
      </c>
      <c r="G821">
        <v>4074</v>
      </c>
      <c r="H821" t="s">
        <v>2311</v>
      </c>
      <c r="I821" t="s">
        <v>2300</v>
      </c>
      <c r="J821">
        <v>8</v>
      </c>
      <c r="K821">
        <v>3</v>
      </c>
      <c r="L821">
        <v>5.9490740740740736E-3</v>
      </c>
      <c r="M821" t="s">
        <v>117</v>
      </c>
      <c r="N821" t="s">
        <v>760</v>
      </c>
      <c r="O821" s="24">
        <v>46125</v>
      </c>
      <c r="P821">
        <v>603</v>
      </c>
      <c r="Q821" t="s">
        <v>34</v>
      </c>
      <c r="R821" s="24">
        <v>46136</v>
      </c>
      <c r="S821" s="51">
        <v>0.40694444444444444</v>
      </c>
      <c r="T821" s="51">
        <v>0.42499999999999999</v>
      </c>
      <c r="X821" t="s">
        <v>3196</v>
      </c>
      <c r="Y821" t="s">
        <v>3029</v>
      </c>
      <c r="Z821">
        <v>2733740</v>
      </c>
    </row>
    <row r="822" spans="1:26" x14ac:dyDescent="0.25">
      <c r="A822">
        <v>818</v>
      </c>
      <c r="B822" t="s">
        <v>24</v>
      </c>
      <c r="C822" t="s">
        <v>25</v>
      </c>
      <c r="D822">
        <v>13</v>
      </c>
      <c r="E822" t="s">
        <v>1665</v>
      </c>
      <c r="F822" t="s">
        <v>115</v>
      </c>
      <c r="G822">
        <v>4074</v>
      </c>
      <c r="H822" t="s">
        <v>2356</v>
      </c>
      <c r="I822" t="s">
        <v>2310</v>
      </c>
      <c r="J822">
        <v>8</v>
      </c>
      <c r="K822">
        <v>2</v>
      </c>
      <c r="L822">
        <v>3.8194444444444443E-3</v>
      </c>
      <c r="M822" t="s">
        <v>117</v>
      </c>
      <c r="N822" t="s">
        <v>760</v>
      </c>
      <c r="O822" s="24">
        <v>46125</v>
      </c>
      <c r="P822">
        <v>603</v>
      </c>
      <c r="Q822" t="s">
        <v>34</v>
      </c>
      <c r="R822" s="24">
        <v>46136</v>
      </c>
      <c r="S822" s="51">
        <v>0.40694444444444444</v>
      </c>
      <c r="T822" s="51">
        <v>0.42499999999999999</v>
      </c>
      <c r="X822" t="s">
        <v>3196</v>
      </c>
      <c r="Y822" t="s">
        <v>3029</v>
      </c>
      <c r="Z822">
        <v>2733740</v>
      </c>
    </row>
    <row r="823" spans="1:26" x14ac:dyDescent="0.25">
      <c r="A823">
        <v>819</v>
      </c>
      <c r="B823" t="s">
        <v>24</v>
      </c>
      <c r="C823" t="s">
        <v>25</v>
      </c>
      <c r="D823">
        <v>13</v>
      </c>
      <c r="E823" t="s">
        <v>530</v>
      </c>
      <c r="F823" t="s">
        <v>512</v>
      </c>
      <c r="G823">
        <v>4074</v>
      </c>
      <c r="H823" t="s">
        <v>2357</v>
      </c>
      <c r="I823" t="s">
        <v>2183</v>
      </c>
      <c r="J823">
        <v>8</v>
      </c>
      <c r="K823">
        <v>1</v>
      </c>
      <c r="L823">
        <v>6.2615740740740739E-3</v>
      </c>
      <c r="M823" t="s">
        <v>117</v>
      </c>
      <c r="N823" t="s">
        <v>760</v>
      </c>
      <c r="O823" s="24">
        <v>46125</v>
      </c>
      <c r="P823">
        <v>603</v>
      </c>
      <c r="Q823" t="s">
        <v>34</v>
      </c>
      <c r="R823" s="24">
        <v>46136</v>
      </c>
      <c r="S823" s="51">
        <v>0.40694444444444444</v>
      </c>
      <c r="T823" s="51">
        <v>0.42499999999999999</v>
      </c>
      <c r="X823" t="s">
        <v>3196</v>
      </c>
      <c r="Y823" t="s">
        <v>3029</v>
      </c>
      <c r="Z823">
        <v>2733740</v>
      </c>
    </row>
    <row r="824" spans="1:26" x14ac:dyDescent="0.25">
      <c r="A824">
        <v>820</v>
      </c>
      <c r="B824" t="s">
        <v>24</v>
      </c>
      <c r="C824" t="s">
        <v>25</v>
      </c>
      <c r="D824">
        <v>13</v>
      </c>
      <c r="E824" t="s">
        <v>530</v>
      </c>
      <c r="F824" t="s">
        <v>512</v>
      </c>
      <c r="G824">
        <v>4075</v>
      </c>
      <c r="H824" t="s">
        <v>531</v>
      </c>
      <c r="I824" t="s">
        <v>119</v>
      </c>
      <c r="J824">
        <v>8</v>
      </c>
      <c r="K824">
        <v>1</v>
      </c>
      <c r="L824">
        <v>6.9212962962962961E-3</v>
      </c>
      <c r="M824" t="s">
        <v>117</v>
      </c>
      <c r="N824" t="s">
        <v>491</v>
      </c>
      <c r="O824" s="24">
        <v>46118</v>
      </c>
      <c r="P824">
        <v>603</v>
      </c>
      <c r="Q824" t="s">
        <v>34</v>
      </c>
      <c r="R824" s="24">
        <v>46113</v>
      </c>
      <c r="S824" s="51">
        <v>0.47013888888888888</v>
      </c>
      <c r="T824" s="51">
        <v>0.47638888888888886</v>
      </c>
      <c r="X824" t="s">
        <v>3197</v>
      </c>
      <c r="Y824" t="s">
        <v>3072</v>
      </c>
      <c r="Z824">
        <v>1742255</v>
      </c>
    </row>
    <row r="825" spans="1:26" x14ac:dyDescent="0.25">
      <c r="A825">
        <v>821</v>
      </c>
      <c r="B825" t="s">
        <v>24</v>
      </c>
      <c r="C825" t="s">
        <v>25</v>
      </c>
      <c r="D825">
        <v>13</v>
      </c>
      <c r="E825" t="s">
        <v>530</v>
      </c>
      <c r="F825" t="s">
        <v>512</v>
      </c>
      <c r="G825">
        <v>4076</v>
      </c>
      <c r="H825" t="s">
        <v>531</v>
      </c>
      <c r="I825" t="s">
        <v>119</v>
      </c>
      <c r="J825">
        <v>8</v>
      </c>
      <c r="K825">
        <v>1</v>
      </c>
      <c r="L825">
        <v>6.9212962962962961E-3</v>
      </c>
      <c r="M825" t="s">
        <v>117</v>
      </c>
      <c r="N825" t="s">
        <v>491</v>
      </c>
      <c r="O825" s="24">
        <v>46118</v>
      </c>
      <c r="P825">
        <v>603</v>
      </c>
      <c r="Q825" t="s">
        <v>34</v>
      </c>
      <c r="R825" s="24">
        <v>46113</v>
      </c>
      <c r="S825" s="51">
        <v>0.45277777777777778</v>
      </c>
      <c r="T825" s="51">
        <v>0.45694444444444443</v>
      </c>
      <c r="X825" t="s">
        <v>3198</v>
      </c>
      <c r="Y825" t="s">
        <v>3072</v>
      </c>
      <c r="Z825">
        <v>1742385</v>
      </c>
    </row>
    <row r="826" spans="1:26" x14ac:dyDescent="0.25">
      <c r="A826">
        <v>822</v>
      </c>
      <c r="B826" t="s">
        <v>24</v>
      </c>
      <c r="C826" t="s">
        <v>25</v>
      </c>
      <c r="D826">
        <v>13</v>
      </c>
      <c r="E826" t="s">
        <v>530</v>
      </c>
      <c r="F826" t="s">
        <v>512</v>
      </c>
      <c r="G826">
        <v>4077</v>
      </c>
      <c r="H826" t="s">
        <v>531</v>
      </c>
      <c r="I826" t="s">
        <v>119</v>
      </c>
      <c r="J826">
        <v>8</v>
      </c>
      <c r="K826">
        <v>1</v>
      </c>
      <c r="L826">
        <v>6.9212962962962961E-3</v>
      </c>
      <c r="M826" t="s">
        <v>117</v>
      </c>
      <c r="N826" t="s">
        <v>491</v>
      </c>
      <c r="O826" s="24">
        <v>46118</v>
      </c>
      <c r="P826">
        <v>603</v>
      </c>
      <c r="Q826" t="s">
        <v>34</v>
      </c>
      <c r="R826" s="24">
        <v>46113</v>
      </c>
      <c r="S826" s="51">
        <v>0.40625</v>
      </c>
      <c r="T826" s="51">
        <v>0.41041666666666665</v>
      </c>
      <c r="X826" t="s">
        <v>3199</v>
      </c>
      <c r="Y826" t="s">
        <v>3072</v>
      </c>
      <c r="Z826">
        <v>1742255</v>
      </c>
    </row>
    <row r="827" spans="1:26" x14ac:dyDescent="0.25">
      <c r="A827">
        <v>823</v>
      </c>
      <c r="B827" t="s">
        <v>24</v>
      </c>
      <c r="C827" t="s">
        <v>25</v>
      </c>
      <c r="D827">
        <v>13</v>
      </c>
      <c r="E827" t="s">
        <v>530</v>
      </c>
      <c r="F827" t="s">
        <v>512</v>
      </c>
      <c r="G827">
        <v>4078</v>
      </c>
      <c r="H827" t="s">
        <v>531</v>
      </c>
      <c r="I827" t="s">
        <v>119</v>
      </c>
      <c r="J827">
        <v>8</v>
      </c>
      <c r="K827">
        <v>1</v>
      </c>
      <c r="L827">
        <v>6.9212962962962961E-3</v>
      </c>
      <c r="M827" t="s">
        <v>117</v>
      </c>
      <c r="N827" t="s">
        <v>491</v>
      </c>
      <c r="O827" s="24">
        <v>46118</v>
      </c>
      <c r="P827">
        <v>603</v>
      </c>
      <c r="Q827" t="s">
        <v>34</v>
      </c>
      <c r="R827" s="24">
        <v>46113</v>
      </c>
      <c r="S827" s="51">
        <v>0.44583333333333336</v>
      </c>
      <c r="T827" s="51">
        <v>0.45069444444444445</v>
      </c>
      <c r="X827" t="s">
        <v>3200</v>
      </c>
      <c r="Y827" t="s">
        <v>3072</v>
      </c>
      <c r="Z827">
        <v>1742385</v>
      </c>
    </row>
    <row r="828" spans="1:26" x14ac:dyDescent="0.25">
      <c r="A828">
        <v>824</v>
      </c>
      <c r="B828" t="s">
        <v>24</v>
      </c>
      <c r="C828" t="s">
        <v>25</v>
      </c>
      <c r="D828">
        <v>13</v>
      </c>
      <c r="E828" t="s">
        <v>65</v>
      </c>
      <c r="F828" t="s">
        <v>1599</v>
      </c>
      <c r="G828">
        <v>4026</v>
      </c>
      <c r="H828" t="s">
        <v>2264</v>
      </c>
      <c r="I828" t="s">
        <v>2226</v>
      </c>
      <c r="J828">
        <v>8</v>
      </c>
      <c r="K828">
        <v>1</v>
      </c>
      <c r="L828">
        <v>1.7013888888888888E-3</v>
      </c>
      <c r="M828" t="s">
        <v>117</v>
      </c>
      <c r="N828" t="s">
        <v>239</v>
      </c>
      <c r="O828" s="24">
        <v>46114</v>
      </c>
      <c r="P828">
        <v>605</v>
      </c>
      <c r="Q828" t="s">
        <v>34</v>
      </c>
      <c r="R828" s="24">
        <v>46136</v>
      </c>
      <c r="S828" s="51">
        <v>0.85763888888888884</v>
      </c>
      <c r="T828" s="51">
        <v>0.86805555555555558</v>
      </c>
      <c r="X828" t="s">
        <v>3175</v>
      </c>
      <c r="Y828" t="s">
        <v>3032</v>
      </c>
      <c r="Z828">
        <v>1742314</v>
      </c>
    </row>
    <row r="829" spans="1:26" x14ac:dyDescent="0.25">
      <c r="A829">
        <v>825</v>
      </c>
      <c r="B829" t="s">
        <v>24</v>
      </c>
      <c r="C829" t="s">
        <v>25</v>
      </c>
      <c r="D829">
        <v>13</v>
      </c>
      <c r="E829" t="s">
        <v>1665</v>
      </c>
      <c r="F829" t="s">
        <v>115</v>
      </c>
      <c r="G829">
        <v>4056</v>
      </c>
      <c r="H829" t="s">
        <v>2113</v>
      </c>
      <c r="I829" t="s">
        <v>2111</v>
      </c>
      <c r="J829">
        <v>8</v>
      </c>
      <c r="K829">
        <v>1</v>
      </c>
      <c r="L829">
        <v>5.9027777777777778E-4</v>
      </c>
      <c r="M829" t="s">
        <v>117</v>
      </c>
      <c r="N829" t="s">
        <v>351</v>
      </c>
      <c r="O829" s="24">
        <v>46114</v>
      </c>
      <c r="P829">
        <v>606</v>
      </c>
      <c r="Q829" t="s">
        <v>34</v>
      </c>
      <c r="R829" s="24">
        <v>46136</v>
      </c>
      <c r="S829" s="51">
        <v>0.43194444444444446</v>
      </c>
      <c r="T829" s="51">
        <v>0.44583333333333336</v>
      </c>
      <c r="X829" t="s">
        <v>3201</v>
      </c>
      <c r="Y829" t="s">
        <v>3035</v>
      </c>
      <c r="Z829">
        <v>1742372</v>
      </c>
    </row>
    <row r="830" spans="1:26" x14ac:dyDescent="0.25">
      <c r="A830">
        <v>826</v>
      </c>
      <c r="B830" t="s">
        <v>24</v>
      </c>
      <c r="C830" t="s">
        <v>25</v>
      </c>
      <c r="D830">
        <v>13</v>
      </c>
      <c r="E830" t="s">
        <v>1672</v>
      </c>
      <c r="F830" t="s">
        <v>115</v>
      </c>
      <c r="G830">
        <v>4056</v>
      </c>
      <c r="H830" t="s">
        <v>2087</v>
      </c>
      <c r="I830" t="s">
        <v>2088</v>
      </c>
      <c r="J830">
        <v>8</v>
      </c>
      <c r="K830">
        <v>2</v>
      </c>
      <c r="L830">
        <v>1.6782407407407408E-3</v>
      </c>
      <c r="M830" t="s">
        <v>117</v>
      </c>
      <c r="N830" t="s">
        <v>351</v>
      </c>
      <c r="O830" s="24">
        <v>46114</v>
      </c>
      <c r="P830">
        <v>606</v>
      </c>
      <c r="Q830" t="s">
        <v>34</v>
      </c>
      <c r="R830" s="24">
        <v>46136</v>
      </c>
      <c r="S830" s="51">
        <v>0.43194444444444446</v>
      </c>
      <c r="T830" s="51">
        <v>0.44583333333333336</v>
      </c>
      <c r="X830" t="s">
        <v>3201</v>
      </c>
      <c r="Y830" t="s">
        <v>3035</v>
      </c>
      <c r="Z830">
        <v>1742372</v>
      </c>
    </row>
    <row r="831" spans="1:26" x14ac:dyDescent="0.25">
      <c r="A831">
        <v>827</v>
      </c>
      <c r="B831" t="s">
        <v>24</v>
      </c>
      <c r="C831" t="s">
        <v>25</v>
      </c>
      <c r="D831">
        <v>13</v>
      </c>
      <c r="E831" t="s">
        <v>367</v>
      </c>
      <c r="F831" t="s">
        <v>1599</v>
      </c>
      <c r="G831">
        <v>4056</v>
      </c>
      <c r="H831" t="s">
        <v>1633</v>
      </c>
      <c r="I831" t="s">
        <v>1634</v>
      </c>
      <c r="J831">
        <v>8</v>
      </c>
      <c r="K831">
        <v>1</v>
      </c>
      <c r="L831">
        <v>7.2916666666666659E-4</v>
      </c>
      <c r="M831" t="s">
        <v>117</v>
      </c>
      <c r="N831" t="s">
        <v>351</v>
      </c>
      <c r="O831" s="24">
        <v>46114</v>
      </c>
      <c r="P831">
        <v>606</v>
      </c>
      <c r="Q831" t="s">
        <v>34</v>
      </c>
      <c r="R831" s="24">
        <v>46136</v>
      </c>
      <c r="S831" s="51">
        <v>0.43194444444444446</v>
      </c>
      <c r="T831" s="51">
        <v>0.44583333333333336</v>
      </c>
      <c r="X831" t="s">
        <v>3201</v>
      </c>
      <c r="Y831" t="s">
        <v>3035</v>
      </c>
      <c r="Z831">
        <v>1742372</v>
      </c>
    </row>
    <row r="832" spans="1:26" x14ac:dyDescent="0.25">
      <c r="A832">
        <v>828</v>
      </c>
      <c r="B832" t="s">
        <v>24</v>
      </c>
      <c r="C832" t="s">
        <v>25</v>
      </c>
      <c r="D832">
        <v>13</v>
      </c>
      <c r="E832" t="s">
        <v>65</v>
      </c>
      <c r="F832" t="s">
        <v>1599</v>
      </c>
      <c r="G832">
        <v>4056</v>
      </c>
      <c r="H832" t="s">
        <v>2291</v>
      </c>
      <c r="I832" t="s">
        <v>2292</v>
      </c>
      <c r="J832">
        <v>8</v>
      </c>
      <c r="K832">
        <v>1</v>
      </c>
      <c r="L832">
        <v>4.6643518518518518E-3</v>
      </c>
      <c r="M832" t="s">
        <v>117</v>
      </c>
      <c r="N832" t="s">
        <v>351</v>
      </c>
      <c r="O832" s="24">
        <v>46114</v>
      </c>
      <c r="P832">
        <v>606</v>
      </c>
      <c r="Q832" t="s">
        <v>34</v>
      </c>
      <c r="R832" s="24">
        <v>46136</v>
      </c>
      <c r="S832" s="51">
        <v>0.43194444444444446</v>
      </c>
      <c r="T832" s="51">
        <v>0.44583333333333336</v>
      </c>
      <c r="X832" t="s">
        <v>3201</v>
      </c>
      <c r="Y832" t="s">
        <v>3035</v>
      </c>
      <c r="Z832">
        <v>1742372</v>
      </c>
    </row>
    <row r="833" spans="1:26" x14ac:dyDescent="0.25">
      <c r="A833">
        <v>829</v>
      </c>
      <c r="B833" t="s">
        <v>24</v>
      </c>
      <c r="C833" t="s">
        <v>25</v>
      </c>
      <c r="D833">
        <v>13</v>
      </c>
      <c r="E833" t="s">
        <v>2293</v>
      </c>
      <c r="F833" t="s">
        <v>44</v>
      </c>
      <c r="G833">
        <v>4056</v>
      </c>
      <c r="H833" t="s">
        <v>45</v>
      </c>
      <c r="I833" t="s">
        <v>1119</v>
      </c>
      <c r="J833">
        <v>8</v>
      </c>
      <c r="K833">
        <v>4</v>
      </c>
      <c r="L833">
        <v>5.5092592592592589E-3</v>
      </c>
      <c r="M833" t="s">
        <v>117</v>
      </c>
      <c r="N833" t="s">
        <v>351</v>
      </c>
      <c r="O833" s="24">
        <v>46114</v>
      </c>
      <c r="P833">
        <v>606</v>
      </c>
      <c r="Q833" t="s">
        <v>34</v>
      </c>
      <c r="R833" s="24">
        <v>46136</v>
      </c>
      <c r="S833" s="51">
        <v>0.43194444444444446</v>
      </c>
      <c r="T833" s="51">
        <v>0.44583333333333336</v>
      </c>
      <c r="X833" t="s">
        <v>3201</v>
      </c>
      <c r="Y833" t="s">
        <v>3035</v>
      </c>
      <c r="Z833">
        <v>1742372</v>
      </c>
    </row>
    <row r="834" spans="1:26" x14ac:dyDescent="0.25">
      <c r="A834">
        <v>830</v>
      </c>
      <c r="B834" t="s">
        <v>24</v>
      </c>
      <c r="C834" t="s">
        <v>25</v>
      </c>
      <c r="D834">
        <v>13</v>
      </c>
      <c r="E834" t="s">
        <v>1672</v>
      </c>
      <c r="F834" t="s">
        <v>115</v>
      </c>
      <c r="G834">
        <v>3472</v>
      </c>
      <c r="H834" t="s">
        <v>2087</v>
      </c>
      <c r="I834" t="s">
        <v>2088</v>
      </c>
      <c r="J834">
        <v>8</v>
      </c>
      <c r="K834">
        <v>1</v>
      </c>
      <c r="L834">
        <v>9.3749999999999997E-4</v>
      </c>
      <c r="M834" t="s">
        <v>117</v>
      </c>
      <c r="N834" t="s">
        <v>113</v>
      </c>
      <c r="O834" s="24">
        <v>46113</v>
      </c>
      <c r="P834">
        <v>603</v>
      </c>
      <c r="Q834" t="s">
        <v>34</v>
      </c>
      <c r="R834" s="24">
        <v>46113</v>
      </c>
      <c r="S834" s="51">
        <v>0.625</v>
      </c>
      <c r="T834" s="51">
        <v>0.6333333333333333</v>
      </c>
      <c r="X834" t="s">
        <v>158</v>
      </c>
      <c r="Y834" t="s">
        <v>3072</v>
      </c>
      <c r="Z834">
        <v>2733737</v>
      </c>
    </row>
    <row r="835" spans="1:26" x14ac:dyDescent="0.25">
      <c r="A835">
        <v>831</v>
      </c>
      <c r="B835" t="s">
        <v>24</v>
      </c>
      <c r="C835" t="s">
        <v>25</v>
      </c>
      <c r="D835">
        <v>13</v>
      </c>
      <c r="E835" t="s">
        <v>1672</v>
      </c>
      <c r="F835" t="s">
        <v>115</v>
      </c>
      <c r="G835">
        <v>3472</v>
      </c>
      <c r="H835" t="s">
        <v>2090</v>
      </c>
      <c r="I835" t="s">
        <v>2091</v>
      </c>
      <c r="J835">
        <v>8</v>
      </c>
      <c r="K835">
        <v>1</v>
      </c>
      <c r="L835">
        <v>6.5277777777777773E-3</v>
      </c>
      <c r="M835" t="s">
        <v>117</v>
      </c>
      <c r="N835" t="s">
        <v>113</v>
      </c>
      <c r="O835" s="24">
        <v>46113</v>
      </c>
      <c r="P835">
        <v>603</v>
      </c>
      <c r="Q835" t="s">
        <v>34</v>
      </c>
      <c r="R835" s="24">
        <v>46113</v>
      </c>
      <c r="S835" s="51">
        <v>0.625</v>
      </c>
      <c r="T835" s="51">
        <v>0.6333333333333333</v>
      </c>
      <c r="X835" t="s">
        <v>158</v>
      </c>
      <c r="Y835" t="s">
        <v>3072</v>
      </c>
      <c r="Z835">
        <v>2733737</v>
      </c>
    </row>
    <row r="836" spans="1:26" x14ac:dyDescent="0.25">
      <c r="A836">
        <v>832</v>
      </c>
      <c r="B836" t="s">
        <v>24</v>
      </c>
      <c r="C836" t="s">
        <v>25</v>
      </c>
      <c r="D836">
        <v>13</v>
      </c>
      <c r="E836" t="s">
        <v>367</v>
      </c>
      <c r="F836" t="s">
        <v>1593</v>
      </c>
      <c r="G836">
        <v>3472</v>
      </c>
      <c r="H836" t="s">
        <v>2060</v>
      </c>
      <c r="I836" t="s">
        <v>2061</v>
      </c>
      <c r="J836">
        <v>8</v>
      </c>
      <c r="K836">
        <v>1</v>
      </c>
      <c r="L836">
        <v>4.6296296296296293E-4</v>
      </c>
      <c r="M836" t="s">
        <v>117</v>
      </c>
      <c r="N836" t="s">
        <v>113</v>
      </c>
      <c r="O836" s="24">
        <v>46113</v>
      </c>
      <c r="P836">
        <v>603</v>
      </c>
      <c r="Q836" t="s">
        <v>34</v>
      </c>
      <c r="R836" s="24">
        <v>46113</v>
      </c>
      <c r="S836" s="51">
        <v>0.625</v>
      </c>
      <c r="T836" s="51">
        <v>0.6333333333333333</v>
      </c>
      <c r="X836" t="s">
        <v>158</v>
      </c>
      <c r="Y836" t="s">
        <v>3072</v>
      </c>
      <c r="Z836">
        <v>2733737</v>
      </c>
    </row>
    <row r="837" spans="1:26" x14ac:dyDescent="0.25">
      <c r="A837">
        <v>833</v>
      </c>
      <c r="B837" t="s">
        <v>24</v>
      </c>
      <c r="C837" t="s">
        <v>25</v>
      </c>
      <c r="D837">
        <v>13</v>
      </c>
      <c r="E837" t="s">
        <v>65</v>
      </c>
      <c r="F837" t="s">
        <v>65</v>
      </c>
      <c r="G837">
        <v>3472</v>
      </c>
      <c r="H837" t="s">
        <v>2092</v>
      </c>
      <c r="I837" t="s">
        <v>2093</v>
      </c>
      <c r="J837">
        <v>8</v>
      </c>
      <c r="K837">
        <v>1</v>
      </c>
      <c r="L837">
        <v>7.1759259259259259E-4</v>
      </c>
      <c r="M837" t="s">
        <v>117</v>
      </c>
      <c r="N837" t="s">
        <v>113</v>
      </c>
      <c r="O837" s="24">
        <v>46113</v>
      </c>
      <c r="P837">
        <v>603</v>
      </c>
      <c r="Q837" t="s">
        <v>34</v>
      </c>
      <c r="R837" s="24">
        <v>46113</v>
      </c>
      <c r="S837" s="51">
        <v>0.625</v>
      </c>
      <c r="T837" s="51">
        <v>0.6333333333333333</v>
      </c>
      <c r="X837" t="s">
        <v>158</v>
      </c>
      <c r="Y837" t="s">
        <v>3072</v>
      </c>
      <c r="Z837">
        <v>2733737</v>
      </c>
    </row>
    <row r="838" spans="1:26" x14ac:dyDescent="0.25">
      <c r="A838">
        <v>834</v>
      </c>
      <c r="B838" t="s">
        <v>24</v>
      </c>
      <c r="C838" t="s">
        <v>25</v>
      </c>
      <c r="D838">
        <v>13</v>
      </c>
      <c r="E838" t="s">
        <v>511</v>
      </c>
      <c r="F838" t="s">
        <v>512</v>
      </c>
      <c r="G838">
        <v>4057</v>
      </c>
      <c r="H838" t="s">
        <v>2295</v>
      </c>
      <c r="I838" t="s">
        <v>2183</v>
      </c>
      <c r="J838">
        <v>8</v>
      </c>
      <c r="K838">
        <v>1</v>
      </c>
      <c r="L838">
        <v>5.7175925925925927E-3</v>
      </c>
      <c r="M838" t="s">
        <v>117</v>
      </c>
      <c r="N838" t="s">
        <v>572</v>
      </c>
      <c r="O838" s="24">
        <v>46118</v>
      </c>
      <c r="P838">
        <v>605</v>
      </c>
      <c r="Q838" t="s">
        <v>34</v>
      </c>
      <c r="R838" s="24">
        <v>46136</v>
      </c>
      <c r="S838" s="51">
        <v>0.54305555555555551</v>
      </c>
      <c r="T838" s="51">
        <v>0.55000000000000004</v>
      </c>
      <c r="X838" t="s">
        <v>3030</v>
      </c>
      <c r="Y838" t="s">
        <v>3029</v>
      </c>
      <c r="Z838">
        <v>3219209</v>
      </c>
    </row>
    <row r="839" spans="1:26" x14ac:dyDescent="0.25">
      <c r="A839">
        <v>835</v>
      </c>
      <c r="B839" t="s">
        <v>24</v>
      </c>
      <c r="C839" t="s">
        <v>25</v>
      </c>
      <c r="D839">
        <v>13</v>
      </c>
      <c r="E839" t="s">
        <v>367</v>
      </c>
      <c r="F839" t="s">
        <v>1599</v>
      </c>
      <c r="G839">
        <v>4057</v>
      </c>
      <c r="H839" t="s">
        <v>1633</v>
      </c>
      <c r="I839" t="s">
        <v>1634</v>
      </c>
      <c r="J839">
        <v>8</v>
      </c>
      <c r="K839">
        <v>1</v>
      </c>
      <c r="L839">
        <v>7.0601851851851847E-4</v>
      </c>
      <c r="M839" t="s">
        <v>117</v>
      </c>
      <c r="N839" t="s">
        <v>572</v>
      </c>
      <c r="O839" s="24">
        <v>46118</v>
      </c>
      <c r="P839">
        <v>605</v>
      </c>
      <c r="Q839" t="s">
        <v>34</v>
      </c>
      <c r="R839" s="24">
        <v>46136</v>
      </c>
      <c r="S839" s="51">
        <v>0.54305555555555551</v>
      </c>
      <c r="T839" s="51">
        <v>0.55000000000000004</v>
      </c>
      <c r="X839" t="s">
        <v>3030</v>
      </c>
      <c r="Y839" t="s">
        <v>3029</v>
      </c>
      <c r="Z839">
        <v>3219209</v>
      </c>
    </row>
    <row r="840" spans="1:26" x14ac:dyDescent="0.25">
      <c r="A840">
        <v>836</v>
      </c>
      <c r="B840" t="s">
        <v>24</v>
      </c>
      <c r="C840" t="s">
        <v>25</v>
      </c>
      <c r="D840">
        <v>13</v>
      </c>
      <c r="E840" t="s">
        <v>65</v>
      </c>
      <c r="F840" t="s">
        <v>66</v>
      </c>
      <c r="G840">
        <v>4057</v>
      </c>
      <c r="H840" t="s">
        <v>2180</v>
      </c>
      <c r="I840" t="s">
        <v>2181</v>
      </c>
      <c r="J840">
        <v>8</v>
      </c>
      <c r="K840">
        <v>2</v>
      </c>
      <c r="L840">
        <v>1.2152777777777778E-3</v>
      </c>
      <c r="M840" t="s">
        <v>117</v>
      </c>
      <c r="N840" t="s">
        <v>572</v>
      </c>
      <c r="O840" s="24">
        <v>46118</v>
      </c>
      <c r="P840">
        <v>605</v>
      </c>
      <c r="Q840" t="s">
        <v>34</v>
      </c>
      <c r="R840" s="24">
        <v>46136</v>
      </c>
      <c r="S840" s="51">
        <v>0.54305555555555551</v>
      </c>
      <c r="T840" s="51">
        <v>0.55000000000000004</v>
      </c>
      <c r="X840" t="s">
        <v>3030</v>
      </c>
      <c r="Y840" t="s">
        <v>3029</v>
      </c>
      <c r="Z840">
        <v>3219209</v>
      </c>
    </row>
    <row r="841" spans="1:26" x14ac:dyDescent="0.25">
      <c r="A841">
        <v>837</v>
      </c>
      <c r="B841" t="s">
        <v>24</v>
      </c>
      <c r="C841" t="s">
        <v>25</v>
      </c>
      <c r="D841">
        <v>13</v>
      </c>
      <c r="E841" t="s">
        <v>65</v>
      </c>
      <c r="F841" t="s">
        <v>1591</v>
      </c>
      <c r="G841">
        <v>4518</v>
      </c>
      <c r="H841" t="s">
        <v>2612</v>
      </c>
      <c r="I841" t="s">
        <v>2286</v>
      </c>
      <c r="J841">
        <v>8</v>
      </c>
      <c r="K841">
        <v>1</v>
      </c>
      <c r="L841">
        <v>1.6550925925925926E-3</v>
      </c>
      <c r="M841" t="s">
        <v>117</v>
      </c>
      <c r="N841" t="s">
        <v>239</v>
      </c>
      <c r="O841" s="24">
        <v>46114</v>
      </c>
      <c r="P841">
        <v>605</v>
      </c>
      <c r="Q841" t="s">
        <v>34</v>
      </c>
      <c r="R841" s="24">
        <v>46136</v>
      </c>
      <c r="S841" s="51">
        <v>0.42708333333333331</v>
      </c>
      <c r="T841" s="51">
        <v>0.44374999999999998</v>
      </c>
      <c r="X841" t="s">
        <v>3031</v>
      </c>
      <c r="Y841" t="s">
        <v>3029</v>
      </c>
      <c r="Z841">
        <v>1786246</v>
      </c>
    </row>
    <row r="842" spans="1:26" x14ac:dyDescent="0.25">
      <c r="A842">
        <v>838</v>
      </c>
      <c r="B842" t="s">
        <v>24</v>
      </c>
      <c r="C842" t="s">
        <v>25</v>
      </c>
      <c r="D842">
        <v>13</v>
      </c>
      <c r="E842" t="s">
        <v>2259</v>
      </c>
      <c r="F842" t="s">
        <v>44</v>
      </c>
      <c r="G842">
        <v>4518</v>
      </c>
      <c r="H842" t="s">
        <v>48</v>
      </c>
      <c r="I842" t="s">
        <v>1119</v>
      </c>
      <c r="J842">
        <v>8</v>
      </c>
      <c r="K842">
        <v>2</v>
      </c>
      <c r="L842">
        <v>2.8587962962962963E-3</v>
      </c>
      <c r="M842" t="s">
        <v>117</v>
      </c>
      <c r="N842" t="s">
        <v>239</v>
      </c>
      <c r="O842" s="24">
        <v>46114</v>
      </c>
      <c r="P842">
        <v>605</v>
      </c>
      <c r="Q842" t="s">
        <v>34</v>
      </c>
      <c r="R842" s="24">
        <v>46136</v>
      </c>
      <c r="S842" s="51">
        <v>0.42708333333333331</v>
      </c>
      <c r="T842" s="51">
        <v>0.44374999999999998</v>
      </c>
      <c r="X842" t="s">
        <v>3031</v>
      </c>
      <c r="Y842" t="s">
        <v>3029</v>
      </c>
      <c r="Z842">
        <v>1786246</v>
      </c>
    </row>
    <row r="843" spans="1:26" x14ac:dyDescent="0.25">
      <c r="A843">
        <v>839</v>
      </c>
      <c r="B843" t="s">
        <v>24</v>
      </c>
      <c r="C843" t="s">
        <v>25</v>
      </c>
      <c r="D843">
        <v>13</v>
      </c>
      <c r="E843" t="s">
        <v>1665</v>
      </c>
      <c r="F843" t="s">
        <v>498</v>
      </c>
      <c r="G843">
        <v>3487</v>
      </c>
      <c r="H843" t="s">
        <v>2110</v>
      </c>
      <c r="I843" t="s">
        <v>2111</v>
      </c>
      <c r="J843">
        <v>8</v>
      </c>
      <c r="K843">
        <v>12</v>
      </c>
      <c r="L843">
        <v>6.6666666666666662E-3</v>
      </c>
      <c r="M843" t="s">
        <v>117</v>
      </c>
      <c r="N843" t="s">
        <v>351</v>
      </c>
      <c r="O843" s="24">
        <v>46114</v>
      </c>
      <c r="P843">
        <v>606</v>
      </c>
      <c r="Q843" t="s">
        <v>34</v>
      </c>
      <c r="R843" s="24">
        <v>46136</v>
      </c>
      <c r="S843" s="51">
        <v>0.3972222222222222</v>
      </c>
      <c r="T843" s="51">
        <v>0.41666666666666669</v>
      </c>
      <c r="X843" t="s">
        <v>3202</v>
      </c>
      <c r="Y843" t="s">
        <v>3035</v>
      </c>
      <c r="Z843">
        <v>1742314</v>
      </c>
    </row>
    <row r="844" spans="1:26" x14ac:dyDescent="0.25">
      <c r="A844">
        <v>840</v>
      </c>
      <c r="B844" t="s">
        <v>24</v>
      </c>
      <c r="C844" t="s">
        <v>25</v>
      </c>
      <c r="D844">
        <v>13</v>
      </c>
      <c r="E844" t="s">
        <v>367</v>
      </c>
      <c r="F844" t="s">
        <v>1599</v>
      </c>
      <c r="G844">
        <v>3423</v>
      </c>
      <c r="H844" t="s">
        <v>1633</v>
      </c>
      <c r="I844" t="s">
        <v>1634</v>
      </c>
      <c r="J844">
        <v>8</v>
      </c>
      <c r="K844">
        <v>1</v>
      </c>
      <c r="L844">
        <v>6.9444444444444436E-4</v>
      </c>
      <c r="M844" t="s">
        <v>117</v>
      </c>
      <c r="N844" t="s">
        <v>159</v>
      </c>
      <c r="O844" s="24">
        <v>46109</v>
      </c>
      <c r="P844">
        <v>605</v>
      </c>
      <c r="Q844" t="s">
        <v>34</v>
      </c>
      <c r="R844" s="24">
        <v>46113</v>
      </c>
      <c r="S844" s="51">
        <v>6.9444444444444441E-3</v>
      </c>
      <c r="T844" s="51">
        <v>2.4305555555555556E-2</v>
      </c>
      <c r="X844" t="s">
        <v>164</v>
      </c>
      <c r="Y844" t="s">
        <v>3032</v>
      </c>
    </row>
    <row r="845" spans="1:26" x14ac:dyDescent="0.25">
      <c r="A845">
        <v>841</v>
      </c>
      <c r="B845" t="s">
        <v>24</v>
      </c>
      <c r="C845" t="s">
        <v>25</v>
      </c>
      <c r="D845">
        <v>13</v>
      </c>
      <c r="E845" t="s">
        <v>2399</v>
      </c>
      <c r="F845" t="s">
        <v>44</v>
      </c>
      <c r="G845">
        <v>4098</v>
      </c>
      <c r="H845" t="s">
        <v>45</v>
      </c>
      <c r="I845" t="s">
        <v>1119</v>
      </c>
      <c r="J845">
        <v>8</v>
      </c>
      <c r="K845">
        <v>13</v>
      </c>
      <c r="L845">
        <v>1.6736111111111111E-2</v>
      </c>
      <c r="M845" t="s">
        <v>3079</v>
      </c>
      <c r="X845" t="s">
        <v>3080</v>
      </c>
    </row>
    <row r="846" spans="1:26" x14ac:dyDescent="0.25">
      <c r="A846">
        <v>842</v>
      </c>
      <c r="B846" t="s">
        <v>24</v>
      </c>
      <c r="C846" t="s">
        <v>25</v>
      </c>
      <c r="D846">
        <v>13</v>
      </c>
      <c r="E846" t="s">
        <v>2296</v>
      </c>
      <c r="F846" t="s">
        <v>44</v>
      </c>
      <c r="G846">
        <v>4057</v>
      </c>
      <c r="H846" t="s">
        <v>54</v>
      </c>
      <c r="I846" t="s">
        <v>1119</v>
      </c>
      <c r="J846">
        <v>8</v>
      </c>
      <c r="K846">
        <v>6</v>
      </c>
      <c r="L846">
        <v>7.3032407407407404E-3</v>
      </c>
      <c r="M846" t="s">
        <v>117</v>
      </c>
      <c r="N846" t="s">
        <v>572</v>
      </c>
      <c r="O846" s="24">
        <v>46118</v>
      </c>
      <c r="P846">
        <v>605</v>
      </c>
      <c r="Q846" t="s">
        <v>34</v>
      </c>
      <c r="R846" s="24">
        <v>46136</v>
      </c>
      <c r="S846" s="51">
        <v>0.54305555555555551</v>
      </c>
      <c r="T846" s="51">
        <v>0.55000000000000004</v>
      </c>
      <c r="X846" t="s">
        <v>3030</v>
      </c>
      <c r="Y846" t="s">
        <v>3029</v>
      </c>
      <c r="Z846">
        <v>3219209</v>
      </c>
    </row>
    <row r="847" spans="1:26" x14ac:dyDescent="0.25">
      <c r="A847">
        <v>843</v>
      </c>
      <c r="B847" t="s">
        <v>24</v>
      </c>
      <c r="C847" t="s">
        <v>25</v>
      </c>
      <c r="D847">
        <v>13</v>
      </c>
      <c r="E847" t="s">
        <v>367</v>
      </c>
      <c r="F847" t="s">
        <v>1593</v>
      </c>
      <c r="G847">
        <v>3423</v>
      </c>
      <c r="H847" t="s">
        <v>2046</v>
      </c>
      <c r="I847" t="s">
        <v>2047</v>
      </c>
      <c r="J847">
        <v>8</v>
      </c>
      <c r="K847">
        <v>1</v>
      </c>
      <c r="L847">
        <v>5.7870370370370367E-4</v>
      </c>
      <c r="M847" t="s">
        <v>117</v>
      </c>
      <c r="N847" t="s">
        <v>159</v>
      </c>
      <c r="O847" s="24">
        <v>46109</v>
      </c>
      <c r="P847">
        <v>605</v>
      </c>
      <c r="Q847" t="s">
        <v>34</v>
      </c>
      <c r="R847" s="24">
        <v>46113</v>
      </c>
      <c r="S847" s="51">
        <v>6.9444444444444441E-3</v>
      </c>
      <c r="T847" s="51">
        <v>2.4305555555555556E-2</v>
      </c>
      <c r="X847" t="s">
        <v>164</v>
      </c>
      <c r="Y847" t="s">
        <v>3032</v>
      </c>
    </row>
    <row r="848" spans="1:26" x14ac:dyDescent="0.25">
      <c r="A848">
        <v>844</v>
      </c>
      <c r="B848" t="s">
        <v>24</v>
      </c>
      <c r="C848" t="s">
        <v>25</v>
      </c>
      <c r="D848">
        <v>13</v>
      </c>
      <c r="E848" t="s">
        <v>1672</v>
      </c>
      <c r="F848" t="s">
        <v>512</v>
      </c>
      <c r="G848">
        <v>4058</v>
      </c>
      <c r="H848" t="s">
        <v>2297</v>
      </c>
      <c r="I848" t="s">
        <v>2226</v>
      </c>
      <c r="J848">
        <v>8</v>
      </c>
      <c r="K848">
        <v>4</v>
      </c>
      <c r="L848">
        <v>7.4074074074074068E-3</v>
      </c>
      <c r="M848" t="s">
        <v>117</v>
      </c>
      <c r="N848" t="s">
        <v>572</v>
      </c>
      <c r="O848" s="24">
        <v>46118</v>
      </c>
      <c r="P848">
        <v>605</v>
      </c>
      <c r="Q848" t="s">
        <v>34</v>
      </c>
      <c r="R848" s="24">
        <v>46136</v>
      </c>
      <c r="S848" s="51">
        <v>0.35486111111111113</v>
      </c>
      <c r="T848" s="51">
        <v>0.35486111111111113</v>
      </c>
      <c r="X848" t="s">
        <v>3203</v>
      </c>
      <c r="Y848" t="s">
        <v>3029</v>
      </c>
      <c r="Z848">
        <v>2778433</v>
      </c>
    </row>
    <row r="849" spans="1:26" x14ac:dyDescent="0.25">
      <c r="A849">
        <v>845</v>
      </c>
      <c r="B849" t="s">
        <v>24</v>
      </c>
      <c r="C849" t="s">
        <v>25</v>
      </c>
      <c r="D849">
        <v>13</v>
      </c>
      <c r="E849" t="s">
        <v>1672</v>
      </c>
      <c r="F849" t="s">
        <v>115</v>
      </c>
      <c r="G849">
        <v>4058</v>
      </c>
      <c r="H849" t="s">
        <v>2087</v>
      </c>
      <c r="I849" t="s">
        <v>2088</v>
      </c>
      <c r="J849">
        <v>8</v>
      </c>
      <c r="K849">
        <v>1</v>
      </c>
      <c r="L849">
        <v>8.5648148148148139E-4</v>
      </c>
      <c r="M849" t="s">
        <v>117</v>
      </c>
      <c r="N849" t="s">
        <v>572</v>
      </c>
      <c r="O849" s="24">
        <v>46118</v>
      </c>
      <c r="P849">
        <v>605</v>
      </c>
      <c r="Q849" t="s">
        <v>34</v>
      </c>
      <c r="R849" s="24">
        <v>46136</v>
      </c>
      <c r="S849" s="51">
        <v>0.35486111111111113</v>
      </c>
      <c r="T849" s="51">
        <v>0.35486111111111113</v>
      </c>
      <c r="X849" t="s">
        <v>3203</v>
      </c>
      <c r="Y849" t="s">
        <v>3029</v>
      </c>
      <c r="Z849">
        <v>2778433</v>
      </c>
    </row>
    <row r="850" spans="1:26" x14ac:dyDescent="0.25">
      <c r="A850">
        <v>846</v>
      </c>
      <c r="B850" t="s">
        <v>24</v>
      </c>
      <c r="C850" t="s">
        <v>25</v>
      </c>
      <c r="D850">
        <v>13</v>
      </c>
      <c r="E850" t="s">
        <v>1672</v>
      </c>
      <c r="F850" t="s">
        <v>498</v>
      </c>
      <c r="G850">
        <v>4058</v>
      </c>
      <c r="H850" t="s">
        <v>2299</v>
      </c>
      <c r="I850" t="s">
        <v>2300</v>
      </c>
      <c r="J850">
        <v>8</v>
      </c>
      <c r="K850">
        <v>2</v>
      </c>
      <c r="L850">
        <v>3.8425925925925923E-3</v>
      </c>
      <c r="M850" t="s">
        <v>117</v>
      </c>
      <c r="N850" t="s">
        <v>572</v>
      </c>
      <c r="O850" s="24">
        <v>46118</v>
      </c>
      <c r="P850">
        <v>605</v>
      </c>
      <c r="Q850" t="s">
        <v>34</v>
      </c>
      <c r="R850" s="24">
        <v>46136</v>
      </c>
      <c r="S850" s="51">
        <v>0.35486111111111113</v>
      </c>
      <c r="T850" s="51">
        <v>0.35486111111111113</v>
      </c>
      <c r="X850" t="s">
        <v>3203</v>
      </c>
      <c r="Y850" t="s">
        <v>3029</v>
      </c>
      <c r="Z850">
        <v>2778433</v>
      </c>
    </row>
    <row r="851" spans="1:26" x14ac:dyDescent="0.25">
      <c r="A851">
        <v>847</v>
      </c>
      <c r="B851" t="s">
        <v>24</v>
      </c>
      <c r="C851" t="s">
        <v>25</v>
      </c>
      <c r="D851">
        <v>13</v>
      </c>
      <c r="E851" t="s">
        <v>1665</v>
      </c>
      <c r="F851" t="s">
        <v>115</v>
      </c>
      <c r="G851">
        <v>3487</v>
      </c>
      <c r="H851" t="s">
        <v>2113</v>
      </c>
      <c r="I851" t="s">
        <v>2111</v>
      </c>
      <c r="J851">
        <v>8</v>
      </c>
      <c r="K851">
        <v>2</v>
      </c>
      <c r="L851">
        <v>1.1111111111111111E-3</v>
      </c>
      <c r="M851" t="s">
        <v>117</v>
      </c>
      <c r="N851" t="s">
        <v>351</v>
      </c>
      <c r="O851" s="24">
        <v>46114</v>
      </c>
      <c r="P851">
        <v>606</v>
      </c>
      <c r="Q851" t="s">
        <v>34</v>
      </c>
      <c r="R851" s="24">
        <v>46136</v>
      </c>
      <c r="S851" s="51">
        <v>0.3972222222222222</v>
      </c>
      <c r="T851" s="51">
        <v>0.41666666666666669</v>
      </c>
      <c r="X851" t="s">
        <v>3202</v>
      </c>
      <c r="Y851" t="s">
        <v>3035</v>
      </c>
      <c r="Z851">
        <v>1742314</v>
      </c>
    </row>
    <row r="852" spans="1:26" x14ac:dyDescent="0.25">
      <c r="A852">
        <v>848</v>
      </c>
      <c r="B852" t="s">
        <v>24</v>
      </c>
      <c r="C852" t="s">
        <v>25</v>
      </c>
      <c r="D852">
        <v>13</v>
      </c>
      <c r="E852" t="s">
        <v>1672</v>
      </c>
      <c r="F852" t="s">
        <v>115</v>
      </c>
      <c r="G852">
        <v>3487</v>
      </c>
      <c r="H852" t="s">
        <v>2087</v>
      </c>
      <c r="I852" t="s">
        <v>2088</v>
      </c>
      <c r="J852">
        <v>8</v>
      </c>
      <c r="K852">
        <v>1</v>
      </c>
      <c r="L852">
        <v>7.7546296296296293E-4</v>
      </c>
      <c r="M852" t="s">
        <v>117</v>
      </c>
      <c r="N852" t="s">
        <v>351</v>
      </c>
      <c r="O852" s="24">
        <v>46114</v>
      </c>
      <c r="P852">
        <v>606</v>
      </c>
      <c r="Q852" t="s">
        <v>34</v>
      </c>
      <c r="R852" s="24">
        <v>46136</v>
      </c>
      <c r="S852" s="51">
        <v>0.3972222222222222</v>
      </c>
      <c r="T852" s="51">
        <v>0.41666666666666669</v>
      </c>
      <c r="X852" t="s">
        <v>3202</v>
      </c>
      <c r="Y852" t="s">
        <v>3035</v>
      </c>
      <c r="Z852">
        <v>1742314</v>
      </c>
    </row>
    <row r="853" spans="1:26" x14ac:dyDescent="0.25">
      <c r="A853">
        <v>849</v>
      </c>
      <c r="B853" t="s">
        <v>24</v>
      </c>
      <c r="C853" t="s">
        <v>25</v>
      </c>
      <c r="D853">
        <v>13</v>
      </c>
      <c r="E853" t="s">
        <v>367</v>
      </c>
      <c r="F853" t="s">
        <v>368</v>
      </c>
      <c r="G853">
        <v>3487</v>
      </c>
      <c r="H853" t="s">
        <v>2114</v>
      </c>
      <c r="I853" t="s">
        <v>2097</v>
      </c>
      <c r="J853">
        <v>8</v>
      </c>
      <c r="K853">
        <v>2</v>
      </c>
      <c r="L853">
        <v>1.2152777777777778E-3</v>
      </c>
      <c r="M853" t="s">
        <v>117</v>
      </c>
      <c r="N853" t="s">
        <v>351</v>
      </c>
      <c r="O853" s="24">
        <v>46114</v>
      </c>
      <c r="P853">
        <v>606</v>
      </c>
      <c r="Q853" t="s">
        <v>34</v>
      </c>
      <c r="R853" s="24">
        <v>46136</v>
      </c>
      <c r="S853" s="51">
        <v>0.3972222222222222</v>
      </c>
      <c r="T853" s="51">
        <v>0.41666666666666669</v>
      </c>
      <c r="X853" t="s">
        <v>3202</v>
      </c>
      <c r="Y853" t="s">
        <v>3035</v>
      </c>
      <c r="Z853">
        <v>1742314</v>
      </c>
    </row>
    <row r="854" spans="1:26" x14ac:dyDescent="0.25">
      <c r="A854">
        <v>850</v>
      </c>
      <c r="B854" t="s">
        <v>24</v>
      </c>
      <c r="C854" t="s">
        <v>25</v>
      </c>
      <c r="D854">
        <v>13</v>
      </c>
      <c r="E854" t="s">
        <v>65</v>
      </c>
      <c r="F854" t="s">
        <v>368</v>
      </c>
      <c r="G854">
        <v>3487</v>
      </c>
      <c r="H854" t="s">
        <v>2115</v>
      </c>
      <c r="I854" t="s">
        <v>2116</v>
      </c>
      <c r="J854">
        <v>8</v>
      </c>
      <c r="K854">
        <v>6</v>
      </c>
      <c r="L854">
        <v>1.298611111111111E-2</v>
      </c>
      <c r="M854" t="s">
        <v>117</v>
      </c>
      <c r="N854" t="s">
        <v>351</v>
      </c>
      <c r="O854" s="24">
        <v>46114</v>
      </c>
      <c r="P854">
        <v>606</v>
      </c>
      <c r="Q854" t="s">
        <v>34</v>
      </c>
      <c r="R854" s="24">
        <v>46136</v>
      </c>
      <c r="S854" s="51">
        <v>0.3972222222222222</v>
      </c>
      <c r="T854" s="51">
        <v>0.41666666666666669</v>
      </c>
      <c r="X854" t="s">
        <v>3202</v>
      </c>
      <c r="Y854" t="s">
        <v>3035</v>
      </c>
      <c r="Z854">
        <v>1742314</v>
      </c>
    </row>
    <row r="855" spans="1:26" x14ac:dyDescent="0.25">
      <c r="A855">
        <v>851</v>
      </c>
      <c r="B855" t="s">
        <v>24</v>
      </c>
      <c r="C855" t="s">
        <v>25</v>
      </c>
      <c r="D855">
        <v>13</v>
      </c>
      <c r="E855" t="s">
        <v>1665</v>
      </c>
      <c r="F855" t="s">
        <v>115</v>
      </c>
      <c r="G855">
        <v>4255</v>
      </c>
      <c r="H855" t="s">
        <v>2113</v>
      </c>
      <c r="I855" t="s">
        <v>2111</v>
      </c>
      <c r="J855">
        <v>8</v>
      </c>
      <c r="K855">
        <v>6</v>
      </c>
      <c r="L855">
        <v>3.4259259259259256E-3</v>
      </c>
      <c r="M855" t="s">
        <v>117</v>
      </c>
      <c r="N855" t="s">
        <v>351</v>
      </c>
      <c r="O855" s="24">
        <v>46114</v>
      </c>
      <c r="P855">
        <v>606</v>
      </c>
      <c r="Q855" t="s">
        <v>34</v>
      </c>
      <c r="R855" s="24">
        <v>46136</v>
      </c>
      <c r="S855" s="51">
        <v>0.92013888888888884</v>
      </c>
      <c r="T855" s="51">
        <v>0.94791666666666663</v>
      </c>
      <c r="X855" t="s">
        <v>3033</v>
      </c>
      <c r="Y855" t="s">
        <v>3032</v>
      </c>
      <c r="Z855">
        <v>1742314</v>
      </c>
    </row>
    <row r="856" spans="1:26" x14ac:dyDescent="0.25">
      <c r="A856">
        <v>852</v>
      </c>
      <c r="B856" t="s">
        <v>24</v>
      </c>
      <c r="C856" t="s">
        <v>25</v>
      </c>
      <c r="D856">
        <v>13</v>
      </c>
      <c r="E856" t="s">
        <v>1672</v>
      </c>
      <c r="F856" t="s">
        <v>498</v>
      </c>
      <c r="G856">
        <v>4058</v>
      </c>
      <c r="H856" t="s">
        <v>2055</v>
      </c>
      <c r="I856" t="s">
        <v>2056</v>
      </c>
      <c r="J856">
        <v>8</v>
      </c>
      <c r="K856">
        <v>1</v>
      </c>
      <c r="L856">
        <v>8.7962962962962962E-4</v>
      </c>
      <c r="M856" t="s">
        <v>117</v>
      </c>
      <c r="N856" t="s">
        <v>572</v>
      </c>
      <c r="O856" s="24">
        <v>46118</v>
      </c>
      <c r="P856">
        <v>605</v>
      </c>
      <c r="Q856" t="s">
        <v>34</v>
      </c>
      <c r="R856" s="24">
        <v>46136</v>
      </c>
      <c r="S856" s="51">
        <v>0.35486111111111113</v>
      </c>
      <c r="T856" s="51">
        <v>0.35486111111111113</v>
      </c>
      <c r="X856" t="s">
        <v>3203</v>
      </c>
      <c r="Y856" t="s">
        <v>3029</v>
      </c>
      <c r="Z856">
        <v>2778433</v>
      </c>
    </row>
    <row r="857" spans="1:26" x14ac:dyDescent="0.25">
      <c r="A857">
        <v>853</v>
      </c>
      <c r="B857" t="s">
        <v>24</v>
      </c>
      <c r="C857" t="s">
        <v>25</v>
      </c>
      <c r="D857">
        <v>13</v>
      </c>
      <c r="E857" t="s">
        <v>65</v>
      </c>
      <c r="F857" t="s">
        <v>1590</v>
      </c>
      <c r="G857">
        <v>4058</v>
      </c>
      <c r="H857" t="s">
        <v>2301</v>
      </c>
      <c r="I857" t="s">
        <v>2302</v>
      </c>
      <c r="J857">
        <v>8</v>
      </c>
      <c r="K857">
        <v>1</v>
      </c>
      <c r="L857">
        <v>3.6458333333333334E-3</v>
      </c>
      <c r="M857" t="s">
        <v>117</v>
      </c>
      <c r="N857" t="s">
        <v>572</v>
      </c>
      <c r="O857" s="24">
        <v>46118</v>
      </c>
      <c r="P857">
        <v>605</v>
      </c>
      <c r="Q857" t="s">
        <v>34</v>
      </c>
      <c r="R857" s="24">
        <v>46136</v>
      </c>
      <c r="S857" s="51">
        <v>0.35486111111111113</v>
      </c>
      <c r="T857" s="51">
        <v>0.35486111111111113</v>
      </c>
      <c r="X857" t="s">
        <v>3203</v>
      </c>
      <c r="Y857" t="s">
        <v>3029</v>
      </c>
      <c r="Z857">
        <v>2778433</v>
      </c>
    </row>
    <row r="858" spans="1:26" x14ac:dyDescent="0.25">
      <c r="A858">
        <v>854</v>
      </c>
      <c r="B858" t="s">
        <v>24</v>
      </c>
      <c r="C858" t="s">
        <v>25</v>
      </c>
      <c r="D858">
        <v>13</v>
      </c>
      <c r="E858" t="s">
        <v>65</v>
      </c>
      <c r="F858" t="s">
        <v>66</v>
      </c>
      <c r="G858">
        <v>4058</v>
      </c>
      <c r="H858" t="s">
        <v>2303</v>
      </c>
      <c r="I858" t="s">
        <v>2304</v>
      </c>
      <c r="J858">
        <v>8</v>
      </c>
      <c r="K858">
        <v>1</v>
      </c>
      <c r="L858">
        <v>2.1296296296296298E-3</v>
      </c>
      <c r="M858" t="s">
        <v>117</v>
      </c>
      <c r="N858" t="s">
        <v>572</v>
      </c>
      <c r="O858" s="24">
        <v>46118</v>
      </c>
      <c r="P858">
        <v>605</v>
      </c>
      <c r="Q858" t="s">
        <v>34</v>
      </c>
      <c r="R858" s="24">
        <v>46136</v>
      </c>
      <c r="S858" s="51">
        <v>0.35486111111111113</v>
      </c>
      <c r="T858" s="51">
        <v>0.35486111111111113</v>
      </c>
      <c r="X858" t="s">
        <v>3203</v>
      </c>
      <c r="Y858" t="s">
        <v>3029</v>
      </c>
      <c r="Z858">
        <v>2778433</v>
      </c>
    </row>
    <row r="859" spans="1:26" x14ac:dyDescent="0.25">
      <c r="A859">
        <v>855</v>
      </c>
      <c r="B859" t="s">
        <v>24</v>
      </c>
      <c r="C859" t="s">
        <v>25</v>
      </c>
      <c r="D859">
        <v>13</v>
      </c>
      <c r="E859" t="s">
        <v>65</v>
      </c>
      <c r="F859" t="s">
        <v>1599</v>
      </c>
      <c r="G859">
        <v>4058</v>
      </c>
      <c r="H859" t="s">
        <v>2305</v>
      </c>
      <c r="I859" t="s">
        <v>2306</v>
      </c>
      <c r="J859">
        <v>8</v>
      </c>
      <c r="K859">
        <v>1</v>
      </c>
      <c r="L859">
        <v>8.3333333333333328E-4</v>
      </c>
      <c r="M859" t="s">
        <v>117</v>
      </c>
      <c r="N859" t="s">
        <v>572</v>
      </c>
      <c r="O859" s="24">
        <v>46118</v>
      </c>
      <c r="P859">
        <v>605</v>
      </c>
      <c r="Q859" t="s">
        <v>34</v>
      </c>
      <c r="R859" s="24">
        <v>46136</v>
      </c>
      <c r="S859" s="51">
        <v>0.35486111111111113</v>
      </c>
      <c r="T859" s="51">
        <v>0.35486111111111113</v>
      </c>
      <c r="X859" t="s">
        <v>3203</v>
      </c>
      <c r="Y859" t="s">
        <v>3029</v>
      </c>
      <c r="Z859">
        <v>2778433</v>
      </c>
    </row>
    <row r="860" spans="1:26" x14ac:dyDescent="0.25">
      <c r="A860">
        <v>856</v>
      </c>
      <c r="B860" t="s">
        <v>24</v>
      </c>
      <c r="C860" t="s">
        <v>25</v>
      </c>
      <c r="D860">
        <v>13</v>
      </c>
      <c r="E860" t="s">
        <v>367</v>
      </c>
      <c r="F860" t="s">
        <v>368</v>
      </c>
      <c r="G860">
        <v>4255</v>
      </c>
      <c r="H860" t="s">
        <v>2114</v>
      </c>
      <c r="I860" t="s">
        <v>2097</v>
      </c>
      <c r="J860">
        <v>8</v>
      </c>
      <c r="K860">
        <v>3</v>
      </c>
      <c r="L860">
        <v>1.8749999999999999E-3</v>
      </c>
      <c r="M860" t="s">
        <v>117</v>
      </c>
      <c r="N860" t="s">
        <v>351</v>
      </c>
      <c r="O860" s="24">
        <v>46114</v>
      </c>
      <c r="P860">
        <v>606</v>
      </c>
      <c r="Q860" t="s">
        <v>34</v>
      </c>
      <c r="R860" s="24">
        <v>46136</v>
      </c>
      <c r="S860" s="51">
        <v>0.92013888888888884</v>
      </c>
      <c r="T860" s="51">
        <v>0.94791666666666663</v>
      </c>
      <c r="X860" t="s">
        <v>3033</v>
      </c>
      <c r="Y860" t="s">
        <v>3032</v>
      </c>
      <c r="Z860">
        <v>1742314</v>
      </c>
    </row>
    <row r="861" spans="1:26" x14ac:dyDescent="0.25">
      <c r="A861">
        <v>857</v>
      </c>
      <c r="B861" t="s">
        <v>24</v>
      </c>
      <c r="C861" t="s">
        <v>25</v>
      </c>
      <c r="D861">
        <v>13</v>
      </c>
      <c r="E861" t="s">
        <v>1588</v>
      </c>
      <c r="F861" t="s">
        <v>44</v>
      </c>
      <c r="G861">
        <v>3423</v>
      </c>
      <c r="H861" t="s">
        <v>2048</v>
      </c>
      <c r="I861" t="s">
        <v>2049</v>
      </c>
      <c r="J861">
        <v>8</v>
      </c>
      <c r="K861">
        <v>1</v>
      </c>
      <c r="L861">
        <v>1.2268518518518518E-3</v>
      </c>
      <c r="M861" t="s">
        <v>117</v>
      </c>
      <c r="N861" t="s">
        <v>159</v>
      </c>
      <c r="O861" s="24">
        <v>46109</v>
      </c>
      <c r="P861">
        <v>605</v>
      </c>
      <c r="Q861" t="s">
        <v>34</v>
      </c>
      <c r="R861" s="24">
        <v>46113</v>
      </c>
      <c r="S861" s="51">
        <v>6.9444444444444441E-3</v>
      </c>
      <c r="T861" s="51">
        <v>2.4305555555555556E-2</v>
      </c>
      <c r="X861" t="s">
        <v>164</v>
      </c>
      <c r="Y861" t="s">
        <v>3032</v>
      </c>
    </row>
    <row r="862" spans="1:26" x14ac:dyDescent="0.25">
      <c r="A862">
        <v>858</v>
      </c>
      <c r="B862" t="s">
        <v>24</v>
      </c>
      <c r="C862" t="s">
        <v>25</v>
      </c>
      <c r="D862">
        <v>13</v>
      </c>
      <c r="E862" t="s">
        <v>2094</v>
      </c>
      <c r="F862" t="s">
        <v>44</v>
      </c>
      <c r="G862">
        <v>4058</v>
      </c>
      <c r="H862" t="s">
        <v>54</v>
      </c>
      <c r="I862" t="s">
        <v>1119</v>
      </c>
      <c r="J862">
        <v>8</v>
      </c>
      <c r="K862">
        <v>3</v>
      </c>
      <c r="L862">
        <v>3.8657407407407408E-3</v>
      </c>
      <c r="M862" t="s">
        <v>117</v>
      </c>
      <c r="N862" t="s">
        <v>572</v>
      </c>
      <c r="O862" s="24">
        <v>46118</v>
      </c>
      <c r="P862">
        <v>605</v>
      </c>
      <c r="Q862" t="s">
        <v>34</v>
      </c>
      <c r="R862" s="24">
        <v>46136</v>
      </c>
      <c r="S862" s="51">
        <v>0.35486111111111113</v>
      </c>
      <c r="T862" s="51">
        <v>0.35486111111111113</v>
      </c>
      <c r="X862" t="s">
        <v>3203</v>
      </c>
      <c r="Y862" t="s">
        <v>3029</v>
      </c>
      <c r="Z862">
        <v>2778433</v>
      </c>
    </row>
    <row r="863" spans="1:26" x14ac:dyDescent="0.25">
      <c r="A863">
        <v>859</v>
      </c>
      <c r="B863" t="s">
        <v>24</v>
      </c>
      <c r="C863" t="s">
        <v>25</v>
      </c>
      <c r="D863">
        <v>13</v>
      </c>
      <c r="E863" t="s">
        <v>367</v>
      </c>
      <c r="F863" t="s">
        <v>368</v>
      </c>
      <c r="G863">
        <v>3475</v>
      </c>
      <c r="H863" t="s">
        <v>2096</v>
      </c>
      <c r="I863" t="s">
        <v>2097</v>
      </c>
      <c r="J863">
        <v>8</v>
      </c>
      <c r="K863">
        <v>3</v>
      </c>
      <c r="L863">
        <v>2.1527777777777778E-3</v>
      </c>
      <c r="M863" t="s">
        <v>117</v>
      </c>
      <c r="N863" t="s">
        <v>351</v>
      </c>
      <c r="O863" s="24">
        <v>46114</v>
      </c>
      <c r="P863">
        <v>606</v>
      </c>
      <c r="Q863" t="s">
        <v>34</v>
      </c>
      <c r="R863" s="24">
        <v>46136</v>
      </c>
      <c r="S863" s="51">
        <v>0.96527777777777779</v>
      </c>
      <c r="T863" s="51">
        <v>0.98958333333333337</v>
      </c>
      <c r="X863" t="s">
        <v>3036</v>
      </c>
      <c r="Y863" t="s">
        <v>3032</v>
      </c>
      <c r="Z863">
        <v>2784148</v>
      </c>
    </row>
    <row r="864" spans="1:26" x14ac:dyDescent="0.25">
      <c r="A864">
        <v>860</v>
      </c>
      <c r="B864" t="s">
        <v>24</v>
      </c>
      <c r="C864" t="s">
        <v>25</v>
      </c>
      <c r="D864">
        <v>13</v>
      </c>
      <c r="E864" t="s">
        <v>65</v>
      </c>
      <c r="F864" t="s">
        <v>1589</v>
      </c>
      <c r="G864">
        <v>3475</v>
      </c>
      <c r="H864" t="s">
        <v>2098</v>
      </c>
      <c r="I864" t="s">
        <v>2099</v>
      </c>
      <c r="J864">
        <v>8</v>
      </c>
      <c r="K864">
        <v>1</v>
      </c>
      <c r="L864">
        <v>6.9444444444444436E-4</v>
      </c>
      <c r="M864" t="s">
        <v>117</v>
      </c>
      <c r="N864" t="s">
        <v>351</v>
      </c>
      <c r="O864" s="24">
        <v>46114</v>
      </c>
      <c r="P864">
        <v>606</v>
      </c>
      <c r="Q864" t="s">
        <v>34</v>
      </c>
      <c r="R864" s="24">
        <v>46136</v>
      </c>
      <c r="S864" s="51">
        <v>0.96527777777777779</v>
      </c>
      <c r="T864" s="51">
        <v>0.98958333333333337</v>
      </c>
      <c r="X864" t="s">
        <v>3036</v>
      </c>
      <c r="Y864" t="s">
        <v>3032</v>
      </c>
      <c r="Z864">
        <v>2784148</v>
      </c>
    </row>
    <row r="865" spans="1:26" x14ac:dyDescent="0.25">
      <c r="A865">
        <v>861</v>
      </c>
      <c r="B865" t="s">
        <v>24</v>
      </c>
      <c r="C865" t="s">
        <v>25</v>
      </c>
      <c r="D865">
        <v>13</v>
      </c>
      <c r="E865" t="s">
        <v>65</v>
      </c>
      <c r="F865" t="s">
        <v>1590</v>
      </c>
      <c r="G865">
        <v>3475</v>
      </c>
      <c r="H865" t="s">
        <v>2100</v>
      </c>
      <c r="I865" t="s">
        <v>2101</v>
      </c>
      <c r="J865">
        <v>8</v>
      </c>
      <c r="K865">
        <v>1</v>
      </c>
      <c r="L865">
        <v>6.9444444444444436E-4</v>
      </c>
      <c r="M865" t="s">
        <v>117</v>
      </c>
      <c r="N865" t="s">
        <v>351</v>
      </c>
      <c r="O865" s="24">
        <v>46114</v>
      </c>
      <c r="P865">
        <v>606</v>
      </c>
      <c r="Q865" t="s">
        <v>34</v>
      </c>
      <c r="R865" s="24">
        <v>46136</v>
      </c>
      <c r="S865" s="51">
        <v>0.96527777777777779</v>
      </c>
      <c r="T865" s="51">
        <v>0.98958333333333337</v>
      </c>
      <c r="X865" t="s">
        <v>3036</v>
      </c>
      <c r="Y865" t="s">
        <v>3032</v>
      </c>
      <c r="Z865">
        <v>2784148</v>
      </c>
    </row>
    <row r="866" spans="1:26" x14ac:dyDescent="0.25">
      <c r="A866">
        <v>862</v>
      </c>
      <c r="B866" t="s">
        <v>24</v>
      </c>
      <c r="C866" t="s">
        <v>25</v>
      </c>
      <c r="D866">
        <v>13</v>
      </c>
      <c r="E866" t="s">
        <v>65</v>
      </c>
      <c r="F866" t="s">
        <v>1590</v>
      </c>
      <c r="G866">
        <v>3475</v>
      </c>
      <c r="H866" t="s">
        <v>2102</v>
      </c>
      <c r="I866" t="s">
        <v>2103</v>
      </c>
      <c r="J866">
        <v>8</v>
      </c>
      <c r="K866">
        <v>1</v>
      </c>
      <c r="L866">
        <v>7.6388888888888882E-4</v>
      </c>
      <c r="M866" t="s">
        <v>117</v>
      </c>
      <c r="N866" t="s">
        <v>351</v>
      </c>
      <c r="O866" s="24">
        <v>46114</v>
      </c>
      <c r="P866">
        <v>606</v>
      </c>
      <c r="Q866" t="s">
        <v>34</v>
      </c>
      <c r="R866" s="24">
        <v>46136</v>
      </c>
      <c r="S866" s="51">
        <v>0.96527777777777779</v>
      </c>
      <c r="T866" s="51">
        <v>0.98958333333333337</v>
      </c>
      <c r="X866" t="s">
        <v>3036</v>
      </c>
      <c r="Y866" t="s">
        <v>3032</v>
      </c>
      <c r="Z866">
        <v>2784148</v>
      </c>
    </row>
    <row r="867" spans="1:26" x14ac:dyDescent="0.25">
      <c r="A867">
        <v>863</v>
      </c>
      <c r="B867" t="s">
        <v>24</v>
      </c>
      <c r="C867" t="s">
        <v>25</v>
      </c>
      <c r="D867">
        <v>13</v>
      </c>
      <c r="E867" t="s">
        <v>65</v>
      </c>
      <c r="F867" t="s">
        <v>492</v>
      </c>
      <c r="G867">
        <v>3475</v>
      </c>
      <c r="H867" t="s">
        <v>2104</v>
      </c>
      <c r="I867" t="s">
        <v>2105</v>
      </c>
      <c r="J867">
        <v>8</v>
      </c>
      <c r="K867">
        <v>1</v>
      </c>
      <c r="L867">
        <v>4.8032407407407407E-3</v>
      </c>
      <c r="M867" t="s">
        <v>117</v>
      </c>
      <c r="N867" t="s">
        <v>351</v>
      </c>
      <c r="O867" s="24">
        <v>46114</v>
      </c>
      <c r="P867">
        <v>606</v>
      </c>
      <c r="Q867" t="s">
        <v>34</v>
      </c>
      <c r="R867" s="24">
        <v>46136</v>
      </c>
      <c r="S867" s="51">
        <v>0.96527777777777779</v>
      </c>
      <c r="T867" s="51">
        <v>0.98958333333333337</v>
      </c>
      <c r="X867" t="s">
        <v>3036</v>
      </c>
      <c r="Y867" t="s">
        <v>3032</v>
      </c>
      <c r="Z867">
        <v>2784148</v>
      </c>
    </row>
    <row r="868" spans="1:26" x14ac:dyDescent="0.25">
      <c r="A868">
        <v>864</v>
      </c>
      <c r="B868" t="s">
        <v>24</v>
      </c>
      <c r="C868" t="s">
        <v>25</v>
      </c>
      <c r="D868">
        <v>13</v>
      </c>
      <c r="E868" t="s">
        <v>65</v>
      </c>
      <c r="F868" t="s">
        <v>1598</v>
      </c>
      <c r="G868">
        <v>3475</v>
      </c>
      <c r="H868" t="s">
        <v>2106</v>
      </c>
      <c r="I868" t="s">
        <v>2107</v>
      </c>
      <c r="J868">
        <v>8</v>
      </c>
      <c r="K868">
        <v>1</v>
      </c>
      <c r="L868">
        <v>4.6759259259259254E-3</v>
      </c>
      <c r="M868" t="s">
        <v>117</v>
      </c>
      <c r="N868" t="s">
        <v>351</v>
      </c>
      <c r="O868" s="24">
        <v>46114</v>
      </c>
      <c r="P868">
        <v>606</v>
      </c>
      <c r="Q868" t="s">
        <v>34</v>
      </c>
      <c r="R868" s="24">
        <v>46136</v>
      </c>
      <c r="S868" s="51">
        <v>0.96527777777777779</v>
      </c>
      <c r="T868" s="51">
        <v>0.98958333333333337</v>
      </c>
      <c r="X868" t="s">
        <v>3036</v>
      </c>
      <c r="Y868" t="s">
        <v>3032</v>
      </c>
      <c r="Z868">
        <v>2784148</v>
      </c>
    </row>
    <row r="869" spans="1:26" x14ac:dyDescent="0.25">
      <c r="A869">
        <v>865</v>
      </c>
      <c r="B869" t="s">
        <v>24</v>
      </c>
      <c r="C869" t="s">
        <v>25</v>
      </c>
      <c r="D869">
        <v>13</v>
      </c>
      <c r="E869" t="s">
        <v>367</v>
      </c>
      <c r="F869" t="s">
        <v>367</v>
      </c>
      <c r="G869">
        <v>4255</v>
      </c>
      <c r="H869" t="s">
        <v>2328</v>
      </c>
      <c r="I869" t="s">
        <v>2329</v>
      </c>
      <c r="J869">
        <v>8</v>
      </c>
      <c r="K869">
        <v>2</v>
      </c>
      <c r="L869">
        <v>1.3194444444444445E-3</v>
      </c>
      <c r="M869" t="s">
        <v>117</v>
      </c>
      <c r="N869" t="s">
        <v>351</v>
      </c>
      <c r="O869" s="24">
        <v>46114</v>
      </c>
      <c r="P869">
        <v>606</v>
      </c>
      <c r="Q869" t="s">
        <v>34</v>
      </c>
      <c r="R869" s="24">
        <v>46136</v>
      </c>
      <c r="S869" s="51">
        <v>0.92013888888888884</v>
      </c>
      <c r="T869" s="51">
        <v>0.94791666666666663</v>
      </c>
      <c r="X869" t="s">
        <v>3033</v>
      </c>
      <c r="Y869" t="s">
        <v>3032</v>
      </c>
      <c r="Z869">
        <v>1742314</v>
      </c>
    </row>
    <row r="870" spans="1:26" x14ac:dyDescent="0.25">
      <c r="A870">
        <v>866</v>
      </c>
      <c r="B870" t="s">
        <v>24</v>
      </c>
      <c r="C870" t="s">
        <v>25</v>
      </c>
      <c r="D870">
        <v>13</v>
      </c>
      <c r="E870" t="s">
        <v>65</v>
      </c>
      <c r="F870" t="s">
        <v>65</v>
      </c>
      <c r="G870">
        <v>4255</v>
      </c>
      <c r="H870" t="s">
        <v>2092</v>
      </c>
      <c r="I870" t="s">
        <v>2093</v>
      </c>
      <c r="J870">
        <v>8</v>
      </c>
      <c r="K870">
        <v>1</v>
      </c>
      <c r="L870">
        <v>6.134259259259259E-4</v>
      </c>
      <c r="M870" t="s">
        <v>117</v>
      </c>
      <c r="N870" t="s">
        <v>351</v>
      </c>
      <c r="O870" s="24">
        <v>46114</v>
      </c>
      <c r="P870">
        <v>606</v>
      </c>
      <c r="Q870" t="s">
        <v>34</v>
      </c>
      <c r="R870" s="24">
        <v>46136</v>
      </c>
      <c r="S870" s="51">
        <v>0.92013888888888884</v>
      </c>
      <c r="T870" s="51">
        <v>0.94791666666666663</v>
      </c>
      <c r="X870" t="s">
        <v>3033</v>
      </c>
      <c r="Y870" t="s">
        <v>3032</v>
      </c>
      <c r="Z870">
        <v>1742314</v>
      </c>
    </row>
    <row r="871" spans="1:26" x14ac:dyDescent="0.25">
      <c r="A871">
        <v>867</v>
      </c>
      <c r="B871" t="s">
        <v>24</v>
      </c>
      <c r="C871" t="s">
        <v>25</v>
      </c>
      <c r="D871">
        <v>13</v>
      </c>
      <c r="E871" t="s">
        <v>65</v>
      </c>
      <c r="F871" t="s">
        <v>368</v>
      </c>
      <c r="G871">
        <v>4255</v>
      </c>
      <c r="H871" t="s">
        <v>2115</v>
      </c>
      <c r="I871" t="s">
        <v>2116</v>
      </c>
      <c r="J871">
        <v>8</v>
      </c>
      <c r="K871">
        <v>1</v>
      </c>
      <c r="L871">
        <v>2.2222222222222222E-3</v>
      </c>
      <c r="M871" t="s">
        <v>117</v>
      </c>
      <c r="N871" t="s">
        <v>351</v>
      </c>
      <c r="O871" s="24">
        <v>46114</v>
      </c>
      <c r="P871">
        <v>606</v>
      </c>
      <c r="Q871" t="s">
        <v>34</v>
      </c>
      <c r="R871" s="24">
        <v>46136</v>
      </c>
      <c r="S871" s="51">
        <v>0.92013888888888884</v>
      </c>
      <c r="T871" s="51">
        <v>0.94791666666666663</v>
      </c>
      <c r="X871" t="s">
        <v>3033</v>
      </c>
      <c r="Y871" t="s">
        <v>3032</v>
      </c>
      <c r="Z871">
        <v>1742314</v>
      </c>
    </row>
    <row r="872" spans="1:26" x14ac:dyDescent="0.25">
      <c r="A872">
        <v>868</v>
      </c>
      <c r="B872" t="s">
        <v>24</v>
      </c>
      <c r="C872" t="s">
        <v>25</v>
      </c>
      <c r="D872">
        <v>13</v>
      </c>
      <c r="E872" t="s">
        <v>65</v>
      </c>
      <c r="F872" t="s">
        <v>368</v>
      </c>
      <c r="G872">
        <v>4255</v>
      </c>
      <c r="H872" t="s">
        <v>2349</v>
      </c>
      <c r="I872" t="s">
        <v>2116</v>
      </c>
      <c r="J872">
        <v>8</v>
      </c>
      <c r="K872">
        <v>5</v>
      </c>
      <c r="L872">
        <v>1.1064814814814814E-2</v>
      </c>
      <c r="M872" t="s">
        <v>117</v>
      </c>
      <c r="N872" t="s">
        <v>351</v>
      </c>
      <c r="O872" s="24">
        <v>46114</v>
      </c>
      <c r="P872">
        <v>606</v>
      </c>
      <c r="Q872" t="s">
        <v>34</v>
      </c>
      <c r="R872" s="24">
        <v>46136</v>
      </c>
      <c r="S872" s="51">
        <v>0.92013888888888884</v>
      </c>
      <c r="T872" s="51">
        <v>0.94791666666666663</v>
      </c>
      <c r="X872" t="s">
        <v>3033</v>
      </c>
      <c r="Y872" t="s">
        <v>3032</v>
      </c>
      <c r="Z872">
        <v>1742314</v>
      </c>
    </row>
    <row r="873" spans="1:26" x14ac:dyDescent="0.25">
      <c r="A873">
        <v>869</v>
      </c>
      <c r="B873" t="s">
        <v>24</v>
      </c>
      <c r="C873" t="s">
        <v>25</v>
      </c>
      <c r="D873">
        <v>13</v>
      </c>
      <c r="E873" t="s">
        <v>1665</v>
      </c>
      <c r="F873" t="s">
        <v>115</v>
      </c>
      <c r="G873">
        <v>4068</v>
      </c>
      <c r="H873" t="s">
        <v>2113</v>
      </c>
      <c r="I873" t="s">
        <v>2111</v>
      </c>
      <c r="J873">
        <v>8</v>
      </c>
      <c r="K873">
        <v>2</v>
      </c>
      <c r="L873">
        <v>1.0879629629629629E-3</v>
      </c>
      <c r="M873" t="s">
        <v>117</v>
      </c>
      <c r="N873" t="s">
        <v>351</v>
      </c>
      <c r="O873" s="24">
        <v>46114</v>
      </c>
      <c r="P873">
        <v>606</v>
      </c>
      <c r="Q873" t="s">
        <v>34</v>
      </c>
      <c r="R873" s="24">
        <v>46136</v>
      </c>
      <c r="S873" s="51">
        <v>0.40625</v>
      </c>
      <c r="T873" s="51">
        <v>0.42291666666666666</v>
      </c>
      <c r="X873" t="s">
        <v>3034</v>
      </c>
      <c r="Y873" t="s">
        <v>3035</v>
      </c>
      <c r="Z873">
        <v>1742372</v>
      </c>
    </row>
    <row r="874" spans="1:26" x14ac:dyDescent="0.25">
      <c r="A874">
        <v>870</v>
      </c>
      <c r="B874" t="s">
        <v>24</v>
      </c>
      <c r="C874" t="s">
        <v>25</v>
      </c>
      <c r="D874">
        <v>13</v>
      </c>
      <c r="E874" t="s">
        <v>1672</v>
      </c>
      <c r="F874" t="s">
        <v>498</v>
      </c>
      <c r="G874">
        <v>4068</v>
      </c>
      <c r="H874" t="s">
        <v>2299</v>
      </c>
      <c r="I874" t="s">
        <v>2300</v>
      </c>
      <c r="J874">
        <v>8</v>
      </c>
      <c r="K874">
        <v>2</v>
      </c>
      <c r="L874">
        <v>3.4259259259259256E-3</v>
      </c>
      <c r="M874" t="s">
        <v>117</v>
      </c>
      <c r="N874" t="s">
        <v>351</v>
      </c>
      <c r="O874" s="24">
        <v>46114</v>
      </c>
      <c r="P874">
        <v>606</v>
      </c>
      <c r="Q874" t="s">
        <v>34</v>
      </c>
      <c r="R874" s="24">
        <v>46136</v>
      </c>
      <c r="S874" s="51">
        <v>0.40625</v>
      </c>
      <c r="T874" s="51">
        <v>0.42291666666666666</v>
      </c>
      <c r="X874" t="s">
        <v>3034</v>
      </c>
      <c r="Y874" t="s">
        <v>3035</v>
      </c>
      <c r="Z874">
        <v>1742372</v>
      </c>
    </row>
    <row r="875" spans="1:26" x14ac:dyDescent="0.25">
      <c r="A875">
        <v>871</v>
      </c>
      <c r="B875" t="s">
        <v>24</v>
      </c>
      <c r="C875" t="s">
        <v>25</v>
      </c>
      <c r="D875">
        <v>13</v>
      </c>
      <c r="E875" t="s">
        <v>1588</v>
      </c>
      <c r="F875" t="s">
        <v>44</v>
      </c>
      <c r="G875">
        <v>4068</v>
      </c>
      <c r="H875" t="s">
        <v>1623</v>
      </c>
      <c r="I875" t="s">
        <v>1624</v>
      </c>
      <c r="J875">
        <v>8</v>
      </c>
      <c r="K875">
        <v>1</v>
      </c>
      <c r="L875">
        <v>1.5740740740740741E-3</v>
      </c>
      <c r="M875" t="s">
        <v>117</v>
      </c>
      <c r="N875" t="s">
        <v>351</v>
      </c>
      <c r="O875" s="24">
        <v>46114</v>
      </c>
      <c r="P875">
        <v>606</v>
      </c>
      <c r="Q875" t="s">
        <v>34</v>
      </c>
      <c r="R875" s="24">
        <v>46136</v>
      </c>
      <c r="S875" s="51">
        <v>0.40625</v>
      </c>
      <c r="T875" s="51">
        <v>0.42291666666666666</v>
      </c>
      <c r="X875" t="s">
        <v>3034</v>
      </c>
      <c r="Y875" t="s">
        <v>3035</v>
      </c>
      <c r="Z875">
        <v>1742372</v>
      </c>
    </row>
    <row r="876" spans="1:26" x14ac:dyDescent="0.25">
      <c r="A876">
        <v>872</v>
      </c>
      <c r="B876" t="s">
        <v>24</v>
      </c>
      <c r="C876" t="s">
        <v>25</v>
      </c>
      <c r="D876">
        <v>13</v>
      </c>
      <c r="E876" t="s">
        <v>367</v>
      </c>
      <c r="F876" t="s">
        <v>1598</v>
      </c>
      <c r="G876">
        <v>4068</v>
      </c>
      <c r="H876" t="s">
        <v>2340</v>
      </c>
      <c r="I876" t="s">
        <v>2341</v>
      </c>
      <c r="J876">
        <v>8</v>
      </c>
      <c r="K876">
        <v>1</v>
      </c>
      <c r="L876">
        <v>2.2337962962962962E-3</v>
      </c>
      <c r="M876" t="s">
        <v>117</v>
      </c>
      <c r="N876" t="s">
        <v>351</v>
      </c>
      <c r="O876" s="24">
        <v>46114</v>
      </c>
      <c r="P876">
        <v>606</v>
      </c>
      <c r="Q876" t="s">
        <v>34</v>
      </c>
      <c r="R876" s="24">
        <v>46136</v>
      </c>
      <c r="S876" s="51">
        <v>0.40625</v>
      </c>
      <c r="T876" s="51">
        <v>0.42291666666666666</v>
      </c>
      <c r="X876" t="s">
        <v>3034</v>
      </c>
      <c r="Y876" t="s">
        <v>3035</v>
      </c>
      <c r="Z876">
        <v>1742372</v>
      </c>
    </row>
    <row r="877" spans="1:26" x14ac:dyDescent="0.25">
      <c r="A877">
        <v>873</v>
      </c>
      <c r="B877" t="s">
        <v>24</v>
      </c>
      <c r="C877" t="s">
        <v>25</v>
      </c>
      <c r="D877">
        <v>13</v>
      </c>
      <c r="E877" t="s">
        <v>367</v>
      </c>
      <c r="F877" t="s">
        <v>1599</v>
      </c>
      <c r="G877">
        <v>4068</v>
      </c>
      <c r="H877" t="s">
        <v>2342</v>
      </c>
      <c r="I877" t="s">
        <v>2341</v>
      </c>
      <c r="J877">
        <v>8</v>
      </c>
      <c r="K877">
        <v>1</v>
      </c>
      <c r="L877">
        <v>2.2337962962962962E-3</v>
      </c>
      <c r="M877" t="s">
        <v>117</v>
      </c>
      <c r="N877" t="s">
        <v>351</v>
      </c>
      <c r="O877" s="24">
        <v>46114</v>
      </c>
      <c r="P877">
        <v>606</v>
      </c>
      <c r="Q877" t="s">
        <v>34</v>
      </c>
      <c r="R877" s="24">
        <v>46136</v>
      </c>
      <c r="S877" s="51">
        <v>0.40625</v>
      </c>
      <c r="T877" s="51">
        <v>0.42291666666666666</v>
      </c>
      <c r="X877" t="s">
        <v>3034</v>
      </c>
      <c r="Y877" t="s">
        <v>3035</v>
      </c>
      <c r="Z877">
        <v>1742372</v>
      </c>
    </row>
    <row r="878" spans="1:26" x14ac:dyDescent="0.25">
      <c r="A878">
        <v>874</v>
      </c>
      <c r="B878" t="s">
        <v>24</v>
      </c>
      <c r="C878" t="s">
        <v>25</v>
      </c>
      <c r="D878">
        <v>13</v>
      </c>
      <c r="E878" t="s">
        <v>65</v>
      </c>
      <c r="F878" t="s">
        <v>1589</v>
      </c>
      <c r="G878">
        <v>4068</v>
      </c>
      <c r="H878" t="s">
        <v>2343</v>
      </c>
      <c r="I878" t="s">
        <v>2344</v>
      </c>
      <c r="J878">
        <v>8</v>
      </c>
      <c r="K878">
        <v>1</v>
      </c>
      <c r="L878">
        <v>2.9166666666666664E-3</v>
      </c>
      <c r="M878" t="s">
        <v>117</v>
      </c>
      <c r="N878" t="s">
        <v>351</v>
      </c>
      <c r="O878" s="24">
        <v>46114</v>
      </c>
      <c r="P878">
        <v>606</v>
      </c>
      <c r="Q878" t="s">
        <v>34</v>
      </c>
      <c r="R878" s="24">
        <v>46136</v>
      </c>
      <c r="S878" s="51">
        <v>0.40625</v>
      </c>
      <c r="T878" s="51">
        <v>0.42291666666666666</v>
      </c>
      <c r="X878" t="s">
        <v>3034</v>
      </c>
      <c r="Y878" t="s">
        <v>3035</v>
      </c>
      <c r="Z878">
        <v>1742372</v>
      </c>
    </row>
    <row r="879" spans="1:26" x14ac:dyDescent="0.25">
      <c r="A879">
        <v>875</v>
      </c>
      <c r="B879" t="s">
        <v>24</v>
      </c>
      <c r="C879" t="s">
        <v>25</v>
      </c>
      <c r="D879">
        <v>13</v>
      </c>
      <c r="E879" t="s">
        <v>65</v>
      </c>
      <c r="F879" t="s">
        <v>1591</v>
      </c>
      <c r="G879">
        <v>4068</v>
      </c>
      <c r="H879" t="s">
        <v>2345</v>
      </c>
      <c r="I879" t="s">
        <v>2346</v>
      </c>
      <c r="J879">
        <v>8</v>
      </c>
      <c r="K879">
        <v>1</v>
      </c>
      <c r="L879">
        <v>1.5624999999999999E-3</v>
      </c>
      <c r="M879" t="s">
        <v>117</v>
      </c>
      <c r="N879" t="s">
        <v>351</v>
      </c>
      <c r="O879" s="24">
        <v>46114</v>
      </c>
      <c r="P879">
        <v>606</v>
      </c>
      <c r="Q879" t="s">
        <v>34</v>
      </c>
      <c r="R879" s="24">
        <v>46136</v>
      </c>
      <c r="S879" s="51">
        <v>0.40625</v>
      </c>
      <c r="T879" s="51">
        <v>0.42291666666666666</v>
      </c>
      <c r="X879" t="s">
        <v>3034</v>
      </c>
      <c r="Y879" t="s">
        <v>3035</v>
      </c>
      <c r="Z879">
        <v>1742372</v>
      </c>
    </row>
    <row r="880" spans="1:26" x14ac:dyDescent="0.25">
      <c r="A880">
        <v>876</v>
      </c>
      <c r="B880" t="s">
        <v>24</v>
      </c>
      <c r="C880" t="s">
        <v>25</v>
      </c>
      <c r="D880">
        <v>13</v>
      </c>
      <c r="E880" t="s">
        <v>65</v>
      </c>
      <c r="F880" t="s">
        <v>1596</v>
      </c>
      <c r="G880">
        <v>4068</v>
      </c>
      <c r="H880" t="s">
        <v>2347</v>
      </c>
      <c r="I880" t="s">
        <v>2226</v>
      </c>
      <c r="J880">
        <v>8</v>
      </c>
      <c r="K880">
        <v>1</v>
      </c>
      <c r="L880">
        <v>1.7592592592592592E-3</v>
      </c>
      <c r="M880" t="s">
        <v>117</v>
      </c>
      <c r="N880" t="s">
        <v>351</v>
      </c>
      <c r="O880" s="24">
        <v>46114</v>
      </c>
      <c r="P880">
        <v>606</v>
      </c>
      <c r="Q880" t="s">
        <v>34</v>
      </c>
      <c r="R880" s="24">
        <v>46136</v>
      </c>
      <c r="S880" s="51">
        <v>0.40625</v>
      </c>
      <c r="T880" s="51">
        <v>0.42291666666666666</v>
      </c>
      <c r="X880" t="s">
        <v>3034</v>
      </c>
      <c r="Y880" t="s">
        <v>3035</v>
      </c>
      <c r="Z880">
        <v>1742372</v>
      </c>
    </row>
    <row r="881" spans="1:26" x14ac:dyDescent="0.25">
      <c r="A881">
        <v>877</v>
      </c>
      <c r="B881" t="s">
        <v>24</v>
      </c>
      <c r="C881" t="s">
        <v>25</v>
      </c>
      <c r="D881">
        <v>13</v>
      </c>
      <c r="E881" t="s">
        <v>65</v>
      </c>
      <c r="F881" t="s">
        <v>1597</v>
      </c>
      <c r="G881">
        <v>4068</v>
      </c>
      <c r="H881" t="s">
        <v>2348</v>
      </c>
      <c r="I881" t="s">
        <v>2226</v>
      </c>
      <c r="J881">
        <v>8</v>
      </c>
      <c r="K881">
        <v>1</v>
      </c>
      <c r="L881">
        <v>1.7592592592592592E-3</v>
      </c>
      <c r="M881" t="s">
        <v>117</v>
      </c>
      <c r="N881" t="s">
        <v>351</v>
      </c>
      <c r="O881" s="24">
        <v>46114</v>
      </c>
      <c r="P881">
        <v>606</v>
      </c>
      <c r="Q881" t="s">
        <v>34</v>
      </c>
      <c r="R881" s="24">
        <v>46136</v>
      </c>
      <c r="S881" s="51">
        <v>0.40625</v>
      </c>
      <c r="T881" s="51">
        <v>0.42291666666666666</v>
      </c>
      <c r="X881" t="s">
        <v>3034</v>
      </c>
      <c r="Y881" t="s">
        <v>3035</v>
      </c>
      <c r="Z881">
        <v>1742372</v>
      </c>
    </row>
    <row r="882" spans="1:26" x14ac:dyDescent="0.25">
      <c r="A882">
        <v>878</v>
      </c>
      <c r="B882" t="s">
        <v>24</v>
      </c>
      <c r="C882" t="s">
        <v>25</v>
      </c>
      <c r="D882">
        <v>13</v>
      </c>
      <c r="E882" t="s">
        <v>65</v>
      </c>
      <c r="F882" t="s">
        <v>1599</v>
      </c>
      <c r="G882">
        <v>3475</v>
      </c>
      <c r="H882" t="s">
        <v>2108</v>
      </c>
      <c r="I882" t="s">
        <v>2107</v>
      </c>
      <c r="J882">
        <v>8</v>
      </c>
      <c r="K882">
        <v>1</v>
      </c>
      <c r="L882">
        <v>4.6759259259259254E-3</v>
      </c>
      <c r="M882" t="s">
        <v>117</v>
      </c>
      <c r="N882" t="s">
        <v>351</v>
      </c>
      <c r="O882" s="24">
        <v>46114</v>
      </c>
      <c r="P882">
        <v>606</v>
      </c>
      <c r="Q882" t="s">
        <v>34</v>
      </c>
      <c r="R882" s="24">
        <v>46136</v>
      </c>
      <c r="S882" s="51">
        <v>0.96527777777777779</v>
      </c>
      <c r="T882" s="51">
        <v>0.98958333333333337</v>
      </c>
      <c r="X882" t="s">
        <v>3036</v>
      </c>
      <c r="Y882" t="s">
        <v>3032</v>
      </c>
      <c r="Z882">
        <v>2784148</v>
      </c>
    </row>
    <row r="883" spans="1:26" x14ac:dyDescent="0.25">
      <c r="A883">
        <v>879</v>
      </c>
      <c r="B883" t="s">
        <v>24</v>
      </c>
      <c r="C883" t="s">
        <v>25</v>
      </c>
      <c r="D883">
        <v>13</v>
      </c>
      <c r="E883" t="s">
        <v>1665</v>
      </c>
      <c r="F883" t="s">
        <v>115</v>
      </c>
      <c r="G883">
        <v>4069</v>
      </c>
      <c r="H883" t="s">
        <v>2113</v>
      </c>
      <c r="I883" t="s">
        <v>2111</v>
      </c>
      <c r="J883">
        <v>8</v>
      </c>
      <c r="K883">
        <v>7</v>
      </c>
      <c r="L883">
        <v>3.9699074074074072E-3</v>
      </c>
      <c r="M883" t="s">
        <v>117</v>
      </c>
      <c r="N883" t="s">
        <v>351</v>
      </c>
      <c r="O883" s="24">
        <v>46114</v>
      </c>
      <c r="P883">
        <v>606</v>
      </c>
      <c r="Q883" t="s">
        <v>34</v>
      </c>
      <c r="R883" s="24">
        <v>46136</v>
      </c>
      <c r="S883" s="51">
        <v>0.34027777777777779</v>
      </c>
      <c r="T883" s="51">
        <v>0.36249999999999999</v>
      </c>
      <c r="X883" t="s">
        <v>3120</v>
      </c>
      <c r="Y883" t="s">
        <v>3035</v>
      </c>
      <c r="Z883">
        <v>1742255</v>
      </c>
    </row>
    <row r="884" spans="1:26" x14ac:dyDescent="0.25">
      <c r="A884">
        <v>880</v>
      </c>
      <c r="B884" t="s">
        <v>24</v>
      </c>
      <c r="C884" t="s">
        <v>25</v>
      </c>
      <c r="D884">
        <v>13</v>
      </c>
      <c r="E884" t="s">
        <v>1672</v>
      </c>
      <c r="F884" t="s">
        <v>498</v>
      </c>
      <c r="G884">
        <v>4069</v>
      </c>
      <c r="H884" t="s">
        <v>2299</v>
      </c>
      <c r="I884" t="s">
        <v>2300</v>
      </c>
      <c r="J884">
        <v>8</v>
      </c>
      <c r="K884">
        <v>4</v>
      </c>
      <c r="L884">
        <v>7.129629629629629E-3</v>
      </c>
      <c r="M884" t="s">
        <v>117</v>
      </c>
      <c r="N884" t="s">
        <v>351</v>
      </c>
      <c r="O884" s="24">
        <v>46114</v>
      </c>
      <c r="P884">
        <v>606</v>
      </c>
      <c r="Q884" t="s">
        <v>34</v>
      </c>
      <c r="R884" s="24">
        <v>46136</v>
      </c>
      <c r="S884" s="51">
        <v>0.34027777777777779</v>
      </c>
      <c r="T884" s="51">
        <v>0.36249999999999999</v>
      </c>
      <c r="X884" t="s">
        <v>3120</v>
      </c>
      <c r="Y884" t="s">
        <v>3035</v>
      </c>
      <c r="Z884">
        <v>1742255</v>
      </c>
    </row>
    <row r="885" spans="1:26" x14ac:dyDescent="0.25">
      <c r="A885">
        <v>881</v>
      </c>
      <c r="B885" t="s">
        <v>24</v>
      </c>
      <c r="C885" t="s">
        <v>25</v>
      </c>
      <c r="D885">
        <v>13</v>
      </c>
      <c r="E885" t="s">
        <v>147</v>
      </c>
      <c r="F885" t="s">
        <v>512</v>
      </c>
      <c r="G885">
        <v>4069</v>
      </c>
      <c r="H885" t="s">
        <v>2352</v>
      </c>
      <c r="I885" t="s">
        <v>2161</v>
      </c>
      <c r="J885">
        <v>8</v>
      </c>
      <c r="K885">
        <v>4</v>
      </c>
      <c r="L885">
        <v>6.4930555555555549E-3</v>
      </c>
      <c r="M885" t="s">
        <v>117</v>
      </c>
      <c r="N885" t="s">
        <v>351</v>
      </c>
      <c r="O885" s="24">
        <v>46114</v>
      </c>
      <c r="P885">
        <v>606</v>
      </c>
      <c r="Q885" t="s">
        <v>34</v>
      </c>
      <c r="R885" s="24">
        <v>46136</v>
      </c>
      <c r="S885" s="51">
        <v>0.34027777777777779</v>
      </c>
      <c r="T885" s="51">
        <v>0.36249999999999999</v>
      </c>
      <c r="X885" t="s">
        <v>3120</v>
      </c>
      <c r="Y885" t="s">
        <v>3035</v>
      </c>
      <c r="Z885">
        <v>1742255</v>
      </c>
    </row>
    <row r="886" spans="1:26" x14ac:dyDescent="0.25">
      <c r="A886">
        <v>882</v>
      </c>
      <c r="B886" t="s">
        <v>24</v>
      </c>
      <c r="C886" t="s">
        <v>25</v>
      </c>
      <c r="D886">
        <v>13</v>
      </c>
      <c r="E886" t="s">
        <v>65</v>
      </c>
      <c r="F886" t="s">
        <v>492</v>
      </c>
      <c r="G886">
        <v>3476</v>
      </c>
      <c r="H886" t="s">
        <v>496</v>
      </c>
      <c r="I886" t="s">
        <v>494</v>
      </c>
      <c r="J886">
        <v>8</v>
      </c>
      <c r="K886">
        <v>1</v>
      </c>
      <c r="L886">
        <v>6.9444444444444441E-3</v>
      </c>
      <c r="M886" t="s">
        <v>117</v>
      </c>
      <c r="N886" t="s">
        <v>491</v>
      </c>
      <c r="O886" s="24">
        <v>46118</v>
      </c>
      <c r="P886">
        <v>603</v>
      </c>
      <c r="Q886" t="s">
        <v>34</v>
      </c>
      <c r="R886" s="24">
        <v>46113</v>
      </c>
      <c r="S886" s="51">
        <v>0.44097222222222221</v>
      </c>
      <c r="T886" s="51">
        <v>0.45347222222222222</v>
      </c>
      <c r="X886" t="s">
        <v>3204</v>
      </c>
      <c r="Y886" t="s">
        <v>3072</v>
      </c>
      <c r="Z886">
        <v>1742079</v>
      </c>
    </row>
    <row r="887" spans="1:26" x14ac:dyDescent="0.25">
      <c r="A887">
        <v>883</v>
      </c>
      <c r="B887" t="s">
        <v>24</v>
      </c>
      <c r="C887" t="s">
        <v>25</v>
      </c>
      <c r="D887">
        <v>13</v>
      </c>
      <c r="E887" t="s">
        <v>114</v>
      </c>
      <c r="F887" t="s">
        <v>512</v>
      </c>
      <c r="G887">
        <v>4059</v>
      </c>
      <c r="H887" t="s">
        <v>2307</v>
      </c>
      <c r="I887" t="s">
        <v>1620</v>
      </c>
      <c r="J887">
        <v>8</v>
      </c>
      <c r="K887">
        <v>1</v>
      </c>
      <c r="L887">
        <v>5.7754629629629631E-3</v>
      </c>
      <c r="M887" t="s">
        <v>117</v>
      </c>
      <c r="N887" t="s">
        <v>159</v>
      </c>
      <c r="O887" s="24">
        <v>46109</v>
      </c>
      <c r="P887">
        <v>605</v>
      </c>
      <c r="Q887" t="s">
        <v>34</v>
      </c>
      <c r="R887" s="24">
        <v>46113</v>
      </c>
      <c r="S887" s="51">
        <v>2.7777777777777776E-2</v>
      </c>
      <c r="T887" s="51">
        <v>4.5138888888888888E-2</v>
      </c>
      <c r="X887" t="s">
        <v>193</v>
      </c>
      <c r="Y887" t="s">
        <v>3032</v>
      </c>
    </row>
    <row r="888" spans="1:26" x14ac:dyDescent="0.25">
      <c r="A888">
        <v>884</v>
      </c>
      <c r="B888" t="s">
        <v>24</v>
      </c>
      <c r="C888" t="s">
        <v>25</v>
      </c>
      <c r="D888">
        <v>13</v>
      </c>
      <c r="E888" t="s">
        <v>1672</v>
      </c>
      <c r="F888" t="s">
        <v>115</v>
      </c>
      <c r="G888">
        <v>4059</v>
      </c>
      <c r="H888" t="s">
        <v>2309</v>
      </c>
      <c r="I888" t="s">
        <v>2310</v>
      </c>
      <c r="J888">
        <v>8</v>
      </c>
      <c r="K888">
        <v>1</v>
      </c>
      <c r="L888">
        <v>1.8518518518518517E-3</v>
      </c>
      <c r="M888" t="s">
        <v>117</v>
      </c>
      <c r="N888" t="s">
        <v>159</v>
      </c>
      <c r="O888" s="24">
        <v>46109</v>
      </c>
      <c r="P888">
        <v>605</v>
      </c>
      <c r="Q888" t="s">
        <v>34</v>
      </c>
      <c r="R888" s="24">
        <v>46113</v>
      </c>
      <c r="S888" s="51">
        <v>2.7777777777777776E-2</v>
      </c>
      <c r="T888" s="51">
        <v>4.5138888888888888E-2</v>
      </c>
      <c r="X888" t="s">
        <v>193</v>
      </c>
      <c r="Y888" t="s">
        <v>3032</v>
      </c>
    </row>
    <row r="889" spans="1:26" x14ac:dyDescent="0.25">
      <c r="A889">
        <v>885</v>
      </c>
      <c r="B889" t="s">
        <v>24</v>
      </c>
      <c r="C889" t="s">
        <v>25</v>
      </c>
      <c r="D889">
        <v>13</v>
      </c>
      <c r="E889" t="s">
        <v>1665</v>
      </c>
      <c r="F889" t="s">
        <v>498</v>
      </c>
      <c r="G889">
        <v>4059</v>
      </c>
      <c r="H889" t="s">
        <v>2311</v>
      </c>
      <c r="I889" t="s">
        <v>2300</v>
      </c>
      <c r="J889">
        <v>8</v>
      </c>
      <c r="K889">
        <v>3</v>
      </c>
      <c r="L889">
        <v>5.6944444444444438E-3</v>
      </c>
      <c r="M889" t="s">
        <v>117</v>
      </c>
      <c r="N889" t="s">
        <v>159</v>
      </c>
      <c r="O889" s="24">
        <v>46109</v>
      </c>
      <c r="P889">
        <v>605</v>
      </c>
      <c r="Q889" t="s">
        <v>34</v>
      </c>
      <c r="R889" s="24">
        <v>46113</v>
      </c>
      <c r="S889" s="51">
        <v>2.7777777777777776E-2</v>
      </c>
      <c r="T889" s="51">
        <v>4.5138888888888888E-2</v>
      </c>
      <c r="X889" t="s">
        <v>193</v>
      </c>
      <c r="Y889" t="s">
        <v>3032</v>
      </c>
    </row>
    <row r="890" spans="1:26" x14ac:dyDescent="0.25">
      <c r="A890">
        <v>886</v>
      </c>
      <c r="B890" t="s">
        <v>24</v>
      </c>
      <c r="C890" t="s">
        <v>25</v>
      </c>
      <c r="D890">
        <v>13</v>
      </c>
      <c r="E890" t="s">
        <v>1672</v>
      </c>
      <c r="F890" t="s">
        <v>498</v>
      </c>
      <c r="G890">
        <v>4059</v>
      </c>
      <c r="H890" t="s">
        <v>2055</v>
      </c>
      <c r="I890" t="s">
        <v>2056</v>
      </c>
      <c r="J890">
        <v>8</v>
      </c>
      <c r="K890">
        <v>2</v>
      </c>
      <c r="L890">
        <v>1.747685185185185E-3</v>
      </c>
      <c r="M890" t="s">
        <v>117</v>
      </c>
      <c r="N890" t="s">
        <v>159</v>
      </c>
      <c r="O890" s="24">
        <v>46109</v>
      </c>
      <c r="P890">
        <v>605</v>
      </c>
      <c r="Q890" t="s">
        <v>34</v>
      </c>
      <c r="R890" s="24">
        <v>46113</v>
      </c>
      <c r="S890" s="51">
        <v>2.7777777777777776E-2</v>
      </c>
      <c r="T890" s="51">
        <v>4.5138888888888888E-2</v>
      </c>
      <c r="X890" t="s">
        <v>193</v>
      </c>
      <c r="Y890" t="s">
        <v>3032</v>
      </c>
    </row>
    <row r="891" spans="1:26" x14ac:dyDescent="0.25">
      <c r="A891">
        <v>887</v>
      </c>
      <c r="B891" t="s">
        <v>24</v>
      </c>
      <c r="C891" t="s">
        <v>25</v>
      </c>
      <c r="D891">
        <v>13</v>
      </c>
      <c r="E891" t="s">
        <v>1665</v>
      </c>
      <c r="F891" t="s">
        <v>512</v>
      </c>
      <c r="G891">
        <v>4059</v>
      </c>
      <c r="H891" t="s">
        <v>2228</v>
      </c>
      <c r="I891" t="s">
        <v>2153</v>
      </c>
      <c r="J891">
        <v>8</v>
      </c>
      <c r="K891">
        <v>1</v>
      </c>
      <c r="L891">
        <v>1.6319444444444443E-3</v>
      </c>
      <c r="M891" t="s">
        <v>117</v>
      </c>
      <c r="N891" t="s">
        <v>159</v>
      </c>
      <c r="O891" s="24">
        <v>46109</v>
      </c>
      <c r="P891">
        <v>605</v>
      </c>
      <c r="Q891" t="s">
        <v>34</v>
      </c>
      <c r="R891" s="24">
        <v>46113</v>
      </c>
      <c r="S891" s="51">
        <v>2.7777777777777776E-2</v>
      </c>
      <c r="T891" s="51">
        <v>4.5138888888888888E-2</v>
      </c>
      <c r="X891" t="s">
        <v>193</v>
      </c>
      <c r="Y891" t="s">
        <v>3032</v>
      </c>
    </row>
    <row r="892" spans="1:26" x14ac:dyDescent="0.25">
      <c r="A892">
        <v>888</v>
      </c>
      <c r="B892" t="s">
        <v>24</v>
      </c>
      <c r="C892" t="s">
        <v>25</v>
      </c>
      <c r="D892">
        <v>13</v>
      </c>
      <c r="E892" t="s">
        <v>367</v>
      </c>
      <c r="F892" t="s">
        <v>427</v>
      </c>
      <c r="G892">
        <v>4059</v>
      </c>
      <c r="H892" t="s">
        <v>2312</v>
      </c>
      <c r="I892" t="s">
        <v>2270</v>
      </c>
      <c r="J892">
        <v>8</v>
      </c>
      <c r="K892">
        <v>1</v>
      </c>
      <c r="L892">
        <v>1.6550925925925926E-3</v>
      </c>
      <c r="M892" t="s">
        <v>117</v>
      </c>
      <c r="N892" t="s">
        <v>159</v>
      </c>
      <c r="O892" s="24">
        <v>46109</v>
      </c>
      <c r="P892">
        <v>605</v>
      </c>
      <c r="Q892" t="s">
        <v>34</v>
      </c>
      <c r="R892" s="24">
        <v>46113</v>
      </c>
      <c r="S892" s="51">
        <v>2.7777777777777776E-2</v>
      </c>
      <c r="T892" s="51">
        <v>4.5138888888888888E-2</v>
      </c>
      <c r="X892" t="s">
        <v>193</v>
      </c>
      <c r="Y892" t="s">
        <v>3032</v>
      </c>
    </row>
    <row r="893" spans="1:26" x14ac:dyDescent="0.25">
      <c r="A893">
        <v>889</v>
      </c>
      <c r="B893" t="s">
        <v>24</v>
      </c>
      <c r="C893" t="s">
        <v>25</v>
      </c>
      <c r="D893">
        <v>13</v>
      </c>
      <c r="E893" t="s">
        <v>65</v>
      </c>
      <c r="F893" t="s">
        <v>1590</v>
      </c>
      <c r="G893">
        <v>4059</v>
      </c>
      <c r="H893" t="s">
        <v>2102</v>
      </c>
      <c r="I893" t="s">
        <v>2103</v>
      </c>
      <c r="J893">
        <v>8</v>
      </c>
      <c r="K893">
        <v>1</v>
      </c>
      <c r="L893">
        <v>7.1759259259259259E-4</v>
      </c>
      <c r="M893" t="s">
        <v>117</v>
      </c>
      <c r="N893" t="s">
        <v>159</v>
      </c>
      <c r="O893" s="24">
        <v>46109</v>
      </c>
      <c r="P893">
        <v>605</v>
      </c>
      <c r="Q893" t="s">
        <v>34</v>
      </c>
      <c r="R893" s="24">
        <v>46113</v>
      </c>
      <c r="S893" s="51">
        <v>2.7777777777777776E-2</v>
      </c>
      <c r="T893" s="51">
        <v>4.5138888888888888E-2</v>
      </c>
      <c r="X893" t="s">
        <v>193</v>
      </c>
      <c r="Y893" t="s">
        <v>3032</v>
      </c>
    </row>
    <row r="894" spans="1:26" x14ac:dyDescent="0.25">
      <c r="A894">
        <v>890</v>
      </c>
      <c r="B894" t="s">
        <v>24</v>
      </c>
      <c r="C894" t="s">
        <v>25</v>
      </c>
      <c r="D894">
        <v>13</v>
      </c>
      <c r="E894" t="s">
        <v>65</v>
      </c>
      <c r="F894" t="s">
        <v>1590</v>
      </c>
      <c r="G894">
        <v>4059</v>
      </c>
      <c r="H894" t="s">
        <v>2313</v>
      </c>
      <c r="I894" t="s">
        <v>2314</v>
      </c>
      <c r="J894">
        <v>8</v>
      </c>
      <c r="K894">
        <v>1</v>
      </c>
      <c r="L894">
        <v>7.5231481481481482E-4</v>
      </c>
      <c r="M894" t="s">
        <v>117</v>
      </c>
      <c r="N894" t="s">
        <v>159</v>
      </c>
      <c r="O894" s="24">
        <v>46109</v>
      </c>
      <c r="P894">
        <v>605</v>
      </c>
      <c r="Q894" t="s">
        <v>34</v>
      </c>
      <c r="R894" s="24">
        <v>46113</v>
      </c>
      <c r="S894" s="51">
        <v>2.7777777777777776E-2</v>
      </c>
      <c r="T894" s="51">
        <v>4.5138888888888888E-2</v>
      </c>
      <c r="X894" t="s">
        <v>193</v>
      </c>
      <c r="Y894" t="s">
        <v>3032</v>
      </c>
    </row>
    <row r="895" spans="1:26" x14ac:dyDescent="0.25">
      <c r="A895">
        <v>891</v>
      </c>
      <c r="B895" t="s">
        <v>24</v>
      </c>
      <c r="C895" t="s">
        <v>25</v>
      </c>
      <c r="D895">
        <v>13</v>
      </c>
      <c r="E895" t="s">
        <v>65</v>
      </c>
      <c r="F895" t="s">
        <v>1591</v>
      </c>
      <c r="G895">
        <v>4059</v>
      </c>
      <c r="H895" t="s">
        <v>2315</v>
      </c>
      <c r="I895" t="s">
        <v>2099</v>
      </c>
      <c r="J895">
        <v>8</v>
      </c>
      <c r="K895">
        <v>1</v>
      </c>
      <c r="L895">
        <v>6.5972222222222224E-4</v>
      </c>
      <c r="M895" t="s">
        <v>117</v>
      </c>
      <c r="N895" t="s">
        <v>159</v>
      </c>
      <c r="O895" s="24">
        <v>46109</v>
      </c>
      <c r="P895">
        <v>605</v>
      </c>
      <c r="Q895" t="s">
        <v>34</v>
      </c>
      <c r="R895" s="24">
        <v>46113</v>
      </c>
      <c r="S895" s="51">
        <v>2.7777777777777776E-2</v>
      </c>
      <c r="T895" s="51">
        <v>4.5138888888888888E-2</v>
      </c>
      <c r="X895" t="s">
        <v>193</v>
      </c>
      <c r="Y895" t="s">
        <v>3032</v>
      </c>
    </row>
    <row r="896" spans="1:26" x14ac:dyDescent="0.25">
      <c r="A896">
        <v>892</v>
      </c>
      <c r="B896" t="s">
        <v>24</v>
      </c>
      <c r="C896" t="s">
        <v>25</v>
      </c>
      <c r="D896">
        <v>13</v>
      </c>
      <c r="E896" t="s">
        <v>2195</v>
      </c>
      <c r="F896" t="s">
        <v>44</v>
      </c>
      <c r="G896">
        <v>4059</v>
      </c>
      <c r="H896" t="s">
        <v>48</v>
      </c>
      <c r="I896" t="s">
        <v>1119</v>
      </c>
      <c r="J896">
        <v>8</v>
      </c>
      <c r="K896">
        <v>1</v>
      </c>
      <c r="L896">
        <v>1.4351851851851852E-3</v>
      </c>
      <c r="M896" t="s">
        <v>117</v>
      </c>
      <c r="N896" t="s">
        <v>159</v>
      </c>
      <c r="O896" s="24">
        <v>46109</v>
      </c>
      <c r="P896">
        <v>605</v>
      </c>
      <c r="Q896" t="s">
        <v>34</v>
      </c>
      <c r="R896" s="24">
        <v>46113</v>
      </c>
      <c r="S896" s="51">
        <v>2.7777777777777776E-2</v>
      </c>
      <c r="T896" s="51">
        <v>4.5138888888888888E-2</v>
      </c>
      <c r="X896" t="s">
        <v>193</v>
      </c>
      <c r="Y896" t="s">
        <v>3032</v>
      </c>
    </row>
    <row r="897" spans="1:26" x14ac:dyDescent="0.25">
      <c r="A897">
        <v>893</v>
      </c>
      <c r="B897" t="s">
        <v>24</v>
      </c>
      <c r="C897" t="s">
        <v>25</v>
      </c>
      <c r="D897">
        <v>13</v>
      </c>
      <c r="E897" t="s">
        <v>1665</v>
      </c>
      <c r="F897" t="s">
        <v>115</v>
      </c>
      <c r="G897">
        <v>4060</v>
      </c>
      <c r="H897" t="s">
        <v>2113</v>
      </c>
      <c r="I897" t="s">
        <v>2111</v>
      </c>
      <c r="J897">
        <v>8</v>
      </c>
      <c r="K897">
        <v>1</v>
      </c>
      <c r="L897">
        <v>6.0185185185185179E-4</v>
      </c>
      <c r="M897" t="s">
        <v>117</v>
      </c>
      <c r="N897" t="s">
        <v>239</v>
      </c>
      <c r="O897" s="24">
        <v>46114</v>
      </c>
      <c r="P897">
        <v>605</v>
      </c>
      <c r="Q897" t="s">
        <v>34</v>
      </c>
      <c r="R897" s="24">
        <v>46136</v>
      </c>
      <c r="S897" s="51">
        <v>0.47986111111111113</v>
      </c>
      <c r="T897" s="51">
        <v>0.48958333333333331</v>
      </c>
      <c r="X897" t="s">
        <v>3176</v>
      </c>
      <c r="Y897" t="s">
        <v>3029</v>
      </c>
      <c r="Z897">
        <v>1786246</v>
      </c>
    </row>
    <row r="898" spans="1:26" x14ac:dyDescent="0.25">
      <c r="A898">
        <v>894</v>
      </c>
      <c r="B898" t="s">
        <v>24</v>
      </c>
      <c r="C898" t="s">
        <v>25</v>
      </c>
      <c r="D898">
        <v>13</v>
      </c>
      <c r="E898" t="s">
        <v>1672</v>
      </c>
      <c r="F898" t="s">
        <v>498</v>
      </c>
      <c r="G898">
        <v>4060</v>
      </c>
      <c r="H898" t="s">
        <v>2055</v>
      </c>
      <c r="I898" t="s">
        <v>2056</v>
      </c>
      <c r="J898">
        <v>8</v>
      </c>
      <c r="K898">
        <v>3</v>
      </c>
      <c r="L898">
        <v>2.6273148148148145E-3</v>
      </c>
      <c r="M898" t="s">
        <v>117</v>
      </c>
      <c r="N898" t="s">
        <v>239</v>
      </c>
      <c r="O898" s="24">
        <v>46114</v>
      </c>
      <c r="P898">
        <v>605</v>
      </c>
      <c r="Q898" t="s">
        <v>34</v>
      </c>
      <c r="R898" s="24">
        <v>46136</v>
      </c>
      <c r="S898" s="51">
        <v>0.47986111111111113</v>
      </c>
      <c r="T898" s="51">
        <v>0.48958333333333331</v>
      </c>
      <c r="X898" t="s">
        <v>3176</v>
      </c>
      <c r="Y898" t="s">
        <v>3029</v>
      </c>
      <c r="Z898">
        <v>1786246</v>
      </c>
    </row>
    <row r="899" spans="1:26" x14ac:dyDescent="0.25">
      <c r="A899">
        <v>895</v>
      </c>
      <c r="B899" t="s">
        <v>24</v>
      </c>
      <c r="C899" t="s">
        <v>25</v>
      </c>
      <c r="D899">
        <v>13</v>
      </c>
      <c r="E899" t="s">
        <v>367</v>
      </c>
      <c r="F899" t="s">
        <v>367</v>
      </c>
      <c r="G899">
        <v>4060</v>
      </c>
      <c r="H899" t="s">
        <v>2328</v>
      </c>
      <c r="I899" t="s">
        <v>2329</v>
      </c>
      <c r="J899">
        <v>8</v>
      </c>
      <c r="K899">
        <v>1</v>
      </c>
      <c r="L899">
        <v>6.9444444444444436E-4</v>
      </c>
      <c r="M899" t="s">
        <v>117</v>
      </c>
      <c r="N899" t="s">
        <v>239</v>
      </c>
      <c r="O899" s="24">
        <v>46114</v>
      </c>
      <c r="P899">
        <v>605</v>
      </c>
      <c r="Q899" t="s">
        <v>34</v>
      </c>
      <c r="R899" s="24">
        <v>46136</v>
      </c>
      <c r="S899" s="51">
        <v>0.47986111111111113</v>
      </c>
      <c r="T899" s="51">
        <v>0.48958333333333331</v>
      </c>
      <c r="X899" t="s">
        <v>3176</v>
      </c>
      <c r="Y899" t="s">
        <v>3029</v>
      </c>
      <c r="Z899">
        <v>1786246</v>
      </c>
    </row>
    <row r="900" spans="1:26" x14ac:dyDescent="0.25">
      <c r="A900">
        <v>896</v>
      </c>
      <c r="B900" t="s">
        <v>24</v>
      </c>
      <c r="C900" t="s">
        <v>25</v>
      </c>
      <c r="D900">
        <v>13</v>
      </c>
      <c r="E900" t="s">
        <v>65</v>
      </c>
      <c r="F900" t="s">
        <v>65</v>
      </c>
      <c r="G900">
        <v>3453</v>
      </c>
      <c r="H900" t="s">
        <v>2085</v>
      </c>
      <c r="I900" t="s">
        <v>2086</v>
      </c>
      <c r="J900">
        <v>8</v>
      </c>
      <c r="K900">
        <v>1</v>
      </c>
      <c r="L900">
        <v>6.8287037037037036E-4</v>
      </c>
      <c r="M900" t="s">
        <v>117</v>
      </c>
      <c r="N900" t="s">
        <v>239</v>
      </c>
      <c r="O900" s="24">
        <v>46114</v>
      </c>
      <c r="P900">
        <v>605</v>
      </c>
      <c r="Q900" t="s">
        <v>34</v>
      </c>
      <c r="R900" s="24">
        <v>46136</v>
      </c>
      <c r="S900" s="51">
        <v>0.43055555555555558</v>
      </c>
      <c r="T900" s="51">
        <v>0.43958333333333333</v>
      </c>
      <c r="X900" t="s">
        <v>3129</v>
      </c>
      <c r="Y900" t="s">
        <v>3029</v>
      </c>
      <c r="Z900">
        <v>2733740</v>
      </c>
    </row>
    <row r="901" spans="1:26" x14ac:dyDescent="0.25">
      <c r="A901">
        <v>897</v>
      </c>
      <c r="B901" t="s">
        <v>24</v>
      </c>
      <c r="C901" t="s">
        <v>25</v>
      </c>
      <c r="D901">
        <v>13</v>
      </c>
      <c r="E901" t="s">
        <v>152</v>
      </c>
      <c r="F901" t="s">
        <v>152</v>
      </c>
      <c r="G901">
        <v>4269</v>
      </c>
      <c r="H901" t="s">
        <v>2613</v>
      </c>
      <c r="I901" t="s">
        <v>1976</v>
      </c>
      <c r="J901">
        <v>12</v>
      </c>
      <c r="K901">
        <v>2</v>
      </c>
      <c r="L901">
        <v>7.5347222222222222E-3</v>
      </c>
      <c r="M901" t="s">
        <v>117</v>
      </c>
      <c r="N901" t="s">
        <v>663</v>
      </c>
      <c r="O901" s="24">
        <v>46125</v>
      </c>
      <c r="P901">
        <v>606</v>
      </c>
      <c r="Q901" t="s">
        <v>34</v>
      </c>
      <c r="R901" s="24">
        <v>46136</v>
      </c>
      <c r="S901" s="51">
        <v>0.3923611111111111</v>
      </c>
      <c r="T901" s="51">
        <v>0.41458333333333336</v>
      </c>
      <c r="X901" t="s">
        <v>3171</v>
      </c>
      <c r="Y901" t="s">
        <v>3029</v>
      </c>
      <c r="Z901">
        <v>1781427</v>
      </c>
    </row>
    <row r="902" spans="1:26" x14ac:dyDescent="0.25">
      <c r="A902">
        <v>898</v>
      </c>
      <c r="B902" t="s">
        <v>24</v>
      </c>
      <c r="C902" t="s">
        <v>25</v>
      </c>
      <c r="D902">
        <v>13</v>
      </c>
      <c r="E902" t="s">
        <v>1665</v>
      </c>
      <c r="F902" t="s">
        <v>512</v>
      </c>
      <c r="G902">
        <v>4335</v>
      </c>
      <c r="H902" t="s">
        <v>2034</v>
      </c>
      <c r="I902" t="s">
        <v>1897</v>
      </c>
      <c r="J902">
        <v>12</v>
      </c>
      <c r="K902">
        <v>1</v>
      </c>
      <c r="L902">
        <v>5.3240740740740744E-4</v>
      </c>
      <c r="M902" t="s">
        <v>117</v>
      </c>
      <c r="N902" t="s">
        <v>663</v>
      </c>
      <c r="O902" s="24">
        <v>46125</v>
      </c>
      <c r="P902">
        <v>606</v>
      </c>
      <c r="Q902" t="s">
        <v>34</v>
      </c>
      <c r="R902" s="24">
        <v>46136</v>
      </c>
      <c r="S902" s="51">
        <v>0.57847222222222228</v>
      </c>
      <c r="T902" s="51">
        <v>0.6020833333333333</v>
      </c>
      <c r="X902" t="s">
        <v>3205</v>
      </c>
      <c r="Y902" t="s">
        <v>3029</v>
      </c>
      <c r="Z902">
        <v>1781427</v>
      </c>
    </row>
    <row r="903" spans="1:26" x14ac:dyDescent="0.25">
      <c r="A903">
        <v>899</v>
      </c>
      <c r="B903" t="s">
        <v>24</v>
      </c>
      <c r="C903" t="s">
        <v>25</v>
      </c>
      <c r="D903">
        <v>13</v>
      </c>
      <c r="E903" t="s">
        <v>1665</v>
      </c>
      <c r="F903" t="s">
        <v>512</v>
      </c>
      <c r="G903">
        <v>4335</v>
      </c>
      <c r="H903" t="s">
        <v>1896</v>
      </c>
      <c r="I903" t="s">
        <v>1897</v>
      </c>
      <c r="J903">
        <v>12</v>
      </c>
      <c r="K903">
        <v>1</v>
      </c>
      <c r="L903">
        <v>5.3240740740740744E-4</v>
      </c>
      <c r="M903" t="s">
        <v>117</v>
      </c>
      <c r="N903" t="s">
        <v>663</v>
      </c>
      <c r="O903" s="24">
        <v>46125</v>
      </c>
      <c r="P903">
        <v>606</v>
      </c>
      <c r="Q903" t="s">
        <v>34</v>
      </c>
      <c r="R903" s="24">
        <v>46136</v>
      </c>
      <c r="S903" s="51">
        <v>0.57847222222222228</v>
      </c>
      <c r="T903" s="51">
        <v>0.6020833333333333</v>
      </c>
      <c r="X903" t="s">
        <v>3205</v>
      </c>
      <c r="Y903" t="s">
        <v>3029</v>
      </c>
      <c r="Z903">
        <v>1781427</v>
      </c>
    </row>
    <row r="904" spans="1:26" x14ac:dyDescent="0.25">
      <c r="A904">
        <v>900</v>
      </c>
      <c r="B904" t="s">
        <v>24</v>
      </c>
      <c r="C904" t="s">
        <v>25</v>
      </c>
      <c r="D904">
        <v>13</v>
      </c>
      <c r="E904" t="s">
        <v>1665</v>
      </c>
      <c r="F904" t="s">
        <v>115</v>
      </c>
      <c r="G904">
        <v>4335</v>
      </c>
      <c r="H904" t="s">
        <v>1898</v>
      </c>
      <c r="I904" t="s">
        <v>1899</v>
      </c>
      <c r="J904">
        <v>12</v>
      </c>
      <c r="K904">
        <v>7</v>
      </c>
      <c r="L904">
        <v>6.8055555555555551E-3</v>
      </c>
      <c r="M904" t="s">
        <v>117</v>
      </c>
      <c r="N904" t="s">
        <v>663</v>
      </c>
      <c r="O904" s="24">
        <v>46125</v>
      </c>
      <c r="P904">
        <v>606</v>
      </c>
      <c r="Q904" t="s">
        <v>34</v>
      </c>
      <c r="R904" s="24">
        <v>46136</v>
      </c>
      <c r="S904" s="51">
        <v>0.57847222222222228</v>
      </c>
      <c r="T904" s="51">
        <v>0.6020833333333333</v>
      </c>
      <c r="X904" t="s">
        <v>3205</v>
      </c>
      <c r="Y904" t="s">
        <v>3029</v>
      </c>
      <c r="Z904">
        <v>1781427</v>
      </c>
    </row>
    <row r="905" spans="1:26" x14ac:dyDescent="0.25">
      <c r="A905">
        <v>901</v>
      </c>
      <c r="B905" t="s">
        <v>24</v>
      </c>
      <c r="C905" t="s">
        <v>25</v>
      </c>
      <c r="D905">
        <v>13</v>
      </c>
      <c r="E905" t="s">
        <v>152</v>
      </c>
      <c r="F905" t="s">
        <v>152</v>
      </c>
      <c r="G905">
        <v>4335</v>
      </c>
      <c r="H905" t="s">
        <v>2613</v>
      </c>
      <c r="I905" t="s">
        <v>1976</v>
      </c>
      <c r="J905">
        <v>12</v>
      </c>
      <c r="K905">
        <v>1</v>
      </c>
      <c r="L905">
        <v>3.0324074074074073E-3</v>
      </c>
      <c r="M905" t="s">
        <v>117</v>
      </c>
      <c r="N905" t="s">
        <v>663</v>
      </c>
      <c r="O905" s="24">
        <v>46125</v>
      </c>
      <c r="P905">
        <v>606</v>
      </c>
      <c r="Q905" t="s">
        <v>34</v>
      </c>
      <c r="R905" s="24">
        <v>46136</v>
      </c>
      <c r="S905" s="51">
        <v>0.57847222222222228</v>
      </c>
      <c r="T905" s="51">
        <v>0.6020833333333333</v>
      </c>
      <c r="X905" t="s">
        <v>3205</v>
      </c>
      <c r="Y905" t="s">
        <v>3029</v>
      </c>
      <c r="Z905">
        <v>1781427</v>
      </c>
    </row>
    <row r="906" spans="1:26" x14ac:dyDescent="0.25">
      <c r="A906">
        <v>902</v>
      </c>
      <c r="B906" t="s">
        <v>24</v>
      </c>
      <c r="C906" t="s">
        <v>25</v>
      </c>
      <c r="D906">
        <v>13</v>
      </c>
      <c r="E906" t="s">
        <v>152</v>
      </c>
      <c r="F906" t="s">
        <v>152</v>
      </c>
      <c r="G906">
        <v>4335</v>
      </c>
      <c r="H906" t="s">
        <v>2615</v>
      </c>
      <c r="I906" t="s">
        <v>2616</v>
      </c>
      <c r="J906">
        <v>12</v>
      </c>
      <c r="K906">
        <v>2</v>
      </c>
      <c r="L906">
        <v>6.7939814814814816E-3</v>
      </c>
      <c r="M906" t="s">
        <v>117</v>
      </c>
      <c r="N906" t="s">
        <v>663</v>
      </c>
      <c r="O906" s="24">
        <v>46125</v>
      </c>
      <c r="P906">
        <v>606</v>
      </c>
      <c r="Q906" t="s">
        <v>34</v>
      </c>
      <c r="R906" s="24">
        <v>46136</v>
      </c>
      <c r="S906" s="51">
        <v>0.57847222222222228</v>
      </c>
      <c r="T906" s="51">
        <v>0.6020833333333333</v>
      </c>
      <c r="X906" t="s">
        <v>3205</v>
      </c>
      <c r="Y906" t="s">
        <v>3029</v>
      </c>
      <c r="Z906">
        <v>1781427</v>
      </c>
    </row>
    <row r="907" spans="1:26" x14ac:dyDescent="0.25">
      <c r="A907">
        <v>903</v>
      </c>
      <c r="B907" t="s">
        <v>24</v>
      </c>
      <c r="C907" t="s">
        <v>25</v>
      </c>
      <c r="D907">
        <v>13</v>
      </c>
      <c r="E907" t="s">
        <v>152</v>
      </c>
      <c r="F907" t="s">
        <v>152</v>
      </c>
      <c r="G907">
        <v>4336</v>
      </c>
      <c r="H907" t="s">
        <v>629</v>
      </c>
      <c r="I907" t="s">
        <v>630</v>
      </c>
      <c r="J907">
        <v>12</v>
      </c>
      <c r="K907">
        <v>1</v>
      </c>
      <c r="L907">
        <v>5.4282407407407404E-3</v>
      </c>
      <c r="M907" t="s">
        <v>117</v>
      </c>
      <c r="N907" t="s">
        <v>572</v>
      </c>
      <c r="O907" s="24">
        <v>46118</v>
      </c>
      <c r="P907">
        <v>605</v>
      </c>
      <c r="Q907" t="s">
        <v>34</v>
      </c>
      <c r="R907" s="24">
        <v>46136</v>
      </c>
      <c r="S907" s="51">
        <v>0.44097222222222221</v>
      </c>
      <c r="T907" s="51">
        <v>0.4513888888888889</v>
      </c>
      <c r="X907" t="s">
        <v>3206</v>
      </c>
      <c r="Y907" t="s">
        <v>3029</v>
      </c>
      <c r="Z907">
        <v>2777698</v>
      </c>
    </row>
    <row r="908" spans="1:26" x14ac:dyDescent="0.25">
      <c r="A908">
        <v>904</v>
      </c>
      <c r="B908" t="s">
        <v>24</v>
      </c>
      <c r="C908" t="s">
        <v>25</v>
      </c>
      <c r="D908">
        <v>13</v>
      </c>
      <c r="E908" t="s">
        <v>152</v>
      </c>
      <c r="F908" t="s">
        <v>152</v>
      </c>
      <c r="G908">
        <v>4339</v>
      </c>
      <c r="H908" t="s">
        <v>634</v>
      </c>
      <c r="I908" t="s">
        <v>630</v>
      </c>
      <c r="J908">
        <v>12</v>
      </c>
      <c r="K908">
        <v>1</v>
      </c>
      <c r="L908">
        <v>5.4398148148148149E-3</v>
      </c>
      <c r="M908" t="s">
        <v>117</v>
      </c>
      <c r="N908" t="s">
        <v>572</v>
      </c>
      <c r="O908" s="24">
        <v>46118</v>
      </c>
      <c r="P908">
        <v>605</v>
      </c>
      <c r="Q908" t="s">
        <v>34</v>
      </c>
      <c r="R908" s="24">
        <v>46136</v>
      </c>
      <c r="S908" s="51">
        <v>0.48055555555555557</v>
      </c>
      <c r="T908" s="51">
        <v>0.49305555555555558</v>
      </c>
      <c r="X908" t="s">
        <v>3207</v>
      </c>
      <c r="Y908" t="s">
        <v>3029</v>
      </c>
      <c r="Z908">
        <v>2777698</v>
      </c>
    </row>
    <row r="909" spans="1:26" x14ac:dyDescent="0.25">
      <c r="A909">
        <v>905</v>
      </c>
      <c r="B909" t="s">
        <v>24</v>
      </c>
      <c r="C909" t="s">
        <v>25</v>
      </c>
      <c r="D909">
        <v>13</v>
      </c>
      <c r="E909" t="s">
        <v>152</v>
      </c>
      <c r="F909" t="s">
        <v>152</v>
      </c>
      <c r="G909">
        <v>4340</v>
      </c>
      <c r="H909" t="s">
        <v>634</v>
      </c>
      <c r="I909" t="s">
        <v>630</v>
      </c>
      <c r="J909">
        <v>12</v>
      </c>
      <c r="K909">
        <v>1</v>
      </c>
      <c r="L909">
        <v>5.4398148148148149E-3</v>
      </c>
      <c r="M909" t="s">
        <v>117</v>
      </c>
      <c r="N909" t="s">
        <v>572</v>
      </c>
      <c r="O909" s="24">
        <v>46118</v>
      </c>
      <c r="P909">
        <v>605</v>
      </c>
      <c r="Q909" t="s">
        <v>34</v>
      </c>
      <c r="R909" s="24">
        <v>46136</v>
      </c>
      <c r="S909" s="51">
        <v>0.54305555555555551</v>
      </c>
      <c r="T909" s="51">
        <v>0.55277777777777781</v>
      </c>
      <c r="X909" t="s">
        <v>3208</v>
      </c>
      <c r="Y909" t="s">
        <v>3029</v>
      </c>
      <c r="Z909">
        <v>2777698</v>
      </c>
    </row>
    <row r="910" spans="1:26" x14ac:dyDescent="0.25">
      <c r="A910">
        <v>906</v>
      </c>
      <c r="B910" t="s">
        <v>24</v>
      </c>
      <c r="C910" t="s">
        <v>25</v>
      </c>
      <c r="D910">
        <v>13</v>
      </c>
      <c r="E910" t="s">
        <v>152</v>
      </c>
      <c r="F910" t="s">
        <v>152</v>
      </c>
      <c r="G910">
        <v>4337</v>
      </c>
      <c r="H910" t="s">
        <v>629</v>
      </c>
      <c r="I910" t="s">
        <v>630</v>
      </c>
      <c r="J910">
        <v>12</v>
      </c>
      <c r="K910">
        <v>1</v>
      </c>
      <c r="L910">
        <v>5.4398148148148149E-3</v>
      </c>
      <c r="M910" t="s">
        <v>117</v>
      </c>
      <c r="N910" t="s">
        <v>572</v>
      </c>
      <c r="O910" s="24">
        <v>46118</v>
      </c>
      <c r="P910">
        <v>605</v>
      </c>
      <c r="Q910" t="s">
        <v>34</v>
      </c>
      <c r="R910" s="24">
        <v>46136</v>
      </c>
      <c r="S910" s="51">
        <v>0.45277777777777778</v>
      </c>
      <c r="T910" s="51">
        <v>0.46527777777777779</v>
      </c>
      <c r="X910" t="s">
        <v>3209</v>
      </c>
      <c r="Y910" t="s">
        <v>3029</v>
      </c>
      <c r="Z910">
        <v>2777698</v>
      </c>
    </row>
    <row r="911" spans="1:26" x14ac:dyDescent="0.25">
      <c r="A911">
        <v>907</v>
      </c>
      <c r="B911" t="s">
        <v>24</v>
      </c>
      <c r="C911" t="s">
        <v>25</v>
      </c>
      <c r="D911">
        <v>13</v>
      </c>
      <c r="E911" t="s">
        <v>152</v>
      </c>
      <c r="F911" t="s">
        <v>152</v>
      </c>
      <c r="G911">
        <v>4341</v>
      </c>
      <c r="H911" t="s">
        <v>634</v>
      </c>
      <c r="I911" t="s">
        <v>630</v>
      </c>
      <c r="J911">
        <v>12</v>
      </c>
      <c r="K911">
        <v>1</v>
      </c>
      <c r="L911">
        <v>5.4398148148148149E-3</v>
      </c>
      <c r="M911" t="s">
        <v>117</v>
      </c>
      <c r="N911" t="s">
        <v>572</v>
      </c>
      <c r="O911" s="24">
        <v>46118</v>
      </c>
      <c r="P911">
        <v>605</v>
      </c>
      <c r="Q911" t="s">
        <v>34</v>
      </c>
      <c r="R911" s="24">
        <v>46136</v>
      </c>
      <c r="S911" s="51">
        <v>0.55555555555555558</v>
      </c>
      <c r="T911" s="51">
        <v>0.56944444444444442</v>
      </c>
      <c r="X911" t="s">
        <v>3210</v>
      </c>
      <c r="Y911" t="s">
        <v>3029</v>
      </c>
      <c r="Z911">
        <v>2777698</v>
      </c>
    </row>
    <row r="912" spans="1:26" x14ac:dyDescent="0.25">
      <c r="A912">
        <v>908</v>
      </c>
      <c r="B912" t="s">
        <v>24</v>
      </c>
      <c r="C912" t="s">
        <v>25</v>
      </c>
      <c r="D912">
        <v>13</v>
      </c>
      <c r="E912" t="s">
        <v>152</v>
      </c>
      <c r="F912" t="s">
        <v>152</v>
      </c>
      <c r="G912">
        <v>4338</v>
      </c>
      <c r="H912" t="s">
        <v>629</v>
      </c>
      <c r="I912" t="s">
        <v>630</v>
      </c>
      <c r="J912">
        <v>12</v>
      </c>
      <c r="K912">
        <v>1</v>
      </c>
      <c r="L912">
        <v>5.4398148148148149E-3</v>
      </c>
      <c r="M912" t="s">
        <v>117</v>
      </c>
      <c r="N912" t="s">
        <v>572</v>
      </c>
      <c r="O912" s="24">
        <v>46118</v>
      </c>
      <c r="P912">
        <v>605</v>
      </c>
      <c r="Q912" t="s">
        <v>34</v>
      </c>
      <c r="R912" s="24">
        <v>46136</v>
      </c>
      <c r="S912" s="51">
        <v>0.46666666666666667</v>
      </c>
      <c r="T912" s="51">
        <v>0.47916666666666669</v>
      </c>
      <c r="X912" t="s">
        <v>3211</v>
      </c>
      <c r="Y912" t="s">
        <v>3029</v>
      </c>
      <c r="Z912">
        <v>2777698</v>
      </c>
    </row>
    <row r="913" spans="1:26" x14ac:dyDescent="0.25">
      <c r="A913">
        <v>909</v>
      </c>
      <c r="B913" t="s">
        <v>24</v>
      </c>
      <c r="C913" t="s">
        <v>25</v>
      </c>
      <c r="D913">
        <v>13</v>
      </c>
      <c r="E913" t="s">
        <v>152</v>
      </c>
      <c r="F913" t="s">
        <v>152</v>
      </c>
      <c r="G913">
        <v>4344</v>
      </c>
      <c r="H913" t="s">
        <v>643</v>
      </c>
      <c r="I913" t="s">
        <v>644</v>
      </c>
      <c r="J913">
        <v>12</v>
      </c>
      <c r="K913">
        <v>1</v>
      </c>
      <c r="L913">
        <v>5.4050925925925924E-3</v>
      </c>
      <c r="M913" t="s">
        <v>117</v>
      </c>
      <c r="N913" t="s">
        <v>572</v>
      </c>
      <c r="O913" s="24">
        <v>46118</v>
      </c>
      <c r="P913">
        <v>605</v>
      </c>
      <c r="Q913" t="s">
        <v>34</v>
      </c>
      <c r="R913" s="24">
        <v>46136</v>
      </c>
      <c r="S913" s="51">
        <v>0.59930555555555554</v>
      </c>
      <c r="T913" s="51">
        <v>0.61111111111111116</v>
      </c>
      <c r="X913" t="s">
        <v>3212</v>
      </c>
      <c r="Y913" t="s">
        <v>3029</v>
      </c>
      <c r="Z913">
        <v>2777698</v>
      </c>
    </row>
    <row r="914" spans="1:26" x14ac:dyDescent="0.25">
      <c r="A914">
        <v>910</v>
      </c>
      <c r="B914" t="s">
        <v>24</v>
      </c>
      <c r="C914" t="s">
        <v>25</v>
      </c>
      <c r="D914">
        <v>13</v>
      </c>
      <c r="E914" t="s">
        <v>152</v>
      </c>
      <c r="F914" t="s">
        <v>152</v>
      </c>
      <c r="G914">
        <v>4342</v>
      </c>
      <c r="H914" t="s">
        <v>643</v>
      </c>
      <c r="I914" t="s">
        <v>644</v>
      </c>
      <c r="J914">
        <v>12</v>
      </c>
      <c r="K914">
        <v>1</v>
      </c>
      <c r="L914">
        <v>5.4050925925925924E-3</v>
      </c>
      <c r="M914" t="s">
        <v>117</v>
      </c>
      <c r="N914" t="s">
        <v>572</v>
      </c>
      <c r="O914" s="24">
        <v>46118</v>
      </c>
      <c r="P914">
        <v>605</v>
      </c>
      <c r="Q914" t="s">
        <v>34</v>
      </c>
      <c r="R914" s="24">
        <v>46136</v>
      </c>
      <c r="S914" s="51">
        <v>0.57152777777777775</v>
      </c>
      <c r="T914" s="51">
        <v>0.58333333333333337</v>
      </c>
      <c r="X914" t="s">
        <v>3213</v>
      </c>
      <c r="Y914" t="s">
        <v>3029</v>
      </c>
      <c r="Z914">
        <v>2777698</v>
      </c>
    </row>
    <row r="915" spans="1:26" x14ac:dyDescent="0.25">
      <c r="A915">
        <v>911</v>
      </c>
      <c r="B915" t="s">
        <v>24</v>
      </c>
      <c r="C915" t="s">
        <v>25</v>
      </c>
      <c r="D915">
        <v>13</v>
      </c>
      <c r="E915" t="s">
        <v>152</v>
      </c>
      <c r="F915" t="s">
        <v>152</v>
      </c>
      <c r="G915">
        <v>4343</v>
      </c>
      <c r="H915" t="s">
        <v>643</v>
      </c>
      <c r="I915" t="s">
        <v>644</v>
      </c>
      <c r="J915">
        <v>12</v>
      </c>
      <c r="K915">
        <v>1</v>
      </c>
      <c r="L915">
        <v>5.4050925925925924E-3</v>
      </c>
      <c r="M915" t="s">
        <v>117</v>
      </c>
      <c r="N915" t="s">
        <v>572</v>
      </c>
      <c r="O915" s="24">
        <v>46118</v>
      </c>
      <c r="P915">
        <v>605</v>
      </c>
      <c r="Q915" t="s">
        <v>34</v>
      </c>
      <c r="R915" s="24">
        <v>46136</v>
      </c>
      <c r="S915" s="51">
        <v>0.58472222222222225</v>
      </c>
      <c r="T915" s="51">
        <v>0.59722222222222221</v>
      </c>
      <c r="X915" t="s">
        <v>3214</v>
      </c>
      <c r="Y915" t="s">
        <v>3029</v>
      </c>
      <c r="Z915">
        <v>2777698</v>
      </c>
    </row>
    <row r="916" spans="1:26" x14ac:dyDescent="0.25">
      <c r="A916">
        <v>912</v>
      </c>
      <c r="B916" t="s">
        <v>24</v>
      </c>
      <c r="C916" t="s">
        <v>25</v>
      </c>
      <c r="D916">
        <v>13</v>
      </c>
      <c r="E916" t="s">
        <v>1585</v>
      </c>
      <c r="F916" t="s">
        <v>1585</v>
      </c>
      <c r="G916">
        <v>4519</v>
      </c>
      <c r="H916" t="s">
        <v>1635</v>
      </c>
      <c r="I916" t="s">
        <v>1636</v>
      </c>
      <c r="J916">
        <v>16</v>
      </c>
      <c r="K916">
        <v>1</v>
      </c>
      <c r="L916">
        <v>1.1226851851851851E-3</v>
      </c>
      <c r="M916" t="s">
        <v>117</v>
      </c>
      <c r="N916" t="s">
        <v>446</v>
      </c>
      <c r="O916" s="24">
        <v>46118</v>
      </c>
      <c r="P916">
        <v>606</v>
      </c>
      <c r="Q916" t="s">
        <v>34</v>
      </c>
      <c r="R916" s="24">
        <v>46113</v>
      </c>
      <c r="S916" s="51">
        <v>0.57986111111111116</v>
      </c>
      <c r="T916" s="51">
        <v>0.61805555555555558</v>
      </c>
      <c r="X916" t="s">
        <v>3215</v>
      </c>
      <c r="Y916" t="s">
        <v>3035</v>
      </c>
      <c r="Z916">
        <v>2777669</v>
      </c>
    </row>
    <row r="917" spans="1:26" x14ac:dyDescent="0.25">
      <c r="A917">
        <v>913</v>
      </c>
      <c r="B917" t="s">
        <v>24</v>
      </c>
      <c r="C917" t="s">
        <v>25</v>
      </c>
      <c r="D917">
        <v>13</v>
      </c>
      <c r="E917" t="s">
        <v>530</v>
      </c>
      <c r="F917" t="s">
        <v>512</v>
      </c>
      <c r="G917">
        <v>4519</v>
      </c>
      <c r="H917" t="s">
        <v>2078</v>
      </c>
      <c r="I917" t="s">
        <v>2079</v>
      </c>
      <c r="J917">
        <v>16</v>
      </c>
      <c r="K917">
        <v>1</v>
      </c>
      <c r="L917">
        <v>9.9537037037037042E-4</v>
      </c>
      <c r="M917" t="s">
        <v>117</v>
      </c>
      <c r="N917" t="s">
        <v>446</v>
      </c>
      <c r="O917" s="24">
        <v>46118</v>
      </c>
      <c r="P917">
        <v>606</v>
      </c>
      <c r="Q917" t="s">
        <v>34</v>
      </c>
      <c r="R917" s="24">
        <v>46113</v>
      </c>
      <c r="S917" s="51">
        <v>0.57986111111111116</v>
      </c>
      <c r="T917" s="51">
        <v>0.61805555555555558</v>
      </c>
      <c r="X917" t="s">
        <v>3215</v>
      </c>
      <c r="Y917" t="s">
        <v>3035</v>
      </c>
      <c r="Z917">
        <v>2777669</v>
      </c>
    </row>
    <row r="918" spans="1:26" x14ac:dyDescent="0.25">
      <c r="A918">
        <v>914</v>
      </c>
      <c r="B918" t="s">
        <v>24</v>
      </c>
      <c r="C918" t="s">
        <v>25</v>
      </c>
      <c r="D918">
        <v>13</v>
      </c>
      <c r="E918" t="s">
        <v>1588</v>
      </c>
      <c r="F918" t="s">
        <v>512</v>
      </c>
      <c r="G918">
        <v>4519</v>
      </c>
      <c r="H918" t="s">
        <v>2627</v>
      </c>
      <c r="I918" t="s">
        <v>2628</v>
      </c>
      <c r="J918">
        <v>16</v>
      </c>
      <c r="K918">
        <v>2</v>
      </c>
      <c r="L918">
        <v>2.4305555555555556E-3</v>
      </c>
      <c r="M918" t="s">
        <v>117</v>
      </c>
      <c r="N918" t="s">
        <v>446</v>
      </c>
      <c r="O918" s="24">
        <v>46118</v>
      </c>
      <c r="P918">
        <v>606</v>
      </c>
      <c r="Q918" t="s">
        <v>34</v>
      </c>
      <c r="R918" s="24">
        <v>46113</v>
      </c>
      <c r="S918" s="51">
        <v>0.57986111111111116</v>
      </c>
      <c r="T918" s="51">
        <v>0.61805555555555558</v>
      </c>
      <c r="X918" t="s">
        <v>3215</v>
      </c>
      <c r="Y918" t="s">
        <v>3035</v>
      </c>
      <c r="Z918">
        <v>2777669</v>
      </c>
    </row>
    <row r="919" spans="1:26" x14ac:dyDescent="0.25">
      <c r="A919">
        <v>915</v>
      </c>
      <c r="B919" t="s">
        <v>24</v>
      </c>
      <c r="C919" t="s">
        <v>25</v>
      </c>
      <c r="D919">
        <v>13</v>
      </c>
      <c r="E919" t="s">
        <v>367</v>
      </c>
      <c r="F919" t="s">
        <v>427</v>
      </c>
      <c r="G919">
        <v>4519</v>
      </c>
      <c r="H919" t="s">
        <v>2629</v>
      </c>
      <c r="I919" t="s">
        <v>2630</v>
      </c>
      <c r="J919">
        <v>16</v>
      </c>
      <c r="K919">
        <v>1</v>
      </c>
      <c r="L919">
        <v>1.2962962962962963E-3</v>
      </c>
      <c r="M919" t="s">
        <v>117</v>
      </c>
      <c r="N919" t="s">
        <v>446</v>
      </c>
      <c r="O919" s="24">
        <v>46118</v>
      </c>
      <c r="P919">
        <v>606</v>
      </c>
      <c r="Q919" t="s">
        <v>34</v>
      </c>
      <c r="R919" s="24">
        <v>46113</v>
      </c>
      <c r="S919" s="51">
        <v>0.57986111111111116</v>
      </c>
      <c r="T919" s="51">
        <v>0.61805555555555558</v>
      </c>
      <c r="X919" t="s">
        <v>3215</v>
      </c>
      <c r="Y919" t="s">
        <v>3035</v>
      </c>
      <c r="Z919">
        <v>2777669</v>
      </c>
    </row>
    <row r="920" spans="1:26" x14ac:dyDescent="0.25">
      <c r="A920">
        <v>916</v>
      </c>
      <c r="B920" t="s">
        <v>24</v>
      </c>
      <c r="C920" t="s">
        <v>25</v>
      </c>
      <c r="D920">
        <v>13</v>
      </c>
      <c r="E920" t="s">
        <v>367</v>
      </c>
      <c r="F920" t="s">
        <v>1595</v>
      </c>
      <c r="G920">
        <v>4519</v>
      </c>
      <c r="H920" t="s">
        <v>2631</v>
      </c>
      <c r="I920" t="s">
        <v>2632</v>
      </c>
      <c r="J920">
        <v>16</v>
      </c>
      <c r="K920">
        <v>1</v>
      </c>
      <c r="L920">
        <v>1.0532407407407407E-3</v>
      </c>
      <c r="M920" t="s">
        <v>117</v>
      </c>
      <c r="N920" t="s">
        <v>446</v>
      </c>
      <c r="O920" s="24">
        <v>46118</v>
      </c>
      <c r="P920">
        <v>606</v>
      </c>
      <c r="Q920" t="s">
        <v>34</v>
      </c>
      <c r="R920" s="24">
        <v>46113</v>
      </c>
      <c r="S920" s="51">
        <v>0.57986111111111116</v>
      </c>
      <c r="T920" s="51">
        <v>0.61805555555555558</v>
      </c>
      <c r="X920" t="s">
        <v>3215</v>
      </c>
      <c r="Y920" t="s">
        <v>3035</v>
      </c>
      <c r="Z920">
        <v>2777669</v>
      </c>
    </row>
    <row r="921" spans="1:26" x14ac:dyDescent="0.25">
      <c r="A921">
        <v>917</v>
      </c>
      <c r="B921" t="s">
        <v>24</v>
      </c>
      <c r="C921" t="s">
        <v>25</v>
      </c>
      <c r="D921">
        <v>13</v>
      </c>
      <c r="E921" t="s">
        <v>367</v>
      </c>
      <c r="F921" t="s">
        <v>512</v>
      </c>
      <c r="G921">
        <v>4519</v>
      </c>
      <c r="H921" t="s">
        <v>1792</v>
      </c>
      <c r="I921" t="s">
        <v>1752</v>
      </c>
      <c r="J921">
        <v>16</v>
      </c>
      <c r="K921">
        <v>1</v>
      </c>
      <c r="L921">
        <v>7.9861111111111105E-4</v>
      </c>
      <c r="M921" t="s">
        <v>117</v>
      </c>
      <c r="N921" t="s">
        <v>446</v>
      </c>
      <c r="O921" s="24">
        <v>46118</v>
      </c>
      <c r="P921">
        <v>606</v>
      </c>
      <c r="Q921" t="s">
        <v>34</v>
      </c>
      <c r="R921" s="24">
        <v>46113</v>
      </c>
      <c r="S921" s="51">
        <v>0.57986111111111116</v>
      </c>
      <c r="T921" s="51">
        <v>0.61805555555555558</v>
      </c>
      <c r="X921" t="s">
        <v>3215</v>
      </c>
      <c r="Y921" t="s">
        <v>3035</v>
      </c>
      <c r="Z921">
        <v>2777669</v>
      </c>
    </row>
    <row r="922" spans="1:26" x14ac:dyDescent="0.25">
      <c r="A922">
        <v>918</v>
      </c>
      <c r="B922" t="s">
        <v>24</v>
      </c>
      <c r="C922" t="s">
        <v>25</v>
      </c>
      <c r="D922">
        <v>13</v>
      </c>
      <c r="E922" t="s">
        <v>367</v>
      </c>
      <c r="F922" t="s">
        <v>512</v>
      </c>
      <c r="G922">
        <v>4519</v>
      </c>
      <c r="H922" t="s">
        <v>1725</v>
      </c>
      <c r="I922" t="s">
        <v>1726</v>
      </c>
      <c r="J922">
        <v>16</v>
      </c>
      <c r="K922">
        <v>1</v>
      </c>
      <c r="L922">
        <v>8.9120370370370362E-4</v>
      </c>
      <c r="M922" t="s">
        <v>117</v>
      </c>
      <c r="N922" t="s">
        <v>446</v>
      </c>
      <c r="O922" s="24">
        <v>46118</v>
      </c>
      <c r="P922">
        <v>606</v>
      </c>
      <c r="Q922" t="s">
        <v>34</v>
      </c>
      <c r="R922" s="24">
        <v>46113</v>
      </c>
      <c r="S922" s="51">
        <v>0.57986111111111116</v>
      </c>
      <c r="T922" s="51">
        <v>0.61805555555555558</v>
      </c>
      <c r="X922" t="s">
        <v>3215</v>
      </c>
      <c r="Y922" t="s">
        <v>3035</v>
      </c>
      <c r="Z922">
        <v>2777669</v>
      </c>
    </row>
    <row r="923" spans="1:26" x14ac:dyDescent="0.25">
      <c r="A923">
        <v>919</v>
      </c>
      <c r="B923" t="s">
        <v>24</v>
      </c>
      <c r="C923" t="s">
        <v>25</v>
      </c>
      <c r="D923">
        <v>13</v>
      </c>
      <c r="E923" t="s">
        <v>367</v>
      </c>
      <c r="F923" t="s">
        <v>512</v>
      </c>
      <c r="G923">
        <v>4519</v>
      </c>
      <c r="H923" t="s">
        <v>1727</v>
      </c>
      <c r="I923" t="s">
        <v>1726</v>
      </c>
      <c r="J923">
        <v>16</v>
      </c>
      <c r="K923">
        <v>1</v>
      </c>
      <c r="L923">
        <v>1.0763888888888889E-3</v>
      </c>
      <c r="M923" t="s">
        <v>117</v>
      </c>
      <c r="N923" t="s">
        <v>446</v>
      </c>
      <c r="O923" s="24">
        <v>46118</v>
      </c>
      <c r="P923">
        <v>606</v>
      </c>
      <c r="Q923" t="s">
        <v>34</v>
      </c>
      <c r="R923" s="24">
        <v>46113</v>
      </c>
      <c r="S923" s="51">
        <v>0.57986111111111116</v>
      </c>
      <c r="T923" s="51">
        <v>0.61805555555555558</v>
      </c>
      <c r="X923" t="s">
        <v>3215</v>
      </c>
      <c r="Y923" t="s">
        <v>3035</v>
      </c>
      <c r="Z923">
        <v>2777669</v>
      </c>
    </row>
    <row r="924" spans="1:26" x14ac:dyDescent="0.25">
      <c r="A924">
        <v>920</v>
      </c>
      <c r="B924" t="s">
        <v>24</v>
      </c>
      <c r="C924" t="s">
        <v>25</v>
      </c>
      <c r="D924">
        <v>13</v>
      </c>
      <c r="E924" t="s">
        <v>65</v>
      </c>
      <c r="F924" t="s">
        <v>512</v>
      </c>
      <c r="G924">
        <v>4519</v>
      </c>
      <c r="H924" t="s">
        <v>2633</v>
      </c>
      <c r="I924" t="s">
        <v>2634</v>
      </c>
      <c r="J924">
        <v>16</v>
      </c>
      <c r="K924">
        <v>1</v>
      </c>
      <c r="L924">
        <v>7.5231481481481482E-4</v>
      </c>
      <c r="M924" t="s">
        <v>117</v>
      </c>
      <c r="N924" t="s">
        <v>446</v>
      </c>
      <c r="O924" s="24">
        <v>46118</v>
      </c>
      <c r="P924">
        <v>606</v>
      </c>
      <c r="Q924" t="s">
        <v>34</v>
      </c>
      <c r="R924" s="24">
        <v>46113</v>
      </c>
      <c r="S924" s="51">
        <v>0.57986111111111116</v>
      </c>
      <c r="T924" s="51">
        <v>0.61805555555555558</v>
      </c>
      <c r="X924" t="s">
        <v>3215</v>
      </c>
      <c r="Y924" t="s">
        <v>3035</v>
      </c>
      <c r="Z924">
        <v>2777669</v>
      </c>
    </row>
    <row r="925" spans="1:26" x14ac:dyDescent="0.25">
      <c r="A925">
        <v>921</v>
      </c>
      <c r="B925" t="s">
        <v>24</v>
      </c>
      <c r="C925" t="s">
        <v>25</v>
      </c>
      <c r="D925">
        <v>13</v>
      </c>
      <c r="E925" t="s">
        <v>65</v>
      </c>
      <c r="F925" t="s">
        <v>512</v>
      </c>
      <c r="G925">
        <v>4519</v>
      </c>
      <c r="H925" t="s">
        <v>2635</v>
      </c>
      <c r="I925" t="s">
        <v>2634</v>
      </c>
      <c r="J925">
        <v>16</v>
      </c>
      <c r="K925">
        <v>1</v>
      </c>
      <c r="L925">
        <v>7.5231481481481482E-4</v>
      </c>
      <c r="M925" t="s">
        <v>117</v>
      </c>
      <c r="N925" t="s">
        <v>446</v>
      </c>
      <c r="O925" s="24">
        <v>46118</v>
      </c>
      <c r="P925">
        <v>606</v>
      </c>
      <c r="Q925" t="s">
        <v>34</v>
      </c>
      <c r="R925" s="24">
        <v>46113</v>
      </c>
      <c r="S925" s="51">
        <v>0.57986111111111116</v>
      </c>
      <c r="T925" s="51">
        <v>0.61805555555555558</v>
      </c>
      <c r="X925" t="s">
        <v>3215</v>
      </c>
      <c r="Y925" t="s">
        <v>3035</v>
      </c>
      <c r="Z925">
        <v>2777669</v>
      </c>
    </row>
    <row r="926" spans="1:26" x14ac:dyDescent="0.25">
      <c r="A926">
        <v>922</v>
      </c>
      <c r="B926" t="s">
        <v>24</v>
      </c>
      <c r="C926" t="s">
        <v>25</v>
      </c>
      <c r="D926">
        <v>13</v>
      </c>
      <c r="E926" t="s">
        <v>65</v>
      </c>
      <c r="F926" t="s">
        <v>368</v>
      </c>
      <c r="G926">
        <v>4519</v>
      </c>
      <c r="H926" t="s">
        <v>1738</v>
      </c>
      <c r="I926" t="s">
        <v>1739</v>
      </c>
      <c r="J926">
        <v>16</v>
      </c>
      <c r="K926">
        <v>5</v>
      </c>
      <c r="L926">
        <v>3.460648148148148E-3</v>
      </c>
      <c r="M926" t="s">
        <v>117</v>
      </c>
      <c r="N926" t="s">
        <v>446</v>
      </c>
      <c r="O926" s="24">
        <v>46118</v>
      </c>
      <c r="P926">
        <v>606</v>
      </c>
      <c r="Q926" t="s">
        <v>34</v>
      </c>
      <c r="R926" s="24">
        <v>46113</v>
      </c>
      <c r="S926" s="51">
        <v>0.57986111111111116</v>
      </c>
      <c r="T926" s="51">
        <v>0.61805555555555558</v>
      </c>
      <c r="X926" t="s">
        <v>3215</v>
      </c>
      <c r="Y926" t="s">
        <v>3035</v>
      </c>
      <c r="Z926">
        <v>2777669</v>
      </c>
    </row>
    <row r="927" spans="1:26" x14ac:dyDescent="0.25">
      <c r="A927">
        <v>923</v>
      </c>
      <c r="B927" t="s">
        <v>24</v>
      </c>
      <c r="C927" t="s">
        <v>25</v>
      </c>
      <c r="D927">
        <v>13</v>
      </c>
      <c r="E927" t="s">
        <v>65</v>
      </c>
      <c r="F927" t="s">
        <v>1599</v>
      </c>
      <c r="G927">
        <v>4519</v>
      </c>
      <c r="H927" t="s">
        <v>1805</v>
      </c>
      <c r="I927" t="s">
        <v>1662</v>
      </c>
      <c r="J927">
        <v>16</v>
      </c>
      <c r="K927">
        <v>1</v>
      </c>
      <c r="L927">
        <v>1.3773148148148147E-3</v>
      </c>
      <c r="M927" t="s">
        <v>117</v>
      </c>
      <c r="N927" t="s">
        <v>446</v>
      </c>
      <c r="O927" s="24">
        <v>46118</v>
      </c>
      <c r="P927">
        <v>606</v>
      </c>
      <c r="Q927" t="s">
        <v>34</v>
      </c>
      <c r="R927" s="24">
        <v>46113</v>
      </c>
      <c r="S927" s="51">
        <v>0.57986111111111116</v>
      </c>
      <c r="T927" s="51">
        <v>0.61805555555555558</v>
      </c>
      <c r="X927" t="s">
        <v>3215</v>
      </c>
      <c r="Y927" t="s">
        <v>3035</v>
      </c>
      <c r="Z927">
        <v>2777669</v>
      </c>
    </row>
    <row r="928" spans="1:26" x14ac:dyDescent="0.25">
      <c r="A928">
        <v>924</v>
      </c>
      <c r="B928" t="s">
        <v>24</v>
      </c>
      <c r="C928" t="s">
        <v>25</v>
      </c>
      <c r="D928">
        <v>13</v>
      </c>
      <c r="E928" t="s">
        <v>65</v>
      </c>
      <c r="F928" t="s">
        <v>512</v>
      </c>
      <c r="G928">
        <v>4519</v>
      </c>
      <c r="H928" t="s">
        <v>1769</v>
      </c>
      <c r="I928" t="s">
        <v>1741</v>
      </c>
      <c r="J928">
        <v>16</v>
      </c>
      <c r="K928">
        <v>1</v>
      </c>
      <c r="L928">
        <v>6.7129629629629625E-4</v>
      </c>
      <c r="M928" t="s">
        <v>117</v>
      </c>
      <c r="N928" t="s">
        <v>446</v>
      </c>
      <c r="O928" s="24">
        <v>46118</v>
      </c>
      <c r="P928">
        <v>606</v>
      </c>
      <c r="Q928" t="s">
        <v>34</v>
      </c>
      <c r="R928" s="24">
        <v>46113</v>
      </c>
      <c r="S928" s="51">
        <v>0.57986111111111116</v>
      </c>
      <c r="T928" s="51">
        <v>0.61805555555555558</v>
      </c>
      <c r="X928" t="s">
        <v>3215</v>
      </c>
      <c r="Y928" t="s">
        <v>3035</v>
      </c>
      <c r="Z928">
        <v>2777669</v>
      </c>
    </row>
    <row r="929" spans="1:26" x14ac:dyDescent="0.25">
      <c r="A929">
        <v>925</v>
      </c>
      <c r="B929" t="s">
        <v>24</v>
      </c>
      <c r="C929" t="s">
        <v>25</v>
      </c>
      <c r="D929">
        <v>13</v>
      </c>
      <c r="E929" t="s">
        <v>65</v>
      </c>
      <c r="F929" t="s">
        <v>512</v>
      </c>
      <c r="G929">
        <v>4519</v>
      </c>
      <c r="H929" t="s">
        <v>2636</v>
      </c>
      <c r="I929" t="s">
        <v>2637</v>
      </c>
      <c r="J929">
        <v>16</v>
      </c>
      <c r="K929">
        <v>1</v>
      </c>
      <c r="L929">
        <v>1.1689814814814813E-3</v>
      </c>
      <c r="M929" t="s">
        <v>117</v>
      </c>
      <c r="N929" t="s">
        <v>446</v>
      </c>
      <c r="O929" s="24">
        <v>46118</v>
      </c>
      <c r="P929">
        <v>606</v>
      </c>
      <c r="Q929" t="s">
        <v>34</v>
      </c>
      <c r="R929" s="24">
        <v>46113</v>
      </c>
      <c r="S929" s="51">
        <v>0.57986111111111116</v>
      </c>
      <c r="T929" s="51">
        <v>0.61805555555555558</v>
      </c>
      <c r="X929" t="s">
        <v>3215</v>
      </c>
      <c r="Y929" t="s">
        <v>3035</v>
      </c>
      <c r="Z929">
        <v>2777669</v>
      </c>
    </row>
    <row r="930" spans="1:26" x14ac:dyDescent="0.25">
      <c r="A930">
        <v>926</v>
      </c>
      <c r="B930" t="s">
        <v>24</v>
      </c>
      <c r="C930" t="s">
        <v>25</v>
      </c>
      <c r="D930">
        <v>13</v>
      </c>
      <c r="E930" t="s">
        <v>367</v>
      </c>
      <c r="F930" t="s">
        <v>512</v>
      </c>
      <c r="G930">
        <v>4519</v>
      </c>
      <c r="H930" t="s">
        <v>2638</v>
      </c>
      <c r="I930" t="s">
        <v>1780</v>
      </c>
      <c r="J930">
        <v>16</v>
      </c>
      <c r="K930">
        <v>3</v>
      </c>
      <c r="L930">
        <v>2.5578703703703701E-3</v>
      </c>
      <c r="M930" t="s">
        <v>117</v>
      </c>
      <c r="N930" t="s">
        <v>446</v>
      </c>
      <c r="O930" s="24">
        <v>46118</v>
      </c>
      <c r="P930">
        <v>606</v>
      </c>
      <c r="Q930" t="s">
        <v>34</v>
      </c>
      <c r="R930" s="24">
        <v>46113</v>
      </c>
      <c r="S930" s="51">
        <v>0.57986111111111116</v>
      </c>
      <c r="T930" s="51">
        <v>0.61805555555555558</v>
      </c>
      <c r="X930" t="s">
        <v>3215</v>
      </c>
      <c r="Y930" t="s">
        <v>3035</v>
      </c>
      <c r="Z930">
        <v>2777669</v>
      </c>
    </row>
    <row r="931" spans="1:26" x14ac:dyDescent="0.25">
      <c r="A931">
        <v>927</v>
      </c>
      <c r="B931" t="s">
        <v>24</v>
      </c>
      <c r="C931" t="s">
        <v>25</v>
      </c>
      <c r="D931">
        <v>13</v>
      </c>
      <c r="E931" t="s">
        <v>367</v>
      </c>
      <c r="F931" t="s">
        <v>512</v>
      </c>
      <c r="G931">
        <v>4519</v>
      </c>
      <c r="H931" t="s">
        <v>1779</v>
      </c>
      <c r="I931" t="s">
        <v>1780</v>
      </c>
      <c r="J931">
        <v>16</v>
      </c>
      <c r="K931">
        <v>1</v>
      </c>
      <c r="L931">
        <v>8.4490740740740739E-4</v>
      </c>
      <c r="M931" t="s">
        <v>117</v>
      </c>
      <c r="N931" t="s">
        <v>446</v>
      </c>
      <c r="O931" s="24">
        <v>46118</v>
      </c>
      <c r="P931">
        <v>606</v>
      </c>
      <c r="Q931" t="s">
        <v>34</v>
      </c>
      <c r="R931" s="24">
        <v>46113</v>
      </c>
      <c r="S931" s="51">
        <v>0.57986111111111116</v>
      </c>
      <c r="T931" s="51">
        <v>0.61805555555555558</v>
      </c>
      <c r="X931" t="s">
        <v>3215</v>
      </c>
      <c r="Y931" t="s">
        <v>3035</v>
      </c>
      <c r="Z931">
        <v>2777669</v>
      </c>
    </row>
    <row r="932" spans="1:26" x14ac:dyDescent="0.25">
      <c r="A932">
        <v>928</v>
      </c>
      <c r="B932" t="s">
        <v>24</v>
      </c>
      <c r="C932" t="s">
        <v>25</v>
      </c>
      <c r="D932">
        <v>13</v>
      </c>
      <c r="E932" t="s">
        <v>367</v>
      </c>
      <c r="F932" t="s">
        <v>512</v>
      </c>
      <c r="G932">
        <v>4519</v>
      </c>
      <c r="H932" t="s">
        <v>2639</v>
      </c>
      <c r="I932" t="s">
        <v>1752</v>
      </c>
      <c r="J932">
        <v>16</v>
      </c>
      <c r="K932">
        <v>3</v>
      </c>
      <c r="L932">
        <v>2.673611111111111E-3</v>
      </c>
      <c r="M932" t="s">
        <v>117</v>
      </c>
      <c r="N932" t="s">
        <v>446</v>
      </c>
      <c r="O932" s="24">
        <v>46118</v>
      </c>
      <c r="P932">
        <v>606</v>
      </c>
      <c r="Q932" t="s">
        <v>34</v>
      </c>
      <c r="R932" s="24">
        <v>46113</v>
      </c>
      <c r="S932" s="51">
        <v>0.57986111111111116</v>
      </c>
      <c r="T932" s="51">
        <v>0.61805555555555558</v>
      </c>
      <c r="X932" t="s">
        <v>3215</v>
      </c>
      <c r="Y932" t="s">
        <v>3035</v>
      </c>
      <c r="Z932">
        <v>2777669</v>
      </c>
    </row>
    <row r="933" spans="1:26" x14ac:dyDescent="0.25">
      <c r="A933">
        <v>929</v>
      </c>
      <c r="B933" t="s">
        <v>26</v>
      </c>
      <c r="C933" t="s">
        <v>27</v>
      </c>
      <c r="D933">
        <v>15</v>
      </c>
      <c r="E933" t="s">
        <v>129</v>
      </c>
      <c r="F933" t="s">
        <v>115</v>
      </c>
      <c r="G933">
        <v>3527</v>
      </c>
      <c r="H933" t="s">
        <v>1162</v>
      </c>
      <c r="I933" t="s">
        <v>119</v>
      </c>
      <c r="J933">
        <v>8</v>
      </c>
      <c r="K933">
        <v>1</v>
      </c>
      <c r="L933">
        <v>6.9212962962962961E-3</v>
      </c>
      <c r="M933" t="s">
        <v>117</v>
      </c>
      <c r="N933" t="s">
        <v>1161</v>
      </c>
      <c r="O933" s="24">
        <v>46125</v>
      </c>
      <c r="P933">
        <v>603</v>
      </c>
      <c r="Q933" t="s">
        <v>34</v>
      </c>
      <c r="R933">
        <v>46135</v>
      </c>
      <c r="S933" s="51">
        <v>0.56805555555555554</v>
      </c>
      <c r="T933" s="51">
        <v>0.57291666666666663</v>
      </c>
      <c r="X933" t="s">
        <v>3216</v>
      </c>
      <c r="Y933" t="s">
        <v>3072</v>
      </c>
      <c r="Z933">
        <v>1742079</v>
      </c>
    </row>
    <row r="934" spans="1:26" x14ac:dyDescent="0.25">
      <c r="A934">
        <v>930</v>
      </c>
      <c r="B934" t="s">
        <v>26</v>
      </c>
      <c r="C934" t="s">
        <v>27</v>
      </c>
      <c r="D934">
        <v>15</v>
      </c>
      <c r="E934" t="s">
        <v>1665</v>
      </c>
      <c r="F934" t="s">
        <v>115</v>
      </c>
      <c r="G934">
        <v>4226</v>
      </c>
      <c r="H934" t="s">
        <v>2356</v>
      </c>
      <c r="I934" t="s">
        <v>2310</v>
      </c>
      <c r="J934">
        <v>8</v>
      </c>
      <c r="K934">
        <v>1</v>
      </c>
      <c r="L934">
        <v>1.9907407407407408E-3</v>
      </c>
      <c r="M934" t="s">
        <v>117</v>
      </c>
      <c r="N934" t="s">
        <v>953</v>
      </c>
      <c r="O934" s="24">
        <v>46122</v>
      </c>
      <c r="P934">
        <v>603</v>
      </c>
      <c r="Q934" t="s">
        <v>34</v>
      </c>
      <c r="R934" s="24">
        <v>46136</v>
      </c>
      <c r="S934" s="51">
        <v>0.43055555555555558</v>
      </c>
      <c r="T934" s="51">
        <v>0.44027777777777777</v>
      </c>
      <c r="X934" t="s">
        <v>3217</v>
      </c>
      <c r="Y934" t="s">
        <v>3029</v>
      </c>
      <c r="Z934">
        <v>1742402</v>
      </c>
    </row>
    <row r="935" spans="1:26" x14ac:dyDescent="0.25">
      <c r="A935">
        <v>931</v>
      </c>
      <c r="B935" t="s">
        <v>26</v>
      </c>
      <c r="C935" t="s">
        <v>27</v>
      </c>
      <c r="D935">
        <v>15</v>
      </c>
      <c r="E935" t="s">
        <v>1672</v>
      </c>
      <c r="F935" t="s">
        <v>115</v>
      </c>
      <c r="G935">
        <v>4226</v>
      </c>
      <c r="H935" t="s">
        <v>2309</v>
      </c>
      <c r="I935" t="s">
        <v>2310</v>
      </c>
      <c r="J935">
        <v>8</v>
      </c>
      <c r="K935">
        <v>1</v>
      </c>
      <c r="L935">
        <v>1.9907407407407408E-3</v>
      </c>
      <c r="M935" t="s">
        <v>117</v>
      </c>
      <c r="N935" t="s">
        <v>953</v>
      </c>
      <c r="O935" s="24">
        <v>46122</v>
      </c>
      <c r="P935">
        <v>603</v>
      </c>
      <c r="Q935" t="s">
        <v>34</v>
      </c>
      <c r="R935" s="24">
        <v>46136</v>
      </c>
      <c r="S935" s="51">
        <v>0.43055555555555558</v>
      </c>
      <c r="T935" s="51">
        <v>0.44027777777777777</v>
      </c>
      <c r="X935" t="s">
        <v>3217</v>
      </c>
      <c r="Y935" t="s">
        <v>3029</v>
      </c>
      <c r="Z935">
        <v>1742402</v>
      </c>
    </row>
    <row r="936" spans="1:26" x14ac:dyDescent="0.25">
      <c r="A936">
        <v>932</v>
      </c>
      <c r="B936" t="s">
        <v>26</v>
      </c>
      <c r="C936" t="s">
        <v>27</v>
      </c>
      <c r="D936">
        <v>15</v>
      </c>
      <c r="E936" t="s">
        <v>1672</v>
      </c>
      <c r="F936" t="s">
        <v>498</v>
      </c>
      <c r="G936">
        <v>4226</v>
      </c>
      <c r="H936" t="s">
        <v>2299</v>
      </c>
      <c r="I936" t="s">
        <v>2300</v>
      </c>
      <c r="J936">
        <v>8</v>
      </c>
      <c r="K936">
        <v>1</v>
      </c>
      <c r="L936">
        <v>2.0254629629629629E-3</v>
      </c>
      <c r="M936" t="s">
        <v>117</v>
      </c>
      <c r="N936" t="s">
        <v>953</v>
      </c>
      <c r="O936" s="24">
        <v>46122</v>
      </c>
      <c r="P936">
        <v>603</v>
      </c>
      <c r="Q936" t="s">
        <v>34</v>
      </c>
      <c r="R936" s="24">
        <v>46136</v>
      </c>
      <c r="S936" s="51">
        <v>0.43055555555555558</v>
      </c>
      <c r="T936" s="51">
        <v>0.44027777777777777</v>
      </c>
      <c r="X936" t="s">
        <v>3217</v>
      </c>
      <c r="Y936" t="s">
        <v>3029</v>
      </c>
      <c r="Z936">
        <v>1742402</v>
      </c>
    </row>
    <row r="937" spans="1:26" x14ac:dyDescent="0.25">
      <c r="A937">
        <v>933</v>
      </c>
      <c r="B937" t="s">
        <v>26</v>
      </c>
      <c r="C937" t="s">
        <v>27</v>
      </c>
      <c r="D937">
        <v>15</v>
      </c>
      <c r="E937" t="s">
        <v>1665</v>
      </c>
      <c r="F937" t="s">
        <v>512</v>
      </c>
      <c r="G937">
        <v>4226</v>
      </c>
      <c r="H937" t="s">
        <v>2228</v>
      </c>
      <c r="I937" t="s">
        <v>2153</v>
      </c>
      <c r="J937">
        <v>8</v>
      </c>
      <c r="K937">
        <v>1</v>
      </c>
      <c r="L937">
        <v>1.736111111111111E-3</v>
      </c>
      <c r="M937" t="s">
        <v>117</v>
      </c>
      <c r="N937" t="s">
        <v>953</v>
      </c>
      <c r="O937" s="24">
        <v>46122</v>
      </c>
      <c r="P937">
        <v>603</v>
      </c>
      <c r="Q937" t="s">
        <v>34</v>
      </c>
      <c r="R937" s="24">
        <v>46136</v>
      </c>
      <c r="S937" s="51">
        <v>0.43055555555555558</v>
      </c>
      <c r="T937" s="51">
        <v>0.44027777777777777</v>
      </c>
      <c r="X937" t="s">
        <v>3217</v>
      </c>
      <c r="Y937" t="s">
        <v>3029</v>
      </c>
      <c r="Z937">
        <v>1742402</v>
      </c>
    </row>
    <row r="938" spans="1:26" x14ac:dyDescent="0.25">
      <c r="A938">
        <v>934</v>
      </c>
      <c r="B938" t="s">
        <v>26</v>
      </c>
      <c r="C938" t="s">
        <v>27</v>
      </c>
      <c r="D938">
        <v>15</v>
      </c>
      <c r="E938" t="s">
        <v>150</v>
      </c>
      <c r="F938" t="s">
        <v>115</v>
      </c>
      <c r="G938">
        <v>4226</v>
      </c>
      <c r="H938" t="s">
        <v>2642</v>
      </c>
      <c r="I938" t="s">
        <v>2643</v>
      </c>
      <c r="J938">
        <v>8</v>
      </c>
      <c r="K938">
        <v>1</v>
      </c>
      <c r="L938">
        <v>6.2962962962962964E-3</v>
      </c>
      <c r="M938" t="s">
        <v>117</v>
      </c>
      <c r="N938" t="s">
        <v>953</v>
      </c>
      <c r="O938" s="24">
        <v>46122</v>
      </c>
      <c r="P938">
        <v>603</v>
      </c>
      <c r="Q938" t="s">
        <v>34</v>
      </c>
      <c r="R938" s="24">
        <v>46136</v>
      </c>
      <c r="S938" s="51">
        <v>0.43055555555555558</v>
      </c>
      <c r="T938" s="51">
        <v>0.44027777777777777</v>
      </c>
      <c r="X938" t="s">
        <v>3217</v>
      </c>
      <c r="Y938" t="s">
        <v>3029</v>
      </c>
      <c r="Z938">
        <v>1742402</v>
      </c>
    </row>
    <row r="939" spans="1:26" x14ac:dyDescent="0.25">
      <c r="A939">
        <v>935</v>
      </c>
      <c r="B939" t="s">
        <v>26</v>
      </c>
      <c r="C939" t="s">
        <v>27</v>
      </c>
      <c r="D939">
        <v>15</v>
      </c>
      <c r="E939" t="s">
        <v>131</v>
      </c>
      <c r="F939" t="s">
        <v>115</v>
      </c>
      <c r="G939">
        <v>3528</v>
      </c>
      <c r="H939" t="s">
        <v>1164</v>
      </c>
      <c r="I939" t="s">
        <v>119</v>
      </c>
      <c r="J939">
        <v>8</v>
      </c>
      <c r="K939">
        <v>1</v>
      </c>
      <c r="L939">
        <v>6.9212962962962961E-3</v>
      </c>
      <c r="M939" t="s">
        <v>117</v>
      </c>
      <c r="N939" t="s">
        <v>1161</v>
      </c>
      <c r="O939" s="24">
        <v>46125</v>
      </c>
      <c r="P939">
        <v>603</v>
      </c>
      <c r="Q939" t="s">
        <v>34</v>
      </c>
      <c r="R939">
        <v>46135</v>
      </c>
      <c r="S939" s="51">
        <v>0.42916666666666664</v>
      </c>
      <c r="T939" s="51">
        <v>0.43472222222222223</v>
      </c>
      <c r="X939" t="s">
        <v>3218</v>
      </c>
      <c r="Y939" t="s">
        <v>3072</v>
      </c>
      <c r="Z939">
        <v>1742079</v>
      </c>
    </row>
    <row r="940" spans="1:26" x14ac:dyDescent="0.25">
      <c r="A940">
        <v>936</v>
      </c>
      <c r="B940" t="s">
        <v>26</v>
      </c>
      <c r="C940" t="s">
        <v>27</v>
      </c>
      <c r="D940">
        <v>15</v>
      </c>
      <c r="E940" t="s">
        <v>1665</v>
      </c>
      <c r="F940" t="s">
        <v>115</v>
      </c>
      <c r="G940">
        <v>3529</v>
      </c>
      <c r="H940" t="s">
        <v>2356</v>
      </c>
      <c r="I940" t="s">
        <v>2310</v>
      </c>
      <c r="J940">
        <v>8</v>
      </c>
      <c r="K940">
        <v>2</v>
      </c>
      <c r="L940">
        <v>3.9120370370370368E-3</v>
      </c>
      <c r="M940" t="s">
        <v>117</v>
      </c>
      <c r="N940" t="s">
        <v>953</v>
      </c>
      <c r="O940" s="24">
        <v>46122</v>
      </c>
      <c r="P940">
        <v>603</v>
      </c>
      <c r="Q940" t="s">
        <v>34</v>
      </c>
      <c r="R940" s="24">
        <v>46136</v>
      </c>
      <c r="S940" s="51">
        <v>0.82152777777777775</v>
      </c>
      <c r="T940" s="51">
        <v>0.83611111111111114</v>
      </c>
      <c r="X940" t="s">
        <v>3219</v>
      </c>
      <c r="Y940" t="s">
        <v>3032</v>
      </c>
      <c r="Z940">
        <v>1742255</v>
      </c>
    </row>
    <row r="941" spans="1:26" x14ac:dyDescent="0.25">
      <c r="A941">
        <v>937</v>
      </c>
      <c r="B941" t="s">
        <v>26</v>
      </c>
      <c r="C941" t="s">
        <v>27</v>
      </c>
      <c r="D941">
        <v>15</v>
      </c>
      <c r="E941" t="s">
        <v>129</v>
      </c>
      <c r="F941" t="s">
        <v>115</v>
      </c>
      <c r="G941">
        <v>3529</v>
      </c>
      <c r="H941" t="s">
        <v>2646</v>
      </c>
      <c r="I941" t="s">
        <v>2138</v>
      </c>
      <c r="J941">
        <v>8</v>
      </c>
      <c r="K941">
        <v>1</v>
      </c>
      <c r="L941">
        <v>6.1805555555555555E-3</v>
      </c>
      <c r="M941" t="s">
        <v>117</v>
      </c>
      <c r="N941" t="s">
        <v>953</v>
      </c>
      <c r="O941" s="24">
        <v>46122</v>
      </c>
      <c r="P941">
        <v>603</v>
      </c>
      <c r="Q941" t="s">
        <v>34</v>
      </c>
      <c r="R941" s="24">
        <v>46136</v>
      </c>
      <c r="S941" s="51">
        <v>0.82152777777777775</v>
      </c>
      <c r="T941" s="51">
        <v>0.83611111111111114</v>
      </c>
      <c r="X941" t="s">
        <v>3219</v>
      </c>
      <c r="Y941" t="s">
        <v>3032</v>
      </c>
      <c r="Z941">
        <v>1742255</v>
      </c>
    </row>
    <row r="942" spans="1:26" x14ac:dyDescent="0.25">
      <c r="A942">
        <v>938</v>
      </c>
      <c r="B942" t="s">
        <v>26</v>
      </c>
      <c r="C942" t="s">
        <v>27</v>
      </c>
      <c r="D942">
        <v>15</v>
      </c>
      <c r="E942" t="s">
        <v>367</v>
      </c>
      <c r="F942" t="s">
        <v>368</v>
      </c>
      <c r="G942">
        <v>3529</v>
      </c>
      <c r="H942" t="s">
        <v>2457</v>
      </c>
      <c r="I942" t="s">
        <v>2458</v>
      </c>
      <c r="J942">
        <v>8</v>
      </c>
      <c r="K942">
        <v>1</v>
      </c>
      <c r="L942">
        <v>1.9444444444444444E-3</v>
      </c>
      <c r="M942" t="s">
        <v>117</v>
      </c>
      <c r="N942" t="s">
        <v>953</v>
      </c>
      <c r="O942" s="24">
        <v>46122</v>
      </c>
      <c r="P942">
        <v>603</v>
      </c>
      <c r="Q942" t="s">
        <v>34</v>
      </c>
      <c r="R942" s="24">
        <v>46136</v>
      </c>
      <c r="S942" s="51">
        <v>0.82152777777777775</v>
      </c>
      <c r="T942" s="51">
        <v>0.83611111111111114</v>
      </c>
      <c r="X942" t="s">
        <v>3219</v>
      </c>
      <c r="Y942" t="s">
        <v>3032</v>
      </c>
      <c r="Z942">
        <v>1742255</v>
      </c>
    </row>
    <row r="943" spans="1:26" x14ac:dyDescent="0.25">
      <c r="A943">
        <v>939</v>
      </c>
      <c r="B943" t="s">
        <v>26</v>
      </c>
      <c r="C943" t="s">
        <v>27</v>
      </c>
      <c r="D943">
        <v>15</v>
      </c>
      <c r="E943" t="s">
        <v>367</v>
      </c>
      <c r="F943" t="s">
        <v>368</v>
      </c>
      <c r="G943">
        <v>3529</v>
      </c>
      <c r="H943" t="s">
        <v>2375</v>
      </c>
      <c r="I943" t="s">
        <v>2376</v>
      </c>
      <c r="J943">
        <v>8</v>
      </c>
      <c r="K943">
        <v>1</v>
      </c>
      <c r="L943">
        <v>1.9444444444444444E-3</v>
      </c>
      <c r="M943" t="s">
        <v>117</v>
      </c>
      <c r="N943" t="s">
        <v>953</v>
      </c>
      <c r="O943" s="24">
        <v>46122</v>
      </c>
      <c r="P943">
        <v>603</v>
      </c>
      <c r="Q943" t="s">
        <v>34</v>
      </c>
      <c r="R943" s="24">
        <v>46136</v>
      </c>
      <c r="S943" s="51">
        <v>0.82152777777777775</v>
      </c>
      <c r="T943" s="51">
        <v>0.83611111111111114</v>
      </c>
      <c r="X943" t="s">
        <v>3219</v>
      </c>
      <c r="Y943" t="s">
        <v>3032</v>
      </c>
      <c r="Z943">
        <v>1742255</v>
      </c>
    </row>
    <row r="944" spans="1:26" x14ac:dyDescent="0.25">
      <c r="A944">
        <v>940</v>
      </c>
      <c r="B944" t="s">
        <v>26</v>
      </c>
      <c r="C944" t="s">
        <v>27</v>
      </c>
      <c r="D944">
        <v>15</v>
      </c>
      <c r="E944" t="s">
        <v>367</v>
      </c>
      <c r="F944" t="s">
        <v>427</v>
      </c>
      <c r="G944">
        <v>3529</v>
      </c>
      <c r="H944" t="s">
        <v>2276</v>
      </c>
      <c r="I944" t="s">
        <v>2270</v>
      </c>
      <c r="J944">
        <v>8</v>
      </c>
      <c r="K944">
        <v>1</v>
      </c>
      <c r="L944">
        <v>1.724537037037037E-3</v>
      </c>
      <c r="M944" t="s">
        <v>117</v>
      </c>
      <c r="N944" t="s">
        <v>953</v>
      </c>
      <c r="O944" s="24">
        <v>46122</v>
      </c>
      <c r="P944">
        <v>603</v>
      </c>
      <c r="Q944" t="s">
        <v>34</v>
      </c>
      <c r="R944" s="24">
        <v>46136</v>
      </c>
      <c r="S944" s="51">
        <v>0.82152777777777775</v>
      </c>
      <c r="T944" s="51">
        <v>0.83611111111111114</v>
      </c>
      <c r="X944" t="s">
        <v>3219</v>
      </c>
      <c r="Y944" t="s">
        <v>3032</v>
      </c>
      <c r="Z944">
        <v>1742255</v>
      </c>
    </row>
    <row r="945" spans="1:26" x14ac:dyDescent="0.25">
      <c r="A945">
        <v>941</v>
      </c>
      <c r="B945" t="s">
        <v>26</v>
      </c>
      <c r="C945" t="s">
        <v>27</v>
      </c>
      <c r="D945">
        <v>15</v>
      </c>
      <c r="E945" t="s">
        <v>367</v>
      </c>
      <c r="F945" t="s">
        <v>427</v>
      </c>
      <c r="G945">
        <v>3529</v>
      </c>
      <c r="H945" t="s">
        <v>2269</v>
      </c>
      <c r="I945" t="s">
        <v>2270</v>
      </c>
      <c r="J945">
        <v>8</v>
      </c>
      <c r="K945">
        <v>1</v>
      </c>
      <c r="L945">
        <v>1.8634259259259259E-3</v>
      </c>
      <c r="M945" t="s">
        <v>117</v>
      </c>
      <c r="N945" t="s">
        <v>953</v>
      </c>
      <c r="O945" s="24">
        <v>46122</v>
      </c>
      <c r="P945">
        <v>603</v>
      </c>
      <c r="Q945" t="s">
        <v>34</v>
      </c>
      <c r="R945" s="24">
        <v>46136</v>
      </c>
      <c r="S945" s="51">
        <v>0.82152777777777775</v>
      </c>
      <c r="T945" s="51">
        <v>0.83611111111111114</v>
      </c>
      <c r="X945" t="s">
        <v>3219</v>
      </c>
      <c r="Y945" t="s">
        <v>3032</v>
      </c>
      <c r="Z945">
        <v>1742255</v>
      </c>
    </row>
    <row r="946" spans="1:26" x14ac:dyDescent="0.25">
      <c r="A946">
        <v>942</v>
      </c>
      <c r="B946" t="s">
        <v>26</v>
      </c>
      <c r="C946" t="s">
        <v>27</v>
      </c>
      <c r="D946">
        <v>15</v>
      </c>
      <c r="E946" t="s">
        <v>367</v>
      </c>
      <c r="F946" t="s">
        <v>427</v>
      </c>
      <c r="G946">
        <v>3847</v>
      </c>
      <c r="H946" t="s">
        <v>428</v>
      </c>
      <c r="I946" t="s">
        <v>429</v>
      </c>
      <c r="J946">
        <v>8</v>
      </c>
      <c r="K946">
        <v>1</v>
      </c>
      <c r="L946">
        <v>6.9212962962962961E-3</v>
      </c>
      <c r="M946" t="s">
        <v>117</v>
      </c>
      <c r="N946" t="s">
        <v>1128</v>
      </c>
      <c r="O946" s="24">
        <v>46126</v>
      </c>
      <c r="P946">
        <v>605</v>
      </c>
      <c r="Q946" t="s">
        <v>34</v>
      </c>
      <c r="R946">
        <v>46137</v>
      </c>
      <c r="S946" s="51">
        <v>0.5805555555555556</v>
      </c>
      <c r="T946" s="51">
        <v>0.5854166666666667</v>
      </c>
      <c r="X946" t="s">
        <v>3220</v>
      </c>
      <c r="Y946" t="s">
        <v>3029</v>
      </c>
      <c r="Z946">
        <v>2777698</v>
      </c>
    </row>
    <row r="947" spans="1:26" x14ac:dyDescent="0.25">
      <c r="A947">
        <v>943</v>
      </c>
      <c r="B947" t="s">
        <v>26</v>
      </c>
      <c r="C947" t="s">
        <v>27</v>
      </c>
      <c r="D947">
        <v>15</v>
      </c>
      <c r="E947" t="s">
        <v>1672</v>
      </c>
      <c r="F947" t="s">
        <v>115</v>
      </c>
      <c r="G947">
        <v>3531</v>
      </c>
      <c r="H947" t="s">
        <v>2309</v>
      </c>
      <c r="I947" t="s">
        <v>2310</v>
      </c>
      <c r="J947">
        <v>8</v>
      </c>
      <c r="K947">
        <v>2</v>
      </c>
      <c r="L947">
        <v>3.9814814814814817E-3</v>
      </c>
      <c r="M947" t="s">
        <v>117</v>
      </c>
      <c r="N947" t="s">
        <v>953</v>
      </c>
      <c r="O947" s="24">
        <v>46122</v>
      </c>
      <c r="P947">
        <v>603</v>
      </c>
      <c r="Q947" t="s">
        <v>34</v>
      </c>
      <c r="R947" s="24">
        <v>46136</v>
      </c>
      <c r="S947" s="51">
        <v>0.61805555555555558</v>
      </c>
      <c r="T947" s="51">
        <v>0.62986111111111109</v>
      </c>
      <c r="X947" t="s">
        <v>3221</v>
      </c>
      <c r="Y947" t="s">
        <v>3029</v>
      </c>
      <c r="Z947">
        <v>1742372</v>
      </c>
    </row>
    <row r="948" spans="1:26" x14ac:dyDescent="0.25">
      <c r="A948">
        <v>944</v>
      </c>
      <c r="B948" t="s">
        <v>26</v>
      </c>
      <c r="C948" t="s">
        <v>27</v>
      </c>
      <c r="D948">
        <v>15</v>
      </c>
      <c r="E948" t="s">
        <v>131</v>
      </c>
      <c r="F948" t="s">
        <v>115</v>
      </c>
      <c r="G948">
        <v>3531</v>
      </c>
      <c r="H948" t="s">
        <v>2649</v>
      </c>
      <c r="I948" t="s">
        <v>2138</v>
      </c>
      <c r="J948">
        <v>8</v>
      </c>
      <c r="K948">
        <v>1</v>
      </c>
      <c r="L948">
        <v>6.2847222222222219E-3</v>
      </c>
      <c r="M948" t="s">
        <v>117</v>
      </c>
      <c r="N948" t="s">
        <v>953</v>
      </c>
      <c r="O948" s="24">
        <v>46122</v>
      </c>
      <c r="P948">
        <v>603</v>
      </c>
      <c r="Q948" t="s">
        <v>34</v>
      </c>
      <c r="R948" s="24">
        <v>46136</v>
      </c>
      <c r="S948" s="51">
        <v>0.61805555555555558</v>
      </c>
      <c r="T948" s="51">
        <v>0.62986111111111109</v>
      </c>
      <c r="X948" t="s">
        <v>3221</v>
      </c>
      <c r="Y948" t="s">
        <v>3029</v>
      </c>
      <c r="Z948">
        <v>1742372</v>
      </c>
    </row>
    <row r="949" spans="1:26" x14ac:dyDescent="0.25">
      <c r="A949">
        <v>945</v>
      </c>
      <c r="B949" t="s">
        <v>26</v>
      </c>
      <c r="C949" t="s">
        <v>27</v>
      </c>
      <c r="D949">
        <v>15</v>
      </c>
      <c r="E949" t="s">
        <v>367</v>
      </c>
      <c r="F949" t="s">
        <v>427</v>
      </c>
      <c r="G949">
        <v>3531</v>
      </c>
      <c r="H949" t="s">
        <v>2271</v>
      </c>
      <c r="I949" t="s">
        <v>2270</v>
      </c>
      <c r="J949">
        <v>8</v>
      </c>
      <c r="K949">
        <v>1</v>
      </c>
      <c r="L949">
        <v>1.8981481481481482E-3</v>
      </c>
      <c r="M949" t="s">
        <v>117</v>
      </c>
      <c r="N949" t="s">
        <v>953</v>
      </c>
      <c r="O949" s="24">
        <v>46122</v>
      </c>
      <c r="P949">
        <v>603</v>
      </c>
      <c r="Q949" t="s">
        <v>34</v>
      </c>
      <c r="R949" s="24">
        <v>46136</v>
      </c>
      <c r="S949" s="51">
        <v>0.61805555555555558</v>
      </c>
      <c r="T949" s="51">
        <v>0.62986111111111109</v>
      </c>
      <c r="X949" t="s">
        <v>3221</v>
      </c>
      <c r="Y949" t="s">
        <v>3029</v>
      </c>
      <c r="Z949">
        <v>1742372</v>
      </c>
    </row>
    <row r="950" spans="1:26" x14ac:dyDescent="0.25">
      <c r="A950">
        <v>946</v>
      </c>
      <c r="B950" t="s">
        <v>26</v>
      </c>
      <c r="C950" t="s">
        <v>27</v>
      </c>
      <c r="D950">
        <v>15</v>
      </c>
      <c r="E950" t="s">
        <v>367</v>
      </c>
      <c r="F950" t="s">
        <v>427</v>
      </c>
      <c r="G950">
        <v>3531</v>
      </c>
      <c r="H950" t="s">
        <v>2312</v>
      </c>
      <c r="I950" t="s">
        <v>2270</v>
      </c>
      <c r="J950">
        <v>8</v>
      </c>
      <c r="K950">
        <v>1</v>
      </c>
      <c r="L950">
        <v>1.7592592592592592E-3</v>
      </c>
      <c r="M950" t="s">
        <v>117</v>
      </c>
      <c r="N950" t="s">
        <v>953</v>
      </c>
      <c r="O950" s="24">
        <v>46122</v>
      </c>
      <c r="P950">
        <v>603</v>
      </c>
      <c r="Q950" t="s">
        <v>34</v>
      </c>
      <c r="R950" s="24">
        <v>46136</v>
      </c>
      <c r="S950" s="51">
        <v>0.61805555555555558</v>
      </c>
      <c r="T950" s="51">
        <v>0.62986111111111109</v>
      </c>
      <c r="X950" t="s">
        <v>3221</v>
      </c>
      <c r="Y950" t="s">
        <v>3029</v>
      </c>
      <c r="Z950">
        <v>1742372</v>
      </c>
    </row>
    <row r="951" spans="1:26" x14ac:dyDescent="0.25">
      <c r="A951">
        <v>947</v>
      </c>
      <c r="B951" t="s">
        <v>26</v>
      </c>
      <c r="C951" t="s">
        <v>27</v>
      </c>
      <c r="D951">
        <v>15</v>
      </c>
      <c r="E951" t="s">
        <v>367</v>
      </c>
      <c r="F951" t="s">
        <v>367</v>
      </c>
      <c r="G951">
        <v>4374</v>
      </c>
      <c r="H951" t="s">
        <v>2416</v>
      </c>
      <c r="I951" t="s">
        <v>2329</v>
      </c>
      <c r="J951">
        <v>8</v>
      </c>
      <c r="K951">
        <v>1</v>
      </c>
      <c r="L951">
        <v>7.0601851851851847E-4</v>
      </c>
      <c r="M951" t="s">
        <v>117</v>
      </c>
      <c r="N951" t="s">
        <v>1128</v>
      </c>
      <c r="O951" s="24">
        <v>46126</v>
      </c>
      <c r="P951">
        <v>605</v>
      </c>
      <c r="Q951" t="s">
        <v>34</v>
      </c>
      <c r="R951">
        <v>46137</v>
      </c>
      <c r="S951" s="51">
        <v>0.65486111111111112</v>
      </c>
      <c r="T951" s="51">
        <v>0.66111111111111109</v>
      </c>
      <c r="X951" t="s">
        <v>3222</v>
      </c>
      <c r="Y951" t="s">
        <v>3029</v>
      </c>
      <c r="Z951">
        <v>2733753</v>
      </c>
    </row>
    <row r="952" spans="1:26" x14ac:dyDescent="0.25">
      <c r="A952">
        <v>948</v>
      </c>
      <c r="B952" t="s">
        <v>26</v>
      </c>
      <c r="C952" t="s">
        <v>27</v>
      </c>
      <c r="D952">
        <v>15</v>
      </c>
      <c r="E952" t="s">
        <v>367</v>
      </c>
      <c r="F952" t="s">
        <v>367</v>
      </c>
      <c r="G952">
        <v>4374</v>
      </c>
      <c r="H952" t="s">
        <v>2328</v>
      </c>
      <c r="I952" t="s">
        <v>2329</v>
      </c>
      <c r="J952">
        <v>8</v>
      </c>
      <c r="K952">
        <v>2</v>
      </c>
      <c r="L952">
        <v>1.423611111111111E-3</v>
      </c>
      <c r="M952" t="s">
        <v>117</v>
      </c>
      <c r="N952" t="s">
        <v>1128</v>
      </c>
      <c r="O952" s="24">
        <v>46126</v>
      </c>
      <c r="P952">
        <v>605</v>
      </c>
      <c r="Q952" t="s">
        <v>34</v>
      </c>
      <c r="R952">
        <v>46137</v>
      </c>
      <c r="S952" s="51">
        <v>0.65486111111111112</v>
      </c>
      <c r="T952" s="51">
        <v>0.66111111111111109</v>
      </c>
      <c r="X952" t="s">
        <v>3222</v>
      </c>
      <c r="Y952" t="s">
        <v>3029</v>
      </c>
      <c r="Z952">
        <v>2733753</v>
      </c>
    </row>
    <row r="953" spans="1:26" x14ac:dyDescent="0.25">
      <c r="A953">
        <v>949</v>
      </c>
      <c r="B953" t="s">
        <v>26</v>
      </c>
      <c r="C953" t="s">
        <v>27</v>
      </c>
      <c r="D953">
        <v>15</v>
      </c>
      <c r="E953" t="s">
        <v>367</v>
      </c>
      <c r="F953" t="s">
        <v>1599</v>
      </c>
      <c r="G953">
        <v>4374</v>
      </c>
      <c r="H953" t="s">
        <v>1633</v>
      </c>
      <c r="I953" t="s">
        <v>1634</v>
      </c>
      <c r="J953">
        <v>8</v>
      </c>
      <c r="K953">
        <v>1</v>
      </c>
      <c r="L953">
        <v>7.407407407407407E-4</v>
      </c>
      <c r="M953" t="s">
        <v>117</v>
      </c>
      <c r="N953" t="s">
        <v>1128</v>
      </c>
      <c r="O953" s="24">
        <v>46126</v>
      </c>
      <c r="P953">
        <v>605</v>
      </c>
      <c r="Q953" t="s">
        <v>34</v>
      </c>
      <c r="R953">
        <v>46137</v>
      </c>
      <c r="S953" s="51">
        <v>0.65486111111111112</v>
      </c>
      <c r="T953" s="51">
        <v>0.66111111111111109</v>
      </c>
      <c r="X953" t="s">
        <v>3222</v>
      </c>
      <c r="Y953" t="s">
        <v>3029</v>
      </c>
      <c r="Z953">
        <v>2733753</v>
      </c>
    </row>
    <row r="954" spans="1:26" x14ac:dyDescent="0.25">
      <c r="A954">
        <v>950</v>
      </c>
      <c r="B954" t="s">
        <v>26</v>
      </c>
      <c r="C954" t="s">
        <v>27</v>
      </c>
      <c r="D954">
        <v>15</v>
      </c>
      <c r="E954" t="s">
        <v>1141</v>
      </c>
      <c r="F954" t="s">
        <v>1594</v>
      </c>
      <c r="G954">
        <v>4374</v>
      </c>
      <c r="H954" t="s">
        <v>2410</v>
      </c>
      <c r="I954" t="s">
        <v>494</v>
      </c>
      <c r="J954">
        <v>8</v>
      </c>
      <c r="K954">
        <v>1</v>
      </c>
      <c r="L954">
        <v>6.7013888888888887E-3</v>
      </c>
      <c r="M954" t="s">
        <v>117</v>
      </c>
      <c r="N954" t="s">
        <v>1128</v>
      </c>
      <c r="O954" s="24">
        <v>46126</v>
      </c>
      <c r="P954">
        <v>605</v>
      </c>
      <c r="Q954" t="s">
        <v>34</v>
      </c>
      <c r="R954">
        <v>46137</v>
      </c>
      <c r="S954" s="51">
        <v>0.65486111111111112</v>
      </c>
      <c r="T954" s="51">
        <v>0.66111111111111109</v>
      </c>
      <c r="X954" t="s">
        <v>3222</v>
      </c>
      <c r="Y954" t="s">
        <v>3029</v>
      </c>
      <c r="Z954">
        <v>2733753</v>
      </c>
    </row>
    <row r="955" spans="1:26" x14ac:dyDescent="0.25">
      <c r="A955">
        <v>951</v>
      </c>
      <c r="B955" t="s">
        <v>26</v>
      </c>
      <c r="C955" t="s">
        <v>27</v>
      </c>
      <c r="D955">
        <v>15</v>
      </c>
      <c r="E955" t="s">
        <v>829</v>
      </c>
      <c r="F955" t="s">
        <v>368</v>
      </c>
      <c r="G955">
        <v>3896</v>
      </c>
      <c r="H955" t="s">
        <v>369</v>
      </c>
      <c r="I955" t="s">
        <v>370</v>
      </c>
      <c r="J955">
        <v>8</v>
      </c>
      <c r="K955">
        <v>1</v>
      </c>
      <c r="L955">
        <v>6.898148148148148E-3</v>
      </c>
      <c r="M955" t="s">
        <v>117</v>
      </c>
      <c r="N955" t="s">
        <v>1128</v>
      </c>
      <c r="O955" s="24">
        <v>46126</v>
      </c>
      <c r="P955">
        <v>605</v>
      </c>
      <c r="Q955" t="s">
        <v>34</v>
      </c>
      <c r="R955">
        <v>46137</v>
      </c>
      <c r="S955" s="51">
        <v>0.56319444444444444</v>
      </c>
      <c r="T955" s="51">
        <v>0.57152777777777775</v>
      </c>
      <c r="X955" t="s">
        <v>3223</v>
      </c>
      <c r="Y955" t="s">
        <v>3029</v>
      </c>
      <c r="Z955">
        <v>3219209</v>
      </c>
    </row>
    <row r="956" spans="1:26" x14ac:dyDescent="0.25">
      <c r="A956">
        <v>952</v>
      </c>
      <c r="B956" t="s">
        <v>26</v>
      </c>
      <c r="C956" t="s">
        <v>27</v>
      </c>
      <c r="D956">
        <v>15</v>
      </c>
      <c r="E956" t="s">
        <v>1665</v>
      </c>
      <c r="F956" t="s">
        <v>498</v>
      </c>
      <c r="G956">
        <v>4227</v>
      </c>
      <c r="H956" t="s">
        <v>2311</v>
      </c>
      <c r="I956" t="s">
        <v>2300</v>
      </c>
      <c r="J956">
        <v>8</v>
      </c>
      <c r="K956">
        <v>3</v>
      </c>
      <c r="L956">
        <v>4.7685185185185183E-3</v>
      </c>
      <c r="M956" t="s">
        <v>117</v>
      </c>
      <c r="N956" t="s">
        <v>1128</v>
      </c>
      <c r="O956" s="24">
        <v>46126</v>
      </c>
      <c r="P956">
        <v>605</v>
      </c>
      <c r="Q956" t="s">
        <v>34</v>
      </c>
      <c r="R956">
        <v>46137</v>
      </c>
      <c r="S956" s="51">
        <v>0.41666666666666669</v>
      </c>
      <c r="T956" s="51">
        <v>0.43819444444444444</v>
      </c>
      <c r="X956" t="s">
        <v>3224</v>
      </c>
      <c r="Y956" t="s">
        <v>3029</v>
      </c>
      <c r="Z956">
        <v>2733737</v>
      </c>
    </row>
    <row r="957" spans="1:26" x14ac:dyDescent="0.25">
      <c r="A957">
        <v>953</v>
      </c>
      <c r="B957" t="s">
        <v>26</v>
      </c>
      <c r="C957" t="s">
        <v>27</v>
      </c>
      <c r="D957">
        <v>15</v>
      </c>
      <c r="E957" t="s">
        <v>1588</v>
      </c>
      <c r="F957" t="s">
        <v>44</v>
      </c>
      <c r="G957">
        <v>4227</v>
      </c>
      <c r="H957" t="s">
        <v>1623</v>
      </c>
      <c r="I957" t="s">
        <v>1624</v>
      </c>
      <c r="J957">
        <v>8</v>
      </c>
      <c r="K957">
        <v>1</v>
      </c>
      <c r="L957">
        <v>1.261574074074074E-3</v>
      </c>
      <c r="M957" t="s">
        <v>117</v>
      </c>
      <c r="N957" t="s">
        <v>1128</v>
      </c>
      <c r="O957" s="24">
        <v>46126</v>
      </c>
      <c r="P957">
        <v>605</v>
      </c>
      <c r="Q957" t="s">
        <v>34</v>
      </c>
      <c r="R957">
        <v>46137</v>
      </c>
      <c r="S957" s="51">
        <v>0.41666666666666669</v>
      </c>
      <c r="T957" s="51">
        <v>0.43819444444444444</v>
      </c>
      <c r="X957" t="s">
        <v>3224</v>
      </c>
      <c r="Y957" t="s">
        <v>3029</v>
      </c>
      <c r="Z957">
        <v>2733737</v>
      </c>
    </row>
    <row r="958" spans="1:26" x14ac:dyDescent="0.25">
      <c r="A958">
        <v>954</v>
      </c>
      <c r="B958" t="s">
        <v>26</v>
      </c>
      <c r="C958" t="s">
        <v>27</v>
      </c>
      <c r="D958">
        <v>15</v>
      </c>
      <c r="E958" t="s">
        <v>367</v>
      </c>
      <c r="F958" t="s">
        <v>1593</v>
      </c>
      <c r="G958">
        <v>4227</v>
      </c>
      <c r="H958" t="s">
        <v>2060</v>
      </c>
      <c r="I958" t="s">
        <v>2061</v>
      </c>
      <c r="J958">
        <v>8</v>
      </c>
      <c r="K958">
        <v>8</v>
      </c>
      <c r="L958">
        <v>2.8240740740740739E-3</v>
      </c>
      <c r="M958" t="s">
        <v>117</v>
      </c>
      <c r="N958" t="s">
        <v>1128</v>
      </c>
      <c r="O958" s="24">
        <v>46126</v>
      </c>
      <c r="P958">
        <v>605</v>
      </c>
      <c r="Q958" t="s">
        <v>34</v>
      </c>
      <c r="R958">
        <v>46137</v>
      </c>
      <c r="S958" s="51">
        <v>0.41666666666666669</v>
      </c>
      <c r="T958" s="51">
        <v>0.43819444444444444</v>
      </c>
      <c r="X958" t="s">
        <v>3224</v>
      </c>
      <c r="Y958" t="s">
        <v>3029</v>
      </c>
      <c r="Z958">
        <v>2733737</v>
      </c>
    </row>
    <row r="959" spans="1:26" x14ac:dyDescent="0.25">
      <c r="A959">
        <v>955</v>
      </c>
      <c r="B959" t="s">
        <v>26</v>
      </c>
      <c r="C959" t="s">
        <v>27</v>
      </c>
      <c r="D959">
        <v>15</v>
      </c>
      <c r="E959" t="s">
        <v>367</v>
      </c>
      <c r="F959" t="s">
        <v>367</v>
      </c>
      <c r="G959">
        <v>4227</v>
      </c>
      <c r="H959" t="s">
        <v>2483</v>
      </c>
      <c r="I959" t="s">
        <v>2484</v>
      </c>
      <c r="J959">
        <v>8</v>
      </c>
      <c r="K959">
        <v>1</v>
      </c>
      <c r="L959">
        <v>4.9768518518518521E-4</v>
      </c>
      <c r="M959" t="s">
        <v>117</v>
      </c>
      <c r="N959" t="s">
        <v>1128</v>
      </c>
      <c r="O959" s="24">
        <v>46126</v>
      </c>
      <c r="P959">
        <v>605</v>
      </c>
      <c r="Q959" t="s">
        <v>34</v>
      </c>
      <c r="R959">
        <v>46137</v>
      </c>
      <c r="S959" s="51">
        <v>0.41666666666666669</v>
      </c>
      <c r="T959" s="51">
        <v>0.43819444444444444</v>
      </c>
      <c r="X959" t="s">
        <v>3224</v>
      </c>
      <c r="Y959" t="s">
        <v>3029</v>
      </c>
      <c r="Z959">
        <v>2733737</v>
      </c>
    </row>
    <row r="960" spans="1:26" x14ac:dyDescent="0.25">
      <c r="A960">
        <v>956</v>
      </c>
      <c r="B960" t="s">
        <v>26</v>
      </c>
      <c r="C960" t="s">
        <v>27</v>
      </c>
      <c r="D960">
        <v>15</v>
      </c>
      <c r="E960" t="s">
        <v>367</v>
      </c>
      <c r="F960" t="s">
        <v>368</v>
      </c>
      <c r="G960">
        <v>4227</v>
      </c>
      <c r="H960" t="s">
        <v>2096</v>
      </c>
      <c r="I960" t="s">
        <v>2097</v>
      </c>
      <c r="J960">
        <v>8</v>
      </c>
      <c r="K960">
        <v>3</v>
      </c>
      <c r="L960">
        <v>1.7013888888888888E-3</v>
      </c>
      <c r="M960" t="s">
        <v>117</v>
      </c>
      <c r="N960" t="s">
        <v>1128</v>
      </c>
      <c r="O960" s="24">
        <v>46126</v>
      </c>
      <c r="P960">
        <v>605</v>
      </c>
      <c r="Q960" t="s">
        <v>34</v>
      </c>
      <c r="R960">
        <v>46137</v>
      </c>
      <c r="S960" s="51">
        <v>0.41666666666666669</v>
      </c>
      <c r="T960" s="51">
        <v>0.43819444444444444</v>
      </c>
      <c r="X960" t="s">
        <v>3224</v>
      </c>
      <c r="Y960" t="s">
        <v>3029</v>
      </c>
      <c r="Z960">
        <v>2733737</v>
      </c>
    </row>
    <row r="961" spans="1:26" x14ac:dyDescent="0.25">
      <c r="A961">
        <v>957</v>
      </c>
      <c r="B961" t="s">
        <v>26</v>
      </c>
      <c r="C961" t="s">
        <v>27</v>
      </c>
      <c r="D961">
        <v>15</v>
      </c>
      <c r="E961" t="s">
        <v>367</v>
      </c>
      <c r="F961" t="s">
        <v>1592</v>
      </c>
      <c r="G961">
        <v>4227</v>
      </c>
      <c r="H961" t="s">
        <v>2062</v>
      </c>
      <c r="I961" t="s">
        <v>2063</v>
      </c>
      <c r="J961">
        <v>8</v>
      </c>
      <c r="K961">
        <v>5</v>
      </c>
      <c r="L961">
        <v>1.9444444444444444E-3</v>
      </c>
      <c r="M961" t="s">
        <v>117</v>
      </c>
      <c r="N961" t="s">
        <v>1128</v>
      </c>
      <c r="O961" s="24">
        <v>46126</v>
      </c>
      <c r="P961">
        <v>605</v>
      </c>
      <c r="Q961" t="s">
        <v>34</v>
      </c>
      <c r="R961">
        <v>46137</v>
      </c>
      <c r="S961" s="51">
        <v>0.41666666666666669</v>
      </c>
      <c r="T961" s="51">
        <v>0.43819444444444444</v>
      </c>
      <c r="X961" t="s">
        <v>3224</v>
      </c>
      <c r="Y961" t="s">
        <v>3029</v>
      </c>
      <c r="Z961">
        <v>2733737</v>
      </c>
    </row>
    <row r="962" spans="1:26" x14ac:dyDescent="0.25">
      <c r="A962">
        <v>958</v>
      </c>
      <c r="B962" t="s">
        <v>26</v>
      </c>
      <c r="C962" t="s">
        <v>27</v>
      </c>
      <c r="D962">
        <v>15</v>
      </c>
      <c r="E962" t="s">
        <v>829</v>
      </c>
      <c r="F962" t="s">
        <v>368</v>
      </c>
      <c r="G962">
        <v>4227</v>
      </c>
      <c r="H962" t="s">
        <v>2331</v>
      </c>
      <c r="I962" t="s">
        <v>2653</v>
      </c>
      <c r="J962">
        <v>8</v>
      </c>
      <c r="K962">
        <v>1</v>
      </c>
      <c r="L962">
        <v>4.8263888888888887E-3</v>
      </c>
      <c r="M962" t="s">
        <v>117</v>
      </c>
      <c r="N962" t="s">
        <v>1128</v>
      </c>
      <c r="O962" s="24">
        <v>46126</v>
      </c>
      <c r="P962">
        <v>605</v>
      </c>
      <c r="Q962" t="s">
        <v>34</v>
      </c>
      <c r="R962">
        <v>46137</v>
      </c>
      <c r="S962" s="51">
        <v>0.41666666666666669</v>
      </c>
      <c r="T962" s="51">
        <v>0.43819444444444444</v>
      </c>
      <c r="X962" t="s">
        <v>3224</v>
      </c>
      <c r="Y962" t="s">
        <v>3029</v>
      </c>
      <c r="Z962">
        <v>2733737</v>
      </c>
    </row>
    <row r="963" spans="1:26" x14ac:dyDescent="0.25">
      <c r="A963">
        <v>959</v>
      </c>
      <c r="B963" t="s">
        <v>26</v>
      </c>
      <c r="C963" t="s">
        <v>27</v>
      </c>
      <c r="D963">
        <v>15</v>
      </c>
      <c r="E963" t="s">
        <v>367</v>
      </c>
      <c r="F963" t="s">
        <v>367</v>
      </c>
      <c r="G963">
        <v>4227</v>
      </c>
      <c r="H963" t="s">
        <v>2373</v>
      </c>
      <c r="I963" t="s">
        <v>2155</v>
      </c>
      <c r="J963">
        <v>8</v>
      </c>
      <c r="K963">
        <v>1</v>
      </c>
      <c r="L963">
        <v>6.5972222222222224E-4</v>
      </c>
      <c r="M963" t="s">
        <v>117</v>
      </c>
      <c r="N963" t="s">
        <v>1128</v>
      </c>
      <c r="O963" s="24">
        <v>46126</v>
      </c>
      <c r="P963">
        <v>605</v>
      </c>
      <c r="Q963" t="s">
        <v>34</v>
      </c>
      <c r="R963">
        <v>46137</v>
      </c>
      <c r="S963" s="51">
        <v>0.41666666666666669</v>
      </c>
      <c r="T963" s="51">
        <v>0.43819444444444444</v>
      </c>
      <c r="X963" t="s">
        <v>3224</v>
      </c>
      <c r="Y963" t="s">
        <v>3029</v>
      </c>
      <c r="Z963">
        <v>2733737</v>
      </c>
    </row>
    <row r="964" spans="1:26" x14ac:dyDescent="0.25">
      <c r="A964">
        <v>960</v>
      </c>
      <c r="B964" t="s">
        <v>26</v>
      </c>
      <c r="C964" t="s">
        <v>27</v>
      </c>
      <c r="D964">
        <v>15</v>
      </c>
      <c r="E964" t="s">
        <v>367</v>
      </c>
      <c r="F964" t="s">
        <v>367</v>
      </c>
      <c r="G964">
        <v>4227</v>
      </c>
      <c r="H964" t="s">
        <v>2154</v>
      </c>
      <c r="I964" t="s">
        <v>2155</v>
      </c>
      <c r="J964">
        <v>8</v>
      </c>
      <c r="K964">
        <v>1</v>
      </c>
      <c r="L964">
        <v>6.5972222222222224E-4</v>
      </c>
      <c r="M964" t="s">
        <v>117</v>
      </c>
      <c r="N964" t="s">
        <v>1128</v>
      </c>
      <c r="O964" s="24">
        <v>46126</v>
      </c>
      <c r="P964">
        <v>605</v>
      </c>
      <c r="Q964" t="s">
        <v>34</v>
      </c>
      <c r="R964">
        <v>46137</v>
      </c>
      <c r="S964" s="51">
        <v>0.41666666666666669</v>
      </c>
      <c r="T964" s="51">
        <v>0.43819444444444444</v>
      </c>
      <c r="X964" t="s">
        <v>3224</v>
      </c>
      <c r="Y964" t="s">
        <v>3029</v>
      </c>
      <c r="Z964">
        <v>2733737</v>
      </c>
    </row>
    <row r="965" spans="1:26" x14ac:dyDescent="0.25">
      <c r="A965">
        <v>961</v>
      </c>
      <c r="B965" t="s">
        <v>26</v>
      </c>
      <c r="C965" t="s">
        <v>27</v>
      </c>
      <c r="D965">
        <v>15</v>
      </c>
      <c r="E965" t="s">
        <v>367</v>
      </c>
      <c r="F965" t="s">
        <v>512</v>
      </c>
      <c r="G965">
        <v>4227</v>
      </c>
      <c r="H965" t="s">
        <v>2598</v>
      </c>
      <c r="I965" t="s">
        <v>2599</v>
      </c>
      <c r="J965">
        <v>8</v>
      </c>
      <c r="K965">
        <v>2</v>
      </c>
      <c r="L965">
        <v>1.5509259259259259E-3</v>
      </c>
      <c r="M965" t="s">
        <v>117</v>
      </c>
      <c r="N965" t="s">
        <v>1128</v>
      </c>
      <c r="O965" s="24">
        <v>46126</v>
      </c>
      <c r="P965">
        <v>605</v>
      </c>
      <c r="Q965" t="s">
        <v>34</v>
      </c>
      <c r="R965">
        <v>46137</v>
      </c>
      <c r="S965" s="51">
        <v>0.41666666666666669</v>
      </c>
      <c r="T965" s="51">
        <v>0.43819444444444444</v>
      </c>
      <c r="X965" t="s">
        <v>3224</v>
      </c>
      <c r="Y965" t="s">
        <v>3029</v>
      </c>
      <c r="Z965">
        <v>2733737</v>
      </c>
    </row>
    <row r="966" spans="1:26" x14ac:dyDescent="0.25">
      <c r="A966">
        <v>962</v>
      </c>
      <c r="B966" t="s">
        <v>26</v>
      </c>
      <c r="C966" t="s">
        <v>27</v>
      </c>
      <c r="D966">
        <v>15</v>
      </c>
      <c r="E966" t="s">
        <v>367</v>
      </c>
      <c r="F966" t="s">
        <v>1594</v>
      </c>
      <c r="G966">
        <v>4227</v>
      </c>
      <c r="H966" t="s">
        <v>2601</v>
      </c>
      <c r="I966" t="s">
        <v>2226</v>
      </c>
      <c r="J966">
        <v>8</v>
      </c>
      <c r="K966">
        <v>1</v>
      </c>
      <c r="L966">
        <v>1.4004629629629629E-3</v>
      </c>
      <c r="M966" t="s">
        <v>117</v>
      </c>
      <c r="N966" t="s">
        <v>1128</v>
      </c>
      <c r="O966" s="24">
        <v>46126</v>
      </c>
      <c r="P966">
        <v>605</v>
      </c>
      <c r="Q966" t="s">
        <v>34</v>
      </c>
      <c r="R966">
        <v>46137</v>
      </c>
      <c r="S966" s="51">
        <v>0.41666666666666669</v>
      </c>
      <c r="T966" s="51">
        <v>0.43819444444444444</v>
      </c>
      <c r="X966" t="s">
        <v>3224</v>
      </c>
      <c r="Y966" t="s">
        <v>3029</v>
      </c>
      <c r="Z966">
        <v>2733737</v>
      </c>
    </row>
    <row r="967" spans="1:26" x14ac:dyDescent="0.25">
      <c r="A967">
        <v>963</v>
      </c>
      <c r="B967" t="s">
        <v>26</v>
      </c>
      <c r="C967" t="s">
        <v>27</v>
      </c>
      <c r="D967">
        <v>15</v>
      </c>
      <c r="E967" t="s">
        <v>367</v>
      </c>
      <c r="F967" t="s">
        <v>427</v>
      </c>
      <c r="G967">
        <v>4281</v>
      </c>
      <c r="H967" t="s">
        <v>2234</v>
      </c>
      <c r="I967" t="s">
        <v>2235</v>
      </c>
      <c r="J967">
        <v>8</v>
      </c>
      <c r="K967">
        <v>1</v>
      </c>
      <c r="L967">
        <v>5.8101851851851847E-3</v>
      </c>
      <c r="M967" t="s">
        <v>117</v>
      </c>
      <c r="N967" t="s">
        <v>1128</v>
      </c>
      <c r="O967" s="24">
        <v>46126</v>
      </c>
      <c r="P967">
        <v>605</v>
      </c>
      <c r="Q967" t="s">
        <v>34</v>
      </c>
      <c r="R967">
        <v>46137</v>
      </c>
      <c r="S967" s="51">
        <v>0.34236111111111112</v>
      </c>
      <c r="T967" s="51">
        <v>0.375</v>
      </c>
      <c r="X967" t="s">
        <v>3225</v>
      </c>
      <c r="Y967" t="s">
        <v>3029</v>
      </c>
      <c r="Z967">
        <v>2784148</v>
      </c>
    </row>
    <row r="968" spans="1:26" x14ac:dyDescent="0.25">
      <c r="A968">
        <v>964</v>
      </c>
      <c r="B968" t="s">
        <v>26</v>
      </c>
      <c r="C968" t="s">
        <v>27</v>
      </c>
      <c r="D968">
        <v>15</v>
      </c>
      <c r="E968" t="s">
        <v>367</v>
      </c>
      <c r="F968" t="s">
        <v>512</v>
      </c>
      <c r="G968">
        <v>4281</v>
      </c>
      <c r="H968" t="s">
        <v>2203</v>
      </c>
      <c r="I968" t="s">
        <v>2204</v>
      </c>
      <c r="J968">
        <v>8</v>
      </c>
      <c r="K968">
        <v>1</v>
      </c>
      <c r="L968">
        <v>1.1805555555555556E-3</v>
      </c>
      <c r="M968" t="s">
        <v>117</v>
      </c>
      <c r="N968" t="s">
        <v>1128</v>
      </c>
      <c r="O968" s="24">
        <v>46126</v>
      </c>
      <c r="P968">
        <v>605</v>
      </c>
      <c r="Q968" t="s">
        <v>34</v>
      </c>
      <c r="R968">
        <v>46137</v>
      </c>
      <c r="S968" s="51">
        <v>0.34236111111111112</v>
      </c>
      <c r="T968" s="51">
        <v>0.375</v>
      </c>
      <c r="X968" t="s">
        <v>3225</v>
      </c>
      <c r="Y968" t="s">
        <v>3029</v>
      </c>
      <c r="Z968">
        <v>2784148</v>
      </c>
    </row>
    <row r="969" spans="1:26" x14ac:dyDescent="0.25">
      <c r="A969">
        <v>965</v>
      </c>
      <c r="B969" t="s">
        <v>26</v>
      </c>
      <c r="C969" t="s">
        <v>27</v>
      </c>
      <c r="D969">
        <v>15</v>
      </c>
      <c r="E969" t="s">
        <v>367</v>
      </c>
      <c r="F969" t="s">
        <v>1594</v>
      </c>
      <c r="G969">
        <v>4281</v>
      </c>
      <c r="H969" t="s">
        <v>2280</v>
      </c>
      <c r="I969" t="s">
        <v>2273</v>
      </c>
      <c r="J969">
        <v>8</v>
      </c>
      <c r="K969">
        <v>3</v>
      </c>
      <c r="L969">
        <v>6.1111111111111106E-3</v>
      </c>
      <c r="M969" t="s">
        <v>117</v>
      </c>
      <c r="N969" t="s">
        <v>1128</v>
      </c>
      <c r="O969" s="24">
        <v>46126</v>
      </c>
      <c r="P969">
        <v>605</v>
      </c>
      <c r="Q969" t="s">
        <v>34</v>
      </c>
      <c r="R969">
        <v>46137</v>
      </c>
      <c r="S969" s="51">
        <v>0.34236111111111112</v>
      </c>
      <c r="T969" s="51">
        <v>0.375</v>
      </c>
      <c r="X969" t="s">
        <v>3225</v>
      </c>
      <c r="Y969" t="s">
        <v>3029</v>
      </c>
      <c r="Z969">
        <v>2784148</v>
      </c>
    </row>
    <row r="970" spans="1:26" x14ac:dyDescent="0.25">
      <c r="A970">
        <v>966</v>
      </c>
      <c r="B970" t="s">
        <v>26</v>
      </c>
      <c r="C970" t="s">
        <v>27</v>
      </c>
      <c r="D970">
        <v>15</v>
      </c>
      <c r="E970" t="s">
        <v>2296</v>
      </c>
      <c r="F970" t="s">
        <v>44</v>
      </c>
      <c r="G970">
        <v>4281</v>
      </c>
      <c r="H970" t="s">
        <v>48</v>
      </c>
      <c r="I970" t="s">
        <v>1119</v>
      </c>
      <c r="J970">
        <v>8</v>
      </c>
      <c r="K970">
        <v>6</v>
      </c>
      <c r="L970">
        <v>8.5532407407407397E-3</v>
      </c>
      <c r="M970" t="s">
        <v>117</v>
      </c>
      <c r="N970" t="s">
        <v>1128</v>
      </c>
      <c r="O970" s="24">
        <v>46126</v>
      </c>
      <c r="P970">
        <v>605</v>
      </c>
      <c r="Q970" t="s">
        <v>34</v>
      </c>
      <c r="R970">
        <v>46137</v>
      </c>
      <c r="S970" s="51">
        <v>0.34236111111111112</v>
      </c>
      <c r="T970" s="51">
        <v>0.375</v>
      </c>
      <c r="X970" t="s">
        <v>3225</v>
      </c>
      <c r="Y970" t="s">
        <v>3029</v>
      </c>
      <c r="Z970">
        <v>2784148</v>
      </c>
    </row>
    <row r="971" spans="1:26" x14ac:dyDescent="0.25">
      <c r="A971">
        <v>967</v>
      </c>
      <c r="B971" t="s">
        <v>26</v>
      </c>
      <c r="C971" t="s">
        <v>27</v>
      </c>
      <c r="D971">
        <v>15</v>
      </c>
      <c r="E971" t="s">
        <v>829</v>
      </c>
      <c r="F971" t="s">
        <v>368</v>
      </c>
      <c r="G971">
        <v>3899</v>
      </c>
      <c r="H971" t="s">
        <v>2064</v>
      </c>
      <c r="I971" t="s">
        <v>2065</v>
      </c>
      <c r="J971">
        <v>8</v>
      </c>
      <c r="K971">
        <v>1</v>
      </c>
      <c r="L971">
        <v>2.2106481481481482E-3</v>
      </c>
      <c r="M971" t="s">
        <v>117</v>
      </c>
      <c r="N971" t="s">
        <v>1128</v>
      </c>
      <c r="O971" s="24">
        <v>46126</v>
      </c>
      <c r="P971">
        <v>605</v>
      </c>
      <c r="Q971" t="s">
        <v>34</v>
      </c>
      <c r="R971">
        <v>46137</v>
      </c>
      <c r="S971" s="51">
        <v>0.48819444444444443</v>
      </c>
      <c r="T971" s="51">
        <v>0.54305555555555551</v>
      </c>
      <c r="X971" t="s">
        <v>3226</v>
      </c>
      <c r="Y971" t="s">
        <v>3029</v>
      </c>
      <c r="Z971">
        <v>2777698</v>
      </c>
    </row>
    <row r="972" spans="1:26" x14ac:dyDescent="0.25">
      <c r="A972">
        <v>968</v>
      </c>
      <c r="B972" t="s">
        <v>26</v>
      </c>
      <c r="C972" t="s">
        <v>27</v>
      </c>
      <c r="D972">
        <v>15</v>
      </c>
      <c r="E972" t="s">
        <v>829</v>
      </c>
      <c r="F972" t="s">
        <v>367</v>
      </c>
      <c r="G972">
        <v>3899</v>
      </c>
      <c r="H972" t="s">
        <v>2579</v>
      </c>
      <c r="I972" t="s">
        <v>2580</v>
      </c>
      <c r="J972">
        <v>8</v>
      </c>
      <c r="K972">
        <v>1</v>
      </c>
      <c r="L972">
        <v>6.4699074074074069E-3</v>
      </c>
      <c r="M972" t="s">
        <v>117</v>
      </c>
      <c r="N972" t="s">
        <v>1128</v>
      </c>
      <c r="O972" s="24">
        <v>46126</v>
      </c>
      <c r="P972">
        <v>605</v>
      </c>
      <c r="Q972" t="s">
        <v>34</v>
      </c>
      <c r="R972">
        <v>46137</v>
      </c>
      <c r="S972" s="51">
        <v>0.48819444444444443</v>
      </c>
      <c r="T972" s="51">
        <v>0.54305555555555551</v>
      </c>
      <c r="X972" t="s">
        <v>3226</v>
      </c>
      <c r="Y972" t="s">
        <v>3029</v>
      </c>
      <c r="Z972">
        <v>2777698</v>
      </c>
    </row>
    <row r="973" spans="1:26" x14ac:dyDescent="0.25">
      <c r="A973">
        <v>969</v>
      </c>
      <c r="B973" t="s">
        <v>26</v>
      </c>
      <c r="C973" t="s">
        <v>27</v>
      </c>
      <c r="D973">
        <v>15</v>
      </c>
      <c r="E973" t="s">
        <v>367</v>
      </c>
      <c r="F973" t="s">
        <v>427</v>
      </c>
      <c r="G973">
        <v>3899</v>
      </c>
      <c r="H973" t="s">
        <v>2417</v>
      </c>
      <c r="I973" t="s">
        <v>2418</v>
      </c>
      <c r="J973">
        <v>8</v>
      </c>
      <c r="K973">
        <v>1</v>
      </c>
      <c r="L973">
        <v>2.0023148148148148E-3</v>
      </c>
      <c r="M973" t="s">
        <v>117</v>
      </c>
      <c r="N973" t="s">
        <v>1128</v>
      </c>
      <c r="O973" s="24">
        <v>46126</v>
      </c>
      <c r="P973">
        <v>605</v>
      </c>
      <c r="Q973" t="s">
        <v>34</v>
      </c>
      <c r="R973">
        <v>46137</v>
      </c>
      <c r="S973" s="51">
        <v>0.48819444444444443</v>
      </c>
      <c r="T973" s="51">
        <v>0.54305555555555551</v>
      </c>
      <c r="X973" t="s">
        <v>3226</v>
      </c>
      <c r="Y973" t="s">
        <v>3029</v>
      </c>
      <c r="Z973">
        <v>2777698</v>
      </c>
    </row>
    <row r="974" spans="1:26" x14ac:dyDescent="0.25">
      <c r="A974">
        <v>970</v>
      </c>
      <c r="B974" t="s">
        <v>26</v>
      </c>
      <c r="C974" t="s">
        <v>27</v>
      </c>
      <c r="D974">
        <v>15</v>
      </c>
      <c r="E974" t="s">
        <v>1665</v>
      </c>
      <c r="F974" t="s">
        <v>498</v>
      </c>
      <c r="G974">
        <v>3900</v>
      </c>
      <c r="H974" t="s">
        <v>2110</v>
      </c>
      <c r="I974" t="s">
        <v>2111</v>
      </c>
      <c r="J974">
        <v>8</v>
      </c>
      <c r="K974">
        <v>1</v>
      </c>
      <c r="L974">
        <v>6.134259259259259E-4</v>
      </c>
      <c r="M974" t="s">
        <v>117</v>
      </c>
      <c r="N974" t="s">
        <v>1128</v>
      </c>
      <c r="O974" s="24">
        <v>46126</v>
      </c>
      <c r="P974">
        <v>605</v>
      </c>
      <c r="Q974" t="s">
        <v>34</v>
      </c>
      <c r="R974">
        <v>46137</v>
      </c>
      <c r="S974" s="51">
        <v>9.0277777777777776E-2</v>
      </c>
      <c r="T974" s="51">
        <v>0.1076388888888889</v>
      </c>
      <c r="X974" t="s">
        <v>3227</v>
      </c>
      <c r="Y974" t="s">
        <v>3029</v>
      </c>
      <c r="Z974">
        <v>1742079</v>
      </c>
    </row>
    <row r="975" spans="1:26" x14ac:dyDescent="0.25">
      <c r="A975">
        <v>971</v>
      </c>
      <c r="B975" t="s">
        <v>26</v>
      </c>
      <c r="C975" t="s">
        <v>27</v>
      </c>
      <c r="D975">
        <v>15</v>
      </c>
      <c r="E975" t="s">
        <v>367</v>
      </c>
      <c r="F975" t="s">
        <v>367</v>
      </c>
      <c r="G975">
        <v>3900</v>
      </c>
      <c r="H975" t="s">
        <v>2328</v>
      </c>
      <c r="I975" t="s">
        <v>2329</v>
      </c>
      <c r="J975">
        <v>8</v>
      </c>
      <c r="K975">
        <v>1</v>
      </c>
      <c r="L975">
        <v>7.2916666666666659E-4</v>
      </c>
      <c r="M975" t="s">
        <v>117</v>
      </c>
      <c r="N975" t="s">
        <v>1128</v>
      </c>
      <c r="O975" s="24">
        <v>46126</v>
      </c>
      <c r="P975">
        <v>605</v>
      </c>
      <c r="Q975" t="s">
        <v>34</v>
      </c>
      <c r="R975">
        <v>46137</v>
      </c>
      <c r="S975" s="51">
        <v>9.0277777777777776E-2</v>
      </c>
      <c r="T975" s="51">
        <v>0.1076388888888889</v>
      </c>
      <c r="X975" t="s">
        <v>3227</v>
      </c>
      <c r="Y975" t="s">
        <v>3029</v>
      </c>
      <c r="Z975">
        <v>1742079</v>
      </c>
    </row>
    <row r="976" spans="1:26" x14ac:dyDescent="0.25">
      <c r="A976">
        <v>972</v>
      </c>
      <c r="B976" t="s">
        <v>26</v>
      </c>
      <c r="C976" t="s">
        <v>27</v>
      </c>
      <c r="D976">
        <v>15</v>
      </c>
      <c r="E976" t="s">
        <v>367</v>
      </c>
      <c r="F976" t="s">
        <v>368</v>
      </c>
      <c r="G976">
        <v>3900</v>
      </c>
      <c r="H976" t="s">
        <v>2096</v>
      </c>
      <c r="I976" t="s">
        <v>2097</v>
      </c>
      <c r="J976">
        <v>8</v>
      </c>
      <c r="K976">
        <v>1</v>
      </c>
      <c r="L976">
        <v>6.8287037037037036E-4</v>
      </c>
      <c r="M976" t="s">
        <v>117</v>
      </c>
      <c r="N976" t="s">
        <v>1128</v>
      </c>
      <c r="O976" s="24">
        <v>46126</v>
      </c>
      <c r="P976">
        <v>605</v>
      </c>
      <c r="Q976" t="s">
        <v>34</v>
      </c>
      <c r="R976">
        <v>46137</v>
      </c>
      <c r="S976" s="51">
        <v>9.0277777777777776E-2</v>
      </c>
      <c r="T976" s="51">
        <v>0.1076388888888889</v>
      </c>
      <c r="X976" t="s">
        <v>3227</v>
      </c>
      <c r="Y976" t="s">
        <v>3029</v>
      </c>
      <c r="Z976">
        <v>1742079</v>
      </c>
    </row>
    <row r="977" spans="1:26" x14ac:dyDescent="0.25">
      <c r="A977">
        <v>973</v>
      </c>
      <c r="B977" t="s">
        <v>26</v>
      </c>
      <c r="C977" t="s">
        <v>27</v>
      </c>
      <c r="D977">
        <v>15</v>
      </c>
      <c r="E977" t="s">
        <v>367</v>
      </c>
      <c r="F977" t="s">
        <v>427</v>
      </c>
      <c r="G977">
        <v>3900</v>
      </c>
      <c r="H977" t="s">
        <v>2417</v>
      </c>
      <c r="I977" t="s">
        <v>2418</v>
      </c>
      <c r="J977">
        <v>8</v>
      </c>
      <c r="K977">
        <v>1</v>
      </c>
      <c r="L977">
        <v>1.7708333333333332E-3</v>
      </c>
      <c r="M977" t="s">
        <v>117</v>
      </c>
      <c r="N977" t="s">
        <v>1128</v>
      </c>
      <c r="O977" s="24">
        <v>46126</v>
      </c>
      <c r="P977">
        <v>605</v>
      </c>
      <c r="Q977" t="s">
        <v>34</v>
      </c>
      <c r="R977">
        <v>46137</v>
      </c>
      <c r="S977" s="51">
        <v>9.0277777777777776E-2</v>
      </c>
      <c r="T977" s="51">
        <v>0.1076388888888889</v>
      </c>
      <c r="X977" t="s">
        <v>3227</v>
      </c>
      <c r="Y977" t="s">
        <v>3029</v>
      </c>
      <c r="Z977">
        <v>1742079</v>
      </c>
    </row>
    <row r="978" spans="1:26" x14ac:dyDescent="0.25">
      <c r="A978">
        <v>974</v>
      </c>
      <c r="B978" t="s">
        <v>26</v>
      </c>
      <c r="C978" t="s">
        <v>27</v>
      </c>
      <c r="D978">
        <v>15</v>
      </c>
      <c r="E978" t="s">
        <v>1141</v>
      </c>
      <c r="F978" t="s">
        <v>1594</v>
      </c>
      <c r="G978">
        <v>3900</v>
      </c>
      <c r="H978" t="s">
        <v>2581</v>
      </c>
      <c r="I978" t="s">
        <v>2582</v>
      </c>
      <c r="J978">
        <v>8</v>
      </c>
      <c r="K978">
        <v>1</v>
      </c>
      <c r="L978">
        <v>2.3958333333333331E-3</v>
      </c>
      <c r="M978" t="s">
        <v>117</v>
      </c>
      <c r="N978" t="s">
        <v>1128</v>
      </c>
      <c r="O978" s="24">
        <v>46126</v>
      </c>
      <c r="P978">
        <v>605</v>
      </c>
      <c r="Q978" t="s">
        <v>34</v>
      </c>
      <c r="R978">
        <v>46137</v>
      </c>
      <c r="S978" s="51">
        <v>9.0277777777777776E-2</v>
      </c>
      <c r="T978" s="51">
        <v>0.1076388888888889</v>
      </c>
      <c r="X978" t="s">
        <v>3227</v>
      </c>
      <c r="Y978" t="s">
        <v>3029</v>
      </c>
      <c r="Z978">
        <v>1742079</v>
      </c>
    </row>
    <row r="979" spans="1:26" x14ac:dyDescent="0.25">
      <c r="A979">
        <v>975</v>
      </c>
      <c r="B979" t="s">
        <v>26</v>
      </c>
      <c r="C979" t="s">
        <v>27</v>
      </c>
      <c r="D979">
        <v>15</v>
      </c>
      <c r="E979" t="s">
        <v>829</v>
      </c>
      <c r="F979" t="s">
        <v>1594</v>
      </c>
      <c r="G979">
        <v>3900</v>
      </c>
      <c r="H979" t="s">
        <v>2326</v>
      </c>
      <c r="I979" t="s">
        <v>2327</v>
      </c>
      <c r="J979">
        <v>8</v>
      </c>
      <c r="K979">
        <v>1</v>
      </c>
      <c r="L979">
        <v>3.6921296296296294E-3</v>
      </c>
      <c r="M979" t="s">
        <v>117</v>
      </c>
      <c r="N979" t="s">
        <v>1128</v>
      </c>
      <c r="O979" s="24">
        <v>46126</v>
      </c>
      <c r="P979">
        <v>605</v>
      </c>
      <c r="Q979" t="s">
        <v>34</v>
      </c>
      <c r="R979">
        <v>46137</v>
      </c>
      <c r="S979" s="51">
        <v>9.0277777777777776E-2</v>
      </c>
      <c r="T979" s="51">
        <v>0.1076388888888889</v>
      </c>
      <c r="X979" t="s">
        <v>3227</v>
      </c>
      <c r="Y979" t="s">
        <v>3029</v>
      </c>
      <c r="Z979">
        <v>1742079</v>
      </c>
    </row>
    <row r="980" spans="1:26" x14ac:dyDescent="0.25">
      <c r="A980">
        <v>976</v>
      </c>
      <c r="B980" t="s">
        <v>26</v>
      </c>
      <c r="C980" t="s">
        <v>27</v>
      </c>
      <c r="D980">
        <v>15</v>
      </c>
      <c r="E980" t="s">
        <v>2195</v>
      </c>
      <c r="F980" t="s">
        <v>44</v>
      </c>
      <c r="G980">
        <v>3900</v>
      </c>
      <c r="H980" t="s">
        <v>48</v>
      </c>
      <c r="I980" t="s">
        <v>1119</v>
      </c>
      <c r="J980">
        <v>8</v>
      </c>
      <c r="K980">
        <v>1</v>
      </c>
      <c r="L980">
        <v>1.4351851851851852E-3</v>
      </c>
      <c r="M980" t="s">
        <v>117</v>
      </c>
      <c r="N980" t="s">
        <v>1128</v>
      </c>
      <c r="O980" s="24">
        <v>46126</v>
      </c>
      <c r="P980">
        <v>605</v>
      </c>
      <c r="Q980" t="s">
        <v>34</v>
      </c>
      <c r="R980">
        <v>46137</v>
      </c>
      <c r="S980" s="51">
        <v>9.0277777777777776E-2</v>
      </c>
      <c r="T980" s="51">
        <v>0.1076388888888889</v>
      </c>
      <c r="X980" t="s">
        <v>3227</v>
      </c>
      <c r="Y980" t="s">
        <v>3029</v>
      </c>
      <c r="Z980">
        <v>1742079</v>
      </c>
    </row>
    <row r="981" spans="1:26" x14ac:dyDescent="0.25">
      <c r="A981">
        <v>977</v>
      </c>
      <c r="B981" t="s">
        <v>26</v>
      </c>
      <c r="C981" t="s">
        <v>27</v>
      </c>
      <c r="D981">
        <v>15</v>
      </c>
      <c r="E981" t="s">
        <v>147</v>
      </c>
      <c r="F981" t="s">
        <v>147</v>
      </c>
      <c r="G981">
        <v>3900</v>
      </c>
      <c r="H981" t="s">
        <v>2657</v>
      </c>
      <c r="I981" t="s">
        <v>2658</v>
      </c>
      <c r="J981">
        <v>8</v>
      </c>
      <c r="K981">
        <v>1</v>
      </c>
      <c r="L981">
        <v>3.2407407407407406E-4</v>
      </c>
      <c r="M981" t="s">
        <v>117</v>
      </c>
      <c r="N981" t="s">
        <v>1128</v>
      </c>
      <c r="O981" s="24">
        <v>46126</v>
      </c>
      <c r="P981">
        <v>605</v>
      </c>
      <c r="Q981" t="s">
        <v>34</v>
      </c>
      <c r="R981">
        <v>46137</v>
      </c>
      <c r="S981" s="51">
        <v>9.0277777777777776E-2</v>
      </c>
      <c r="T981" s="51">
        <v>0.1076388888888889</v>
      </c>
      <c r="X981" t="s">
        <v>3227</v>
      </c>
      <c r="Y981" t="s">
        <v>3029</v>
      </c>
      <c r="Z981">
        <v>1742079</v>
      </c>
    </row>
    <row r="982" spans="1:26" x14ac:dyDescent="0.25">
      <c r="A982">
        <v>978</v>
      </c>
      <c r="B982" t="s">
        <v>26</v>
      </c>
      <c r="C982" t="s">
        <v>27</v>
      </c>
      <c r="D982">
        <v>15</v>
      </c>
      <c r="E982" t="s">
        <v>1665</v>
      </c>
      <c r="F982" t="s">
        <v>498</v>
      </c>
      <c r="G982">
        <v>3903</v>
      </c>
      <c r="H982" t="s">
        <v>2110</v>
      </c>
      <c r="I982" t="s">
        <v>2111</v>
      </c>
      <c r="J982">
        <v>8</v>
      </c>
      <c r="K982">
        <v>1</v>
      </c>
      <c r="L982">
        <v>6.134259259259259E-4</v>
      </c>
      <c r="M982" t="s">
        <v>778</v>
      </c>
      <c r="N982" t="s">
        <v>1388</v>
      </c>
      <c r="O982" s="24">
        <v>46133</v>
      </c>
      <c r="P982">
        <v>605</v>
      </c>
      <c r="Q982" t="s">
        <v>34</v>
      </c>
      <c r="X982" t="s">
        <v>3228</v>
      </c>
    </row>
    <row r="983" spans="1:26" x14ac:dyDescent="0.25">
      <c r="A983">
        <v>979</v>
      </c>
      <c r="B983" t="s">
        <v>26</v>
      </c>
      <c r="C983" t="s">
        <v>27</v>
      </c>
      <c r="D983">
        <v>15</v>
      </c>
      <c r="E983" t="s">
        <v>1665</v>
      </c>
      <c r="F983" t="s">
        <v>115</v>
      </c>
      <c r="G983">
        <v>3903</v>
      </c>
      <c r="H983" t="s">
        <v>2113</v>
      </c>
      <c r="I983" t="s">
        <v>2111</v>
      </c>
      <c r="J983">
        <v>8</v>
      </c>
      <c r="K983">
        <v>1</v>
      </c>
      <c r="L983">
        <v>6.134259259259259E-4</v>
      </c>
      <c r="M983" t="s">
        <v>778</v>
      </c>
      <c r="N983" t="s">
        <v>1388</v>
      </c>
      <c r="O983" s="24">
        <v>46133</v>
      </c>
      <c r="P983">
        <v>605</v>
      </c>
      <c r="Q983" t="s">
        <v>34</v>
      </c>
      <c r="X983" t="s">
        <v>3228</v>
      </c>
    </row>
    <row r="984" spans="1:26" x14ac:dyDescent="0.25">
      <c r="A984">
        <v>980</v>
      </c>
      <c r="B984" t="s">
        <v>26</v>
      </c>
      <c r="C984" t="s">
        <v>27</v>
      </c>
      <c r="D984">
        <v>15</v>
      </c>
      <c r="E984" t="s">
        <v>367</v>
      </c>
      <c r="F984" t="s">
        <v>367</v>
      </c>
      <c r="G984">
        <v>3903</v>
      </c>
      <c r="H984" t="s">
        <v>2328</v>
      </c>
      <c r="I984" t="s">
        <v>2329</v>
      </c>
      <c r="J984">
        <v>8</v>
      </c>
      <c r="K984">
        <v>1</v>
      </c>
      <c r="L984">
        <v>7.2916666666666659E-4</v>
      </c>
      <c r="M984" t="s">
        <v>778</v>
      </c>
      <c r="N984" t="s">
        <v>1388</v>
      </c>
      <c r="O984" s="24">
        <v>46133</v>
      </c>
      <c r="P984">
        <v>605</v>
      </c>
      <c r="Q984" t="s">
        <v>34</v>
      </c>
      <c r="X984" t="s">
        <v>3228</v>
      </c>
    </row>
    <row r="985" spans="1:26" x14ac:dyDescent="0.25">
      <c r="A985">
        <v>981</v>
      </c>
      <c r="B985" t="s">
        <v>26</v>
      </c>
      <c r="C985" t="s">
        <v>27</v>
      </c>
      <c r="D985">
        <v>15</v>
      </c>
      <c r="E985" t="s">
        <v>367</v>
      </c>
      <c r="F985" t="s">
        <v>368</v>
      </c>
      <c r="G985">
        <v>3903</v>
      </c>
      <c r="H985" t="s">
        <v>2114</v>
      </c>
      <c r="I985" t="s">
        <v>2097</v>
      </c>
      <c r="J985">
        <v>8</v>
      </c>
      <c r="K985">
        <v>1</v>
      </c>
      <c r="L985">
        <v>6.9444444444444436E-4</v>
      </c>
      <c r="M985" t="s">
        <v>778</v>
      </c>
      <c r="N985" t="s">
        <v>1388</v>
      </c>
      <c r="O985" s="24">
        <v>46133</v>
      </c>
      <c r="P985">
        <v>605</v>
      </c>
      <c r="Q985" t="s">
        <v>34</v>
      </c>
      <c r="X985" t="s">
        <v>3228</v>
      </c>
    </row>
    <row r="986" spans="1:26" x14ac:dyDescent="0.25">
      <c r="A986">
        <v>982</v>
      </c>
      <c r="B986" t="s">
        <v>26</v>
      </c>
      <c r="C986" t="s">
        <v>27</v>
      </c>
      <c r="D986">
        <v>15</v>
      </c>
      <c r="E986" t="s">
        <v>367</v>
      </c>
      <c r="F986" t="s">
        <v>368</v>
      </c>
      <c r="G986">
        <v>3903</v>
      </c>
      <c r="H986" t="s">
        <v>2457</v>
      </c>
      <c r="I986" t="s">
        <v>2458</v>
      </c>
      <c r="J986">
        <v>8</v>
      </c>
      <c r="K986">
        <v>1</v>
      </c>
      <c r="L986">
        <v>1.9097222222222222E-3</v>
      </c>
      <c r="M986" t="s">
        <v>778</v>
      </c>
      <c r="N986" t="s">
        <v>1388</v>
      </c>
      <c r="O986" s="24">
        <v>46133</v>
      </c>
      <c r="P986">
        <v>605</v>
      </c>
      <c r="Q986" t="s">
        <v>34</v>
      </c>
      <c r="X986" t="s">
        <v>3228</v>
      </c>
    </row>
    <row r="987" spans="1:26" x14ac:dyDescent="0.25">
      <c r="A987">
        <v>983</v>
      </c>
      <c r="B987" t="s">
        <v>26</v>
      </c>
      <c r="C987" t="s">
        <v>27</v>
      </c>
      <c r="D987">
        <v>15</v>
      </c>
      <c r="E987" t="s">
        <v>367</v>
      </c>
      <c r="F987" t="s">
        <v>368</v>
      </c>
      <c r="G987">
        <v>3903</v>
      </c>
      <c r="H987" t="s">
        <v>2375</v>
      </c>
      <c r="I987" t="s">
        <v>2376</v>
      </c>
      <c r="J987">
        <v>8</v>
      </c>
      <c r="K987">
        <v>1</v>
      </c>
      <c r="L987">
        <v>1.8981481481481482E-3</v>
      </c>
      <c r="M987" t="s">
        <v>778</v>
      </c>
      <c r="N987" t="s">
        <v>1388</v>
      </c>
      <c r="O987" s="24">
        <v>46133</v>
      </c>
      <c r="P987">
        <v>605</v>
      </c>
      <c r="Q987" t="s">
        <v>34</v>
      </c>
      <c r="X987" t="s">
        <v>3228</v>
      </c>
    </row>
    <row r="988" spans="1:26" x14ac:dyDescent="0.25">
      <c r="A988">
        <v>984</v>
      </c>
      <c r="B988" t="s">
        <v>26</v>
      </c>
      <c r="C988" t="s">
        <v>27</v>
      </c>
      <c r="D988">
        <v>15</v>
      </c>
      <c r="E988" t="s">
        <v>829</v>
      </c>
      <c r="F988" t="s">
        <v>1594</v>
      </c>
      <c r="G988">
        <v>3903</v>
      </c>
      <c r="H988" t="s">
        <v>2610</v>
      </c>
      <c r="I988" t="s">
        <v>2611</v>
      </c>
      <c r="J988">
        <v>8</v>
      </c>
      <c r="K988">
        <v>1</v>
      </c>
      <c r="L988">
        <v>4.6180555555555549E-3</v>
      </c>
      <c r="M988" t="s">
        <v>778</v>
      </c>
      <c r="N988" t="s">
        <v>1388</v>
      </c>
      <c r="O988" s="24">
        <v>46133</v>
      </c>
      <c r="P988">
        <v>605</v>
      </c>
      <c r="Q988" t="s">
        <v>34</v>
      </c>
      <c r="X988" t="s">
        <v>3228</v>
      </c>
    </row>
    <row r="989" spans="1:26" x14ac:dyDescent="0.25">
      <c r="A989">
        <v>985</v>
      </c>
      <c r="B989" t="s">
        <v>26</v>
      </c>
      <c r="C989" t="s">
        <v>27</v>
      </c>
      <c r="D989">
        <v>15</v>
      </c>
      <c r="E989" t="s">
        <v>829</v>
      </c>
      <c r="F989" t="s">
        <v>1594</v>
      </c>
      <c r="G989">
        <v>3903</v>
      </c>
      <c r="H989" t="s">
        <v>2433</v>
      </c>
      <c r="I989" t="s">
        <v>2434</v>
      </c>
      <c r="J989">
        <v>8</v>
      </c>
      <c r="K989">
        <v>1</v>
      </c>
      <c r="L989">
        <v>3.6458333333333334E-3</v>
      </c>
      <c r="M989" t="s">
        <v>778</v>
      </c>
      <c r="N989" t="s">
        <v>1388</v>
      </c>
      <c r="O989" s="24">
        <v>46133</v>
      </c>
      <c r="P989">
        <v>605</v>
      </c>
      <c r="Q989" t="s">
        <v>34</v>
      </c>
      <c r="X989" t="s">
        <v>3228</v>
      </c>
    </row>
    <row r="990" spans="1:26" x14ac:dyDescent="0.25">
      <c r="A990">
        <v>986</v>
      </c>
      <c r="B990" t="s">
        <v>26</v>
      </c>
      <c r="C990" t="s">
        <v>27</v>
      </c>
      <c r="D990">
        <v>15</v>
      </c>
      <c r="E990" t="s">
        <v>367</v>
      </c>
      <c r="F990" t="s">
        <v>427</v>
      </c>
      <c r="G990">
        <v>3903</v>
      </c>
      <c r="H990" t="s">
        <v>2271</v>
      </c>
      <c r="I990" t="s">
        <v>2270</v>
      </c>
      <c r="J990">
        <v>8</v>
      </c>
      <c r="K990">
        <v>1</v>
      </c>
      <c r="L990">
        <v>1.8171296296296295E-3</v>
      </c>
      <c r="M990" t="s">
        <v>778</v>
      </c>
      <c r="N990" t="s">
        <v>1388</v>
      </c>
      <c r="O990" s="24">
        <v>46133</v>
      </c>
      <c r="P990">
        <v>605</v>
      </c>
      <c r="Q990" t="s">
        <v>34</v>
      </c>
      <c r="X990" t="s">
        <v>3228</v>
      </c>
    </row>
    <row r="991" spans="1:26" x14ac:dyDescent="0.25">
      <c r="A991">
        <v>987</v>
      </c>
      <c r="B991" t="s">
        <v>26</v>
      </c>
      <c r="C991" t="s">
        <v>27</v>
      </c>
      <c r="D991">
        <v>15</v>
      </c>
      <c r="E991" t="s">
        <v>367</v>
      </c>
      <c r="F991" t="s">
        <v>1594</v>
      </c>
      <c r="G991">
        <v>3903</v>
      </c>
      <c r="H991" t="s">
        <v>2601</v>
      </c>
      <c r="I991" t="s">
        <v>2226</v>
      </c>
      <c r="J991">
        <v>8</v>
      </c>
      <c r="K991">
        <v>1</v>
      </c>
      <c r="L991">
        <v>1.7129629629629628E-3</v>
      </c>
      <c r="M991" t="s">
        <v>778</v>
      </c>
      <c r="N991" t="s">
        <v>1388</v>
      </c>
      <c r="O991" s="24">
        <v>46133</v>
      </c>
      <c r="P991">
        <v>605</v>
      </c>
      <c r="Q991" t="s">
        <v>34</v>
      </c>
      <c r="X991" t="s">
        <v>3228</v>
      </c>
    </row>
    <row r="992" spans="1:26" x14ac:dyDescent="0.25">
      <c r="A992">
        <v>988</v>
      </c>
      <c r="B992" t="s">
        <v>26</v>
      </c>
      <c r="C992" t="s">
        <v>27</v>
      </c>
      <c r="D992">
        <v>15</v>
      </c>
      <c r="E992" t="s">
        <v>550</v>
      </c>
      <c r="F992" t="s">
        <v>512</v>
      </c>
      <c r="G992">
        <v>3904</v>
      </c>
      <c r="H992" t="s">
        <v>551</v>
      </c>
      <c r="I992" t="s">
        <v>119</v>
      </c>
      <c r="J992">
        <v>8</v>
      </c>
      <c r="K992">
        <v>1</v>
      </c>
      <c r="L992">
        <v>6.9212962962962961E-3</v>
      </c>
      <c r="M992" t="s">
        <v>778</v>
      </c>
      <c r="N992" t="s">
        <v>916</v>
      </c>
      <c r="O992" s="24">
        <v>46134</v>
      </c>
      <c r="P992">
        <v>603</v>
      </c>
      <c r="Q992" t="s">
        <v>34</v>
      </c>
      <c r="X992" t="s">
        <v>3229</v>
      </c>
    </row>
    <row r="993" spans="1:26" x14ac:dyDescent="0.25">
      <c r="A993">
        <v>989</v>
      </c>
      <c r="B993" t="s">
        <v>26</v>
      </c>
      <c r="C993" t="s">
        <v>27</v>
      </c>
      <c r="D993">
        <v>15</v>
      </c>
      <c r="E993" t="s">
        <v>550</v>
      </c>
      <c r="F993" t="s">
        <v>512</v>
      </c>
      <c r="G993">
        <v>3905</v>
      </c>
      <c r="H993" t="s">
        <v>551</v>
      </c>
      <c r="I993" t="s">
        <v>119</v>
      </c>
      <c r="J993">
        <v>8</v>
      </c>
      <c r="K993">
        <v>1</v>
      </c>
      <c r="L993">
        <v>6.9212962962962961E-3</v>
      </c>
      <c r="M993" t="s">
        <v>778</v>
      </c>
      <c r="N993" t="s">
        <v>916</v>
      </c>
      <c r="O993" s="24">
        <v>46134</v>
      </c>
      <c r="P993">
        <v>603</v>
      </c>
      <c r="Q993" t="s">
        <v>34</v>
      </c>
      <c r="X993" t="s">
        <v>3230</v>
      </c>
    </row>
    <row r="994" spans="1:26" x14ac:dyDescent="0.25">
      <c r="A994">
        <v>990</v>
      </c>
      <c r="B994" t="s">
        <v>26</v>
      </c>
      <c r="C994" t="s">
        <v>27</v>
      </c>
      <c r="D994">
        <v>15</v>
      </c>
      <c r="E994" t="s">
        <v>550</v>
      </c>
      <c r="F994" t="s">
        <v>512</v>
      </c>
      <c r="G994">
        <v>3850</v>
      </c>
      <c r="H994" t="s">
        <v>551</v>
      </c>
      <c r="I994" t="s">
        <v>119</v>
      </c>
      <c r="J994">
        <v>8</v>
      </c>
      <c r="K994">
        <v>1</v>
      </c>
      <c r="L994">
        <v>6.9212962962962961E-3</v>
      </c>
      <c r="M994" t="s">
        <v>778</v>
      </c>
      <c r="N994" t="s">
        <v>916</v>
      </c>
      <c r="O994" s="24">
        <v>46134</v>
      </c>
      <c r="P994">
        <v>603</v>
      </c>
      <c r="Q994" t="s">
        <v>34</v>
      </c>
      <c r="X994" t="s">
        <v>3231</v>
      </c>
    </row>
    <row r="995" spans="1:26" x14ac:dyDescent="0.25">
      <c r="A995">
        <v>991</v>
      </c>
      <c r="B995" t="s">
        <v>26</v>
      </c>
      <c r="C995" t="s">
        <v>27</v>
      </c>
      <c r="D995">
        <v>15</v>
      </c>
      <c r="E995" t="s">
        <v>550</v>
      </c>
      <c r="F995" t="s">
        <v>512</v>
      </c>
      <c r="G995">
        <v>3906</v>
      </c>
      <c r="H995" t="s">
        <v>551</v>
      </c>
      <c r="I995" t="s">
        <v>119</v>
      </c>
      <c r="J995">
        <v>8</v>
      </c>
      <c r="K995">
        <v>1</v>
      </c>
      <c r="L995">
        <v>6.9212962962962961E-3</v>
      </c>
      <c r="M995" t="s">
        <v>778</v>
      </c>
      <c r="N995" t="s">
        <v>916</v>
      </c>
      <c r="O995" s="24">
        <v>46134</v>
      </c>
      <c r="P995">
        <v>603</v>
      </c>
      <c r="Q995" t="s">
        <v>34</v>
      </c>
      <c r="X995" t="s">
        <v>3232</v>
      </c>
    </row>
    <row r="996" spans="1:26" x14ac:dyDescent="0.25">
      <c r="A996">
        <v>992</v>
      </c>
      <c r="B996" t="s">
        <v>26</v>
      </c>
      <c r="C996" t="s">
        <v>27</v>
      </c>
      <c r="D996">
        <v>15</v>
      </c>
      <c r="E996" t="s">
        <v>550</v>
      </c>
      <c r="F996" t="s">
        <v>512</v>
      </c>
      <c r="G996">
        <v>3852</v>
      </c>
      <c r="H996" t="s">
        <v>551</v>
      </c>
      <c r="I996" t="s">
        <v>119</v>
      </c>
      <c r="J996">
        <v>8</v>
      </c>
      <c r="K996">
        <v>1</v>
      </c>
      <c r="L996">
        <v>6.9212962962962961E-3</v>
      </c>
      <c r="M996" t="s">
        <v>778</v>
      </c>
      <c r="N996" t="s">
        <v>916</v>
      </c>
      <c r="O996" s="24">
        <v>46134</v>
      </c>
      <c r="P996">
        <v>603</v>
      </c>
      <c r="Q996" t="s">
        <v>34</v>
      </c>
      <c r="X996" t="s">
        <v>3233</v>
      </c>
    </row>
    <row r="997" spans="1:26" x14ac:dyDescent="0.25">
      <c r="A997">
        <v>993</v>
      </c>
      <c r="B997" t="s">
        <v>26</v>
      </c>
      <c r="C997" t="s">
        <v>27</v>
      </c>
      <c r="D997">
        <v>15</v>
      </c>
      <c r="E997" t="s">
        <v>550</v>
      </c>
      <c r="F997" t="s">
        <v>512</v>
      </c>
      <c r="G997">
        <v>3853</v>
      </c>
      <c r="H997" t="s">
        <v>551</v>
      </c>
      <c r="I997" t="s">
        <v>119</v>
      </c>
      <c r="J997">
        <v>8</v>
      </c>
      <c r="K997">
        <v>1</v>
      </c>
      <c r="L997">
        <v>6.9212962962962961E-3</v>
      </c>
      <c r="M997" t="s">
        <v>778</v>
      </c>
      <c r="N997" t="s">
        <v>916</v>
      </c>
      <c r="O997" s="24">
        <v>46134</v>
      </c>
      <c r="P997">
        <v>603</v>
      </c>
      <c r="Q997" t="s">
        <v>34</v>
      </c>
      <c r="X997" t="s">
        <v>3234</v>
      </c>
    </row>
    <row r="998" spans="1:26" x14ac:dyDescent="0.25">
      <c r="A998">
        <v>994</v>
      </c>
      <c r="B998" t="s">
        <v>26</v>
      </c>
      <c r="C998" t="s">
        <v>27</v>
      </c>
      <c r="D998">
        <v>15</v>
      </c>
      <c r="E998" t="s">
        <v>829</v>
      </c>
      <c r="F998" t="s">
        <v>368</v>
      </c>
      <c r="G998">
        <v>3907</v>
      </c>
      <c r="H998" t="s">
        <v>2322</v>
      </c>
      <c r="I998" t="s">
        <v>2666</v>
      </c>
      <c r="J998">
        <v>8</v>
      </c>
      <c r="K998">
        <v>1</v>
      </c>
      <c r="L998">
        <v>1.6319444444444443E-3</v>
      </c>
      <c r="M998" t="s">
        <v>117</v>
      </c>
      <c r="N998" t="s">
        <v>1128</v>
      </c>
      <c r="O998" s="24">
        <v>46126</v>
      </c>
      <c r="P998">
        <v>605</v>
      </c>
      <c r="Q998" t="s">
        <v>34</v>
      </c>
      <c r="R998">
        <v>46137</v>
      </c>
      <c r="S998" s="51">
        <v>0.54861111111111116</v>
      </c>
      <c r="T998" s="51">
        <v>0.55902777777777779</v>
      </c>
      <c r="X998" t="s">
        <v>3235</v>
      </c>
      <c r="Y998" t="s">
        <v>3029</v>
      </c>
      <c r="Z998">
        <v>3219209</v>
      </c>
    </row>
    <row r="999" spans="1:26" x14ac:dyDescent="0.25">
      <c r="A999">
        <v>995</v>
      </c>
      <c r="B999" t="s">
        <v>26</v>
      </c>
      <c r="C999" t="s">
        <v>27</v>
      </c>
      <c r="D999">
        <v>15</v>
      </c>
      <c r="E999" t="s">
        <v>367</v>
      </c>
      <c r="F999" t="s">
        <v>367</v>
      </c>
      <c r="G999">
        <v>3907</v>
      </c>
      <c r="H999" t="s">
        <v>2324</v>
      </c>
      <c r="I999" t="s">
        <v>2325</v>
      </c>
      <c r="J999">
        <v>8</v>
      </c>
      <c r="K999">
        <v>1</v>
      </c>
      <c r="L999">
        <v>1.4120370370370369E-3</v>
      </c>
      <c r="M999" t="s">
        <v>117</v>
      </c>
      <c r="N999" t="s">
        <v>1128</v>
      </c>
      <c r="O999" s="24">
        <v>46126</v>
      </c>
      <c r="P999">
        <v>605</v>
      </c>
      <c r="Q999" t="s">
        <v>34</v>
      </c>
      <c r="R999">
        <v>46137</v>
      </c>
      <c r="S999" s="51">
        <v>0.54861111111111116</v>
      </c>
      <c r="T999" s="51">
        <v>0.55902777777777779</v>
      </c>
      <c r="X999" t="s">
        <v>3235</v>
      </c>
      <c r="Y999" t="s">
        <v>3029</v>
      </c>
      <c r="Z999">
        <v>3219209</v>
      </c>
    </row>
    <row r="1000" spans="1:26" x14ac:dyDescent="0.25">
      <c r="A1000">
        <v>996</v>
      </c>
      <c r="B1000" t="s">
        <v>26</v>
      </c>
      <c r="C1000" t="s">
        <v>27</v>
      </c>
      <c r="D1000">
        <v>15</v>
      </c>
      <c r="E1000" t="s">
        <v>829</v>
      </c>
      <c r="F1000" t="s">
        <v>1594</v>
      </c>
      <c r="G1000">
        <v>3907</v>
      </c>
      <c r="H1000" t="s">
        <v>2236</v>
      </c>
      <c r="I1000" t="s">
        <v>2237</v>
      </c>
      <c r="J1000">
        <v>8</v>
      </c>
      <c r="K1000">
        <v>1</v>
      </c>
      <c r="L1000">
        <v>4.7337962962962958E-3</v>
      </c>
      <c r="M1000" t="s">
        <v>117</v>
      </c>
      <c r="N1000" t="s">
        <v>1128</v>
      </c>
      <c r="O1000" s="24">
        <v>46126</v>
      </c>
      <c r="P1000">
        <v>605</v>
      </c>
      <c r="Q1000" t="s">
        <v>34</v>
      </c>
      <c r="R1000">
        <v>46137</v>
      </c>
      <c r="S1000" s="51">
        <v>0.54861111111111116</v>
      </c>
      <c r="T1000" s="51">
        <v>0.55902777777777779</v>
      </c>
      <c r="X1000" t="s">
        <v>3235</v>
      </c>
      <c r="Y1000" t="s">
        <v>3029</v>
      </c>
      <c r="Z1000">
        <v>3219209</v>
      </c>
    </row>
    <row r="1001" spans="1:26" x14ac:dyDescent="0.25">
      <c r="A1001">
        <v>997</v>
      </c>
      <c r="B1001" t="s">
        <v>26</v>
      </c>
      <c r="C1001" t="s">
        <v>27</v>
      </c>
      <c r="D1001">
        <v>15</v>
      </c>
      <c r="E1001" t="s">
        <v>367</v>
      </c>
      <c r="F1001" t="s">
        <v>512</v>
      </c>
      <c r="G1001">
        <v>3907</v>
      </c>
      <c r="H1001" t="s">
        <v>2203</v>
      </c>
      <c r="I1001" t="s">
        <v>2204</v>
      </c>
      <c r="J1001">
        <v>8</v>
      </c>
      <c r="K1001">
        <v>1</v>
      </c>
      <c r="L1001">
        <v>1.2037037037037036E-3</v>
      </c>
      <c r="M1001" t="s">
        <v>117</v>
      </c>
      <c r="N1001" t="s">
        <v>1128</v>
      </c>
      <c r="O1001" s="24">
        <v>46126</v>
      </c>
      <c r="P1001">
        <v>605</v>
      </c>
      <c r="Q1001" t="s">
        <v>34</v>
      </c>
      <c r="R1001">
        <v>46137</v>
      </c>
      <c r="S1001" s="51">
        <v>0.54861111111111116</v>
      </c>
      <c r="T1001" s="51">
        <v>0.55902777777777779</v>
      </c>
      <c r="X1001" t="s">
        <v>3235</v>
      </c>
      <c r="Y1001" t="s">
        <v>3029</v>
      </c>
      <c r="Z1001">
        <v>3219209</v>
      </c>
    </row>
    <row r="1002" spans="1:26" x14ac:dyDescent="0.25">
      <c r="A1002">
        <v>998</v>
      </c>
      <c r="B1002" t="s">
        <v>26</v>
      </c>
      <c r="C1002" t="s">
        <v>27</v>
      </c>
      <c r="D1002">
        <v>15</v>
      </c>
      <c r="E1002" t="s">
        <v>2094</v>
      </c>
      <c r="F1002" t="s">
        <v>44</v>
      </c>
      <c r="G1002">
        <v>3907</v>
      </c>
      <c r="H1002" t="s">
        <v>48</v>
      </c>
      <c r="I1002" t="s">
        <v>1119</v>
      </c>
      <c r="J1002">
        <v>8</v>
      </c>
      <c r="K1002">
        <v>3</v>
      </c>
      <c r="L1002">
        <v>4.386574074074074E-3</v>
      </c>
      <c r="M1002" t="s">
        <v>117</v>
      </c>
      <c r="N1002" t="s">
        <v>1128</v>
      </c>
      <c r="O1002" s="24">
        <v>46126</v>
      </c>
      <c r="P1002">
        <v>605</v>
      </c>
      <c r="Q1002" t="s">
        <v>34</v>
      </c>
      <c r="R1002">
        <v>46137</v>
      </c>
      <c r="S1002" s="51">
        <v>0.54861111111111116</v>
      </c>
      <c r="T1002" s="51">
        <v>0.55902777777777779</v>
      </c>
      <c r="X1002" t="s">
        <v>3235</v>
      </c>
      <c r="Y1002" t="s">
        <v>3029</v>
      </c>
      <c r="Z1002">
        <v>3219209</v>
      </c>
    </row>
    <row r="1003" spans="1:26" x14ac:dyDescent="0.25">
      <c r="A1003">
        <v>999</v>
      </c>
      <c r="B1003" t="s">
        <v>26</v>
      </c>
      <c r="C1003" t="s">
        <v>27</v>
      </c>
      <c r="D1003">
        <v>15</v>
      </c>
      <c r="E1003" t="s">
        <v>150</v>
      </c>
      <c r="F1003" t="s">
        <v>512</v>
      </c>
      <c r="G1003">
        <v>3908</v>
      </c>
      <c r="H1003" t="s">
        <v>95</v>
      </c>
      <c r="I1003" t="s">
        <v>119</v>
      </c>
      <c r="J1003">
        <v>8</v>
      </c>
      <c r="K1003">
        <v>1</v>
      </c>
      <c r="L1003">
        <v>8.0092592592592594E-3</v>
      </c>
      <c r="M1003" t="s">
        <v>117</v>
      </c>
      <c r="N1003" t="s">
        <v>1161</v>
      </c>
      <c r="O1003" s="24">
        <v>46125</v>
      </c>
      <c r="P1003">
        <v>603</v>
      </c>
      <c r="Q1003" t="s">
        <v>34</v>
      </c>
      <c r="R1003">
        <v>46135</v>
      </c>
      <c r="S1003" s="51">
        <v>0.62152777777777779</v>
      </c>
      <c r="T1003" s="51">
        <v>0.63263888888888886</v>
      </c>
      <c r="X1003" t="s">
        <v>3236</v>
      </c>
      <c r="Y1003" t="s">
        <v>3072</v>
      </c>
      <c r="Z1003">
        <v>3219225</v>
      </c>
    </row>
    <row r="1004" spans="1:26" x14ac:dyDescent="0.25">
      <c r="A1004">
        <v>1000</v>
      </c>
      <c r="B1004" t="s">
        <v>26</v>
      </c>
      <c r="C1004" t="s">
        <v>27</v>
      </c>
      <c r="D1004">
        <v>15</v>
      </c>
      <c r="E1004" t="s">
        <v>114</v>
      </c>
      <c r="F1004" t="s">
        <v>512</v>
      </c>
      <c r="G1004">
        <v>3855</v>
      </c>
      <c r="H1004" t="s">
        <v>94</v>
      </c>
      <c r="I1004" t="s">
        <v>119</v>
      </c>
      <c r="J1004">
        <v>8</v>
      </c>
      <c r="K1004">
        <v>1</v>
      </c>
      <c r="L1004">
        <v>7.5231481481481477E-3</v>
      </c>
      <c r="M1004" t="s">
        <v>117</v>
      </c>
      <c r="N1004" t="s">
        <v>1161</v>
      </c>
      <c r="O1004" s="24">
        <v>46125</v>
      </c>
      <c r="P1004">
        <v>603</v>
      </c>
      <c r="Q1004" t="s">
        <v>34</v>
      </c>
      <c r="R1004">
        <v>46135</v>
      </c>
      <c r="S1004" s="51">
        <v>0.61111111111111116</v>
      </c>
      <c r="T1004" s="51">
        <v>0.61597222222222225</v>
      </c>
      <c r="X1004" t="s">
        <v>3237</v>
      </c>
      <c r="Y1004" t="s">
        <v>3072</v>
      </c>
      <c r="Z1004">
        <v>2784148</v>
      </c>
    </row>
    <row r="1005" spans="1:26" x14ac:dyDescent="0.25">
      <c r="A1005">
        <v>1001</v>
      </c>
      <c r="B1005" t="s">
        <v>26</v>
      </c>
      <c r="C1005" t="s">
        <v>27</v>
      </c>
      <c r="D1005">
        <v>15</v>
      </c>
      <c r="E1005" t="s">
        <v>114</v>
      </c>
      <c r="F1005" t="s">
        <v>498</v>
      </c>
      <c r="G1005">
        <v>3909</v>
      </c>
      <c r="H1005" t="s">
        <v>502</v>
      </c>
      <c r="I1005" t="s">
        <v>500</v>
      </c>
      <c r="J1005">
        <v>8</v>
      </c>
      <c r="K1005">
        <v>1</v>
      </c>
      <c r="L1005">
        <v>6.875E-3</v>
      </c>
      <c r="M1005" t="s">
        <v>778</v>
      </c>
      <c r="N1005" t="s">
        <v>777</v>
      </c>
      <c r="O1005" s="24">
        <v>46128</v>
      </c>
      <c r="P1005">
        <v>603</v>
      </c>
      <c r="Q1005" t="s">
        <v>34</v>
      </c>
      <c r="X1005" t="s">
        <v>3238</v>
      </c>
    </row>
    <row r="1006" spans="1:26" x14ac:dyDescent="0.25">
      <c r="A1006">
        <v>1002</v>
      </c>
      <c r="B1006" t="s">
        <v>26</v>
      </c>
      <c r="C1006" t="s">
        <v>27</v>
      </c>
      <c r="D1006">
        <v>15</v>
      </c>
      <c r="E1006" t="s">
        <v>1672</v>
      </c>
      <c r="F1006" t="s">
        <v>115</v>
      </c>
      <c r="G1006">
        <v>3549</v>
      </c>
      <c r="H1006" t="s">
        <v>2090</v>
      </c>
      <c r="I1006" t="s">
        <v>2091</v>
      </c>
      <c r="J1006">
        <v>8</v>
      </c>
      <c r="K1006">
        <v>1</v>
      </c>
      <c r="L1006">
        <v>6.4583333333333333E-3</v>
      </c>
      <c r="M1006" t="s">
        <v>117</v>
      </c>
      <c r="N1006" t="s">
        <v>1161</v>
      </c>
      <c r="O1006" s="24">
        <v>46125</v>
      </c>
      <c r="P1006">
        <v>603</v>
      </c>
      <c r="Q1006" t="s">
        <v>34</v>
      </c>
      <c r="R1006">
        <v>46135</v>
      </c>
      <c r="S1006" s="51">
        <v>0.38194444444444442</v>
      </c>
      <c r="T1006" s="51">
        <v>0.3888888888888889</v>
      </c>
      <c r="X1006" t="s">
        <v>3239</v>
      </c>
      <c r="Y1006" t="s">
        <v>3072</v>
      </c>
      <c r="Z1006">
        <v>1742372</v>
      </c>
    </row>
    <row r="1007" spans="1:26" x14ac:dyDescent="0.25">
      <c r="A1007">
        <v>1003</v>
      </c>
      <c r="B1007" t="s">
        <v>26</v>
      </c>
      <c r="C1007" t="s">
        <v>27</v>
      </c>
      <c r="D1007">
        <v>15</v>
      </c>
      <c r="E1007" t="s">
        <v>367</v>
      </c>
      <c r="F1007" t="s">
        <v>512</v>
      </c>
      <c r="G1007">
        <v>3549</v>
      </c>
      <c r="H1007" t="s">
        <v>2203</v>
      </c>
      <c r="I1007" t="s">
        <v>2204</v>
      </c>
      <c r="J1007">
        <v>8</v>
      </c>
      <c r="K1007">
        <v>1</v>
      </c>
      <c r="L1007">
        <v>1.261574074074074E-3</v>
      </c>
      <c r="M1007" t="s">
        <v>117</v>
      </c>
      <c r="N1007" t="s">
        <v>1161</v>
      </c>
      <c r="O1007" s="24">
        <v>46125</v>
      </c>
      <c r="P1007">
        <v>603</v>
      </c>
      <c r="Q1007" t="s">
        <v>34</v>
      </c>
      <c r="R1007">
        <v>46135</v>
      </c>
      <c r="S1007" s="51">
        <v>0.38194444444444442</v>
      </c>
      <c r="T1007" s="51">
        <v>0.3888888888888889</v>
      </c>
      <c r="X1007" t="s">
        <v>3239</v>
      </c>
      <c r="Y1007" t="s">
        <v>3072</v>
      </c>
      <c r="Z1007">
        <v>1742372</v>
      </c>
    </row>
    <row r="1008" spans="1:26" x14ac:dyDescent="0.25">
      <c r="A1008">
        <v>1004</v>
      </c>
      <c r="B1008" t="s">
        <v>26</v>
      </c>
      <c r="C1008" t="s">
        <v>27</v>
      </c>
      <c r="D1008">
        <v>15</v>
      </c>
      <c r="E1008" t="s">
        <v>152</v>
      </c>
      <c r="F1008" t="s">
        <v>152</v>
      </c>
      <c r="G1008">
        <v>3885</v>
      </c>
      <c r="H1008" t="s">
        <v>153</v>
      </c>
      <c r="I1008" t="s">
        <v>119</v>
      </c>
      <c r="J1008">
        <v>8</v>
      </c>
      <c r="K1008">
        <v>1</v>
      </c>
      <c r="L1008">
        <v>6.9212962962962961E-3</v>
      </c>
      <c r="M1008" t="s">
        <v>117</v>
      </c>
      <c r="N1008" t="s">
        <v>1161</v>
      </c>
      <c r="O1008" s="24">
        <v>46125</v>
      </c>
      <c r="P1008">
        <v>603</v>
      </c>
      <c r="Q1008" t="s">
        <v>34</v>
      </c>
      <c r="R1008">
        <v>46135</v>
      </c>
      <c r="S1008" s="51">
        <v>0.40625</v>
      </c>
      <c r="T1008" s="51">
        <v>0.41388888888888886</v>
      </c>
      <c r="X1008" t="s">
        <v>3240</v>
      </c>
      <c r="Y1008" t="s">
        <v>3072</v>
      </c>
      <c r="Z1008">
        <v>3220579</v>
      </c>
    </row>
    <row r="1009" spans="1:26" x14ac:dyDescent="0.25">
      <c r="A1009">
        <v>1005</v>
      </c>
      <c r="B1009" t="s">
        <v>26</v>
      </c>
      <c r="C1009" t="s">
        <v>27</v>
      </c>
      <c r="D1009">
        <v>15</v>
      </c>
      <c r="E1009" t="s">
        <v>133</v>
      </c>
      <c r="F1009" t="s">
        <v>115</v>
      </c>
      <c r="G1009">
        <v>3910</v>
      </c>
      <c r="H1009" t="s">
        <v>97</v>
      </c>
      <c r="I1009" t="s">
        <v>116</v>
      </c>
      <c r="J1009">
        <v>8</v>
      </c>
      <c r="K1009">
        <v>1</v>
      </c>
      <c r="L1009">
        <v>7.951388888888888E-3</v>
      </c>
      <c r="M1009" t="s">
        <v>117</v>
      </c>
      <c r="N1009" t="s">
        <v>1161</v>
      </c>
      <c r="O1009" s="24">
        <v>46125</v>
      </c>
      <c r="P1009">
        <v>603</v>
      </c>
      <c r="Q1009" t="s">
        <v>34</v>
      </c>
      <c r="R1009">
        <v>46135</v>
      </c>
      <c r="S1009" s="51">
        <v>0.40416666666666667</v>
      </c>
      <c r="T1009" s="51">
        <v>0.40972222222222221</v>
      </c>
      <c r="X1009" t="s">
        <v>3241</v>
      </c>
      <c r="Y1009" t="s">
        <v>3072</v>
      </c>
      <c r="Z1009">
        <v>2778453</v>
      </c>
    </row>
    <row r="1010" spans="1:26" x14ac:dyDescent="0.25">
      <c r="A1010">
        <v>1006</v>
      </c>
      <c r="B1010" t="s">
        <v>26</v>
      </c>
      <c r="C1010" t="s">
        <v>27</v>
      </c>
      <c r="D1010">
        <v>15</v>
      </c>
      <c r="E1010" t="s">
        <v>114</v>
      </c>
      <c r="F1010" t="s">
        <v>115</v>
      </c>
      <c r="G1010">
        <v>3892</v>
      </c>
      <c r="H1010" t="s">
        <v>92</v>
      </c>
      <c r="I1010" t="s">
        <v>116</v>
      </c>
      <c r="J1010">
        <v>8</v>
      </c>
      <c r="K1010">
        <v>1</v>
      </c>
      <c r="L1010">
        <v>7.8819444444444449E-3</v>
      </c>
      <c r="M1010" t="s">
        <v>117</v>
      </c>
      <c r="N1010" t="s">
        <v>1161</v>
      </c>
      <c r="O1010" s="24">
        <v>46125</v>
      </c>
      <c r="P1010">
        <v>603</v>
      </c>
      <c r="Q1010" t="s">
        <v>34</v>
      </c>
      <c r="R1010">
        <v>46135</v>
      </c>
      <c r="S1010" s="51">
        <v>0.41180555555555554</v>
      </c>
      <c r="T1010" s="51">
        <v>0.41666666666666669</v>
      </c>
      <c r="X1010" t="s">
        <v>3242</v>
      </c>
      <c r="Y1010" t="s">
        <v>3072</v>
      </c>
      <c r="Z1010">
        <v>2778453</v>
      </c>
    </row>
    <row r="1011" spans="1:26" x14ac:dyDescent="0.25">
      <c r="A1011">
        <v>1007</v>
      </c>
      <c r="B1011" t="s">
        <v>26</v>
      </c>
      <c r="C1011" t="s">
        <v>27</v>
      </c>
      <c r="D1011">
        <v>15</v>
      </c>
      <c r="E1011" t="s">
        <v>114</v>
      </c>
      <c r="F1011" t="s">
        <v>115</v>
      </c>
      <c r="G1011">
        <v>3856</v>
      </c>
      <c r="H1011" t="s">
        <v>93</v>
      </c>
      <c r="I1011" t="s">
        <v>119</v>
      </c>
      <c r="J1011">
        <v>8</v>
      </c>
      <c r="K1011">
        <v>1</v>
      </c>
      <c r="L1011">
        <v>6.9097222222222216E-3</v>
      </c>
      <c r="M1011" t="s">
        <v>117</v>
      </c>
      <c r="N1011" t="s">
        <v>1161</v>
      </c>
      <c r="O1011" s="24">
        <v>46125</v>
      </c>
      <c r="P1011">
        <v>603</v>
      </c>
      <c r="Q1011" t="s">
        <v>34</v>
      </c>
      <c r="R1011">
        <v>46135</v>
      </c>
      <c r="S1011" s="51">
        <v>0.41666666666666669</v>
      </c>
      <c r="T1011" s="51">
        <v>0.42083333333333334</v>
      </c>
      <c r="X1011" t="s">
        <v>3243</v>
      </c>
      <c r="Y1011" t="s">
        <v>3072</v>
      </c>
      <c r="Z1011">
        <v>3220579</v>
      </c>
    </row>
    <row r="1012" spans="1:26" x14ac:dyDescent="0.25">
      <c r="A1012">
        <v>1008</v>
      </c>
      <c r="B1012" t="s">
        <v>26</v>
      </c>
      <c r="C1012" t="s">
        <v>27</v>
      </c>
      <c r="D1012">
        <v>15</v>
      </c>
      <c r="E1012" t="s">
        <v>114</v>
      </c>
      <c r="F1012" t="s">
        <v>498</v>
      </c>
      <c r="G1012">
        <v>3857</v>
      </c>
      <c r="H1012" t="s">
        <v>559</v>
      </c>
      <c r="I1012" t="s">
        <v>560</v>
      </c>
      <c r="J1012">
        <v>8</v>
      </c>
      <c r="K1012">
        <v>1</v>
      </c>
      <c r="L1012">
        <v>6.8402777777777776E-3</v>
      </c>
      <c r="M1012" t="s">
        <v>778</v>
      </c>
      <c r="N1012" t="s">
        <v>777</v>
      </c>
      <c r="O1012" s="24">
        <v>46128</v>
      </c>
      <c r="P1012">
        <v>603</v>
      </c>
      <c r="Q1012" t="s">
        <v>34</v>
      </c>
      <c r="X1012" t="s">
        <v>3244</v>
      </c>
    </row>
    <row r="1013" spans="1:26" x14ac:dyDescent="0.25">
      <c r="A1013">
        <v>1009</v>
      </c>
      <c r="B1013" t="s">
        <v>26</v>
      </c>
      <c r="C1013" t="s">
        <v>27</v>
      </c>
      <c r="D1013">
        <v>15</v>
      </c>
      <c r="E1013" t="s">
        <v>150</v>
      </c>
      <c r="F1013" t="s">
        <v>115</v>
      </c>
      <c r="G1013">
        <v>3558</v>
      </c>
      <c r="H1013" t="s">
        <v>87</v>
      </c>
      <c r="I1013" t="s">
        <v>116</v>
      </c>
      <c r="J1013">
        <v>8</v>
      </c>
      <c r="K1013">
        <v>1</v>
      </c>
      <c r="L1013">
        <v>7.7546296296296295E-3</v>
      </c>
      <c r="M1013" t="s">
        <v>117</v>
      </c>
      <c r="N1013" t="s">
        <v>1161</v>
      </c>
      <c r="O1013" s="24">
        <v>46125</v>
      </c>
      <c r="P1013">
        <v>603</v>
      </c>
      <c r="Q1013" t="s">
        <v>34</v>
      </c>
      <c r="R1013">
        <v>46135</v>
      </c>
      <c r="S1013" s="51">
        <v>0.55625000000000002</v>
      </c>
      <c r="T1013" s="51">
        <v>0.5625</v>
      </c>
      <c r="X1013" t="s">
        <v>3245</v>
      </c>
      <c r="Y1013" t="s">
        <v>3072</v>
      </c>
      <c r="Z1013">
        <v>2784148</v>
      </c>
    </row>
    <row r="1014" spans="1:26" x14ac:dyDescent="0.25">
      <c r="A1014">
        <v>1010</v>
      </c>
      <c r="B1014" t="s">
        <v>26</v>
      </c>
      <c r="C1014" t="s">
        <v>27</v>
      </c>
      <c r="D1014">
        <v>15</v>
      </c>
      <c r="E1014" t="s">
        <v>114</v>
      </c>
      <c r="F1014" t="s">
        <v>115</v>
      </c>
      <c r="G1014">
        <v>3911</v>
      </c>
      <c r="H1014" t="s">
        <v>2184</v>
      </c>
      <c r="I1014" t="s">
        <v>2138</v>
      </c>
      <c r="J1014">
        <v>8</v>
      </c>
      <c r="K1014">
        <v>1</v>
      </c>
      <c r="L1014">
        <v>6.0300925925925921E-3</v>
      </c>
      <c r="M1014" t="s">
        <v>117</v>
      </c>
      <c r="N1014" t="s">
        <v>953</v>
      </c>
      <c r="O1014" s="24">
        <v>46122</v>
      </c>
      <c r="P1014">
        <v>603</v>
      </c>
      <c r="Q1014" t="s">
        <v>34</v>
      </c>
      <c r="R1014" s="24">
        <v>46136</v>
      </c>
      <c r="S1014" s="51">
        <v>1.0416666666666666E-2</v>
      </c>
      <c r="T1014" s="51">
        <v>2.0833333333333332E-2</v>
      </c>
      <c r="X1014" t="s">
        <v>3246</v>
      </c>
      <c r="Y1014" t="s">
        <v>3032</v>
      </c>
      <c r="Z1014">
        <v>1742255</v>
      </c>
    </row>
    <row r="1015" spans="1:26" x14ac:dyDescent="0.25">
      <c r="A1015">
        <v>1011</v>
      </c>
      <c r="B1015" t="s">
        <v>26</v>
      </c>
      <c r="C1015" t="s">
        <v>27</v>
      </c>
      <c r="D1015">
        <v>15</v>
      </c>
      <c r="E1015" t="s">
        <v>1672</v>
      </c>
      <c r="F1015" t="s">
        <v>512</v>
      </c>
      <c r="G1015">
        <v>3911</v>
      </c>
      <c r="H1015" t="s">
        <v>2152</v>
      </c>
      <c r="I1015" t="s">
        <v>2153</v>
      </c>
      <c r="J1015">
        <v>8</v>
      </c>
      <c r="K1015">
        <v>2</v>
      </c>
      <c r="L1015">
        <v>3.3449074074074071E-3</v>
      </c>
      <c r="M1015" t="s">
        <v>117</v>
      </c>
      <c r="N1015" t="s">
        <v>953</v>
      </c>
      <c r="O1015" s="24">
        <v>46122</v>
      </c>
      <c r="P1015">
        <v>603</v>
      </c>
      <c r="Q1015" t="s">
        <v>34</v>
      </c>
      <c r="R1015" s="24">
        <v>46136</v>
      </c>
      <c r="S1015" s="51">
        <v>1.0416666666666666E-2</v>
      </c>
      <c r="T1015" s="51">
        <v>2.0833333333333332E-2</v>
      </c>
      <c r="X1015" t="s">
        <v>3246</v>
      </c>
      <c r="Y1015" t="s">
        <v>3032</v>
      </c>
      <c r="Z1015">
        <v>1742255</v>
      </c>
    </row>
    <row r="1016" spans="1:26" x14ac:dyDescent="0.25">
      <c r="A1016">
        <v>1012</v>
      </c>
      <c r="B1016" t="s">
        <v>26</v>
      </c>
      <c r="C1016" t="s">
        <v>27</v>
      </c>
      <c r="D1016">
        <v>15</v>
      </c>
      <c r="E1016" t="s">
        <v>367</v>
      </c>
      <c r="F1016" t="s">
        <v>368</v>
      </c>
      <c r="G1016">
        <v>3911</v>
      </c>
      <c r="H1016" t="s">
        <v>2096</v>
      </c>
      <c r="I1016" t="s">
        <v>2097</v>
      </c>
      <c r="J1016">
        <v>8</v>
      </c>
      <c r="K1016">
        <v>3</v>
      </c>
      <c r="L1016">
        <v>2.0717592592592593E-3</v>
      </c>
      <c r="M1016" t="s">
        <v>117</v>
      </c>
      <c r="N1016" t="s">
        <v>953</v>
      </c>
      <c r="O1016" s="24">
        <v>46122</v>
      </c>
      <c r="P1016">
        <v>603</v>
      </c>
      <c r="Q1016" t="s">
        <v>34</v>
      </c>
      <c r="R1016" s="24">
        <v>46136</v>
      </c>
      <c r="S1016" s="51">
        <v>1.0416666666666666E-2</v>
      </c>
      <c r="T1016" s="51">
        <v>2.0833333333333332E-2</v>
      </c>
      <c r="X1016" t="s">
        <v>3246</v>
      </c>
      <c r="Y1016" t="s">
        <v>3032</v>
      </c>
      <c r="Z1016">
        <v>1742255</v>
      </c>
    </row>
    <row r="1017" spans="1:26" x14ac:dyDescent="0.25">
      <c r="A1017">
        <v>1013</v>
      </c>
      <c r="B1017" t="s">
        <v>26</v>
      </c>
      <c r="C1017" t="s">
        <v>27</v>
      </c>
      <c r="D1017">
        <v>15</v>
      </c>
      <c r="E1017" t="s">
        <v>367</v>
      </c>
      <c r="F1017" t="s">
        <v>367</v>
      </c>
      <c r="G1017">
        <v>3911</v>
      </c>
      <c r="H1017" t="s">
        <v>2162</v>
      </c>
      <c r="I1017" t="s">
        <v>2163</v>
      </c>
      <c r="J1017">
        <v>8</v>
      </c>
      <c r="K1017">
        <v>1</v>
      </c>
      <c r="L1017">
        <v>2.3495370370370371E-3</v>
      </c>
      <c r="M1017" t="s">
        <v>117</v>
      </c>
      <c r="N1017" t="s">
        <v>953</v>
      </c>
      <c r="O1017" s="24">
        <v>46122</v>
      </c>
      <c r="P1017">
        <v>603</v>
      </c>
      <c r="Q1017" t="s">
        <v>34</v>
      </c>
      <c r="R1017" s="24">
        <v>46136</v>
      </c>
      <c r="S1017" s="51">
        <v>1.0416666666666666E-2</v>
      </c>
      <c r="T1017" s="51">
        <v>2.0833333333333332E-2</v>
      </c>
      <c r="X1017" t="s">
        <v>3246</v>
      </c>
      <c r="Y1017" t="s">
        <v>3032</v>
      </c>
      <c r="Z1017">
        <v>1742255</v>
      </c>
    </row>
    <row r="1018" spans="1:26" x14ac:dyDescent="0.25">
      <c r="A1018">
        <v>1014</v>
      </c>
      <c r="B1018" t="s">
        <v>26</v>
      </c>
      <c r="C1018" t="s">
        <v>27</v>
      </c>
      <c r="D1018">
        <v>15</v>
      </c>
      <c r="E1018" t="s">
        <v>150</v>
      </c>
      <c r="F1018" t="s">
        <v>498</v>
      </c>
      <c r="G1018">
        <v>3560</v>
      </c>
      <c r="H1018" t="s">
        <v>564</v>
      </c>
      <c r="I1018" t="s">
        <v>500</v>
      </c>
      <c r="J1018">
        <v>8</v>
      </c>
      <c r="K1018">
        <v>1</v>
      </c>
      <c r="L1018">
        <v>6.875E-3</v>
      </c>
      <c r="M1018" t="s">
        <v>778</v>
      </c>
      <c r="N1018" t="s">
        <v>777</v>
      </c>
      <c r="O1018" s="24">
        <v>46128</v>
      </c>
      <c r="P1018">
        <v>603</v>
      </c>
      <c r="Q1018" t="s">
        <v>34</v>
      </c>
      <c r="X1018" t="s">
        <v>3247</v>
      </c>
    </row>
    <row r="1019" spans="1:26" x14ac:dyDescent="0.25">
      <c r="A1019">
        <v>1015</v>
      </c>
      <c r="B1019" t="s">
        <v>26</v>
      </c>
      <c r="C1019" t="s">
        <v>27</v>
      </c>
      <c r="D1019">
        <v>15</v>
      </c>
      <c r="E1019" t="s">
        <v>129</v>
      </c>
      <c r="F1019" t="s">
        <v>498</v>
      </c>
      <c r="G1019">
        <v>3561</v>
      </c>
      <c r="H1019" t="s">
        <v>539</v>
      </c>
      <c r="I1019" t="s">
        <v>500</v>
      </c>
      <c r="J1019">
        <v>8</v>
      </c>
      <c r="K1019">
        <v>1</v>
      </c>
      <c r="L1019">
        <v>6.875E-3</v>
      </c>
      <c r="M1019" t="s">
        <v>778</v>
      </c>
      <c r="N1019" t="s">
        <v>777</v>
      </c>
      <c r="O1019" s="24">
        <v>46128</v>
      </c>
      <c r="P1019">
        <v>603</v>
      </c>
      <c r="Q1019" t="s">
        <v>34</v>
      </c>
      <c r="X1019" t="s">
        <v>3248</v>
      </c>
    </row>
    <row r="1020" spans="1:26" x14ac:dyDescent="0.25">
      <c r="A1020">
        <v>1016</v>
      </c>
      <c r="B1020" t="s">
        <v>26</v>
      </c>
      <c r="C1020" t="s">
        <v>27</v>
      </c>
      <c r="D1020">
        <v>15</v>
      </c>
      <c r="E1020" t="s">
        <v>133</v>
      </c>
      <c r="F1020" t="s">
        <v>498</v>
      </c>
      <c r="G1020">
        <v>3562</v>
      </c>
      <c r="H1020" t="s">
        <v>566</v>
      </c>
      <c r="I1020" t="s">
        <v>500</v>
      </c>
      <c r="J1020">
        <v>8</v>
      </c>
      <c r="K1020">
        <v>1</v>
      </c>
      <c r="L1020">
        <v>6.875E-3</v>
      </c>
      <c r="M1020" t="s">
        <v>778</v>
      </c>
      <c r="N1020" t="s">
        <v>777</v>
      </c>
      <c r="O1020" s="24">
        <v>46128</v>
      </c>
      <c r="P1020">
        <v>603</v>
      </c>
      <c r="Q1020" t="s">
        <v>34</v>
      </c>
      <c r="X1020" t="s">
        <v>3249</v>
      </c>
    </row>
    <row r="1021" spans="1:26" x14ac:dyDescent="0.25">
      <c r="A1021">
        <v>1017</v>
      </c>
      <c r="B1021" t="s">
        <v>26</v>
      </c>
      <c r="C1021" t="s">
        <v>27</v>
      </c>
      <c r="D1021">
        <v>15</v>
      </c>
      <c r="E1021" t="s">
        <v>150</v>
      </c>
      <c r="F1021" t="s">
        <v>115</v>
      </c>
      <c r="G1021">
        <v>3563</v>
      </c>
      <c r="H1021" t="s">
        <v>96</v>
      </c>
      <c r="I1021" t="s">
        <v>119</v>
      </c>
      <c r="J1021">
        <v>8</v>
      </c>
      <c r="K1021">
        <v>1</v>
      </c>
      <c r="L1021">
        <v>6.9212962962962961E-3</v>
      </c>
      <c r="M1021" t="s">
        <v>117</v>
      </c>
      <c r="N1021" t="s">
        <v>1161</v>
      </c>
      <c r="O1021" s="24">
        <v>46125</v>
      </c>
      <c r="P1021">
        <v>603</v>
      </c>
      <c r="Q1021" t="s">
        <v>34</v>
      </c>
      <c r="R1021">
        <v>46135</v>
      </c>
      <c r="S1021" s="51">
        <v>0.54861111111111116</v>
      </c>
      <c r="T1021" s="51">
        <v>0.55347222222222225</v>
      </c>
      <c r="X1021" t="s">
        <v>3250</v>
      </c>
      <c r="Y1021" t="s">
        <v>3072</v>
      </c>
      <c r="Z1021">
        <v>2733753</v>
      </c>
    </row>
    <row r="1022" spans="1:26" x14ac:dyDescent="0.25">
      <c r="A1022">
        <v>1018</v>
      </c>
      <c r="B1022" t="s">
        <v>26</v>
      </c>
      <c r="C1022" t="s">
        <v>27</v>
      </c>
      <c r="D1022">
        <v>15</v>
      </c>
      <c r="E1022" t="s">
        <v>133</v>
      </c>
      <c r="F1022" t="s">
        <v>498</v>
      </c>
      <c r="G1022">
        <v>3565</v>
      </c>
      <c r="H1022" t="s">
        <v>784</v>
      </c>
      <c r="I1022" t="s">
        <v>560</v>
      </c>
      <c r="J1022">
        <v>8</v>
      </c>
      <c r="K1022">
        <v>1</v>
      </c>
      <c r="L1022">
        <v>6.8402777777777776E-3</v>
      </c>
      <c r="M1022" t="s">
        <v>778</v>
      </c>
      <c r="N1022" t="s">
        <v>777</v>
      </c>
      <c r="O1022" s="24">
        <v>46128</v>
      </c>
      <c r="P1022">
        <v>603</v>
      </c>
      <c r="Q1022" t="s">
        <v>34</v>
      </c>
      <c r="X1022" t="s">
        <v>3251</v>
      </c>
    </row>
    <row r="1023" spans="1:26" x14ac:dyDescent="0.25">
      <c r="A1023">
        <v>1019</v>
      </c>
      <c r="B1023" t="s">
        <v>26</v>
      </c>
      <c r="C1023" t="s">
        <v>27</v>
      </c>
      <c r="D1023">
        <v>15</v>
      </c>
      <c r="E1023" t="s">
        <v>147</v>
      </c>
      <c r="F1023" t="s">
        <v>115</v>
      </c>
      <c r="G1023">
        <v>3566</v>
      </c>
      <c r="H1023" t="s">
        <v>101</v>
      </c>
      <c r="I1023" t="s">
        <v>116</v>
      </c>
      <c r="J1023">
        <v>8</v>
      </c>
      <c r="K1023">
        <v>1</v>
      </c>
      <c r="L1023">
        <v>7.7546296296296295E-3</v>
      </c>
      <c r="M1023" t="s">
        <v>117</v>
      </c>
      <c r="N1023" t="s">
        <v>1161</v>
      </c>
      <c r="O1023" s="24">
        <v>46125</v>
      </c>
      <c r="P1023">
        <v>603</v>
      </c>
      <c r="Q1023" t="s">
        <v>34</v>
      </c>
      <c r="R1023">
        <v>46135</v>
      </c>
      <c r="S1023" s="51">
        <v>0.4548611111111111</v>
      </c>
      <c r="T1023" s="51">
        <v>0.46180555555555558</v>
      </c>
      <c r="X1023" t="s">
        <v>3252</v>
      </c>
      <c r="Y1023" t="s">
        <v>3072</v>
      </c>
      <c r="Z1023">
        <v>2778453</v>
      </c>
    </row>
    <row r="1024" spans="1:26" x14ac:dyDescent="0.25">
      <c r="A1024">
        <v>1020</v>
      </c>
      <c r="B1024" t="s">
        <v>26</v>
      </c>
      <c r="C1024" t="s">
        <v>27</v>
      </c>
      <c r="D1024">
        <v>15</v>
      </c>
      <c r="E1024" t="s">
        <v>1665</v>
      </c>
      <c r="F1024" t="s">
        <v>115</v>
      </c>
      <c r="G1024">
        <v>3567</v>
      </c>
      <c r="H1024" t="s">
        <v>2563</v>
      </c>
      <c r="I1024" t="s">
        <v>2091</v>
      </c>
      <c r="J1024">
        <v>8</v>
      </c>
      <c r="K1024">
        <v>1</v>
      </c>
      <c r="L1024">
        <v>6.4467592592592588E-3</v>
      </c>
      <c r="M1024" t="s">
        <v>117</v>
      </c>
      <c r="N1024" t="s">
        <v>1161</v>
      </c>
      <c r="O1024" s="24">
        <v>46125</v>
      </c>
      <c r="P1024">
        <v>603</v>
      </c>
      <c r="Q1024" t="s">
        <v>34</v>
      </c>
      <c r="R1024">
        <v>46135</v>
      </c>
      <c r="S1024" s="51">
        <v>0.44513888888888886</v>
      </c>
      <c r="T1024" s="51">
        <v>0.45069444444444445</v>
      </c>
      <c r="X1024" t="s">
        <v>3253</v>
      </c>
      <c r="Y1024" t="s">
        <v>3072</v>
      </c>
      <c r="Z1024">
        <v>2733753</v>
      </c>
    </row>
    <row r="1025" spans="1:26" x14ac:dyDescent="0.25">
      <c r="A1025">
        <v>1021</v>
      </c>
      <c r="B1025" t="s">
        <v>26</v>
      </c>
      <c r="C1025" t="s">
        <v>27</v>
      </c>
      <c r="D1025">
        <v>15</v>
      </c>
      <c r="E1025" t="s">
        <v>367</v>
      </c>
      <c r="F1025" t="s">
        <v>512</v>
      </c>
      <c r="G1025">
        <v>3567</v>
      </c>
      <c r="H1025" t="s">
        <v>2203</v>
      </c>
      <c r="I1025" t="s">
        <v>2204</v>
      </c>
      <c r="J1025">
        <v>8</v>
      </c>
      <c r="K1025">
        <v>1</v>
      </c>
      <c r="L1025">
        <v>1.261574074074074E-3</v>
      </c>
      <c r="M1025" t="s">
        <v>117</v>
      </c>
      <c r="N1025" t="s">
        <v>1161</v>
      </c>
      <c r="O1025" s="24">
        <v>46125</v>
      </c>
      <c r="P1025">
        <v>603</v>
      </c>
      <c r="Q1025" t="s">
        <v>34</v>
      </c>
      <c r="R1025">
        <v>46135</v>
      </c>
      <c r="S1025" s="51">
        <v>0.44513888888888886</v>
      </c>
      <c r="T1025" s="51">
        <v>0.45069444444444445</v>
      </c>
      <c r="X1025" t="s">
        <v>3253</v>
      </c>
      <c r="Y1025" t="s">
        <v>3072</v>
      </c>
      <c r="Z1025">
        <v>2733753</v>
      </c>
    </row>
    <row r="1026" spans="1:26" x14ac:dyDescent="0.25">
      <c r="A1026">
        <v>1022</v>
      </c>
      <c r="B1026" t="s">
        <v>26</v>
      </c>
      <c r="C1026" t="s">
        <v>27</v>
      </c>
      <c r="D1026">
        <v>15</v>
      </c>
      <c r="E1026" t="s">
        <v>147</v>
      </c>
      <c r="F1026" t="s">
        <v>115</v>
      </c>
      <c r="G1026">
        <v>3568</v>
      </c>
      <c r="H1026" t="s">
        <v>102</v>
      </c>
      <c r="I1026" t="s">
        <v>119</v>
      </c>
      <c r="J1026">
        <v>8</v>
      </c>
      <c r="K1026">
        <v>1</v>
      </c>
      <c r="L1026">
        <v>6.9212962962962961E-3</v>
      </c>
      <c r="M1026" t="s">
        <v>117</v>
      </c>
      <c r="N1026" t="s">
        <v>1161</v>
      </c>
      <c r="O1026" s="24">
        <v>46125</v>
      </c>
      <c r="P1026">
        <v>603</v>
      </c>
      <c r="Q1026" t="s">
        <v>34</v>
      </c>
      <c r="R1026">
        <v>46135</v>
      </c>
      <c r="S1026" s="51">
        <v>0.4375</v>
      </c>
      <c r="T1026" s="51">
        <v>0.44305555555555554</v>
      </c>
      <c r="X1026" t="s">
        <v>3254</v>
      </c>
      <c r="Y1026" t="s">
        <v>3072</v>
      </c>
      <c r="Z1026">
        <v>2733753</v>
      </c>
    </row>
    <row r="1027" spans="1:26" x14ac:dyDescent="0.25">
      <c r="A1027">
        <v>1023</v>
      </c>
      <c r="B1027" t="s">
        <v>26</v>
      </c>
      <c r="C1027" t="s">
        <v>27</v>
      </c>
      <c r="D1027">
        <v>15</v>
      </c>
      <c r="E1027" t="s">
        <v>1672</v>
      </c>
      <c r="F1027" t="s">
        <v>498</v>
      </c>
      <c r="G1027">
        <v>3570</v>
      </c>
      <c r="H1027" t="s">
        <v>2471</v>
      </c>
      <c r="I1027" t="s">
        <v>2472</v>
      </c>
      <c r="J1027">
        <v>8</v>
      </c>
      <c r="K1027">
        <v>1</v>
      </c>
      <c r="L1027">
        <v>6.0300925925925921E-3</v>
      </c>
      <c r="M1027" t="s">
        <v>778</v>
      </c>
      <c r="N1027" t="s">
        <v>777</v>
      </c>
      <c r="O1027" s="24">
        <v>46128</v>
      </c>
      <c r="P1027">
        <v>603</v>
      </c>
      <c r="Q1027" t="s">
        <v>34</v>
      </c>
      <c r="X1027" t="s">
        <v>3255</v>
      </c>
    </row>
    <row r="1028" spans="1:26" x14ac:dyDescent="0.25">
      <c r="A1028">
        <v>1024</v>
      </c>
      <c r="B1028" t="s">
        <v>26</v>
      </c>
      <c r="C1028" t="s">
        <v>27</v>
      </c>
      <c r="D1028">
        <v>15</v>
      </c>
      <c r="E1028" t="s">
        <v>367</v>
      </c>
      <c r="F1028" t="s">
        <v>512</v>
      </c>
      <c r="G1028">
        <v>3570</v>
      </c>
      <c r="H1028" t="s">
        <v>2200</v>
      </c>
      <c r="I1028" t="s">
        <v>2201</v>
      </c>
      <c r="J1028">
        <v>8</v>
      </c>
      <c r="K1028">
        <v>1</v>
      </c>
      <c r="L1028">
        <v>1.2268518518518518E-3</v>
      </c>
      <c r="M1028" t="s">
        <v>778</v>
      </c>
      <c r="N1028" t="s">
        <v>777</v>
      </c>
      <c r="O1028" s="24">
        <v>46128</v>
      </c>
      <c r="P1028">
        <v>603</v>
      </c>
      <c r="Q1028" t="s">
        <v>34</v>
      </c>
      <c r="X1028" t="s">
        <v>3255</v>
      </c>
    </row>
    <row r="1029" spans="1:26" x14ac:dyDescent="0.25">
      <c r="A1029">
        <v>1025</v>
      </c>
      <c r="B1029" t="s">
        <v>26</v>
      </c>
      <c r="C1029" t="s">
        <v>27</v>
      </c>
      <c r="D1029">
        <v>15</v>
      </c>
      <c r="E1029" t="s">
        <v>2195</v>
      </c>
      <c r="F1029" t="s">
        <v>44</v>
      </c>
      <c r="G1029">
        <v>3570</v>
      </c>
      <c r="H1029" t="s">
        <v>48</v>
      </c>
      <c r="I1029" t="s">
        <v>1119</v>
      </c>
      <c r="J1029">
        <v>8</v>
      </c>
      <c r="K1029">
        <v>1</v>
      </c>
      <c r="L1029">
        <v>1.4930555555555554E-3</v>
      </c>
      <c r="M1029" t="s">
        <v>778</v>
      </c>
      <c r="N1029" t="s">
        <v>777</v>
      </c>
      <c r="O1029" s="24">
        <v>46128</v>
      </c>
      <c r="P1029">
        <v>603</v>
      </c>
      <c r="Q1029" t="s">
        <v>34</v>
      </c>
      <c r="X1029" t="s">
        <v>3255</v>
      </c>
    </row>
    <row r="1030" spans="1:26" x14ac:dyDescent="0.25">
      <c r="A1030">
        <v>1026</v>
      </c>
      <c r="B1030" t="s">
        <v>26</v>
      </c>
      <c r="C1030" t="s">
        <v>27</v>
      </c>
      <c r="D1030">
        <v>15</v>
      </c>
      <c r="E1030" t="s">
        <v>147</v>
      </c>
      <c r="F1030" t="s">
        <v>498</v>
      </c>
      <c r="G1030">
        <v>3571</v>
      </c>
      <c r="H1030" t="s">
        <v>570</v>
      </c>
      <c r="I1030" t="s">
        <v>500</v>
      </c>
      <c r="J1030">
        <v>8</v>
      </c>
      <c r="K1030">
        <v>1</v>
      </c>
      <c r="L1030">
        <v>6.875E-3</v>
      </c>
      <c r="M1030" t="s">
        <v>778</v>
      </c>
      <c r="N1030" t="s">
        <v>777</v>
      </c>
      <c r="O1030" s="24">
        <v>46128</v>
      </c>
      <c r="P1030">
        <v>603</v>
      </c>
      <c r="Q1030" t="s">
        <v>34</v>
      </c>
      <c r="X1030" t="s">
        <v>3256</v>
      </c>
    </row>
    <row r="1031" spans="1:26" x14ac:dyDescent="0.25">
      <c r="A1031">
        <v>1027</v>
      </c>
      <c r="B1031" t="s">
        <v>26</v>
      </c>
      <c r="C1031" t="s">
        <v>27</v>
      </c>
      <c r="D1031">
        <v>15</v>
      </c>
      <c r="E1031" t="s">
        <v>530</v>
      </c>
      <c r="F1031" t="s">
        <v>368</v>
      </c>
      <c r="G1031">
        <v>3859</v>
      </c>
      <c r="H1031" t="s">
        <v>531</v>
      </c>
      <c r="I1031" t="s">
        <v>119</v>
      </c>
      <c r="J1031">
        <v>8</v>
      </c>
      <c r="K1031">
        <v>1</v>
      </c>
      <c r="L1031">
        <v>6.9212962962962961E-3</v>
      </c>
      <c r="M1031" t="s">
        <v>778</v>
      </c>
      <c r="N1031" t="s">
        <v>916</v>
      </c>
      <c r="O1031" s="24">
        <v>46134</v>
      </c>
      <c r="P1031">
        <v>603</v>
      </c>
      <c r="Q1031" t="s">
        <v>34</v>
      </c>
      <c r="X1031" t="s">
        <v>3257</v>
      </c>
    </row>
    <row r="1032" spans="1:26" x14ac:dyDescent="0.25">
      <c r="A1032">
        <v>1028</v>
      </c>
      <c r="B1032" t="s">
        <v>26</v>
      </c>
      <c r="C1032" t="s">
        <v>27</v>
      </c>
      <c r="D1032">
        <v>15</v>
      </c>
      <c r="E1032" t="s">
        <v>530</v>
      </c>
      <c r="F1032" t="s">
        <v>368</v>
      </c>
      <c r="G1032">
        <v>3860</v>
      </c>
      <c r="H1032" t="s">
        <v>531</v>
      </c>
      <c r="I1032" t="s">
        <v>119</v>
      </c>
      <c r="J1032">
        <v>8</v>
      </c>
      <c r="K1032">
        <v>1</v>
      </c>
      <c r="L1032">
        <v>6.9212962962962961E-3</v>
      </c>
      <c r="M1032" t="s">
        <v>778</v>
      </c>
      <c r="N1032" t="s">
        <v>916</v>
      </c>
      <c r="O1032" s="24">
        <v>46134</v>
      </c>
      <c r="P1032">
        <v>603</v>
      </c>
      <c r="Q1032" t="s">
        <v>34</v>
      </c>
      <c r="X1032" t="s">
        <v>3258</v>
      </c>
    </row>
    <row r="1033" spans="1:26" x14ac:dyDescent="0.25">
      <c r="A1033">
        <v>1029</v>
      </c>
      <c r="B1033" t="s">
        <v>26</v>
      </c>
      <c r="C1033" t="s">
        <v>27</v>
      </c>
      <c r="D1033">
        <v>15</v>
      </c>
      <c r="E1033" t="s">
        <v>530</v>
      </c>
      <c r="F1033" t="s">
        <v>368</v>
      </c>
      <c r="G1033">
        <v>3861</v>
      </c>
      <c r="H1033" t="s">
        <v>531</v>
      </c>
      <c r="I1033" t="s">
        <v>119</v>
      </c>
      <c r="J1033">
        <v>8</v>
      </c>
      <c r="K1033">
        <v>1</v>
      </c>
      <c r="L1033">
        <v>6.9097222222222216E-3</v>
      </c>
      <c r="M1033" t="s">
        <v>778</v>
      </c>
      <c r="N1033" t="s">
        <v>916</v>
      </c>
      <c r="O1033" s="24">
        <v>46134</v>
      </c>
      <c r="P1033">
        <v>603</v>
      </c>
      <c r="Q1033" t="s">
        <v>34</v>
      </c>
      <c r="X1033" t="s">
        <v>3259</v>
      </c>
    </row>
    <row r="1034" spans="1:26" x14ac:dyDescent="0.25">
      <c r="A1034">
        <v>1030</v>
      </c>
      <c r="B1034" t="s">
        <v>26</v>
      </c>
      <c r="C1034" t="s">
        <v>27</v>
      </c>
      <c r="D1034">
        <v>15</v>
      </c>
      <c r="E1034" t="s">
        <v>530</v>
      </c>
      <c r="F1034" t="s">
        <v>368</v>
      </c>
      <c r="G1034">
        <v>3862</v>
      </c>
      <c r="H1034" t="s">
        <v>531</v>
      </c>
      <c r="I1034" t="s">
        <v>119</v>
      </c>
      <c r="J1034">
        <v>8</v>
      </c>
      <c r="K1034">
        <v>1</v>
      </c>
      <c r="L1034">
        <v>6.9097222222222216E-3</v>
      </c>
      <c r="M1034" t="s">
        <v>778</v>
      </c>
      <c r="N1034" t="s">
        <v>916</v>
      </c>
      <c r="O1034" s="24">
        <v>46134</v>
      </c>
      <c r="P1034">
        <v>603</v>
      </c>
      <c r="Q1034" t="s">
        <v>34</v>
      </c>
      <c r="X1034" t="s">
        <v>3260</v>
      </c>
    </row>
    <row r="1035" spans="1:26" x14ac:dyDescent="0.25">
      <c r="A1035">
        <v>1031</v>
      </c>
      <c r="B1035" t="s">
        <v>26</v>
      </c>
      <c r="C1035" t="s">
        <v>27</v>
      </c>
      <c r="D1035">
        <v>15</v>
      </c>
      <c r="E1035" t="s">
        <v>530</v>
      </c>
      <c r="F1035" t="s">
        <v>368</v>
      </c>
      <c r="G1035">
        <v>3863</v>
      </c>
      <c r="H1035" t="s">
        <v>531</v>
      </c>
      <c r="I1035" t="s">
        <v>119</v>
      </c>
      <c r="J1035">
        <v>8</v>
      </c>
      <c r="K1035">
        <v>1</v>
      </c>
      <c r="L1035">
        <v>6.9097222222222216E-3</v>
      </c>
      <c r="M1035" t="s">
        <v>778</v>
      </c>
      <c r="N1035" t="s">
        <v>916</v>
      </c>
      <c r="O1035" s="24">
        <v>46134</v>
      </c>
      <c r="P1035">
        <v>603</v>
      </c>
      <c r="Q1035" t="s">
        <v>34</v>
      </c>
      <c r="X1035" t="s">
        <v>3261</v>
      </c>
    </row>
    <row r="1036" spans="1:26" x14ac:dyDescent="0.25">
      <c r="A1036">
        <v>1032</v>
      </c>
      <c r="B1036" t="s">
        <v>26</v>
      </c>
      <c r="C1036" t="s">
        <v>27</v>
      </c>
      <c r="D1036">
        <v>15</v>
      </c>
      <c r="E1036" t="s">
        <v>530</v>
      </c>
      <c r="F1036" t="s">
        <v>368</v>
      </c>
      <c r="G1036">
        <v>3864</v>
      </c>
      <c r="H1036" t="s">
        <v>531</v>
      </c>
      <c r="I1036" t="s">
        <v>119</v>
      </c>
      <c r="J1036">
        <v>8</v>
      </c>
      <c r="K1036">
        <v>1</v>
      </c>
      <c r="L1036">
        <v>6.9097222222222216E-3</v>
      </c>
      <c r="M1036" t="s">
        <v>778</v>
      </c>
      <c r="N1036" t="s">
        <v>916</v>
      </c>
      <c r="O1036" s="24">
        <v>46134</v>
      </c>
      <c r="P1036">
        <v>603</v>
      </c>
      <c r="Q1036" t="s">
        <v>34</v>
      </c>
      <c r="X1036" t="s">
        <v>3262</v>
      </c>
    </row>
    <row r="1037" spans="1:26" x14ac:dyDescent="0.25">
      <c r="A1037">
        <v>1033</v>
      </c>
      <c r="B1037" t="s">
        <v>26</v>
      </c>
      <c r="C1037" t="s">
        <v>27</v>
      </c>
      <c r="D1037">
        <v>15</v>
      </c>
      <c r="E1037" t="s">
        <v>530</v>
      </c>
      <c r="F1037" t="s">
        <v>368</v>
      </c>
      <c r="G1037">
        <v>3865</v>
      </c>
      <c r="H1037" t="s">
        <v>531</v>
      </c>
      <c r="I1037" t="s">
        <v>119</v>
      </c>
      <c r="J1037">
        <v>8</v>
      </c>
      <c r="K1037">
        <v>1</v>
      </c>
      <c r="L1037">
        <v>6.9212962962962961E-3</v>
      </c>
      <c r="M1037" t="s">
        <v>778</v>
      </c>
      <c r="N1037" t="s">
        <v>916</v>
      </c>
      <c r="O1037" s="24">
        <v>46134</v>
      </c>
      <c r="P1037">
        <v>603</v>
      </c>
      <c r="Q1037" t="s">
        <v>34</v>
      </c>
      <c r="X1037" t="s">
        <v>3263</v>
      </c>
    </row>
    <row r="1038" spans="1:26" x14ac:dyDescent="0.25">
      <c r="A1038">
        <v>1034</v>
      </c>
      <c r="B1038" t="s">
        <v>26</v>
      </c>
      <c r="C1038" t="s">
        <v>27</v>
      </c>
      <c r="D1038">
        <v>15</v>
      </c>
      <c r="E1038" t="s">
        <v>1672</v>
      </c>
      <c r="F1038" t="s">
        <v>115</v>
      </c>
      <c r="G1038">
        <v>3866</v>
      </c>
      <c r="H1038" t="s">
        <v>2309</v>
      </c>
      <c r="I1038" t="s">
        <v>2310</v>
      </c>
      <c r="J1038">
        <v>8</v>
      </c>
      <c r="K1038">
        <v>6</v>
      </c>
      <c r="L1038">
        <v>1.1655092592592592E-2</v>
      </c>
      <c r="M1038" t="s">
        <v>778</v>
      </c>
      <c r="N1038" t="s">
        <v>1388</v>
      </c>
      <c r="O1038" s="24">
        <v>46133</v>
      </c>
      <c r="P1038">
        <v>605</v>
      </c>
      <c r="Q1038" t="s">
        <v>34</v>
      </c>
      <c r="X1038" t="s">
        <v>3264</v>
      </c>
    </row>
    <row r="1039" spans="1:26" x14ac:dyDescent="0.25">
      <c r="A1039">
        <v>1035</v>
      </c>
      <c r="B1039" t="s">
        <v>26</v>
      </c>
      <c r="C1039" t="s">
        <v>27</v>
      </c>
      <c r="D1039">
        <v>15</v>
      </c>
      <c r="E1039" t="s">
        <v>511</v>
      </c>
      <c r="F1039" t="s">
        <v>512</v>
      </c>
      <c r="G1039">
        <v>3866</v>
      </c>
      <c r="H1039" t="s">
        <v>2295</v>
      </c>
      <c r="I1039" t="s">
        <v>2183</v>
      </c>
      <c r="J1039">
        <v>8</v>
      </c>
      <c r="K1039">
        <v>1</v>
      </c>
      <c r="L1039">
        <v>5.9837962962962961E-3</v>
      </c>
      <c r="M1039" t="s">
        <v>778</v>
      </c>
      <c r="N1039" t="s">
        <v>1388</v>
      </c>
      <c r="O1039" s="24">
        <v>46133</v>
      </c>
      <c r="P1039">
        <v>605</v>
      </c>
      <c r="Q1039" t="s">
        <v>34</v>
      </c>
      <c r="X1039" t="s">
        <v>3264</v>
      </c>
    </row>
    <row r="1040" spans="1:26" x14ac:dyDescent="0.25">
      <c r="A1040">
        <v>1036</v>
      </c>
      <c r="B1040" t="s">
        <v>26</v>
      </c>
      <c r="C1040" t="s">
        <v>27</v>
      </c>
      <c r="D1040">
        <v>15</v>
      </c>
      <c r="E1040" t="s">
        <v>1665</v>
      </c>
      <c r="F1040" t="s">
        <v>512</v>
      </c>
      <c r="G1040">
        <v>3866</v>
      </c>
      <c r="H1040" t="s">
        <v>2228</v>
      </c>
      <c r="I1040" t="s">
        <v>2153</v>
      </c>
      <c r="J1040">
        <v>8</v>
      </c>
      <c r="K1040">
        <v>1</v>
      </c>
      <c r="L1040">
        <v>1.7013888888888888E-3</v>
      </c>
      <c r="M1040" t="s">
        <v>778</v>
      </c>
      <c r="N1040" t="s">
        <v>1388</v>
      </c>
      <c r="O1040" s="24">
        <v>46133</v>
      </c>
      <c r="P1040">
        <v>605</v>
      </c>
      <c r="Q1040" t="s">
        <v>34</v>
      </c>
      <c r="X1040" t="s">
        <v>3264</v>
      </c>
    </row>
    <row r="1041" spans="1:26" x14ac:dyDescent="0.25">
      <c r="A1041">
        <v>1037</v>
      </c>
      <c r="B1041" t="s">
        <v>26</v>
      </c>
      <c r="C1041" t="s">
        <v>27</v>
      </c>
      <c r="D1041">
        <v>15</v>
      </c>
      <c r="E1041" t="s">
        <v>367</v>
      </c>
      <c r="F1041" t="s">
        <v>427</v>
      </c>
      <c r="G1041">
        <v>3866</v>
      </c>
      <c r="H1041" t="s">
        <v>2271</v>
      </c>
      <c r="I1041" t="s">
        <v>2270</v>
      </c>
      <c r="J1041">
        <v>8</v>
      </c>
      <c r="K1041">
        <v>1</v>
      </c>
      <c r="L1041">
        <v>1.8402777777777777E-3</v>
      </c>
      <c r="M1041" t="s">
        <v>778</v>
      </c>
      <c r="N1041" t="s">
        <v>1388</v>
      </c>
      <c r="O1041" s="24">
        <v>46133</v>
      </c>
      <c r="P1041">
        <v>605</v>
      </c>
      <c r="Q1041" t="s">
        <v>34</v>
      </c>
      <c r="X1041" t="s">
        <v>3264</v>
      </c>
    </row>
    <row r="1042" spans="1:26" x14ac:dyDescent="0.25">
      <c r="A1042">
        <v>1038</v>
      </c>
      <c r="B1042" t="s">
        <v>26</v>
      </c>
      <c r="C1042" t="s">
        <v>27</v>
      </c>
      <c r="D1042">
        <v>15</v>
      </c>
      <c r="E1042" t="s">
        <v>1665</v>
      </c>
      <c r="F1042" t="s">
        <v>512</v>
      </c>
      <c r="G1042">
        <v>4375</v>
      </c>
      <c r="H1042" t="s">
        <v>2561</v>
      </c>
      <c r="I1042" t="s">
        <v>2198</v>
      </c>
      <c r="J1042">
        <v>8</v>
      </c>
      <c r="K1042">
        <v>1</v>
      </c>
      <c r="L1042">
        <v>7.5462962962962957E-3</v>
      </c>
      <c r="M1042" t="s">
        <v>117</v>
      </c>
      <c r="N1042" t="s">
        <v>1161</v>
      </c>
      <c r="O1042" s="24">
        <v>46125</v>
      </c>
      <c r="P1042">
        <v>603</v>
      </c>
      <c r="Q1042" t="s">
        <v>34</v>
      </c>
      <c r="R1042">
        <v>46135</v>
      </c>
      <c r="S1042" s="51">
        <v>0.46805555555555556</v>
      </c>
      <c r="T1042" s="51">
        <v>0.47569444444444442</v>
      </c>
      <c r="X1042" t="s">
        <v>3265</v>
      </c>
      <c r="Y1042" t="s">
        <v>3072</v>
      </c>
      <c r="Z1042">
        <v>1742079</v>
      </c>
    </row>
    <row r="1043" spans="1:26" x14ac:dyDescent="0.25">
      <c r="A1043">
        <v>1039</v>
      </c>
      <c r="B1043" t="s">
        <v>26</v>
      </c>
      <c r="C1043" t="s">
        <v>27</v>
      </c>
      <c r="D1043">
        <v>15</v>
      </c>
      <c r="E1043" t="s">
        <v>2195</v>
      </c>
      <c r="F1043" t="s">
        <v>44</v>
      </c>
      <c r="G1043">
        <v>4375</v>
      </c>
      <c r="H1043" t="s">
        <v>48</v>
      </c>
      <c r="I1043" t="s">
        <v>1119</v>
      </c>
      <c r="J1043">
        <v>8</v>
      </c>
      <c r="K1043">
        <v>1</v>
      </c>
      <c r="L1043">
        <v>1.6319444444444443E-3</v>
      </c>
      <c r="M1043" t="s">
        <v>117</v>
      </c>
      <c r="N1043" t="s">
        <v>1161</v>
      </c>
      <c r="O1043" s="24">
        <v>46125</v>
      </c>
      <c r="P1043">
        <v>603</v>
      </c>
      <c r="Q1043" t="s">
        <v>34</v>
      </c>
      <c r="R1043">
        <v>46135</v>
      </c>
      <c r="S1043" s="51">
        <v>0.46805555555555556</v>
      </c>
      <c r="T1043" s="51">
        <v>0.47569444444444442</v>
      </c>
      <c r="X1043" t="s">
        <v>3265</v>
      </c>
      <c r="Y1043" t="s">
        <v>3072</v>
      </c>
      <c r="Z1043">
        <v>1742079</v>
      </c>
    </row>
    <row r="1044" spans="1:26" x14ac:dyDescent="0.25">
      <c r="A1044">
        <v>1040</v>
      </c>
      <c r="B1044" t="s">
        <v>26</v>
      </c>
      <c r="C1044" t="s">
        <v>27</v>
      </c>
      <c r="D1044">
        <v>15</v>
      </c>
      <c r="E1044" t="s">
        <v>367</v>
      </c>
      <c r="F1044" t="s">
        <v>427</v>
      </c>
      <c r="G1044">
        <v>3868</v>
      </c>
      <c r="H1044" t="s">
        <v>428</v>
      </c>
      <c r="I1044" t="s">
        <v>429</v>
      </c>
      <c r="J1044">
        <v>8</v>
      </c>
      <c r="K1044">
        <v>1</v>
      </c>
      <c r="L1044">
        <v>6.9212962962962961E-3</v>
      </c>
      <c r="M1044" t="s">
        <v>117</v>
      </c>
      <c r="N1044" t="s">
        <v>1128</v>
      </c>
      <c r="O1044" s="24">
        <v>46126</v>
      </c>
      <c r="P1044">
        <v>605</v>
      </c>
      <c r="Q1044" t="s">
        <v>34</v>
      </c>
      <c r="R1044">
        <v>46137</v>
      </c>
      <c r="S1044" s="51">
        <v>0.45347222222222222</v>
      </c>
      <c r="T1044" s="51">
        <v>0.4597222222222222</v>
      </c>
      <c r="X1044" t="s">
        <v>3266</v>
      </c>
      <c r="Y1044" t="s">
        <v>3029</v>
      </c>
      <c r="Z1044">
        <v>1742079</v>
      </c>
    </row>
    <row r="1045" spans="1:26" x14ac:dyDescent="0.25">
      <c r="A1045">
        <v>1041</v>
      </c>
      <c r="B1045" t="s">
        <v>26</v>
      </c>
      <c r="C1045" t="s">
        <v>27</v>
      </c>
      <c r="D1045">
        <v>15</v>
      </c>
      <c r="E1045" t="s">
        <v>147</v>
      </c>
      <c r="F1045" t="s">
        <v>512</v>
      </c>
      <c r="G1045">
        <v>3869</v>
      </c>
      <c r="H1045" t="s">
        <v>100</v>
      </c>
      <c r="I1045" t="s">
        <v>119</v>
      </c>
      <c r="J1045">
        <v>8</v>
      </c>
      <c r="K1045">
        <v>1</v>
      </c>
      <c r="L1045">
        <v>8.0208333333333329E-3</v>
      </c>
      <c r="M1045" t="s">
        <v>117</v>
      </c>
      <c r="N1045" t="s">
        <v>1161</v>
      </c>
      <c r="O1045" s="24">
        <v>46125</v>
      </c>
      <c r="P1045">
        <v>603</v>
      </c>
      <c r="Q1045" t="s">
        <v>34</v>
      </c>
      <c r="R1045">
        <v>46135</v>
      </c>
      <c r="S1045" s="51">
        <v>0.70138888888888884</v>
      </c>
      <c r="T1045" s="51">
        <v>0.70763888888888893</v>
      </c>
      <c r="X1045" t="s">
        <v>3267</v>
      </c>
      <c r="Y1045" t="s">
        <v>3072</v>
      </c>
      <c r="Z1045">
        <v>2778453</v>
      </c>
    </row>
    <row r="1046" spans="1:26" x14ac:dyDescent="0.25">
      <c r="A1046">
        <v>1042</v>
      </c>
      <c r="B1046" t="s">
        <v>26</v>
      </c>
      <c r="C1046" t="s">
        <v>27</v>
      </c>
      <c r="D1046">
        <v>15</v>
      </c>
      <c r="E1046" t="s">
        <v>511</v>
      </c>
      <c r="F1046" t="s">
        <v>512</v>
      </c>
      <c r="G1046">
        <v>3870</v>
      </c>
      <c r="H1046" t="s">
        <v>513</v>
      </c>
      <c r="I1046" t="s">
        <v>119</v>
      </c>
      <c r="J1046">
        <v>8</v>
      </c>
      <c r="K1046">
        <v>1</v>
      </c>
      <c r="L1046">
        <v>6.9212962962962961E-3</v>
      </c>
      <c r="M1046" t="s">
        <v>778</v>
      </c>
      <c r="N1046" t="s">
        <v>916</v>
      </c>
      <c r="O1046" s="24">
        <v>46134</v>
      </c>
      <c r="P1046">
        <v>603</v>
      </c>
      <c r="Q1046" t="s">
        <v>34</v>
      </c>
      <c r="X1046" t="s">
        <v>3268</v>
      </c>
    </row>
    <row r="1047" spans="1:26" x14ac:dyDescent="0.25">
      <c r="A1047">
        <v>1043</v>
      </c>
      <c r="B1047" t="s">
        <v>26</v>
      </c>
      <c r="C1047" t="s">
        <v>27</v>
      </c>
      <c r="D1047">
        <v>15</v>
      </c>
      <c r="E1047" t="s">
        <v>511</v>
      </c>
      <c r="F1047" t="s">
        <v>512</v>
      </c>
      <c r="G1047">
        <v>3872</v>
      </c>
      <c r="H1047" t="s">
        <v>513</v>
      </c>
      <c r="I1047" t="s">
        <v>119</v>
      </c>
      <c r="J1047">
        <v>8</v>
      </c>
      <c r="K1047">
        <v>1</v>
      </c>
      <c r="L1047">
        <v>6.9212962962962961E-3</v>
      </c>
      <c r="M1047" t="s">
        <v>778</v>
      </c>
      <c r="N1047" t="s">
        <v>916</v>
      </c>
      <c r="O1047" s="24">
        <v>46134</v>
      </c>
      <c r="P1047">
        <v>603</v>
      </c>
      <c r="Q1047" t="s">
        <v>34</v>
      </c>
      <c r="X1047" t="s">
        <v>3269</v>
      </c>
    </row>
    <row r="1048" spans="1:26" x14ac:dyDescent="0.25">
      <c r="A1048">
        <v>1044</v>
      </c>
      <c r="B1048" t="s">
        <v>26</v>
      </c>
      <c r="C1048" t="s">
        <v>27</v>
      </c>
      <c r="D1048">
        <v>15</v>
      </c>
      <c r="E1048" t="s">
        <v>150</v>
      </c>
      <c r="F1048" t="s">
        <v>498</v>
      </c>
      <c r="G1048">
        <v>3873</v>
      </c>
      <c r="H1048" t="s">
        <v>562</v>
      </c>
      <c r="I1048" t="s">
        <v>505</v>
      </c>
      <c r="J1048">
        <v>8</v>
      </c>
      <c r="K1048">
        <v>1</v>
      </c>
      <c r="L1048">
        <v>6.8402777777777776E-3</v>
      </c>
      <c r="M1048" t="s">
        <v>778</v>
      </c>
      <c r="N1048" t="s">
        <v>777</v>
      </c>
      <c r="O1048" s="24">
        <v>46128</v>
      </c>
      <c r="P1048">
        <v>603</v>
      </c>
      <c r="Q1048" t="s">
        <v>34</v>
      </c>
      <c r="X1048" t="s">
        <v>3270</v>
      </c>
    </row>
    <row r="1049" spans="1:26" x14ac:dyDescent="0.25">
      <c r="A1049">
        <v>1045</v>
      </c>
      <c r="B1049" t="s">
        <v>26</v>
      </c>
      <c r="C1049" t="s">
        <v>27</v>
      </c>
      <c r="D1049">
        <v>15</v>
      </c>
      <c r="E1049" t="s">
        <v>511</v>
      </c>
      <c r="F1049" t="s">
        <v>512</v>
      </c>
      <c r="G1049">
        <v>3874</v>
      </c>
      <c r="H1049" t="s">
        <v>513</v>
      </c>
      <c r="I1049" t="s">
        <v>119</v>
      </c>
      <c r="J1049">
        <v>8</v>
      </c>
      <c r="K1049">
        <v>1</v>
      </c>
      <c r="L1049">
        <v>6.9212962962962961E-3</v>
      </c>
      <c r="M1049" t="s">
        <v>778</v>
      </c>
      <c r="N1049" t="s">
        <v>916</v>
      </c>
      <c r="O1049" s="24">
        <v>46134</v>
      </c>
      <c r="P1049">
        <v>603</v>
      </c>
      <c r="Q1049" t="s">
        <v>34</v>
      </c>
      <c r="X1049" t="s">
        <v>3271</v>
      </c>
    </row>
    <row r="1050" spans="1:26" x14ac:dyDescent="0.25">
      <c r="A1050">
        <v>1046</v>
      </c>
      <c r="B1050" t="s">
        <v>26</v>
      </c>
      <c r="C1050" t="s">
        <v>27</v>
      </c>
      <c r="D1050">
        <v>15</v>
      </c>
      <c r="E1050" t="s">
        <v>511</v>
      </c>
      <c r="F1050" t="s">
        <v>512</v>
      </c>
      <c r="G1050">
        <v>3875</v>
      </c>
      <c r="H1050" t="s">
        <v>513</v>
      </c>
      <c r="I1050" t="s">
        <v>119</v>
      </c>
      <c r="J1050">
        <v>8</v>
      </c>
      <c r="K1050">
        <v>1</v>
      </c>
      <c r="L1050">
        <v>6.9212962962962961E-3</v>
      </c>
      <c r="M1050" t="s">
        <v>778</v>
      </c>
      <c r="N1050" t="s">
        <v>916</v>
      </c>
      <c r="O1050" s="24">
        <v>46134</v>
      </c>
      <c r="P1050">
        <v>603</v>
      </c>
      <c r="Q1050" t="s">
        <v>34</v>
      </c>
      <c r="X1050" t="s">
        <v>3272</v>
      </c>
    </row>
    <row r="1051" spans="1:26" x14ac:dyDescent="0.25">
      <c r="A1051">
        <v>1047</v>
      </c>
      <c r="B1051" t="s">
        <v>26</v>
      </c>
      <c r="C1051" t="s">
        <v>27</v>
      </c>
      <c r="D1051">
        <v>15</v>
      </c>
      <c r="E1051" t="s">
        <v>147</v>
      </c>
      <c r="F1051" t="s">
        <v>498</v>
      </c>
      <c r="G1051">
        <v>3590</v>
      </c>
      <c r="H1051" t="s">
        <v>568</v>
      </c>
      <c r="I1051" t="s">
        <v>505</v>
      </c>
      <c r="J1051">
        <v>8</v>
      </c>
      <c r="K1051">
        <v>1</v>
      </c>
      <c r="L1051">
        <v>6.8402777777777776E-3</v>
      </c>
      <c r="M1051" t="s">
        <v>778</v>
      </c>
      <c r="N1051" t="s">
        <v>777</v>
      </c>
      <c r="O1051" s="24">
        <v>46128</v>
      </c>
      <c r="P1051">
        <v>603</v>
      </c>
      <c r="Q1051" t="s">
        <v>34</v>
      </c>
      <c r="X1051" t="s">
        <v>3273</v>
      </c>
    </row>
    <row r="1052" spans="1:26" x14ac:dyDescent="0.25">
      <c r="A1052">
        <v>1048</v>
      </c>
      <c r="B1052" t="s">
        <v>26</v>
      </c>
      <c r="C1052" t="s">
        <v>27</v>
      </c>
      <c r="D1052">
        <v>15</v>
      </c>
      <c r="E1052" t="s">
        <v>129</v>
      </c>
      <c r="F1052" t="s">
        <v>512</v>
      </c>
      <c r="G1052">
        <v>3592</v>
      </c>
      <c r="H1052" t="s">
        <v>1176</v>
      </c>
      <c r="I1052" t="s">
        <v>119</v>
      </c>
      <c r="J1052">
        <v>8</v>
      </c>
      <c r="K1052">
        <v>1</v>
      </c>
      <c r="L1052">
        <v>8.067129629629629E-3</v>
      </c>
      <c r="M1052" t="s">
        <v>117</v>
      </c>
      <c r="N1052" t="s">
        <v>1161</v>
      </c>
      <c r="O1052" s="24">
        <v>46125</v>
      </c>
      <c r="P1052">
        <v>603</v>
      </c>
      <c r="Q1052" t="s">
        <v>34</v>
      </c>
      <c r="R1052">
        <v>46135</v>
      </c>
      <c r="S1052" s="51">
        <v>0.64930555555555558</v>
      </c>
      <c r="T1052" s="51">
        <v>0.65625</v>
      </c>
      <c r="X1052" t="s">
        <v>3274</v>
      </c>
      <c r="Y1052" t="s">
        <v>3072</v>
      </c>
      <c r="Z1052">
        <v>3219225</v>
      </c>
    </row>
    <row r="1053" spans="1:26" x14ac:dyDescent="0.25">
      <c r="A1053">
        <v>1049</v>
      </c>
      <c r="B1053" t="s">
        <v>26</v>
      </c>
      <c r="C1053" t="s">
        <v>27</v>
      </c>
      <c r="D1053">
        <v>15</v>
      </c>
      <c r="E1053" t="s">
        <v>511</v>
      </c>
      <c r="F1053" t="s">
        <v>512</v>
      </c>
      <c r="G1053">
        <v>3877</v>
      </c>
      <c r="H1053" t="s">
        <v>513</v>
      </c>
      <c r="I1053" t="s">
        <v>119</v>
      </c>
      <c r="J1053">
        <v>8</v>
      </c>
      <c r="K1053">
        <v>1</v>
      </c>
      <c r="L1053">
        <v>6.9212962962962961E-3</v>
      </c>
      <c r="M1053" t="s">
        <v>778</v>
      </c>
      <c r="N1053" t="s">
        <v>916</v>
      </c>
      <c r="O1053" s="24">
        <v>46134</v>
      </c>
      <c r="P1053">
        <v>603</v>
      </c>
      <c r="Q1053" t="s">
        <v>34</v>
      </c>
      <c r="X1053" t="s">
        <v>3275</v>
      </c>
    </row>
    <row r="1054" spans="1:26" x14ac:dyDescent="0.25">
      <c r="A1054">
        <v>1050</v>
      </c>
      <c r="B1054" t="s">
        <v>26</v>
      </c>
      <c r="C1054" t="s">
        <v>27</v>
      </c>
      <c r="D1054">
        <v>15</v>
      </c>
      <c r="E1054" t="s">
        <v>511</v>
      </c>
      <c r="F1054" t="s">
        <v>512</v>
      </c>
      <c r="G1054">
        <v>3883</v>
      </c>
      <c r="H1054" t="s">
        <v>513</v>
      </c>
      <c r="I1054" t="s">
        <v>119</v>
      </c>
      <c r="J1054">
        <v>8</v>
      </c>
      <c r="K1054">
        <v>1</v>
      </c>
      <c r="L1054">
        <v>6.9212962962962961E-3</v>
      </c>
      <c r="M1054" t="s">
        <v>778</v>
      </c>
      <c r="N1054" t="s">
        <v>916</v>
      </c>
      <c r="O1054" s="24">
        <v>46134</v>
      </c>
      <c r="P1054">
        <v>603</v>
      </c>
      <c r="Q1054" t="s">
        <v>34</v>
      </c>
      <c r="X1054" t="s">
        <v>3276</v>
      </c>
    </row>
    <row r="1055" spans="1:26" x14ac:dyDescent="0.25">
      <c r="A1055">
        <v>1051</v>
      </c>
      <c r="B1055" t="s">
        <v>26</v>
      </c>
      <c r="C1055" t="s">
        <v>27</v>
      </c>
      <c r="D1055">
        <v>15</v>
      </c>
      <c r="E1055" t="s">
        <v>511</v>
      </c>
      <c r="F1055" t="s">
        <v>512</v>
      </c>
      <c r="G1055">
        <v>3878</v>
      </c>
      <c r="H1055" t="s">
        <v>513</v>
      </c>
      <c r="I1055" t="s">
        <v>119</v>
      </c>
      <c r="J1055">
        <v>8</v>
      </c>
      <c r="K1055">
        <v>1</v>
      </c>
      <c r="L1055">
        <v>6.9212962962962961E-3</v>
      </c>
      <c r="M1055" t="s">
        <v>778</v>
      </c>
      <c r="N1055" t="s">
        <v>916</v>
      </c>
      <c r="O1055" s="24">
        <v>46134</v>
      </c>
      <c r="P1055">
        <v>603</v>
      </c>
      <c r="Q1055" t="s">
        <v>34</v>
      </c>
      <c r="X1055" t="s">
        <v>3277</v>
      </c>
    </row>
    <row r="1056" spans="1:26" x14ac:dyDescent="0.25">
      <c r="A1056">
        <v>1052</v>
      </c>
      <c r="B1056" t="s">
        <v>26</v>
      </c>
      <c r="C1056" t="s">
        <v>27</v>
      </c>
      <c r="D1056">
        <v>15</v>
      </c>
      <c r="E1056" t="s">
        <v>131</v>
      </c>
      <c r="F1056" t="s">
        <v>498</v>
      </c>
      <c r="G1056">
        <v>3879</v>
      </c>
      <c r="H1056" t="s">
        <v>541</v>
      </c>
      <c r="I1056" t="s">
        <v>505</v>
      </c>
      <c r="J1056">
        <v>8</v>
      </c>
      <c r="K1056">
        <v>1</v>
      </c>
      <c r="L1056">
        <v>6.8402777777777776E-3</v>
      </c>
      <c r="M1056" t="s">
        <v>778</v>
      </c>
      <c r="N1056" t="s">
        <v>777</v>
      </c>
      <c r="O1056" s="24">
        <v>46128</v>
      </c>
      <c r="P1056">
        <v>603</v>
      </c>
      <c r="Q1056" t="s">
        <v>34</v>
      </c>
      <c r="X1056" t="s">
        <v>3278</v>
      </c>
    </row>
    <row r="1057" spans="1:26" x14ac:dyDescent="0.25">
      <c r="A1057">
        <v>1053</v>
      </c>
      <c r="B1057" t="s">
        <v>26</v>
      </c>
      <c r="C1057" t="s">
        <v>27</v>
      </c>
      <c r="D1057">
        <v>15</v>
      </c>
      <c r="E1057" t="s">
        <v>131</v>
      </c>
      <c r="F1057" t="s">
        <v>498</v>
      </c>
      <c r="G1057">
        <v>3598</v>
      </c>
      <c r="H1057" t="s">
        <v>499</v>
      </c>
      <c r="I1057" t="s">
        <v>500</v>
      </c>
      <c r="J1057">
        <v>8</v>
      </c>
      <c r="K1057">
        <v>1</v>
      </c>
      <c r="L1057">
        <v>6.875E-3</v>
      </c>
      <c r="M1057" t="s">
        <v>778</v>
      </c>
      <c r="N1057" t="s">
        <v>777</v>
      </c>
      <c r="O1057" s="24">
        <v>46128</v>
      </c>
      <c r="P1057">
        <v>603</v>
      </c>
      <c r="Q1057" t="s">
        <v>34</v>
      </c>
      <c r="X1057" t="s">
        <v>3279</v>
      </c>
    </row>
    <row r="1058" spans="1:26" x14ac:dyDescent="0.25">
      <c r="A1058">
        <v>1054</v>
      </c>
      <c r="B1058" t="s">
        <v>26</v>
      </c>
      <c r="C1058" t="s">
        <v>27</v>
      </c>
      <c r="D1058">
        <v>15</v>
      </c>
      <c r="E1058" t="s">
        <v>367</v>
      </c>
      <c r="F1058" t="s">
        <v>1599</v>
      </c>
      <c r="G1058">
        <v>4228</v>
      </c>
      <c r="H1058" t="s">
        <v>1633</v>
      </c>
      <c r="I1058" t="s">
        <v>1634</v>
      </c>
      <c r="J1058">
        <v>8</v>
      </c>
      <c r="K1058">
        <v>1</v>
      </c>
      <c r="L1058">
        <v>7.7546296296296293E-4</v>
      </c>
      <c r="M1058" t="s">
        <v>778</v>
      </c>
      <c r="N1058" t="s">
        <v>1388</v>
      </c>
      <c r="O1058" s="24">
        <v>46133</v>
      </c>
      <c r="P1058">
        <v>605</v>
      </c>
      <c r="Q1058" t="s">
        <v>34</v>
      </c>
      <c r="X1058" t="s">
        <v>3280</v>
      </c>
    </row>
    <row r="1059" spans="1:26" x14ac:dyDescent="0.25">
      <c r="A1059">
        <v>1055</v>
      </c>
      <c r="B1059" t="s">
        <v>26</v>
      </c>
      <c r="C1059" t="s">
        <v>27</v>
      </c>
      <c r="D1059">
        <v>15</v>
      </c>
      <c r="E1059" t="s">
        <v>367</v>
      </c>
      <c r="F1059" t="s">
        <v>512</v>
      </c>
      <c r="G1059">
        <v>4228</v>
      </c>
      <c r="H1059" t="s">
        <v>2713</v>
      </c>
      <c r="I1059" t="s">
        <v>2599</v>
      </c>
      <c r="J1059">
        <v>8</v>
      </c>
      <c r="K1059">
        <v>1</v>
      </c>
      <c r="L1059">
        <v>9.7222222222222219E-4</v>
      </c>
      <c r="M1059" t="s">
        <v>778</v>
      </c>
      <c r="N1059" t="s">
        <v>1388</v>
      </c>
      <c r="O1059" s="24">
        <v>46133</v>
      </c>
      <c r="P1059">
        <v>605</v>
      </c>
      <c r="Q1059" t="s">
        <v>34</v>
      </c>
      <c r="X1059" t="s">
        <v>3280</v>
      </c>
    </row>
    <row r="1060" spans="1:26" x14ac:dyDescent="0.25">
      <c r="A1060">
        <v>1056</v>
      </c>
      <c r="B1060" t="s">
        <v>26</v>
      </c>
      <c r="C1060" t="s">
        <v>27</v>
      </c>
      <c r="D1060">
        <v>15</v>
      </c>
      <c r="E1060" t="s">
        <v>367</v>
      </c>
      <c r="F1060" t="s">
        <v>1594</v>
      </c>
      <c r="G1060">
        <v>4228</v>
      </c>
      <c r="H1060" t="s">
        <v>2486</v>
      </c>
      <c r="I1060" t="s">
        <v>2487</v>
      </c>
      <c r="J1060">
        <v>8</v>
      </c>
      <c r="K1060">
        <v>1</v>
      </c>
      <c r="L1060">
        <v>9.837962962962962E-4</v>
      </c>
      <c r="M1060" t="s">
        <v>778</v>
      </c>
      <c r="N1060" t="s">
        <v>1388</v>
      </c>
      <c r="O1060" s="24">
        <v>46133</v>
      </c>
      <c r="P1060">
        <v>605</v>
      </c>
      <c r="Q1060" t="s">
        <v>34</v>
      </c>
      <c r="X1060" t="s">
        <v>3280</v>
      </c>
    </row>
    <row r="1061" spans="1:26" x14ac:dyDescent="0.25">
      <c r="A1061">
        <v>1057</v>
      </c>
      <c r="B1061" t="s">
        <v>26</v>
      </c>
      <c r="C1061" t="s">
        <v>27</v>
      </c>
      <c r="D1061">
        <v>15</v>
      </c>
      <c r="E1061" t="s">
        <v>2195</v>
      </c>
      <c r="F1061" t="s">
        <v>44</v>
      </c>
      <c r="G1061">
        <v>4228</v>
      </c>
      <c r="H1061" t="s">
        <v>48</v>
      </c>
      <c r="I1061" t="s">
        <v>1119</v>
      </c>
      <c r="J1061">
        <v>8</v>
      </c>
      <c r="K1061">
        <v>1</v>
      </c>
      <c r="L1061">
        <v>1.4699074074074074E-3</v>
      </c>
      <c r="M1061" t="s">
        <v>778</v>
      </c>
      <c r="N1061" t="s">
        <v>1388</v>
      </c>
      <c r="O1061" s="24">
        <v>46133</v>
      </c>
      <c r="P1061">
        <v>605</v>
      </c>
      <c r="Q1061" t="s">
        <v>34</v>
      </c>
      <c r="X1061" t="s">
        <v>3280</v>
      </c>
    </row>
    <row r="1062" spans="1:26" x14ac:dyDescent="0.25">
      <c r="A1062">
        <v>1058</v>
      </c>
      <c r="B1062" t="s">
        <v>26</v>
      </c>
      <c r="C1062" t="s">
        <v>27</v>
      </c>
      <c r="D1062">
        <v>15</v>
      </c>
      <c r="E1062" t="s">
        <v>1672</v>
      </c>
      <c r="F1062" t="s">
        <v>115</v>
      </c>
      <c r="G1062">
        <v>4228</v>
      </c>
      <c r="H1062" t="s">
        <v>2277</v>
      </c>
      <c r="I1062" t="s">
        <v>2278</v>
      </c>
      <c r="J1062">
        <v>8</v>
      </c>
      <c r="K1062">
        <v>1</v>
      </c>
      <c r="L1062">
        <v>6.8634259259259256E-3</v>
      </c>
      <c r="M1062" t="s">
        <v>778</v>
      </c>
      <c r="N1062" t="s">
        <v>1388</v>
      </c>
      <c r="O1062" s="24">
        <v>46133</v>
      </c>
      <c r="P1062">
        <v>605</v>
      </c>
      <c r="Q1062" t="s">
        <v>34</v>
      </c>
      <c r="X1062" t="s">
        <v>3280</v>
      </c>
    </row>
    <row r="1063" spans="1:26" x14ac:dyDescent="0.25">
      <c r="A1063">
        <v>1059</v>
      </c>
      <c r="B1063" t="s">
        <v>26</v>
      </c>
      <c r="C1063" t="s">
        <v>27</v>
      </c>
      <c r="D1063">
        <v>15</v>
      </c>
      <c r="E1063" t="s">
        <v>133</v>
      </c>
      <c r="F1063" t="s">
        <v>115</v>
      </c>
      <c r="G1063">
        <v>3601</v>
      </c>
      <c r="H1063" t="s">
        <v>2369</v>
      </c>
      <c r="I1063" t="s">
        <v>2138</v>
      </c>
      <c r="J1063">
        <v>8</v>
      </c>
      <c r="K1063">
        <v>1</v>
      </c>
      <c r="L1063">
        <v>6.3541666666666668E-3</v>
      </c>
      <c r="M1063" t="s">
        <v>117</v>
      </c>
      <c r="N1063" t="s">
        <v>953</v>
      </c>
      <c r="O1063" s="24">
        <v>46122</v>
      </c>
      <c r="P1063">
        <v>603</v>
      </c>
      <c r="Q1063" t="s">
        <v>34</v>
      </c>
      <c r="R1063" s="24">
        <v>46136</v>
      </c>
      <c r="S1063" s="51">
        <v>0.72847222222222219</v>
      </c>
      <c r="T1063" s="51">
        <v>0.74791666666666667</v>
      </c>
      <c r="X1063" t="s">
        <v>3281</v>
      </c>
      <c r="Y1063" t="s">
        <v>3032</v>
      </c>
      <c r="Z1063">
        <v>1742372</v>
      </c>
    </row>
    <row r="1064" spans="1:26" x14ac:dyDescent="0.25">
      <c r="A1064">
        <v>1060</v>
      </c>
      <c r="B1064" t="s">
        <v>26</v>
      </c>
      <c r="C1064" t="s">
        <v>27</v>
      </c>
      <c r="D1064">
        <v>15</v>
      </c>
      <c r="E1064" t="s">
        <v>1665</v>
      </c>
      <c r="F1064" t="s">
        <v>498</v>
      </c>
      <c r="G1064">
        <v>3601</v>
      </c>
      <c r="H1064" t="s">
        <v>2311</v>
      </c>
      <c r="I1064" t="s">
        <v>2300</v>
      </c>
      <c r="J1064">
        <v>8</v>
      </c>
      <c r="K1064">
        <v>1</v>
      </c>
      <c r="L1064">
        <v>2.0254629629629629E-3</v>
      </c>
      <c r="M1064" t="s">
        <v>117</v>
      </c>
      <c r="N1064" t="s">
        <v>953</v>
      </c>
      <c r="O1064" s="24">
        <v>46122</v>
      </c>
      <c r="P1064">
        <v>603</v>
      </c>
      <c r="Q1064" t="s">
        <v>34</v>
      </c>
      <c r="R1064" s="24">
        <v>46136</v>
      </c>
      <c r="S1064" s="51">
        <v>0.72847222222222219</v>
      </c>
      <c r="T1064" s="51">
        <v>0.74791666666666667</v>
      </c>
      <c r="X1064" t="s">
        <v>3281</v>
      </c>
      <c r="Y1064" t="s">
        <v>3032</v>
      </c>
      <c r="Z1064">
        <v>1742372</v>
      </c>
    </row>
    <row r="1065" spans="1:26" x14ac:dyDescent="0.25">
      <c r="A1065">
        <v>1061</v>
      </c>
      <c r="B1065" t="s">
        <v>26</v>
      </c>
      <c r="C1065" t="s">
        <v>27</v>
      </c>
      <c r="D1065">
        <v>15</v>
      </c>
      <c r="E1065" t="s">
        <v>131</v>
      </c>
      <c r="F1065" t="s">
        <v>115</v>
      </c>
      <c r="G1065">
        <v>3601</v>
      </c>
      <c r="H1065" t="s">
        <v>2715</v>
      </c>
      <c r="I1065" t="s">
        <v>2310</v>
      </c>
      <c r="J1065">
        <v>8</v>
      </c>
      <c r="K1065">
        <v>1</v>
      </c>
      <c r="L1065">
        <v>2.0023148148148148E-3</v>
      </c>
      <c r="M1065" t="s">
        <v>117</v>
      </c>
      <c r="N1065" t="s">
        <v>953</v>
      </c>
      <c r="O1065" s="24">
        <v>46122</v>
      </c>
      <c r="P1065">
        <v>603</v>
      </c>
      <c r="Q1065" t="s">
        <v>34</v>
      </c>
      <c r="R1065" s="24">
        <v>46136</v>
      </c>
      <c r="S1065" s="51">
        <v>0.72847222222222219</v>
      </c>
      <c r="T1065" s="51">
        <v>0.74791666666666667</v>
      </c>
      <c r="X1065" t="s">
        <v>3281</v>
      </c>
      <c r="Y1065" t="s">
        <v>3032</v>
      </c>
      <c r="Z1065">
        <v>1742372</v>
      </c>
    </row>
    <row r="1066" spans="1:26" x14ac:dyDescent="0.25">
      <c r="A1066">
        <v>1062</v>
      </c>
      <c r="B1066" t="s">
        <v>26</v>
      </c>
      <c r="C1066" t="s">
        <v>27</v>
      </c>
      <c r="D1066">
        <v>15</v>
      </c>
      <c r="E1066" t="s">
        <v>1665</v>
      </c>
      <c r="F1066" t="s">
        <v>512</v>
      </c>
      <c r="G1066">
        <v>3601</v>
      </c>
      <c r="H1066" t="s">
        <v>2228</v>
      </c>
      <c r="I1066" t="s">
        <v>2153</v>
      </c>
      <c r="J1066">
        <v>8</v>
      </c>
      <c r="K1066">
        <v>2</v>
      </c>
      <c r="L1066">
        <v>3.49537037037037E-3</v>
      </c>
      <c r="M1066" t="s">
        <v>117</v>
      </c>
      <c r="N1066" t="s">
        <v>953</v>
      </c>
      <c r="O1066" s="24">
        <v>46122</v>
      </c>
      <c r="P1066">
        <v>603</v>
      </c>
      <c r="Q1066" t="s">
        <v>34</v>
      </c>
      <c r="R1066" s="24">
        <v>46136</v>
      </c>
      <c r="S1066" s="51">
        <v>0.72847222222222219</v>
      </c>
      <c r="T1066" s="51">
        <v>0.74791666666666667</v>
      </c>
      <c r="X1066" t="s">
        <v>3281</v>
      </c>
      <c r="Y1066" t="s">
        <v>3032</v>
      </c>
      <c r="Z1066">
        <v>1742372</v>
      </c>
    </row>
    <row r="1067" spans="1:26" x14ac:dyDescent="0.25">
      <c r="A1067">
        <v>1063</v>
      </c>
      <c r="B1067" t="s">
        <v>26</v>
      </c>
      <c r="C1067" t="s">
        <v>27</v>
      </c>
      <c r="D1067">
        <v>15</v>
      </c>
      <c r="E1067" t="s">
        <v>1672</v>
      </c>
      <c r="F1067" t="s">
        <v>498</v>
      </c>
      <c r="G1067">
        <v>4244</v>
      </c>
      <c r="H1067" t="s">
        <v>2299</v>
      </c>
      <c r="I1067" t="s">
        <v>2300</v>
      </c>
      <c r="J1067">
        <v>8</v>
      </c>
      <c r="K1067">
        <v>1</v>
      </c>
      <c r="L1067">
        <v>1.9097222222222222E-3</v>
      </c>
      <c r="M1067" t="s">
        <v>117</v>
      </c>
      <c r="N1067" t="s">
        <v>1128</v>
      </c>
      <c r="O1067" s="24">
        <v>46126</v>
      </c>
      <c r="P1067">
        <v>605</v>
      </c>
      <c r="Q1067" t="s">
        <v>34</v>
      </c>
      <c r="R1067">
        <v>46137</v>
      </c>
      <c r="S1067" s="51">
        <v>5.2083333333333336E-2</v>
      </c>
      <c r="T1067" s="51">
        <v>7.6388888888888895E-2</v>
      </c>
      <c r="X1067" t="s">
        <v>3282</v>
      </c>
      <c r="Y1067" t="s">
        <v>3029</v>
      </c>
      <c r="Z1067">
        <v>1742255</v>
      </c>
    </row>
    <row r="1068" spans="1:26" x14ac:dyDescent="0.25">
      <c r="A1068">
        <v>1064</v>
      </c>
      <c r="B1068" t="s">
        <v>26</v>
      </c>
      <c r="C1068" t="s">
        <v>27</v>
      </c>
      <c r="D1068">
        <v>15</v>
      </c>
      <c r="E1068" t="s">
        <v>131</v>
      </c>
      <c r="F1068" t="s">
        <v>115</v>
      </c>
      <c r="G1068">
        <v>4244</v>
      </c>
      <c r="H1068" t="s">
        <v>2715</v>
      </c>
      <c r="I1068" t="s">
        <v>2310</v>
      </c>
      <c r="J1068">
        <v>8</v>
      </c>
      <c r="K1068">
        <v>1</v>
      </c>
      <c r="L1068">
        <v>1.8749999999999999E-3</v>
      </c>
      <c r="M1068" t="s">
        <v>117</v>
      </c>
      <c r="N1068" t="s">
        <v>1128</v>
      </c>
      <c r="O1068" s="24">
        <v>46126</v>
      </c>
      <c r="P1068">
        <v>605</v>
      </c>
      <c r="Q1068" t="s">
        <v>34</v>
      </c>
      <c r="R1068">
        <v>46137</v>
      </c>
      <c r="S1068" s="51">
        <v>5.2083333333333336E-2</v>
      </c>
      <c r="T1068" s="51">
        <v>7.6388888888888895E-2</v>
      </c>
      <c r="X1068" t="s">
        <v>3282</v>
      </c>
      <c r="Y1068" t="s">
        <v>3029</v>
      </c>
      <c r="Z1068">
        <v>1742255</v>
      </c>
    </row>
    <row r="1069" spans="1:26" x14ac:dyDescent="0.25">
      <c r="A1069">
        <v>1065</v>
      </c>
      <c r="B1069" t="s">
        <v>26</v>
      </c>
      <c r="C1069" t="s">
        <v>27</v>
      </c>
      <c r="D1069">
        <v>15</v>
      </c>
      <c r="E1069" t="s">
        <v>1588</v>
      </c>
      <c r="F1069" t="s">
        <v>44</v>
      </c>
      <c r="G1069">
        <v>4244</v>
      </c>
      <c r="H1069" t="s">
        <v>2057</v>
      </c>
      <c r="I1069" t="s">
        <v>2049</v>
      </c>
      <c r="J1069">
        <v>8</v>
      </c>
      <c r="K1069">
        <v>1</v>
      </c>
      <c r="L1069">
        <v>1.3194444444444445E-3</v>
      </c>
      <c r="M1069" t="s">
        <v>117</v>
      </c>
      <c r="N1069" t="s">
        <v>1128</v>
      </c>
      <c r="O1069" s="24">
        <v>46126</v>
      </c>
      <c r="P1069">
        <v>605</v>
      </c>
      <c r="Q1069" t="s">
        <v>34</v>
      </c>
      <c r="R1069">
        <v>46137</v>
      </c>
      <c r="S1069" s="51">
        <v>5.2083333333333336E-2</v>
      </c>
      <c r="T1069" s="51">
        <v>7.6388888888888895E-2</v>
      </c>
      <c r="X1069" t="s">
        <v>3282</v>
      </c>
      <c r="Y1069" t="s">
        <v>3029</v>
      </c>
      <c r="Z1069">
        <v>1742255</v>
      </c>
    </row>
    <row r="1070" spans="1:26" x14ac:dyDescent="0.25">
      <c r="A1070">
        <v>1066</v>
      </c>
      <c r="B1070" t="s">
        <v>26</v>
      </c>
      <c r="C1070" t="s">
        <v>27</v>
      </c>
      <c r="D1070">
        <v>15</v>
      </c>
      <c r="E1070" t="s">
        <v>367</v>
      </c>
      <c r="F1070" t="s">
        <v>368</v>
      </c>
      <c r="G1070">
        <v>4244</v>
      </c>
      <c r="H1070" t="s">
        <v>2114</v>
      </c>
      <c r="I1070" t="s">
        <v>2097</v>
      </c>
      <c r="J1070">
        <v>8</v>
      </c>
      <c r="K1070">
        <v>1</v>
      </c>
      <c r="L1070">
        <v>6.7129629629629625E-4</v>
      </c>
      <c r="M1070" t="s">
        <v>117</v>
      </c>
      <c r="N1070" t="s">
        <v>1128</v>
      </c>
      <c r="O1070" s="24">
        <v>46126</v>
      </c>
      <c r="P1070">
        <v>605</v>
      </c>
      <c r="Q1070" t="s">
        <v>34</v>
      </c>
      <c r="R1070">
        <v>46137</v>
      </c>
      <c r="S1070" s="51">
        <v>5.2083333333333336E-2</v>
      </c>
      <c r="T1070" s="51">
        <v>7.6388888888888895E-2</v>
      </c>
      <c r="X1070" t="s">
        <v>3282</v>
      </c>
      <c r="Y1070" t="s">
        <v>3029</v>
      </c>
      <c r="Z1070">
        <v>1742255</v>
      </c>
    </row>
    <row r="1071" spans="1:26" x14ac:dyDescent="0.25">
      <c r="A1071">
        <v>1067</v>
      </c>
      <c r="B1071" t="s">
        <v>26</v>
      </c>
      <c r="C1071" t="s">
        <v>27</v>
      </c>
      <c r="D1071">
        <v>15</v>
      </c>
      <c r="E1071" t="s">
        <v>367</v>
      </c>
      <c r="F1071" t="s">
        <v>427</v>
      </c>
      <c r="G1071">
        <v>4244</v>
      </c>
      <c r="H1071" t="s">
        <v>2234</v>
      </c>
      <c r="I1071" t="s">
        <v>2235</v>
      </c>
      <c r="J1071">
        <v>8</v>
      </c>
      <c r="K1071">
        <v>1</v>
      </c>
      <c r="L1071">
        <v>5.7523148148148143E-3</v>
      </c>
      <c r="M1071" t="s">
        <v>117</v>
      </c>
      <c r="N1071" t="s">
        <v>1128</v>
      </c>
      <c r="O1071" s="24">
        <v>46126</v>
      </c>
      <c r="P1071">
        <v>605</v>
      </c>
      <c r="Q1071" t="s">
        <v>34</v>
      </c>
      <c r="R1071">
        <v>46137</v>
      </c>
      <c r="S1071" s="51">
        <v>5.2083333333333336E-2</v>
      </c>
      <c r="T1071" s="51">
        <v>7.6388888888888895E-2</v>
      </c>
      <c r="X1071" t="s">
        <v>3282</v>
      </c>
      <c r="Y1071" t="s">
        <v>3029</v>
      </c>
      <c r="Z1071">
        <v>1742255</v>
      </c>
    </row>
    <row r="1072" spans="1:26" x14ac:dyDescent="0.25">
      <c r="A1072">
        <v>1068</v>
      </c>
      <c r="B1072" t="s">
        <v>26</v>
      </c>
      <c r="C1072" t="s">
        <v>27</v>
      </c>
      <c r="D1072">
        <v>15</v>
      </c>
      <c r="E1072" t="s">
        <v>2717</v>
      </c>
      <c r="F1072" t="s">
        <v>44</v>
      </c>
      <c r="G1072">
        <v>4244</v>
      </c>
      <c r="H1072" t="s">
        <v>48</v>
      </c>
      <c r="I1072" t="s">
        <v>1119</v>
      </c>
      <c r="J1072">
        <v>8</v>
      </c>
      <c r="K1072">
        <v>5</v>
      </c>
      <c r="L1072">
        <v>7.0717592592592585E-3</v>
      </c>
      <c r="M1072" t="s">
        <v>117</v>
      </c>
      <c r="N1072" t="s">
        <v>1128</v>
      </c>
      <c r="O1072" s="24">
        <v>46126</v>
      </c>
      <c r="P1072">
        <v>605</v>
      </c>
      <c r="Q1072" t="s">
        <v>34</v>
      </c>
      <c r="R1072">
        <v>46137</v>
      </c>
      <c r="S1072" s="51">
        <v>5.2083333333333336E-2</v>
      </c>
      <c r="T1072" s="51">
        <v>7.6388888888888895E-2</v>
      </c>
      <c r="X1072" t="s">
        <v>3282</v>
      </c>
      <c r="Y1072" t="s">
        <v>3029</v>
      </c>
      <c r="Z1072">
        <v>1742255</v>
      </c>
    </row>
    <row r="1073" spans="1:26" x14ac:dyDescent="0.25">
      <c r="A1073">
        <v>1069</v>
      </c>
      <c r="B1073" t="s">
        <v>26</v>
      </c>
      <c r="C1073" t="s">
        <v>27</v>
      </c>
      <c r="D1073">
        <v>15</v>
      </c>
      <c r="E1073" t="s">
        <v>367</v>
      </c>
      <c r="F1073" t="s">
        <v>1594</v>
      </c>
      <c r="G1073">
        <v>4244</v>
      </c>
      <c r="H1073" t="s">
        <v>2272</v>
      </c>
      <c r="I1073" t="s">
        <v>2273</v>
      </c>
      <c r="J1073">
        <v>8</v>
      </c>
      <c r="K1073">
        <v>1</v>
      </c>
      <c r="L1073">
        <v>2.0138888888888888E-3</v>
      </c>
      <c r="M1073" t="s">
        <v>117</v>
      </c>
      <c r="N1073" t="s">
        <v>1128</v>
      </c>
      <c r="O1073" s="24">
        <v>46126</v>
      </c>
      <c r="P1073">
        <v>605</v>
      </c>
      <c r="Q1073" t="s">
        <v>34</v>
      </c>
      <c r="R1073">
        <v>46137</v>
      </c>
      <c r="S1073" s="51">
        <v>5.2083333333333336E-2</v>
      </c>
      <c r="T1073" s="51">
        <v>7.6388888888888895E-2</v>
      </c>
      <c r="X1073" t="s">
        <v>3282</v>
      </c>
      <c r="Y1073" t="s">
        <v>3029</v>
      </c>
      <c r="Z1073">
        <v>1742255</v>
      </c>
    </row>
    <row r="1074" spans="1:26" x14ac:dyDescent="0.25">
      <c r="A1074">
        <v>1070</v>
      </c>
      <c r="B1074" t="s">
        <v>26</v>
      </c>
      <c r="C1074" t="s">
        <v>27</v>
      </c>
      <c r="D1074">
        <v>15</v>
      </c>
      <c r="E1074" t="s">
        <v>114</v>
      </c>
      <c r="F1074" t="s">
        <v>512</v>
      </c>
      <c r="G1074">
        <v>3913</v>
      </c>
      <c r="H1074" t="s">
        <v>2307</v>
      </c>
      <c r="I1074" t="s">
        <v>1620</v>
      </c>
      <c r="J1074">
        <v>8</v>
      </c>
      <c r="K1074">
        <v>1</v>
      </c>
      <c r="L1074">
        <v>5.8680555555555552E-3</v>
      </c>
      <c r="M1074" t="s">
        <v>117</v>
      </c>
      <c r="N1074" t="s">
        <v>1200</v>
      </c>
      <c r="O1074" s="24">
        <v>46122</v>
      </c>
      <c r="P1074">
        <v>605</v>
      </c>
      <c r="Q1074" t="s">
        <v>34</v>
      </c>
      <c r="R1074">
        <v>46135</v>
      </c>
      <c r="S1074" s="51">
        <v>0.54166666666666663</v>
      </c>
      <c r="T1074" s="51">
        <v>0.57361111111111107</v>
      </c>
      <c r="X1074" t="s">
        <v>3283</v>
      </c>
      <c r="Y1074" t="s">
        <v>3029</v>
      </c>
      <c r="Z1074">
        <v>3219212</v>
      </c>
    </row>
    <row r="1075" spans="1:26" x14ac:dyDescent="0.25">
      <c r="A1075">
        <v>1071</v>
      </c>
      <c r="B1075" t="s">
        <v>26</v>
      </c>
      <c r="C1075" t="s">
        <v>27</v>
      </c>
      <c r="D1075">
        <v>15</v>
      </c>
      <c r="E1075" t="s">
        <v>2296</v>
      </c>
      <c r="F1075" t="s">
        <v>44</v>
      </c>
      <c r="G1075">
        <v>3913</v>
      </c>
      <c r="H1075" t="s">
        <v>48</v>
      </c>
      <c r="I1075" t="s">
        <v>1119</v>
      </c>
      <c r="J1075">
        <v>8</v>
      </c>
      <c r="K1075">
        <v>6</v>
      </c>
      <c r="L1075">
        <v>8.5763888888888886E-3</v>
      </c>
      <c r="M1075" t="s">
        <v>117</v>
      </c>
      <c r="N1075" t="s">
        <v>1200</v>
      </c>
      <c r="O1075" s="24">
        <v>46122</v>
      </c>
      <c r="P1075">
        <v>605</v>
      </c>
      <c r="Q1075" t="s">
        <v>34</v>
      </c>
      <c r="R1075">
        <v>46135</v>
      </c>
      <c r="S1075" s="51">
        <v>0.54166666666666663</v>
      </c>
      <c r="T1075" s="51">
        <v>0.57361111111111107</v>
      </c>
      <c r="X1075" t="s">
        <v>3283</v>
      </c>
      <c r="Y1075" t="s">
        <v>3029</v>
      </c>
      <c r="Z1075">
        <v>3219212</v>
      </c>
    </row>
    <row r="1076" spans="1:26" x14ac:dyDescent="0.25">
      <c r="A1076">
        <v>1072</v>
      </c>
      <c r="B1076" t="s">
        <v>26</v>
      </c>
      <c r="C1076" t="s">
        <v>27</v>
      </c>
      <c r="D1076">
        <v>15</v>
      </c>
      <c r="E1076" t="s">
        <v>1665</v>
      </c>
      <c r="F1076" t="s">
        <v>498</v>
      </c>
      <c r="G1076">
        <v>3605</v>
      </c>
      <c r="H1076" t="s">
        <v>2110</v>
      </c>
      <c r="I1076" t="s">
        <v>2111</v>
      </c>
      <c r="J1076">
        <v>8</v>
      </c>
      <c r="K1076">
        <v>2</v>
      </c>
      <c r="L1076">
        <v>1.2037037037037036E-3</v>
      </c>
      <c r="M1076" t="s">
        <v>117</v>
      </c>
      <c r="N1076" t="s">
        <v>1200</v>
      </c>
      <c r="O1076" s="24">
        <v>46122</v>
      </c>
      <c r="P1076">
        <v>605</v>
      </c>
      <c r="Q1076" t="s">
        <v>34</v>
      </c>
      <c r="R1076">
        <v>46135</v>
      </c>
      <c r="S1076" s="51">
        <v>0.46458333333333335</v>
      </c>
      <c r="T1076" s="51">
        <v>0.48194444444444445</v>
      </c>
      <c r="X1076" t="s">
        <v>3284</v>
      </c>
      <c r="Y1076" t="s">
        <v>3029</v>
      </c>
      <c r="Z1076">
        <v>1742268</v>
      </c>
    </row>
    <row r="1077" spans="1:26" x14ac:dyDescent="0.25">
      <c r="A1077">
        <v>1073</v>
      </c>
      <c r="B1077" t="s">
        <v>26</v>
      </c>
      <c r="C1077" t="s">
        <v>27</v>
      </c>
      <c r="D1077">
        <v>15</v>
      </c>
      <c r="E1077" t="s">
        <v>150</v>
      </c>
      <c r="F1077" t="s">
        <v>512</v>
      </c>
      <c r="G1077">
        <v>3605</v>
      </c>
      <c r="H1077" t="s">
        <v>1619</v>
      </c>
      <c r="I1077" t="s">
        <v>1620</v>
      </c>
      <c r="J1077">
        <v>8</v>
      </c>
      <c r="K1077">
        <v>1</v>
      </c>
      <c r="L1077">
        <v>5.7986111111111112E-3</v>
      </c>
      <c r="M1077" t="s">
        <v>117</v>
      </c>
      <c r="N1077" t="s">
        <v>1200</v>
      </c>
      <c r="O1077" s="24">
        <v>46122</v>
      </c>
      <c r="P1077">
        <v>605</v>
      </c>
      <c r="Q1077" t="s">
        <v>34</v>
      </c>
      <c r="R1077">
        <v>46135</v>
      </c>
      <c r="S1077" s="51">
        <v>0.46458333333333335</v>
      </c>
      <c r="T1077" s="51">
        <v>0.48194444444444445</v>
      </c>
      <c r="X1077" t="s">
        <v>3284</v>
      </c>
      <c r="Y1077" t="s">
        <v>3029</v>
      </c>
      <c r="Z1077">
        <v>1742268</v>
      </c>
    </row>
    <row r="1078" spans="1:26" x14ac:dyDescent="0.25">
      <c r="A1078">
        <v>1074</v>
      </c>
      <c r="B1078" t="s">
        <v>26</v>
      </c>
      <c r="C1078" t="s">
        <v>27</v>
      </c>
      <c r="D1078">
        <v>15</v>
      </c>
      <c r="E1078" t="s">
        <v>1672</v>
      </c>
      <c r="F1078" t="s">
        <v>498</v>
      </c>
      <c r="G1078">
        <v>3605</v>
      </c>
      <c r="H1078" t="s">
        <v>2299</v>
      </c>
      <c r="I1078" t="s">
        <v>2300</v>
      </c>
      <c r="J1078">
        <v>8</v>
      </c>
      <c r="K1078">
        <v>6</v>
      </c>
      <c r="L1078">
        <v>1.1446759259259259E-2</v>
      </c>
      <c r="M1078" t="s">
        <v>117</v>
      </c>
      <c r="N1078" t="s">
        <v>1200</v>
      </c>
      <c r="O1078" s="24">
        <v>46122</v>
      </c>
      <c r="P1078">
        <v>605</v>
      </c>
      <c r="Q1078" t="s">
        <v>34</v>
      </c>
      <c r="R1078">
        <v>46135</v>
      </c>
      <c r="S1078" s="51">
        <v>0.46458333333333335</v>
      </c>
      <c r="T1078" s="51">
        <v>0.48194444444444445</v>
      </c>
      <c r="X1078" t="s">
        <v>3284</v>
      </c>
      <c r="Y1078" t="s">
        <v>3029</v>
      </c>
      <c r="Z1078">
        <v>1742268</v>
      </c>
    </row>
    <row r="1079" spans="1:26" x14ac:dyDescent="0.25">
      <c r="A1079">
        <v>1075</v>
      </c>
      <c r="B1079" t="s">
        <v>26</v>
      </c>
      <c r="C1079" t="s">
        <v>27</v>
      </c>
      <c r="D1079">
        <v>15</v>
      </c>
      <c r="E1079" t="s">
        <v>367</v>
      </c>
      <c r="F1079" t="s">
        <v>1599</v>
      </c>
      <c r="G1079">
        <v>3605</v>
      </c>
      <c r="H1079" t="s">
        <v>1633</v>
      </c>
      <c r="I1079" t="s">
        <v>1634</v>
      </c>
      <c r="J1079">
        <v>8</v>
      </c>
      <c r="K1079">
        <v>1</v>
      </c>
      <c r="L1079">
        <v>7.5231481481481482E-4</v>
      </c>
      <c r="M1079" t="s">
        <v>117</v>
      </c>
      <c r="N1079" t="s">
        <v>1200</v>
      </c>
      <c r="O1079" s="24">
        <v>46122</v>
      </c>
      <c r="P1079">
        <v>605</v>
      </c>
      <c r="Q1079" t="s">
        <v>34</v>
      </c>
      <c r="R1079">
        <v>46135</v>
      </c>
      <c r="S1079" s="51">
        <v>0.46458333333333335</v>
      </c>
      <c r="T1079" s="51">
        <v>0.48194444444444445</v>
      </c>
      <c r="X1079" t="s">
        <v>3284</v>
      </c>
      <c r="Y1079" t="s">
        <v>3029</v>
      </c>
      <c r="Z1079">
        <v>1742268</v>
      </c>
    </row>
    <row r="1080" spans="1:26" x14ac:dyDescent="0.25">
      <c r="A1080">
        <v>1076</v>
      </c>
      <c r="B1080" t="s">
        <v>26</v>
      </c>
      <c r="C1080" t="s">
        <v>27</v>
      </c>
      <c r="D1080">
        <v>15</v>
      </c>
      <c r="E1080" t="s">
        <v>2195</v>
      </c>
      <c r="F1080" t="s">
        <v>44</v>
      </c>
      <c r="G1080">
        <v>3605</v>
      </c>
      <c r="H1080" t="s">
        <v>48</v>
      </c>
      <c r="I1080" t="s">
        <v>1119</v>
      </c>
      <c r="J1080">
        <v>8</v>
      </c>
      <c r="K1080">
        <v>1</v>
      </c>
      <c r="L1080">
        <v>1.4120370370370369E-3</v>
      </c>
      <c r="M1080" t="s">
        <v>117</v>
      </c>
      <c r="N1080" t="s">
        <v>1200</v>
      </c>
      <c r="O1080" s="24">
        <v>46122</v>
      </c>
      <c r="P1080">
        <v>605</v>
      </c>
      <c r="Q1080" t="s">
        <v>34</v>
      </c>
      <c r="R1080">
        <v>46135</v>
      </c>
      <c r="S1080" s="51">
        <v>0.46458333333333335</v>
      </c>
      <c r="T1080" s="51">
        <v>0.48194444444444445</v>
      </c>
      <c r="X1080" t="s">
        <v>3284</v>
      </c>
      <c r="Y1080" t="s">
        <v>3029</v>
      </c>
      <c r="Z1080">
        <v>1742268</v>
      </c>
    </row>
    <row r="1081" spans="1:26" x14ac:dyDescent="0.25">
      <c r="A1081">
        <v>1077</v>
      </c>
      <c r="B1081" t="s">
        <v>26</v>
      </c>
      <c r="C1081" t="s">
        <v>27</v>
      </c>
      <c r="D1081">
        <v>15</v>
      </c>
      <c r="E1081" t="s">
        <v>1665</v>
      </c>
      <c r="F1081" t="s">
        <v>498</v>
      </c>
      <c r="G1081">
        <v>3606</v>
      </c>
      <c r="H1081" t="s">
        <v>2311</v>
      </c>
      <c r="I1081" t="s">
        <v>2300</v>
      </c>
      <c r="J1081">
        <v>8</v>
      </c>
      <c r="K1081">
        <v>8</v>
      </c>
      <c r="L1081">
        <v>1.5787037037037037E-2</v>
      </c>
      <c r="M1081" t="s">
        <v>117</v>
      </c>
      <c r="N1081" t="s">
        <v>1200</v>
      </c>
      <c r="O1081" s="24">
        <v>46122</v>
      </c>
      <c r="P1081">
        <v>605</v>
      </c>
      <c r="Q1081" t="s">
        <v>34</v>
      </c>
      <c r="R1081">
        <v>46135</v>
      </c>
      <c r="S1081" s="51">
        <v>0.69097222222222221</v>
      </c>
      <c r="T1081" s="51">
        <v>0.70833333333333337</v>
      </c>
      <c r="X1081" t="s">
        <v>3285</v>
      </c>
      <c r="Y1081" t="s">
        <v>3029</v>
      </c>
      <c r="Z1081">
        <v>1742372</v>
      </c>
    </row>
    <row r="1082" spans="1:26" x14ac:dyDescent="0.25">
      <c r="A1082">
        <v>1078</v>
      </c>
      <c r="B1082" t="s">
        <v>26</v>
      </c>
      <c r="C1082" t="s">
        <v>27</v>
      </c>
      <c r="D1082">
        <v>15</v>
      </c>
      <c r="E1082" t="s">
        <v>147</v>
      </c>
      <c r="F1082" t="s">
        <v>512</v>
      </c>
      <c r="G1082">
        <v>3606</v>
      </c>
      <c r="H1082" t="s">
        <v>2214</v>
      </c>
      <c r="I1082" t="s">
        <v>1620</v>
      </c>
      <c r="J1082">
        <v>8</v>
      </c>
      <c r="K1082">
        <v>1</v>
      </c>
      <c r="L1082">
        <v>5.9953703703703705E-3</v>
      </c>
      <c r="M1082" t="s">
        <v>117</v>
      </c>
      <c r="N1082" t="s">
        <v>1200</v>
      </c>
      <c r="O1082" s="24">
        <v>46122</v>
      </c>
      <c r="P1082">
        <v>605</v>
      </c>
      <c r="Q1082" t="s">
        <v>34</v>
      </c>
      <c r="R1082">
        <v>46135</v>
      </c>
      <c r="S1082" s="51">
        <v>0.69097222222222221</v>
      </c>
      <c r="T1082" s="51">
        <v>0.70833333333333337</v>
      </c>
      <c r="X1082" t="s">
        <v>3285</v>
      </c>
      <c r="Y1082" t="s">
        <v>3029</v>
      </c>
      <c r="Z1082">
        <v>1742372</v>
      </c>
    </row>
    <row r="1083" spans="1:26" x14ac:dyDescent="0.25">
      <c r="A1083">
        <v>1079</v>
      </c>
      <c r="B1083" t="s">
        <v>26</v>
      </c>
      <c r="C1083" t="s">
        <v>27</v>
      </c>
      <c r="D1083">
        <v>15</v>
      </c>
      <c r="E1083" t="s">
        <v>1672</v>
      </c>
      <c r="F1083" t="s">
        <v>512</v>
      </c>
      <c r="G1083">
        <v>4347</v>
      </c>
      <c r="H1083" t="s">
        <v>2571</v>
      </c>
      <c r="I1083" t="s">
        <v>2198</v>
      </c>
      <c r="J1083">
        <v>8</v>
      </c>
      <c r="K1083">
        <v>1</v>
      </c>
      <c r="L1083">
        <v>8.1597222222222227E-3</v>
      </c>
      <c r="M1083" t="s">
        <v>117</v>
      </c>
      <c r="N1083" t="s">
        <v>1161</v>
      </c>
      <c r="O1083" s="24">
        <v>46125</v>
      </c>
      <c r="P1083">
        <v>603</v>
      </c>
      <c r="Q1083" t="s">
        <v>34</v>
      </c>
      <c r="R1083">
        <v>46135</v>
      </c>
      <c r="S1083" s="51">
        <v>0.67986111111111114</v>
      </c>
      <c r="T1083" s="51">
        <v>0.68819444444444444</v>
      </c>
      <c r="X1083" t="s">
        <v>3286</v>
      </c>
      <c r="Y1083" t="s">
        <v>3072</v>
      </c>
      <c r="Z1083">
        <v>2778453</v>
      </c>
    </row>
    <row r="1084" spans="1:26" x14ac:dyDescent="0.25">
      <c r="A1084">
        <v>1080</v>
      </c>
      <c r="B1084" t="s">
        <v>26</v>
      </c>
      <c r="C1084" t="s">
        <v>27</v>
      </c>
      <c r="D1084">
        <v>15</v>
      </c>
      <c r="E1084" t="s">
        <v>2195</v>
      </c>
      <c r="F1084" t="s">
        <v>44</v>
      </c>
      <c r="G1084">
        <v>4347</v>
      </c>
      <c r="H1084" t="s">
        <v>48</v>
      </c>
      <c r="I1084" t="s">
        <v>1119</v>
      </c>
      <c r="J1084">
        <v>8</v>
      </c>
      <c r="K1084">
        <v>1</v>
      </c>
      <c r="L1084">
        <v>1.6203703703703703E-3</v>
      </c>
      <c r="M1084" t="s">
        <v>117</v>
      </c>
      <c r="N1084" t="s">
        <v>1161</v>
      </c>
      <c r="O1084" s="24">
        <v>46125</v>
      </c>
      <c r="P1084">
        <v>603</v>
      </c>
      <c r="Q1084" t="s">
        <v>34</v>
      </c>
      <c r="R1084">
        <v>46135</v>
      </c>
      <c r="S1084" s="51">
        <v>0.67986111111111114</v>
      </c>
      <c r="T1084" s="51">
        <v>0.68819444444444444</v>
      </c>
      <c r="X1084" t="s">
        <v>3286</v>
      </c>
      <c r="Y1084" t="s">
        <v>3072</v>
      </c>
      <c r="Z1084">
        <v>2778453</v>
      </c>
    </row>
    <row r="1085" spans="1:26" x14ac:dyDescent="0.25">
      <c r="A1085">
        <v>1081</v>
      </c>
      <c r="B1085" t="s">
        <v>26</v>
      </c>
      <c r="C1085" t="s">
        <v>27</v>
      </c>
      <c r="D1085">
        <v>15</v>
      </c>
      <c r="E1085" t="s">
        <v>1672</v>
      </c>
      <c r="F1085" t="s">
        <v>512</v>
      </c>
      <c r="G1085">
        <v>3914</v>
      </c>
      <c r="H1085" t="s">
        <v>2297</v>
      </c>
      <c r="I1085" t="s">
        <v>2226</v>
      </c>
      <c r="J1085">
        <v>8</v>
      </c>
      <c r="K1085">
        <v>2</v>
      </c>
      <c r="L1085">
        <v>3.8773148148148148E-3</v>
      </c>
      <c r="M1085" t="s">
        <v>778</v>
      </c>
      <c r="N1085" t="s">
        <v>1388</v>
      </c>
      <c r="O1085" s="24">
        <v>46133</v>
      </c>
      <c r="P1085">
        <v>605</v>
      </c>
      <c r="Q1085" t="s">
        <v>34</v>
      </c>
      <c r="X1085" t="s">
        <v>3287</v>
      </c>
    </row>
    <row r="1086" spans="1:26" x14ac:dyDescent="0.25">
      <c r="A1086">
        <v>1082</v>
      </c>
      <c r="B1086" t="s">
        <v>26</v>
      </c>
      <c r="C1086" t="s">
        <v>27</v>
      </c>
      <c r="D1086">
        <v>15</v>
      </c>
      <c r="E1086" t="s">
        <v>1672</v>
      </c>
      <c r="F1086" t="s">
        <v>498</v>
      </c>
      <c r="G1086">
        <v>3914</v>
      </c>
      <c r="H1086" t="s">
        <v>2299</v>
      </c>
      <c r="I1086" t="s">
        <v>2300</v>
      </c>
      <c r="J1086">
        <v>8</v>
      </c>
      <c r="K1086">
        <v>1</v>
      </c>
      <c r="L1086">
        <v>1.9675925925925924E-3</v>
      </c>
      <c r="M1086" t="s">
        <v>778</v>
      </c>
      <c r="N1086" t="s">
        <v>1388</v>
      </c>
      <c r="O1086" s="24">
        <v>46133</v>
      </c>
      <c r="P1086">
        <v>605</v>
      </c>
      <c r="Q1086" t="s">
        <v>34</v>
      </c>
      <c r="X1086" t="s">
        <v>3287</v>
      </c>
    </row>
    <row r="1087" spans="1:26" x14ac:dyDescent="0.25">
      <c r="A1087">
        <v>1083</v>
      </c>
      <c r="B1087" t="s">
        <v>26</v>
      </c>
      <c r="C1087" t="s">
        <v>27</v>
      </c>
      <c r="D1087">
        <v>15</v>
      </c>
      <c r="E1087" t="s">
        <v>114</v>
      </c>
      <c r="F1087" t="s">
        <v>512</v>
      </c>
      <c r="G1087">
        <v>3914</v>
      </c>
      <c r="H1087" t="s">
        <v>2394</v>
      </c>
      <c r="I1087" t="s">
        <v>2161</v>
      </c>
      <c r="J1087">
        <v>8</v>
      </c>
      <c r="K1087">
        <v>3</v>
      </c>
      <c r="L1087">
        <v>5.3819444444444444E-3</v>
      </c>
      <c r="M1087" t="s">
        <v>778</v>
      </c>
      <c r="N1087" t="s">
        <v>1388</v>
      </c>
      <c r="O1087" s="24">
        <v>46133</v>
      </c>
      <c r="P1087">
        <v>605</v>
      </c>
      <c r="Q1087" t="s">
        <v>34</v>
      </c>
      <c r="X1087" t="s">
        <v>3287</v>
      </c>
    </row>
    <row r="1088" spans="1:26" x14ac:dyDescent="0.25">
      <c r="A1088">
        <v>1084</v>
      </c>
      <c r="B1088" t="s">
        <v>26</v>
      </c>
      <c r="C1088" t="s">
        <v>27</v>
      </c>
      <c r="D1088">
        <v>15</v>
      </c>
      <c r="E1088" t="s">
        <v>2195</v>
      </c>
      <c r="F1088" t="s">
        <v>44</v>
      </c>
      <c r="G1088">
        <v>3914</v>
      </c>
      <c r="H1088" t="s">
        <v>48</v>
      </c>
      <c r="I1088" t="s">
        <v>1119</v>
      </c>
      <c r="J1088">
        <v>8</v>
      </c>
      <c r="K1088">
        <v>1</v>
      </c>
      <c r="L1088">
        <v>1.4583333333333332E-3</v>
      </c>
      <c r="M1088" t="s">
        <v>778</v>
      </c>
      <c r="N1088" t="s">
        <v>1388</v>
      </c>
      <c r="O1088" s="24">
        <v>46133</v>
      </c>
      <c r="P1088">
        <v>605</v>
      </c>
      <c r="Q1088" t="s">
        <v>34</v>
      </c>
      <c r="X1088" t="s">
        <v>3287</v>
      </c>
    </row>
    <row r="1089" spans="1:26" x14ac:dyDescent="0.25">
      <c r="A1089">
        <v>1085</v>
      </c>
      <c r="B1089" t="s">
        <v>26</v>
      </c>
      <c r="C1089" t="s">
        <v>27</v>
      </c>
      <c r="D1089">
        <v>15</v>
      </c>
      <c r="E1089" t="s">
        <v>550</v>
      </c>
      <c r="F1089" t="s">
        <v>512</v>
      </c>
      <c r="G1089">
        <v>3914</v>
      </c>
      <c r="H1089" t="s">
        <v>2182</v>
      </c>
      <c r="I1089" t="s">
        <v>2183</v>
      </c>
      <c r="J1089">
        <v>8</v>
      </c>
      <c r="K1089">
        <v>1</v>
      </c>
      <c r="L1089">
        <v>5.9953703703703705E-3</v>
      </c>
      <c r="M1089" t="s">
        <v>778</v>
      </c>
      <c r="N1089" t="s">
        <v>1388</v>
      </c>
      <c r="O1089" s="24">
        <v>46133</v>
      </c>
      <c r="P1089">
        <v>605</v>
      </c>
      <c r="Q1089" t="s">
        <v>34</v>
      </c>
      <c r="X1089" t="s">
        <v>3287</v>
      </c>
    </row>
    <row r="1090" spans="1:26" x14ac:dyDescent="0.25">
      <c r="A1090">
        <v>1086</v>
      </c>
      <c r="B1090" t="s">
        <v>26</v>
      </c>
      <c r="C1090" t="s">
        <v>27</v>
      </c>
      <c r="D1090">
        <v>15</v>
      </c>
      <c r="E1090" t="s">
        <v>1672</v>
      </c>
      <c r="F1090" t="s">
        <v>498</v>
      </c>
      <c r="G1090">
        <v>4348</v>
      </c>
      <c r="H1090" t="s">
        <v>2055</v>
      </c>
      <c r="I1090" t="s">
        <v>2056</v>
      </c>
      <c r="J1090">
        <v>8</v>
      </c>
      <c r="K1090">
        <v>1</v>
      </c>
      <c r="L1090">
        <v>9.1435185185185185E-4</v>
      </c>
      <c r="M1090" t="s">
        <v>778</v>
      </c>
      <c r="N1090" t="s">
        <v>777</v>
      </c>
      <c r="O1090" s="24">
        <v>46128</v>
      </c>
      <c r="P1090">
        <v>603</v>
      </c>
      <c r="Q1090" t="s">
        <v>34</v>
      </c>
      <c r="X1090" t="s">
        <v>3288</v>
      </c>
    </row>
    <row r="1091" spans="1:26" x14ac:dyDescent="0.25">
      <c r="A1091">
        <v>1087</v>
      </c>
      <c r="B1091" t="s">
        <v>26</v>
      </c>
      <c r="C1091" t="s">
        <v>27</v>
      </c>
      <c r="D1091">
        <v>15</v>
      </c>
      <c r="E1091" t="s">
        <v>1665</v>
      </c>
      <c r="F1091" t="s">
        <v>498</v>
      </c>
      <c r="G1091">
        <v>4348</v>
      </c>
      <c r="H1091" t="s">
        <v>2192</v>
      </c>
      <c r="I1091" t="s">
        <v>2193</v>
      </c>
      <c r="J1091">
        <v>8</v>
      </c>
      <c r="K1091">
        <v>1</v>
      </c>
      <c r="L1091">
        <v>5.9375000000000001E-3</v>
      </c>
      <c r="M1091" t="s">
        <v>778</v>
      </c>
      <c r="N1091" t="s">
        <v>777</v>
      </c>
      <c r="O1091" s="24">
        <v>46128</v>
      </c>
      <c r="P1091">
        <v>603</v>
      </c>
      <c r="Q1091" t="s">
        <v>34</v>
      </c>
      <c r="X1091" t="s">
        <v>3288</v>
      </c>
    </row>
    <row r="1092" spans="1:26" x14ac:dyDescent="0.25">
      <c r="A1092">
        <v>1088</v>
      </c>
      <c r="B1092" t="s">
        <v>26</v>
      </c>
      <c r="C1092" t="s">
        <v>27</v>
      </c>
      <c r="D1092">
        <v>15</v>
      </c>
      <c r="E1092" t="s">
        <v>2195</v>
      </c>
      <c r="F1092" t="s">
        <v>44</v>
      </c>
      <c r="G1092">
        <v>4348</v>
      </c>
      <c r="H1092" t="s">
        <v>48</v>
      </c>
      <c r="I1092" t="s">
        <v>1119</v>
      </c>
      <c r="J1092">
        <v>8</v>
      </c>
      <c r="K1092">
        <v>1</v>
      </c>
      <c r="L1092">
        <v>1.4699074074074074E-3</v>
      </c>
      <c r="M1092" t="s">
        <v>778</v>
      </c>
      <c r="N1092" t="s">
        <v>777</v>
      </c>
      <c r="O1092" s="24">
        <v>46128</v>
      </c>
      <c r="P1092">
        <v>603</v>
      </c>
      <c r="Q1092" t="s">
        <v>34</v>
      </c>
      <c r="X1092" t="s">
        <v>3288</v>
      </c>
    </row>
    <row r="1093" spans="1:26" x14ac:dyDescent="0.25">
      <c r="A1093">
        <v>1089</v>
      </c>
      <c r="B1093" t="s">
        <v>26</v>
      </c>
      <c r="C1093" t="s">
        <v>27</v>
      </c>
      <c r="D1093">
        <v>15</v>
      </c>
      <c r="E1093" t="s">
        <v>2195</v>
      </c>
      <c r="F1093" t="s">
        <v>44</v>
      </c>
      <c r="G1093">
        <v>3915</v>
      </c>
      <c r="H1093" t="s">
        <v>48</v>
      </c>
      <c r="I1093" t="s">
        <v>1119</v>
      </c>
      <c r="J1093">
        <v>8</v>
      </c>
      <c r="K1093">
        <v>1</v>
      </c>
      <c r="L1093">
        <v>1.6319444444444443E-3</v>
      </c>
      <c r="M1093" t="s">
        <v>117</v>
      </c>
      <c r="N1093" t="s">
        <v>1161</v>
      </c>
      <c r="O1093" s="24">
        <v>46125</v>
      </c>
      <c r="P1093">
        <v>603</v>
      </c>
      <c r="Q1093" t="s">
        <v>34</v>
      </c>
      <c r="R1093">
        <v>46135</v>
      </c>
      <c r="S1093" s="51">
        <v>0.37083333333333335</v>
      </c>
      <c r="T1093" s="51">
        <v>0.37916666666666665</v>
      </c>
      <c r="X1093" t="s">
        <v>3289</v>
      </c>
      <c r="Y1093" t="s">
        <v>3072</v>
      </c>
      <c r="Z1093">
        <v>7742398</v>
      </c>
    </row>
    <row r="1094" spans="1:26" x14ac:dyDescent="0.25">
      <c r="A1094">
        <v>1090</v>
      </c>
      <c r="B1094" t="s">
        <v>26</v>
      </c>
      <c r="C1094" t="s">
        <v>27</v>
      </c>
      <c r="D1094">
        <v>15</v>
      </c>
      <c r="E1094" t="s">
        <v>1665</v>
      </c>
      <c r="F1094" t="s">
        <v>115</v>
      </c>
      <c r="G1094">
        <v>3915</v>
      </c>
      <c r="H1094" t="s">
        <v>2431</v>
      </c>
      <c r="I1094" t="s">
        <v>2278</v>
      </c>
      <c r="J1094">
        <v>8</v>
      </c>
      <c r="K1094">
        <v>1</v>
      </c>
      <c r="L1094">
        <v>7.6273148148148142E-3</v>
      </c>
      <c r="M1094" t="s">
        <v>117</v>
      </c>
      <c r="N1094" t="s">
        <v>1161</v>
      </c>
      <c r="O1094" s="24">
        <v>46125</v>
      </c>
      <c r="P1094">
        <v>603</v>
      </c>
      <c r="Q1094" t="s">
        <v>34</v>
      </c>
      <c r="R1094">
        <v>46135</v>
      </c>
      <c r="S1094" s="51">
        <v>0.37083333333333335</v>
      </c>
      <c r="T1094" s="51">
        <v>0.37916666666666665</v>
      </c>
      <c r="X1094" t="s">
        <v>3289</v>
      </c>
      <c r="Y1094" t="s">
        <v>3072</v>
      </c>
      <c r="Z1094">
        <v>7742398</v>
      </c>
    </row>
    <row r="1095" spans="1:26" x14ac:dyDescent="0.25">
      <c r="A1095">
        <v>1091</v>
      </c>
      <c r="B1095" t="s">
        <v>26</v>
      </c>
      <c r="C1095" t="s">
        <v>27</v>
      </c>
      <c r="D1095">
        <v>15</v>
      </c>
      <c r="E1095" t="s">
        <v>1672</v>
      </c>
      <c r="F1095" t="s">
        <v>115</v>
      </c>
      <c r="G1095">
        <v>3916</v>
      </c>
      <c r="H1095" t="s">
        <v>2309</v>
      </c>
      <c r="I1095" t="s">
        <v>2310</v>
      </c>
      <c r="J1095">
        <v>8</v>
      </c>
      <c r="K1095">
        <v>8</v>
      </c>
      <c r="L1095">
        <v>1.5162037037037036E-2</v>
      </c>
      <c r="M1095" t="s">
        <v>117</v>
      </c>
      <c r="N1095" t="s">
        <v>1200</v>
      </c>
      <c r="O1095" s="24">
        <v>46122</v>
      </c>
      <c r="P1095">
        <v>605</v>
      </c>
      <c r="Q1095" t="s">
        <v>34</v>
      </c>
      <c r="R1095">
        <v>46135</v>
      </c>
      <c r="S1095" s="51">
        <v>0.44444444444444442</v>
      </c>
      <c r="T1095" s="51">
        <v>0.45833333333333331</v>
      </c>
      <c r="X1095" t="s">
        <v>3290</v>
      </c>
      <c r="Y1095" t="s">
        <v>3029</v>
      </c>
      <c r="Z1095">
        <v>1742202</v>
      </c>
    </row>
    <row r="1096" spans="1:26" x14ac:dyDescent="0.25">
      <c r="A1096">
        <v>1092</v>
      </c>
      <c r="B1096" t="s">
        <v>26</v>
      </c>
      <c r="C1096" t="s">
        <v>27</v>
      </c>
      <c r="D1096">
        <v>15</v>
      </c>
      <c r="E1096" t="s">
        <v>1665</v>
      </c>
      <c r="F1096" t="s">
        <v>512</v>
      </c>
      <c r="G1096">
        <v>3916</v>
      </c>
      <c r="H1096" t="s">
        <v>2607</v>
      </c>
      <c r="I1096" t="s">
        <v>2585</v>
      </c>
      <c r="J1096">
        <v>8</v>
      </c>
      <c r="K1096">
        <v>1</v>
      </c>
      <c r="L1096">
        <v>5.4629629629629629E-3</v>
      </c>
      <c r="M1096" t="s">
        <v>117</v>
      </c>
      <c r="N1096" t="s">
        <v>1200</v>
      </c>
      <c r="O1096" s="24">
        <v>46122</v>
      </c>
      <c r="P1096">
        <v>605</v>
      </c>
      <c r="Q1096" t="s">
        <v>34</v>
      </c>
      <c r="R1096">
        <v>46135</v>
      </c>
      <c r="S1096" s="51">
        <v>0.44444444444444442</v>
      </c>
      <c r="T1096" s="51">
        <v>0.45833333333333331</v>
      </c>
      <c r="X1096" t="s">
        <v>3290</v>
      </c>
      <c r="Y1096" t="s">
        <v>3029</v>
      </c>
      <c r="Z1096">
        <v>1742202</v>
      </c>
    </row>
    <row r="1097" spans="1:26" x14ac:dyDescent="0.25">
      <c r="A1097">
        <v>1093</v>
      </c>
      <c r="B1097" t="s">
        <v>26</v>
      </c>
      <c r="C1097" t="s">
        <v>27</v>
      </c>
      <c r="D1097">
        <v>15</v>
      </c>
      <c r="E1097" t="s">
        <v>367</v>
      </c>
      <c r="F1097" t="s">
        <v>368</v>
      </c>
      <c r="G1097">
        <v>3916</v>
      </c>
      <c r="H1097" t="s">
        <v>2114</v>
      </c>
      <c r="I1097" t="s">
        <v>2097</v>
      </c>
      <c r="J1097">
        <v>8</v>
      </c>
      <c r="K1097">
        <v>2</v>
      </c>
      <c r="L1097">
        <v>1.3657407407407407E-3</v>
      </c>
      <c r="M1097" t="s">
        <v>117</v>
      </c>
      <c r="N1097" t="s">
        <v>1200</v>
      </c>
      <c r="O1097" s="24">
        <v>46122</v>
      </c>
      <c r="P1097">
        <v>605</v>
      </c>
      <c r="Q1097" t="s">
        <v>34</v>
      </c>
      <c r="R1097">
        <v>46135</v>
      </c>
      <c r="S1097" s="51">
        <v>0.44444444444444442</v>
      </c>
      <c r="T1097" s="51">
        <v>0.45833333333333331</v>
      </c>
      <c r="X1097" t="s">
        <v>3290</v>
      </c>
      <c r="Y1097" t="s">
        <v>3029</v>
      </c>
      <c r="Z1097">
        <v>1742202</v>
      </c>
    </row>
    <row r="1098" spans="1:26" x14ac:dyDescent="0.25">
      <c r="A1098">
        <v>1094</v>
      </c>
      <c r="B1098" t="s">
        <v>26</v>
      </c>
      <c r="C1098" t="s">
        <v>27</v>
      </c>
      <c r="D1098">
        <v>15</v>
      </c>
      <c r="E1098" t="s">
        <v>367</v>
      </c>
      <c r="F1098" t="s">
        <v>368</v>
      </c>
      <c r="G1098">
        <v>3916</v>
      </c>
      <c r="H1098" t="s">
        <v>2096</v>
      </c>
      <c r="I1098" t="s">
        <v>2097</v>
      </c>
      <c r="J1098">
        <v>8</v>
      </c>
      <c r="K1098">
        <v>1</v>
      </c>
      <c r="L1098">
        <v>6.8287037037037036E-4</v>
      </c>
      <c r="M1098" t="s">
        <v>117</v>
      </c>
      <c r="N1098" t="s">
        <v>1200</v>
      </c>
      <c r="O1098" s="24">
        <v>46122</v>
      </c>
      <c r="P1098">
        <v>605</v>
      </c>
      <c r="Q1098" t="s">
        <v>34</v>
      </c>
      <c r="R1098">
        <v>46135</v>
      </c>
      <c r="S1098" s="51">
        <v>0.44444444444444442</v>
      </c>
      <c r="T1098" s="51">
        <v>0.45833333333333331</v>
      </c>
      <c r="X1098" t="s">
        <v>3290</v>
      </c>
      <c r="Y1098" t="s">
        <v>3029</v>
      </c>
      <c r="Z1098">
        <v>1742202</v>
      </c>
    </row>
    <row r="1099" spans="1:26" x14ac:dyDescent="0.25">
      <c r="A1099">
        <v>1095</v>
      </c>
      <c r="B1099" t="s">
        <v>26</v>
      </c>
      <c r="C1099" t="s">
        <v>27</v>
      </c>
      <c r="D1099">
        <v>15</v>
      </c>
      <c r="E1099" t="s">
        <v>1672</v>
      </c>
      <c r="F1099" t="s">
        <v>498</v>
      </c>
      <c r="G1099">
        <v>4282</v>
      </c>
      <c r="H1099" t="s">
        <v>2055</v>
      </c>
      <c r="I1099" t="s">
        <v>2056</v>
      </c>
      <c r="J1099">
        <v>8</v>
      </c>
      <c r="K1099">
        <v>1</v>
      </c>
      <c r="L1099">
        <v>8.4490740740740739E-4</v>
      </c>
      <c r="M1099" t="s">
        <v>117</v>
      </c>
      <c r="N1099" t="s">
        <v>1128</v>
      </c>
      <c r="O1099" s="24">
        <v>46126</v>
      </c>
      <c r="P1099">
        <v>605</v>
      </c>
      <c r="Q1099" t="s">
        <v>34</v>
      </c>
      <c r="R1099">
        <v>46137</v>
      </c>
      <c r="S1099" s="51">
        <v>0.98611111111111116</v>
      </c>
      <c r="T1099" s="51">
        <v>2.0833333333333332E-2</v>
      </c>
      <c r="X1099" t="s">
        <v>3291</v>
      </c>
      <c r="Y1099" t="s">
        <v>3029</v>
      </c>
      <c r="Z1099">
        <v>1742255</v>
      </c>
    </row>
    <row r="1100" spans="1:26" x14ac:dyDescent="0.25">
      <c r="A1100">
        <v>1096</v>
      </c>
      <c r="B1100" t="s">
        <v>26</v>
      </c>
      <c r="C1100" t="s">
        <v>27</v>
      </c>
      <c r="D1100">
        <v>15</v>
      </c>
      <c r="E1100" t="s">
        <v>367</v>
      </c>
      <c r="F1100" t="s">
        <v>367</v>
      </c>
      <c r="G1100">
        <v>4282</v>
      </c>
      <c r="H1100" t="s">
        <v>2416</v>
      </c>
      <c r="I1100" t="s">
        <v>2329</v>
      </c>
      <c r="J1100">
        <v>8</v>
      </c>
      <c r="K1100">
        <v>1</v>
      </c>
      <c r="L1100">
        <v>6.8287037037037036E-4</v>
      </c>
      <c r="M1100" t="s">
        <v>117</v>
      </c>
      <c r="N1100" t="s">
        <v>1128</v>
      </c>
      <c r="O1100" s="24">
        <v>46126</v>
      </c>
      <c r="P1100">
        <v>605</v>
      </c>
      <c r="Q1100" t="s">
        <v>34</v>
      </c>
      <c r="R1100">
        <v>46137</v>
      </c>
      <c r="S1100" s="51">
        <v>0.98611111111111116</v>
      </c>
      <c r="T1100" s="51">
        <v>2.0833333333333332E-2</v>
      </c>
      <c r="X1100" t="s">
        <v>3291</v>
      </c>
      <c r="Y1100" t="s">
        <v>3029</v>
      </c>
      <c r="Z1100">
        <v>1742255</v>
      </c>
    </row>
    <row r="1101" spans="1:26" x14ac:dyDescent="0.25">
      <c r="A1101">
        <v>1097</v>
      </c>
      <c r="B1101" t="s">
        <v>26</v>
      </c>
      <c r="C1101" t="s">
        <v>27</v>
      </c>
      <c r="D1101">
        <v>15</v>
      </c>
      <c r="E1101" t="s">
        <v>367</v>
      </c>
      <c r="F1101" t="s">
        <v>368</v>
      </c>
      <c r="G1101">
        <v>4282</v>
      </c>
      <c r="H1101" t="s">
        <v>2114</v>
      </c>
      <c r="I1101" t="s">
        <v>2097</v>
      </c>
      <c r="J1101">
        <v>8</v>
      </c>
      <c r="K1101">
        <v>1</v>
      </c>
      <c r="L1101">
        <v>6.4814814814814813E-4</v>
      </c>
      <c r="M1101" t="s">
        <v>117</v>
      </c>
      <c r="N1101" t="s">
        <v>1128</v>
      </c>
      <c r="O1101" s="24">
        <v>46126</v>
      </c>
      <c r="P1101">
        <v>605</v>
      </c>
      <c r="Q1101" t="s">
        <v>34</v>
      </c>
      <c r="R1101">
        <v>46137</v>
      </c>
      <c r="S1101" s="51">
        <v>0.98611111111111116</v>
      </c>
      <c r="T1101" s="51">
        <v>2.0833333333333332E-2</v>
      </c>
      <c r="X1101" t="s">
        <v>3291</v>
      </c>
      <c r="Y1101" t="s">
        <v>3029</v>
      </c>
      <c r="Z1101">
        <v>1742255</v>
      </c>
    </row>
    <row r="1102" spans="1:26" x14ac:dyDescent="0.25">
      <c r="A1102">
        <v>1098</v>
      </c>
      <c r="B1102" t="s">
        <v>26</v>
      </c>
      <c r="C1102" t="s">
        <v>27</v>
      </c>
      <c r="D1102">
        <v>15</v>
      </c>
      <c r="E1102" t="s">
        <v>1141</v>
      </c>
      <c r="F1102" t="s">
        <v>1594</v>
      </c>
      <c r="G1102">
        <v>4282</v>
      </c>
      <c r="H1102" t="s">
        <v>2610</v>
      </c>
      <c r="I1102" t="s">
        <v>2611</v>
      </c>
      <c r="J1102">
        <v>8</v>
      </c>
      <c r="K1102">
        <v>1</v>
      </c>
      <c r="L1102">
        <v>4.363425925925926E-3</v>
      </c>
      <c r="M1102" t="s">
        <v>117</v>
      </c>
      <c r="N1102" t="s">
        <v>1128</v>
      </c>
      <c r="O1102" s="24">
        <v>46126</v>
      </c>
      <c r="P1102">
        <v>605</v>
      </c>
      <c r="Q1102" t="s">
        <v>34</v>
      </c>
      <c r="R1102">
        <v>46137</v>
      </c>
      <c r="S1102" s="51">
        <v>0.98611111111111116</v>
      </c>
      <c r="T1102" s="51">
        <v>2.0833333333333332E-2</v>
      </c>
      <c r="X1102" t="s">
        <v>3291</v>
      </c>
      <c r="Y1102" t="s">
        <v>3029</v>
      </c>
      <c r="Z1102">
        <v>1742255</v>
      </c>
    </row>
    <row r="1103" spans="1:26" x14ac:dyDescent="0.25">
      <c r="A1103">
        <v>1099</v>
      </c>
      <c r="B1103" t="s">
        <v>26</v>
      </c>
      <c r="C1103" t="s">
        <v>27</v>
      </c>
      <c r="D1103">
        <v>15</v>
      </c>
      <c r="E1103" t="s">
        <v>367</v>
      </c>
      <c r="F1103" t="s">
        <v>1594</v>
      </c>
      <c r="G1103">
        <v>4282</v>
      </c>
      <c r="H1103" t="s">
        <v>2280</v>
      </c>
      <c r="I1103" t="s">
        <v>2273</v>
      </c>
      <c r="J1103">
        <v>8</v>
      </c>
      <c r="K1103">
        <v>1</v>
      </c>
      <c r="L1103">
        <v>1.9444444444444444E-3</v>
      </c>
      <c r="M1103" t="s">
        <v>117</v>
      </c>
      <c r="N1103" t="s">
        <v>1128</v>
      </c>
      <c r="O1103" s="24">
        <v>46126</v>
      </c>
      <c r="P1103">
        <v>605</v>
      </c>
      <c r="Q1103" t="s">
        <v>34</v>
      </c>
      <c r="R1103">
        <v>46137</v>
      </c>
      <c r="S1103" s="51">
        <v>0.98611111111111116</v>
      </c>
      <c r="T1103" s="51">
        <v>2.0833333333333332E-2</v>
      </c>
      <c r="X1103" t="s">
        <v>3291</v>
      </c>
      <c r="Y1103" t="s">
        <v>3029</v>
      </c>
      <c r="Z1103">
        <v>1742255</v>
      </c>
    </row>
    <row r="1104" spans="1:26" x14ac:dyDescent="0.25">
      <c r="A1104">
        <v>1100</v>
      </c>
      <c r="B1104" t="s">
        <v>26</v>
      </c>
      <c r="C1104" t="s">
        <v>27</v>
      </c>
      <c r="D1104">
        <v>15</v>
      </c>
      <c r="E1104" t="s">
        <v>2729</v>
      </c>
      <c r="F1104" t="s">
        <v>512</v>
      </c>
      <c r="G1104">
        <v>4282</v>
      </c>
      <c r="H1104" t="s">
        <v>2727</v>
      </c>
      <c r="I1104" t="s">
        <v>2728</v>
      </c>
      <c r="J1104">
        <v>8</v>
      </c>
      <c r="K1104">
        <v>1</v>
      </c>
      <c r="L1104">
        <v>1.4120370370370369E-3</v>
      </c>
      <c r="M1104" t="s">
        <v>117</v>
      </c>
      <c r="N1104" t="s">
        <v>1128</v>
      </c>
      <c r="O1104" s="24">
        <v>46126</v>
      </c>
      <c r="P1104">
        <v>605</v>
      </c>
      <c r="Q1104" t="s">
        <v>34</v>
      </c>
      <c r="R1104">
        <v>46137</v>
      </c>
      <c r="S1104" s="51">
        <v>0.98611111111111116</v>
      </c>
      <c r="T1104" s="51">
        <v>2.0833333333333332E-2</v>
      </c>
      <c r="X1104" t="s">
        <v>3291</v>
      </c>
      <c r="Y1104" t="s">
        <v>3029</v>
      </c>
      <c r="Z1104">
        <v>1742255</v>
      </c>
    </row>
    <row r="1105" spans="1:26" x14ac:dyDescent="0.25">
      <c r="A1105">
        <v>1101</v>
      </c>
      <c r="B1105" t="s">
        <v>26</v>
      </c>
      <c r="C1105" t="s">
        <v>27</v>
      </c>
      <c r="D1105">
        <v>15</v>
      </c>
      <c r="E1105" t="s">
        <v>2730</v>
      </c>
      <c r="F1105" t="s">
        <v>44</v>
      </c>
      <c r="G1105">
        <v>4282</v>
      </c>
      <c r="H1105" t="s">
        <v>48</v>
      </c>
      <c r="I1105" t="s">
        <v>1119</v>
      </c>
      <c r="J1105">
        <v>8</v>
      </c>
      <c r="K1105">
        <v>7</v>
      </c>
      <c r="L1105">
        <v>9.525462962962963E-3</v>
      </c>
      <c r="M1105" t="s">
        <v>117</v>
      </c>
      <c r="N1105" t="s">
        <v>1128</v>
      </c>
      <c r="O1105" s="24">
        <v>46126</v>
      </c>
      <c r="P1105">
        <v>605</v>
      </c>
      <c r="Q1105" t="s">
        <v>34</v>
      </c>
      <c r="R1105">
        <v>46137</v>
      </c>
      <c r="S1105" s="51">
        <v>0.98611111111111116</v>
      </c>
      <c r="T1105" s="51">
        <v>2.0833333333333332E-2</v>
      </c>
      <c r="X1105" t="s">
        <v>3291</v>
      </c>
      <c r="Y1105" t="s">
        <v>3029</v>
      </c>
      <c r="Z1105">
        <v>1742255</v>
      </c>
    </row>
    <row r="1106" spans="1:26" x14ac:dyDescent="0.25">
      <c r="A1106">
        <v>1102</v>
      </c>
      <c r="B1106" t="s">
        <v>26</v>
      </c>
      <c r="C1106" t="s">
        <v>27</v>
      </c>
      <c r="D1106">
        <v>15</v>
      </c>
      <c r="E1106" t="s">
        <v>1672</v>
      </c>
      <c r="F1106" t="s">
        <v>115</v>
      </c>
      <c r="G1106">
        <v>3917</v>
      </c>
      <c r="H1106" t="s">
        <v>2309</v>
      </c>
      <c r="I1106" t="s">
        <v>2310</v>
      </c>
      <c r="J1106">
        <v>8</v>
      </c>
      <c r="K1106">
        <v>1</v>
      </c>
      <c r="L1106">
        <v>2.0370370370370369E-3</v>
      </c>
      <c r="M1106" t="s">
        <v>117</v>
      </c>
      <c r="N1106" t="s">
        <v>953</v>
      </c>
      <c r="O1106" s="24">
        <v>46122</v>
      </c>
      <c r="P1106">
        <v>603</v>
      </c>
      <c r="Q1106" t="s">
        <v>34</v>
      </c>
      <c r="R1106" s="24">
        <v>46136</v>
      </c>
      <c r="S1106" s="51">
        <v>0.41458333333333336</v>
      </c>
      <c r="T1106" s="51">
        <v>0.4284722222222222</v>
      </c>
      <c r="X1106" t="s">
        <v>3292</v>
      </c>
      <c r="Y1106" t="s">
        <v>3029</v>
      </c>
      <c r="Z1106">
        <v>2784248</v>
      </c>
    </row>
    <row r="1107" spans="1:26" x14ac:dyDescent="0.25">
      <c r="A1107">
        <v>1103</v>
      </c>
      <c r="B1107" t="s">
        <v>26</v>
      </c>
      <c r="C1107" t="s">
        <v>27</v>
      </c>
      <c r="D1107">
        <v>15</v>
      </c>
      <c r="E1107" t="s">
        <v>1665</v>
      </c>
      <c r="F1107" t="s">
        <v>115</v>
      </c>
      <c r="G1107">
        <v>3917</v>
      </c>
      <c r="H1107" t="s">
        <v>2732</v>
      </c>
      <c r="I1107" t="s">
        <v>2267</v>
      </c>
      <c r="J1107">
        <v>8</v>
      </c>
      <c r="K1107">
        <v>1</v>
      </c>
      <c r="L1107">
        <v>6.3078703703703699E-3</v>
      </c>
      <c r="M1107" t="s">
        <v>117</v>
      </c>
      <c r="N1107" t="s">
        <v>953</v>
      </c>
      <c r="O1107" s="24">
        <v>46122</v>
      </c>
      <c r="P1107">
        <v>603</v>
      </c>
      <c r="Q1107" t="s">
        <v>34</v>
      </c>
      <c r="R1107" s="24">
        <v>46136</v>
      </c>
      <c r="S1107" s="51">
        <v>0.41458333333333336</v>
      </c>
      <c r="T1107" s="51">
        <v>0.4284722222222222</v>
      </c>
      <c r="X1107" t="s">
        <v>3292</v>
      </c>
      <c r="Y1107" t="s">
        <v>3029</v>
      </c>
      <c r="Z1107">
        <v>2784248</v>
      </c>
    </row>
    <row r="1108" spans="1:26" x14ac:dyDescent="0.25">
      <c r="A1108">
        <v>1104</v>
      </c>
      <c r="B1108" t="s">
        <v>26</v>
      </c>
      <c r="C1108" t="s">
        <v>27</v>
      </c>
      <c r="D1108">
        <v>15</v>
      </c>
      <c r="E1108" t="s">
        <v>367</v>
      </c>
      <c r="F1108" t="s">
        <v>1592</v>
      </c>
      <c r="G1108">
        <v>3917</v>
      </c>
      <c r="H1108" t="s">
        <v>2062</v>
      </c>
      <c r="I1108" t="s">
        <v>2063</v>
      </c>
      <c r="J1108">
        <v>8</v>
      </c>
      <c r="K1108">
        <v>1</v>
      </c>
      <c r="L1108">
        <v>5.0925925925925921E-4</v>
      </c>
      <c r="M1108" t="s">
        <v>117</v>
      </c>
      <c r="N1108" t="s">
        <v>953</v>
      </c>
      <c r="O1108" s="24">
        <v>46122</v>
      </c>
      <c r="P1108">
        <v>603</v>
      </c>
      <c r="Q1108" t="s">
        <v>34</v>
      </c>
      <c r="R1108" s="24">
        <v>46136</v>
      </c>
      <c r="S1108" s="51">
        <v>0.41458333333333336</v>
      </c>
      <c r="T1108" s="51">
        <v>0.4284722222222222</v>
      </c>
      <c r="X1108" t="s">
        <v>3292</v>
      </c>
      <c r="Y1108" t="s">
        <v>3029</v>
      </c>
      <c r="Z1108">
        <v>2784248</v>
      </c>
    </row>
    <row r="1109" spans="1:26" x14ac:dyDescent="0.25">
      <c r="A1109">
        <v>1105</v>
      </c>
      <c r="B1109" t="s">
        <v>26</v>
      </c>
      <c r="C1109" t="s">
        <v>27</v>
      </c>
      <c r="D1109">
        <v>15</v>
      </c>
      <c r="E1109" t="s">
        <v>367</v>
      </c>
      <c r="F1109" t="s">
        <v>512</v>
      </c>
      <c r="G1109">
        <v>3917</v>
      </c>
      <c r="H1109" t="s">
        <v>2598</v>
      </c>
      <c r="I1109" t="s">
        <v>2599</v>
      </c>
      <c r="J1109">
        <v>8</v>
      </c>
      <c r="K1109">
        <v>1</v>
      </c>
      <c r="L1109">
        <v>1.0185185185185184E-3</v>
      </c>
      <c r="M1109" t="s">
        <v>117</v>
      </c>
      <c r="N1109" t="s">
        <v>953</v>
      </c>
      <c r="O1109" s="24">
        <v>46122</v>
      </c>
      <c r="P1109">
        <v>603</v>
      </c>
      <c r="Q1109" t="s">
        <v>34</v>
      </c>
      <c r="R1109" s="24">
        <v>46136</v>
      </c>
      <c r="S1109" s="51">
        <v>0.41458333333333336</v>
      </c>
      <c r="T1109" s="51">
        <v>0.4284722222222222</v>
      </c>
      <c r="X1109" t="s">
        <v>3292</v>
      </c>
      <c r="Y1109" t="s">
        <v>3029</v>
      </c>
      <c r="Z1109">
        <v>2784248</v>
      </c>
    </row>
    <row r="1110" spans="1:26" x14ac:dyDescent="0.25">
      <c r="A1110">
        <v>1106</v>
      </c>
      <c r="B1110" t="s">
        <v>26</v>
      </c>
      <c r="C1110" t="s">
        <v>27</v>
      </c>
      <c r="D1110">
        <v>15</v>
      </c>
      <c r="E1110" t="s">
        <v>367</v>
      </c>
      <c r="F1110" t="s">
        <v>1594</v>
      </c>
      <c r="G1110">
        <v>3917</v>
      </c>
      <c r="H1110" t="s">
        <v>2280</v>
      </c>
      <c r="I1110" t="s">
        <v>2273</v>
      </c>
      <c r="J1110">
        <v>8</v>
      </c>
      <c r="K1110">
        <v>2</v>
      </c>
      <c r="L1110">
        <v>4.3981481481481476E-3</v>
      </c>
      <c r="M1110" t="s">
        <v>117</v>
      </c>
      <c r="N1110" t="s">
        <v>953</v>
      </c>
      <c r="O1110" s="24">
        <v>46122</v>
      </c>
      <c r="P1110">
        <v>603</v>
      </c>
      <c r="Q1110" t="s">
        <v>34</v>
      </c>
      <c r="R1110" s="24">
        <v>46136</v>
      </c>
      <c r="S1110" s="51">
        <v>0.41458333333333336</v>
      </c>
      <c r="T1110" s="51">
        <v>0.4284722222222222</v>
      </c>
      <c r="X1110" t="s">
        <v>3292</v>
      </c>
      <c r="Y1110" t="s">
        <v>3029</v>
      </c>
      <c r="Z1110">
        <v>2784248</v>
      </c>
    </row>
    <row r="1111" spans="1:26" x14ac:dyDescent="0.25">
      <c r="A1111">
        <v>1107</v>
      </c>
      <c r="B1111" t="s">
        <v>26</v>
      </c>
      <c r="C1111" t="s">
        <v>27</v>
      </c>
      <c r="D1111">
        <v>15</v>
      </c>
      <c r="E1111" t="s">
        <v>367</v>
      </c>
      <c r="F1111" t="s">
        <v>1594</v>
      </c>
      <c r="G1111">
        <v>3917</v>
      </c>
      <c r="H1111" t="s">
        <v>2574</v>
      </c>
      <c r="I1111" t="s">
        <v>2487</v>
      </c>
      <c r="J1111">
        <v>8</v>
      </c>
      <c r="K1111">
        <v>1</v>
      </c>
      <c r="L1111">
        <v>1.0300925925925926E-3</v>
      </c>
      <c r="M1111" t="s">
        <v>117</v>
      </c>
      <c r="N1111" t="s">
        <v>953</v>
      </c>
      <c r="O1111" s="24">
        <v>46122</v>
      </c>
      <c r="P1111">
        <v>603</v>
      </c>
      <c r="Q1111" t="s">
        <v>34</v>
      </c>
      <c r="R1111" s="24">
        <v>46136</v>
      </c>
      <c r="S1111" s="51">
        <v>0.41458333333333336</v>
      </c>
      <c r="T1111" s="51">
        <v>0.4284722222222222</v>
      </c>
      <c r="X1111" t="s">
        <v>3292</v>
      </c>
      <c r="Y1111" t="s">
        <v>3029</v>
      </c>
      <c r="Z1111">
        <v>2784248</v>
      </c>
    </row>
    <row r="1112" spans="1:26" x14ac:dyDescent="0.25">
      <c r="A1112">
        <v>1108</v>
      </c>
      <c r="B1112" t="s">
        <v>26</v>
      </c>
      <c r="C1112" t="s">
        <v>27</v>
      </c>
      <c r="D1112">
        <v>15</v>
      </c>
      <c r="E1112" t="s">
        <v>1588</v>
      </c>
      <c r="F1112" t="s">
        <v>512</v>
      </c>
      <c r="G1112">
        <v>4349</v>
      </c>
      <c r="H1112" t="s">
        <v>2197</v>
      </c>
      <c r="I1112" t="s">
        <v>2198</v>
      </c>
      <c r="J1112">
        <v>8</v>
      </c>
      <c r="K1112">
        <v>1</v>
      </c>
      <c r="L1112">
        <v>6.192129629629629E-3</v>
      </c>
      <c r="M1112" t="s">
        <v>778</v>
      </c>
      <c r="N1112" t="s">
        <v>777</v>
      </c>
      <c r="O1112" s="24">
        <v>46128</v>
      </c>
      <c r="P1112">
        <v>603</v>
      </c>
      <c r="Q1112" t="s">
        <v>34</v>
      </c>
      <c r="X1112" t="s">
        <v>3293</v>
      </c>
    </row>
    <row r="1113" spans="1:26" x14ac:dyDescent="0.25">
      <c r="A1113">
        <v>1109</v>
      </c>
      <c r="B1113" t="s">
        <v>26</v>
      </c>
      <c r="C1113" t="s">
        <v>27</v>
      </c>
      <c r="D1113">
        <v>15</v>
      </c>
      <c r="E1113" t="s">
        <v>2195</v>
      </c>
      <c r="F1113" t="s">
        <v>44</v>
      </c>
      <c r="G1113">
        <v>4349</v>
      </c>
      <c r="H1113" t="s">
        <v>48</v>
      </c>
      <c r="I1113" t="s">
        <v>1119</v>
      </c>
      <c r="J1113">
        <v>8</v>
      </c>
      <c r="K1113">
        <v>1</v>
      </c>
      <c r="L1113">
        <v>1.5162037037037036E-3</v>
      </c>
      <c r="M1113" t="s">
        <v>778</v>
      </c>
      <c r="N1113" t="s">
        <v>777</v>
      </c>
      <c r="O1113" s="24">
        <v>46128</v>
      </c>
      <c r="P1113">
        <v>603</v>
      </c>
      <c r="Q1113" t="s">
        <v>34</v>
      </c>
      <c r="X1113" t="s">
        <v>3293</v>
      </c>
    </row>
    <row r="1114" spans="1:26" x14ac:dyDescent="0.25">
      <c r="A1114">
        <v>1110</v>
      </c>
      <c r="B1114" t="s">
        <v>26</v>
      </c>
      <c r="C1114" t="s">
        <v>27</v>
      </c>
      <c r="D1114">
        <v>15</v>
      </c>
      <c r="E1114" t="s">
        <v>1665</v>
      </c>
      <c r="F1114" t="s">
        <v>498</v>
      </c>
      <c r="G1114">
        <v>4229</v>
      </c>
      <c r="H1114" t="s">
        <v>2311</v>
      </c>
      <c r="I1114" t="s">
        <v>2300</v>
      </c>
      <c r="J1114">
        <v>8</v>
      </c>
      <c r="K1114">
        <v>6</v>
      </c>
      <c r="L1114">
        <v>1.1805555555555555E-2</v>
      </c>
      <c r="M1114" t="s">
        <v>778</v>
      </c>
      <c r="N1114" t="s">
        <v>1388</v>
      </c>
      <c r="O1114" s="24">
        <v>46133</v>
      </c>
      <c r="P1114">
        <v>605</v>
      </c>
      <c r="Q1114" t="s">
        <v>34</v>
      </c>
      <c r="X1114" t="s">
        <v>3294</v>
      </c>
    </row>
    <row r="1115" spans="1:26" x14ac:dyDescent="0.25">
      <c r="A1115">
        <v>1111</v>
      </c>
      <c r="B1115" t="s">
        <v>26</v>
      </c>
      <c r="C1115" t="s">
        <v>27</v>
      </c>
      <c r="D1115">
        <v>15</v>
      </c>
      <c r="E1115" t="s">
        <v>367</v>
      </c>
      <c r="F1115" t="s">
        <v>368</v>
      </c>
      <c r="G1115">
        <v>4229</v>
      </c>
      <c r="H1115" t="s">
        <v>2357</v>
      </c>
      <c r="I1115" t="s">
        <v>2183</v>
      </c>
      <c r="J1115">
        <v>8</v>
      </c>
      <c r="K1115">
        <v>1</v>
      </c>
      <c r="L1115">
        <v>5.9837962962962961E-3</v>
      </c>
      <c r="M1115" t="s">
        <v>778</v>
      </c>
      <c r="N1115" t="s">
        <v>1388</v>
      </c>
      <c r="O1115" s="24">
        <v>46133</v>
      </c>
      <c r="P1115">
        <v>605</v>
      </c>
      <c r="Q1115" t="s">
        <v>34</v>
      </c>
      <c r="X1115" t="s">
        <v>3294</v>
      </c>
    </row>
    <row r="1116" spans="1:26" x14ac:dyDescent="0.25">
      <c r="A1116">
        <v>1112</v>
      </c>
      <c r="B1116" t="s">
        <v>26</v>
      </c>
      <c r="C1116" t="s">
        <v>27</v>
      </c>
      <c r="D1116">
        <v>15</v>
      </c>
      <c r="E1116" t="s">
        <v>2195</v>
      </c>
      <c r="F1116" t="s">
        <v>44</v>
      </c>
      <c r="G1116">
        <v>4229</v>
      </c>
      <c r="H1116" t="s">
        <v>48</v>
      </c>
      <c r="I1116" t="s">
        <v>1119</v>
      </c>
      <c r="J1116">
        <v>8</v>
      </c>
      <c r="K1116">
        <v>1</v>
      </c>
      <c r="L1116">
        <v>1.4467592592592592E-3</v>
      </c>
      <c r="M1116" t="s">
        <v>778</v>
      </c>
      <c r="N1116" t="s">
        <v>1388</v>
      </c>
      <c r="O1116" s="24">
        <v>46133</v>
      </c>
      <c r="P1116">
        <v>605</v>
      </c>
      <c r="Q1116" t="s">
        <v>34</v>
      </c>
      <c r="X1116" t="s">
        <v>3294</v>
      </c>
    </row>
    <row r="1117" spans="1:26" x14ac:dyDescent="0.25">
      <c r="A1117">
        <v>1113</v>
      </c>
      <c r="B1117" t="s">
        <v>26</v>
      </c>
      <c r="C1117" t="s">
        <v>27</v>
      </c>
      <c r="D1117">
        <v>15</v>
      </c>
      <c r="E1117" t="s">
        <v>1665</v>
      </c>
      <c r="F1117" t="s">
        <v>512</v>
      </c>
      <c r="G1117">
        <v>3920</v>
      </c>
      <c r="H1117" t="s">
        <v>2225</v>
      </c>
      <c r="I1117" t="s">
        <v>2226</v>
      </c>
      <c r="J1117">
        <v>8</v>
      </c>
      <c r="K1117">
        <v>6</v>
      </c>
      <c r="L1117">
        <v>1.1597222222222222E-2</v>
      </c>
      <c r="M1117" t="s">
        <v>117</v>
      </c>
      <c r="N1117" t="s">
        <v>1200</v>
      </c>
      <c r="O1117" s="24">
        <v>46122</v>
      </c>
      <c r="P1117">
        <v>605</v>
      </c>
      <c r="Q1117" t="s">
        <v>34</v>
      </c>
      <c r="R1117">
        <v>46135</v>
      </c>
      <c r="S1117" s="51">
        <v>0.59513888888888888</v>
      </c>
      <c r="T1117" s="51">
        <v>0.61111111111111116</v>
      </c>
      <c r="X1117" t="s">
        <v>3295</v>
      </c>
      <c r="Y1117" t="s">
        <v>3029</v>
      </c>
      <c r="Z1117">
        <v>1742415</v>
      </c>
    </row>
    <row r="1118" spans="1:26" x14ac:dyDescent="0.25">
      <c r="A1118">
        <v>1114</v>
      </c>
      <c r="B1118" t="s">
        <v>26</v>
      </c>
      <c r="C1118" t="s">
        <v>27</v>
      </c>
      <c r="D1118">
        <v>15</v>
      </c>
      <c r="E1118" t="s">
        <v>129</v>
      </c>
      <c r="F1118" t="s">
        <v>512</v>
      </c>
      <c r="G1118">
        <v>3920</v>
      </c>
      <c r="H1118" t="s">
        <v>2736</v>
      </c>
      <c r="I1118" t="s">
        <v>1620</v>
      </c>
      <c r="J1118">
        <v>8</v>
      </c>
      <c r="K1118">
        <v>1</v>
      </c>
      <c r="L1118">
        <v>5.9722222222222216E-3</v>
      </c>
      <c r="M1118" t="s">
        <v>117</v>
      </c>
      <c r="N1118" t="s">
        <v>1200</v>
      </c>
      <c r="O1118" s="24">
        <v>46122</v>
      </c>
      <c r="P1118">
        <v>605</v>
      </c>
      <c r="Q1118" t="s">
        <v>34</v>
      </c>
      <c r="R1118">
        <v>46135</v>
      </c>
      <c r="S1118" s="51">
        <v>0.59513888888888888</v>
      </c>
      <c r="T1118" s="51">
        <v>0.61111111111111116</v>
      </c>
      <c r="X1118" t="s">
        <v>3295</v>
      </c>
      <c r="Y1118" t="s">
        <v>3029</v>
      </c>
      <c r="Z1118">
        <v>1742415</v>
      </c>
    </row>
    <row r="1119" spans="1:26" x14ac:dyDescent="0.25">
      <c r="A1119">
        <v>1115</v>
      </c>
      <c r="B1119" t="s">
        <v>26</v>
      </c>
      <c r="C1119" t="s">
        <v>27</v>
      </c>
      <c r="D1119">
        <v>15</v>
      </c>
      <c r="E1119" t="s">
        <v>367</v>
      </c>
      <c r="F1119" t="s">
        <v>512</v>
      </c>
      <c r="G1119">
        <v>3920</v>
      </c>
      <c r="H1119" t="s">
        <v>2231</v>
      </c>
      <c r="I1119" t="s">
        <v>2232</v>
      </c>
      <c r="J1119">
        <v>8</v>
      </c>
      <c r="K1119">
        <v>2</v>
      </c>
      <c r="L1119">
        <v>3.3912037037037036E-3</v>
      </c>
      <c r="M1119" t="s">
        <v>117</v>
      </c>
      <c r="N1119" t="s">
        <v>1200</v>
      </c>
      <c r="O1119" s="24">
        <v>46122</v>
      </c>
      <c r="P1119">
        <v>605</v>
      </c>
      <c r="Q1119" t="s">
        <v>34</v>
      </c>
      <c r="R1119">
        <v>46135</v>
      </c>
      <c r="S1119" s="51">
        <v>0.59513888888888888</v>
      </c>
      <c r="T1119" s="51">
        <v>0.61111111111111116</v>
      </c>
      <c r="X1119" t="s">
        <v>3295</v>
      </c>
      <c r="Y1119" t="s">
        <v>3029</v>
      </c>
      <c r="Z1119">
        <v>1742415</v>
      </c>
    </row>
    <row r="1120" spans="1:26" x14ac:dyDescent="0.25">
      <c r="A1120">
        <v>1116</v>
      </c>
      <c r="B1120" t="s">
        <v>26</v>
      </c>
      <c r="C1120" t="s">
        <v>27</v>
      </c>
      <c r="D1120">
        <v>15</v>
      </c>
      <c r="E1120" t="s">
        <v>1665</v>
      </c>
      <c r="F1120" t="s">
        <v>512</v>
      </c>
      <c r="G1120">
        <v>3921</v>
      </c>
      <c r="H1120" t="s">
        <v>2225</v>
      </c>
      <c r="I1120" t="s">
        <v>2226</v>
      </c>
      <c r="J1120">
        <v>8</v>
      </c>
      <c r="K1120">
        <v>1</v>
      </c>
      <c r="L1120">
        <v>2.0254629629629629E-3</v>
      </c>
      <c r="M1120" t="s">
        <v>117</v>
      </c>
      <c r="N1120" t="s">
        <v>953</v>
      </c>
      <c r="O1120" s="24">
        <v>46122</v>
      </c>
      <c r="P1120">
        <v>603</v>
      </c>
      <c r="Q1120" t="s">
        <v>34</v>
      </c>
      <c r="R1120" s="24">
        <v>46136</v>
      </c>
      <c r="S1120" s="51">
        <v>0.76736111111111116</v>
      </c>
      <c r="T1120" s="51">
        <v>0.77777777777777779</v>
      </c>
      <c r="X1120" t="s">
        <v>3296</v>
      </c>
      <c r="Y1120" t="s">
        <v>3032</v>
      </c>
      <c r="Z1120">
        <v>1742372</v>
      </c>
    </row>
    <row r="1121" spans="1:26" x14ac:dyDescent="0.25">
      <c r="A1121">
        <v>1117</v>
      </c>
      <c r="B1121" t="s">
        <v>26</v>
      </c>
      <c r="C1121" t="s">
        <v>27</v>
      </c>
      <c r="D1121">
        <v>15</v>
      </c>
      <c r="E1121" t="s">
        <v>114</v>
      </c>
      <c r="F1121" t="s">
        <v>512</v>
      </c>
      <c r="G1121">
        <v>3921</v>
      </c>
      <c r="H1121" t="s">
        <v>2394</v>
      </c>
      <c r="I1121" t="s">
        <v>2161</v>
      </c>
      <c r="J1121">
        <v>8</v>
      </c>
      <c r="K1121">
        <v>2</v>
      </c>
      <c r="L1121">
        <v>3.7499999999999999E-3</v>
      </c>
      <c r="M1121" t="s">
        <v>117</v>
      </c>
      <c r="N1121" t="s">
        <v>953</v>
      </c>
      <c r="O1121" s="24">
        <v>46122</v>
      </c>
      <c r="P1121">
        <v>603</v>
      </c>
      <c r="Q1121" t="s">
        <v>34</v>
      </c>
      <c r="R1121" s="24">
        <v>46136</v>
      </c>
      <c r="S1121" s="51">
        <v>0.76736111111111116</v>
      </c>
      <c r="T1121" s="51">
        <v>0.77777777777777779</v>
      </c>
      <c r="X1121" t="s">
        <v>3296</v>
      </c>
      <c r="Y1121" t="s">
        <v>3032</v>
      </c>
      <c r="Z1121">
        <v>1742372</v>
      </c>
    </row>
    <row r="1122" spans="1:26" x14ac:dyDescent="0.25">
      <c r="A1122">
        <v>1118</v>
      </c>
      <c r="B1122" t="s">
        <v>26</v>
      </c>
      <c r="C1122" t="s">
        <v>27</v>
      </c>
      <c r="D1122">
        <v>15</v>
      </c>
      <c r="E1122" t="s">
        <v>147</v>
      </c>
      <c r="F1122" t="s">
        <v>115</v>
      </c>
      <c r="G1122">
        <v>3921</v>
      </c>
      <c r="H1122" t="s">
        <v>2137</v>
      </c>
      <c r="I1122" t="s">
        <v>2138</v>
      </c>
      <c r="J1122">
        <v>8</v>
      </c>
      <c r="K1122">
        <v>1</v>
      </c>
      <c r="L1122">
        <v>6.4236111111111108E-3</v>
      </c>
      <c r="M1122" t="s">
        <v>117</v>
      </c>
      <c r="N1122" t="s">
        <v>953</v>
      </c>
      <c r="O1122" s="24">
        <v>46122</v>
      </c>
      <c r="P1122">
        <v>603</v>
      </c>
      <c r="Q1122" t="s">
        <v>34</v>
      </c>
      <c r="R1122" s="24">
        <v>46136</v>
      </c>
      <c r="S1122" s="51">
        <v>0.76736111111111116</v>
      </c>
      <c r="T1122" s="51">
        <v>0.77777777777777779</v>
      </c>
      <c r="X1122" t="s">
        <v>3296</v>
      </c>
      <c r="Y1122" t="s">
        <v>3032</v>
      </c>
      <c r="Z1122">
        <v>1742372</v>
      </c>
    </row>
    <row r="1123" spans="1:26" x14ac:dyDescent="0.25">
      <c r="A1123">
        <v>1119</v>
      </c>
      <c r="B1123" t="s">
        <v>26</v>
      </c>
      <c r="C1123" t="s">
        <v>27</v>
      </c>
      <c r="D1123">
        <v>15</v>
      </c>
      <c r="E1123" t="s">
        <v>1141</v>
      </c>
      <c r="F1123" t="s">
        <v>368</v>
      </c>
      <c r="G1123">
        <v>3924</v>
      </c>
      <c r="H1123" t="s">
        <v>2064</v>
      </c>
      <c r="I1123" t="s">
        <v>2065</v>
      </c>
      <c r="J1123">
        <v>8</v>
      </c>
      <c r="K1123">
        <v>1</v>
      </c>
      <c r="L1123">
        <v>2.1412037037037038E-3</v>
      </c>
      <c r="M1123" t="s">
        <v>117</v>
      </c>
      <c r="N1123" t="s">
        <v>1128</v>
      </c>
      <c r="O1123" s="24">
        <v>46126</v>
      </c>
      <c r="P1123">
        <v>605</v>
      </c>
      <c r="Q1123" t="s">
        <v>34</v>
      </c>
      <c r="R1123">
        <v>46137</v>
      </c>
      <c r="S1123" s="51">
        <v>2.4305555555555556E-2</v>
      </c>
      <c r="T1123" s="51">
        <v>4.1666666666666664E-2</v>
      </c>
      <c r="X1123" t="s">
        <v>3297</v>
      </c>
      <c r="Y1123" t="s">
        <v>3029</v>
      </c>
      <c r="Z1123">
        <v>1742255</v>
      </c>
    </row>
    <row r="1124" spans="1:26" x14ac:dyDescent="0.25">
      <c r="A1124">
        <v>1120</v>
      </c>
      <c r="B1124" t="s">
        <v>26</v>
      </c>
      <c r="C1124" t="s">
        <v>27</v>
      </c>
      <c r="D1124">
        <v>15</v>
      </c>
      <c r="E1124" t="s">
        <v>1141</v>
      </c>
      <c r="F1124" t="s">
        <v>1594</v>
      </c>
      <c r="G1124">
        <v>3924</v>
      </c>
      <c r="H1124" t="s">
        <v>2326</v>
      </c>
      <c r="I1124" t="s">
        <v>2327</v>
      </c>
      <c r="J1124">
        <v>8</v>
      </c>
      <c r="K1124">
        <v>1</v>
      </c>
      <c r="L1124">
        <v>4.0277777777777777E-3</v>
      </c>
      <c r="M1124" t="s">
        <v>117</v>
      </c>
      <c r="N1124" t="s">
        <v>1128</v>
      </c>
      <c r="O1124" s="24">
        <v>46126</v>
      </c>
      <c r="P1124">
        <v>605</v>
      </c>
      <c r="Q1124" t="s">
        <v>34</v>
      </c>
      <c r="R1124">
        <v>46137</v>
      </c>
      <c r="S1124" s="51">
        <v>2.4305555555555556E-2</v>
      </c>
      <c r="T1124" s="51">
        <v>4.1666666666666664E-2</v>
      </c>
      <c r="X1124" t="s">
        <v>3297</v>
      </c>
      <c r="Y1124" t="s">
        <v>3029</v>
      </c>
      <c r="Z1124">
        <v>1742255</v>
      </c>
    </row>
    <row r="1125" spans="1:26" x14ac:dyDescent="0.25">
      <c r="A1125">
        <v>1121</v>
      </c>
      <c r="B1125" t="s">
        <v>26</v>
      </c>
      <c r="C1125" t="s">
        <v>27</v>
      </c>
      <c r="D1125">
        <v>15</v>
      </c>
      <c r="E1125" t="s">
        <v>1141</v>
      </c>
      <c r="F1125" t="s">
        <v>1599</v>
      </c>
      <c r="G1125">
        <v>3924</v>
      </c>
      <c r="H1125" t="s">
        <v>2239</v>
      </c>
      <c r="I1125" t="s">
        <v>2240</v>
      </c>
      <c r="J1125">
        <v>8</v>
      </c>
      <c r="K1125">
        <v>1</v>
      </c>
      <c r="L1125">
        <v>2.8124999999999999E-3</v>
      </c>
      <c r="M1125" t="s">
        <v>117</v>
      </c>
      <c r="N1125" t="s">
        <v>1128</v>
      </c>
      <c r="O1125" s="24">
        <v>46126</v>
      </c>
      <c r="P1125">
        <v>605</v>
      </c>
      <c r="Q1125" t="s">
        <v>34</v>
      </c>
      <c r="R1125">
        <v>46137</v>
      </c>
      <c r="S1125" s="51">
        <v>2.4305555555555556E-2</v>
      </c>
      <c r="T1125" s="51">
        <v>4.1666666666666664E-2</v>
      </c>
      <c r="X1125" t="s">
        <v>3297</v>
      </c>
      <c r="Y1125" t="s">
        <v>3029</v>
      </c>
      <c r="Z1125">
        <v>1742255</v>
      </c>
    </row>
    <row r="1126" spans="1:26" x14ac:dyDescent="0.25">
      <c r="A1126">
        <v>1122</v>
      </c>
      <c r="B1126" t="s">
        <v>26</v>
      </c>
      <c r="C1126" t="s">
        <v>27</v>
      </c>
      <c r="D1126">
        <v>15</v>
      </c>
      <c r="E1126" t="s">
        <v>1665</v>
      </c>
      <c r="F1126" t="s">
        <v>512</v>
      </c>
      <c r="G1126">
        <v>3925</v>
      </c>
      <c r="H1126" t="s">
        <v>2225</v>
      </c>
      <c r="I1126" t="s">
        <v>2226</v>
      </c>
      <c r="J1126">
        <v>8</v>
      </c>
      <c r="K1126">
        <v>6</v>
      </c>
      <c r="L1126">
        <v>1.1701388888888888E-2</v>
      </c>
      <c r="M1126" t="s">
        <v>117</v>
      </c>
      <c r="N1126" t="s">
        <v>1200</v>
      </c>
      <c r="O1126" s="24">
        <v>46122</v>
      </c>
      <c r="P1126">
        <v>605</v>
      </c>
      <c r="Q1126" t="s">
        <v>34</v>
      </c>
      <c r="R1126">
        <v>46135</v>
      </c>
      <c r="S1126" s="51">
        <v>0.61388888888888893</v>
      </c>
      <c r="T1126" s="51">
        <v>0.62847222222222221</v>
      </c>
      <c r="X1126" t="s">
        <v>3298</v>
      </c>
      <c r="Y1126" t="s">
        <v>3029</v>
      </c>
      <c r="Z1126">
        <v>1742398</v>
      </c>
    </row>
    <row r="1127" spans="1:26" x14ac:dyDescent="0.25">
      <c r="A1127">
        <v>1123</v>
      </c>
      <c r="B1127" t="s">
        <v>26</v>
      </c>
      <c r="C1127" t="s">
        <v>27</v>
      </c>
      <c r="D1127">
        <v>15</v>
      </c>
      <c r="E1127" t="s">
        <v>133</v>
      </c>
      <c r="F1127" t="s">
        <v>512</v>
      </c>
      <c r="G1127">
        <v>3925</v>
      </c>
      <c r="H1127" t="s">
        <v>2451</v>
      </c>
      <c r="I1127" t="s">
        <v>1620</v>
      </c>
      <c r="J1127">
        <v>8</v>
      </c>
      <c r="K1127">
        <v>1</v>
      </c>
      <c r="L1127">
        <v>6.0185185185185185E-3</v>
      </c>
      <c r="M1127" t="s">
        <v>117</v>
      </c>
      <c r="N1127" t="s">
        <v>1200</v>
      </c>
      <c r="O1127" s="24">
        <v>46122</v>
      </c>
      <c r="P1127">
        <v>605</v>
      </c>
      <c r="Q1127" t="s">
        <v>34</v>
      </c>
      <c r="R1127">
        <v>46135</v>
      </c>
      <c r="S1127" s="51">
        <v>0.61388888888888893</v>
      </c>
      <c r="T1127" s="51">
        <v>0.62847222222222221</v>
      </c>
      <c r="X1127" t="s">
        <v>3298</v>
      </c>
      <c r="Y1127" t="s">
        <v>3029</v>
      </c>
      <c r="Z1127">
        <v>1742398</v>
      </c>
    </row>
    <row r="1128" spans="1:26" x14ac:dyDescent="0.25">
      <c r="A1128">
        <v>1124</v>
      </c>
      <c r="B1128" t="s">
        <v>26</v>
      </c>
      <c r="C1128" t="s">
        <v>27</v>
      </c>
      <c r="D1128">
        <v>15</v>
      </c>
      <c r="E1128" t="s">
        <v>1588</v>
      </c>
      <c r="F1128" t="s">
        <v>44</v>
      </c>
      <c r="G1128">
        <v>3925</v>
      </c>
      <c r="H1128" t="s">
        <v>2215</v>
      </c>
      <c r="I1128" t="s">
        <v>2216</v>
      </c>
      <c r="J1128">
        <v>8</v>
      </c>
      <c r="K1128">
        <v>1</v>
      </c>
      <c r="L1128">
        <v>1.747685185185185E-3</v>
      </c>
      <c r="M1128" t="s">
        <v>117</v>
      </c>
      <c r="N1128" t="s">
        <v>1200</v>
      </c>
      <c r="O1128" s="24">
        <v>46122</v>
      </c>
      <c r="P1128">
        <v>605</v>
      </c>
      <c r="Q1128" t="s">
        <v>34</v>
      </c>
      <c r="R1128">
        <v>46135</v>
      </c>
      <c r="S1128" s="51">
        <v>0.61388888888888893</v>
      </c>
      <c r="T1128" s="51">
        <v>0.62847222222222221</v>
      </c>
      <c r="X1128" t="s">
        <v>3298</v>
      </c>
      <c r="Y1128" t="s">
        <v>3029</v>
      </c>
      <c r="Z1128">
        <v>1742398</v>
      </c>
    </row>
    <row r="1129" spans="1:26" x14ac:dyDescent="0.25">
      <c r="A1129">
        <v>1125</v>
      </c>
      <c r="B1129" t="s">
        <v>26</v>
      </c>
      <c r="C1129" t="s">
        <v>27</v>
      </c>
      <c r="D1129">
        <v>15</v>
      </c>
      <c r="E1129" t="s">
        <v>1665</v>
      </c>
      <c r="F1129" t="s">
        <v>115</v>
      </c>
      <c r="G1129">
        <v>3926</v>
      </c>
      <c r="H1129" t="s">
        <v>2113</v>
      </c>
      <c r="I1129" t="s">
        <v>2111</v>
      </c>
      <c r="J1129">
        <v>8</v>
      </c>
      <c r="K1129">
        <v>1</v>
      </c>
      <c r="L1129">
        <v>6.0185185185185179E-4</v>
      </c>
      <c r="M1129" t="s">
        <v>117</v>
      </c>
      <c r="N1129" t="s">
        <v>1200</v>
      </c>
      <c r="O1129" s="24">
        <v>46122</v>
      </c>
      <c r="P1129">
        <v>605</v>
      </c>
      <c r="Q1129" t="s">
        <v>34</v>
      </c>
      <c r="R1129">
        <v>46135</v>
      </c>
      <c r="S1129" s="51">
        <v>0.66666666666666663</v>
      </c>
      <c r="T1129" s="51">
        <v>0.68055555555555558</v>
      </c>
      <c r="X1129" t="s">
        <v>3299</v>
      </c>
      <c r="Y1129" t="s">
        <v>3029</v>
      </c>
      <c r="Z1129">
        <v>1742398</v>
      </c>
    </row>
    <row r="1130" spans="1:26" x14ac:dyDescent="0.25">
      <c r="A1130">
        <v>1126</v>
      </c>
      <c r="B1130" t="s">
        <v>26</v>
      </c>
      <c r="C1130" t="s">
        <v>27</v>
      </c>
      <c r="D1130">
        <v>15</v>
      </c>
      <c r="E1130" t="s">
        <v>1672</v>
      </c>
      <c r="F1130" t="s">
        <v>512</v>
      </c>
      <c r="G1130">
        <v>3926</v>
      </c>
      <c r="H1130" t="s">
        <v>2297</v>
      </c>
      <c r="I1130" t="s">
        <v>2226</v>
      </c>
      <c r="J1130">
        <v>8</v>
      </c>
      <c r="K1130">
        <v>2</v>
      </c>
      <c r="L1130">
        <v>3.7731481481481479E-3</v>
      </c>
      <c r="M1130" t="s">
        <v>117</v>
      </c>
      <c r="N1130" t="s">
        <v>1200</v>
      </c>
      <c r="O1130" s="24">
        <v>46122</v>
      </c>
      <c r="P1130">
        <v>605</v>
      </c>
      <c r="Q1130" t="s">
        <v>34</v>
      </c>
      <c r="R1130">
        <v>46135</v>
      </c>
      <c r="S1130" s="51">
        <v>0.66666666666666663</v>
      </c>
      <c r="T1130" s="51">
        <v>0.68055555555555558</v>
      </c>
      <c r="X1130" t="s">
        <v>3299</v>
      </c>
      <c r="Y1130" t="s">
        <v>3029</v>
      </c>
      <c r="Z1130">
        <v>1742398</v>
      </c>
    </row>
    <row r="1131" spans="1:26" x14ac:dyDescent="0.25">
      <c r="A1131">
        <v>1127</v>
      </c>
      <c r="B1131" t="s">
        <v>26</v>
      </c>
      <c r="C1131" t="s">
        <v>27</v>
      </c>
      <c r="D1131">
        <v>15</v>
      </c>
      <c r="E1131" t="s">
        <v>1665</v>
      </c>
      <c r="F1131" t="s">
        <v>115</v>
      </c>
      <c r="G1131">
        <v>3926</v>
      </c>
      <c r="H1131" t="s">
        <v>2356</v>
      </c>
      <c r="I1131" t="s">
        <v>2310</v>
      </c>
      <c r="J1131">
        <v>8</v>
      </c>
      <c r="K1131">
        <v>1</v>
      </c>
      <c r="L1131">
        <v>1.8865740740740739E-3</v>
      </c>
      <c r="M1131" t="s">
        <v>117</v>
      </c>
      <c r="N1131" t="s">
        <v>1200</v>
      </c>
      <c r="O1131" s="24">
        <v>46122</v>
      </c>
      <c r="P1131">
        <v>605</v>
      </c>
      <c r="Q1131" t="s">
        <v>34</v>
      </c>
      <c r="R1131">
        <v>46135</v>
      </c>
      <c r="S1131" s="51">
        <v>0.66666666666666663</v>
      </c>
      <c r="T1131" s="51">
        <v>0.68055555555555558</v>
      </c>
      <c r="X1131" t="s">
        <v>3299</v>
      </c>
      <c r="Y1131" t="s">
        <v>3029</v>
      </c>
      <c r="Z1131">
        <v>1742398</v>
      </c>
    </row>
    <row r="1132" spans="1:26" x14ac:dyDescent="0.25">
      <c r="A1132">
        <v>1128</v>
      </c>
      <c r="B1132" t="s">
        <v>26</v>
      </c>
      <c r="C1132" t="s">
        <v>27</v>
      </c>
      <c r="D1132">
        <v>15</v>
      </c>
      <c r="E1132" t="s">
        <v>1672</v>
      </c>
      <c r="F1132" t="s">
        <v>512</v>
      </c>
      <c r="G1132">
        <v>3926</v>
      </c>
      <c r="H1132" t="s">
        <v>2584</v>
      </c>
      <c r="I1132" t="s">
        <v>2585</v>
      </c>
      <c r="J1132">
        <v>8</v>
      </c>
      <c r="K1132">
        <v>1</v>
      </c>
      <c r="L1132">
        <v>5.4398148148148149E-3</v>
      </c>
      <c r="M1132" t="s">
        <v>117</v>
      </c>
      <c r="N1132" t="s">
        <v>1200</v>
      </c>
      <c r="O1132" s="24">
        <v>46122</v>
      </c>
      <c r="P1132">
        <v>605</v>
      </c>
      <c r="Q1132" t="s">
        <v>34</v>
      </c>
      <c r="R1132">
        <v>46135</v>
      </c>
      <c r="S1132" s="51">
        <v>0.66666666666666663</v>
      </c>
      <c r="T1132" s="51">
        <v>0.68055555555555558</v>
      </c>
      <c r="X1132" t="s">
        <v>3299</v>
      </c>
      <c r="Y1132" t="s">
        <v>3029</v>
      </c>
      <c r="Z1132">
        <v>1742398</v>
      </c>
    </row>
    <row r="1133" spans="1:26" x14ac:dyDescent="0.25">
      <c r="A1133">
        <v>1129</v>
      </c>
      <c r="B1133" t="s">
        <v>26</v>
      </c>
      <c r="C1133" t="s">
        <v>27</v>
      </c>
      <c r="D1133">
        <v>15</v>
      </c>
      <c r="E1133" t="s">
        <v>1672</v>
      </c>
      <c r="F1133" t="s">
        <v>512</v>
      </c>
      <c r="G1133">
        <v>3926</v>
      </c>
      <c r="H1133" t="s">
        <v>2152</v>
      </c>
      <c r="I1133" t="s">
        <v>2153</v>
      </c>
      <c r="J1133">
        <v>8</v>
      </c>
      <c r="K1133">
        <v>1</v>
      </c>
      <c r="L1133">
        <v>1.6435185185185185E-3</v>
      </c>
      <c r="M1133" t="s">
        <v>117</v>
      </c>
      <c r="N1133" t="s">
        <v>1200</v>
      </c>
      <c r="O1133" s="24">
        <v>46122</v>
      </c>
      <c r="P1133">
        <v>605</v>
      </c>
      <c r="Q1133" t="s">
        <v>34</v>
      </c>
      <c r="R1133">
        <v>46135</v>
      </c>
      <c r="S1133" s="51">
        <v>0.66666666666666663</v>
      </c>
      <c r="T1133" s="51">
        <v>0.68055555555555558</v>
      </c>
      <c r="X1133" t="s">
        <v>3299</v>
      </c>
      <c r="Y1133" t="s">
        <v>3029</v>
      </c>
      <c r="Z1133">
        <v>1742398</v>
      </c>
    </row>
    <row r="1134" spans="1:26" x14ac:dyDescent="0.25">
      <c r="A1134">
        <v>1130</v>
      </c>
      <c r="B1134" t="s">
        <v>26</v>
      </c>
      <c r="C1134" t="s">
        <v>27</v>
      </c>
      <c r="D1134">
        <v>15</v>
      </c>
      <c r="E1134" t="s">
        <v>367</v>
      </c>
      <c r="F1134" t="s">
        <v>1599</v>
      </c>
      <c r="G1134">
        <v>3926</v>
      </c>
      <c r="H1134" t="s">
        <v>1633</v>
      </c>
      <c r="I1134" t="s">
        <v>1634</v>
      </c>
      <c r="J1134">
        <v>8</v>
      </c>
      <c r="K1134">
        <v>1</v>
      </c>
      <c r="L1134">
        <v>7.5231481481481482E-4</v>
      </c>
      <c r="M1134" t="s">
        <v>117</v>
      </c>
      <c r="N1134" t="s">
        <v>1200</v>
      </c>
      <c r="O1134" s="24">
        <v>46122</v>
      </c>
      <c r="P1134">
        <v>605</v>
      </c>
      <c r="Q1134" t="s">
        <v>34</v>
      </c>
      <c r="R1134">
        <v>46135</v>
      </c>
      <c r="S1134" s="51">
        <v>0.66666666666666663</v>
      </c>
      <c r="T1134" s="51">
        <v>0.68055555555555558</v>
      </c>
      <c r="X1134" t="s">
        <v>3299</v>
      </c>
      <c r="Y1134" t="s">
        <v>3029</v>
      </c>
      <c r="Z1134">
        <v>1742398</v>
      </c>
    </row>
    <row r="1135" spans="1:26" x14ac:dyDescent="0.25">
      <c r="A1135">
        <v>1131</v>
      </c>
      <c r="B1135" t="s">
        <v>26</v>
      </c>
      <c r="C1135" t="s">
        <v>27</v>
      </c>
      <c r="D1135">
        <v>15</v>
      </c>
      <c r="E1135" t="s">
        <v>367</v>
      </c>
      <c r="F1135" t="s">
        <v>368</v>
      </c>
      <c r="G1135">
        <v>3926</v>
      </c>
      <c r="H1135" t="s">
        <v>2096</v>
      </c>
      <c r="I1135" t="s">
        <v>2097</v>
      </c>
      <c r="J1135">
        <v>8</v>
      </c>
      <c r="K1135">
        <v>1</v>
      </c>
      <c r="L1135">
        <v>6.8287037037037036E-4</v>
      </c>
      <c r="M1135" t="s">
        <v>117</v>
      </c>
      <c r="N1135" t="s">
        <v>1200</v>
      </c>
      <c r="O1135" s="24">
        <v>46122</v>
      </c>
      <c r="P1135">
        <v>605</v>
      </c>
      <c r="Q1135" t="s">
        <v>34</v>
      </c>
      <c r="R1135">
        <v>46135</v>
      </c>
      <c r="S1135" s="51">
        <v>0.66666666666666663</v>
      </c>
      <c r="T1135" s="51">
        <v>0.68055555555555558</v>
      </c>
      <c r="X1135" t="s">
        <v>3299</v>
      </c>
      <c r="Y1135" t="s">
        <v>3029</v>
      </c>
      <c r="Z1135">
        <v>1742398</v>
      </c>
    </row>
    <row r="1136" spans="1:26" x14ac:dyDescent="0.25">
      <c r="A1136">
        <v>1132</v>
      </c>
      <c r="B1136" t="s">
        <v>26</v>
      </c>
      <c r="C1136" t="s">
        <v>27</v>
      </c>
      <c r="D1136">
        <v>15</v>
      </c>
      <c r="E1136" t="s">
        <v>367</v>
      </c>
      <c r="F1136" t="s">
        <v>427</v>
      </c>
      <c r="G1136">
        <v>3926</v>
      </c>
      <c r="H1136" t="s">
        <v>2276</v>
      </c>
      <c r="I1136" t="s">
        <v>2270</v>
      </c>
      <c r="J1136">
        <v>8</v>
      </c>
      <c r="K1136">
        <v>1</v>
      </c>
      <c r="L1136">
        <v>1.6666666666666666E-3</v>
      </c>
      <c r="M1136" t="s">
        <v>117</v>
      </c>
      <c r="N1136" t="s">
        <v>1200</v>
      </c>
      <c r="O1136" s="24">
        <v>46122</v>
      </c>
      <c r="P1136">
        <v>605</v>
      </c>
      <c r="Q1136" t="s">
        <v>34</v>
      </c>
      <c r="R1136">
        <v>46135</v>
      </c>
      <c r="S1136" s="51">
        <v>0.66666666666666663</v>
      </c>
      <c r="T1136" s="51">
        <v>0.68055555555555558</v>
      </c>
      <c r="X1136" t="s">
        <v>3299</v>
      </c>
      <c r="Y1136" t="s">
        <v>3029</v>
      </c>
      <c r="Z1136">
        <v>1742398</v>
      </c>
    </row>
    <row r="1137" spans="1:26" x14ac:dyDescent="0.25">
      <c r="A1137">
        <v>1133</v>
      </c>
      <c r="B1137" t="s">
        <v>26</v>
      </c>
      <c r="C1137" t="s">
        <v>27</v>
      </c>
      <c r="D1137">
        <v>15</v>
      </c>
      <c r="E1137" t="s">
        <v>367</v>
      </c>
      <c r="F1137" t="s">
        <v>1594</v>
      </c>
      <c r="G1137">
        <v>3926</v>
      </c>
      <c r="H1137" t="s">
        <v>2574</v>
      </c>
      <c r="I1137" t="s">
        <v>2487</v>
      </c>
      <c r="J1137">
        <v>8</v>
      </c>
      <c r="K1137">
        <v>1</v>
      </c>
      <c r="L1137">
        <v>9.4907407407407408E-4</v>
      </c>
      <c r="M1137" t="s">
        <v>117</v>
      </c>
      <c r="N1137" t="s">
        <v>1200</v>
      </c>
      <c r="O1137" s="24">
        <v>46122</v>
      </c>
      <c r="P1137">
        <v>605</v>
      </c>
      <c r="Q1137" t="s">
        <v>34</v>
      </c>
      <c r="R1137">
        <v>46135</v>
      </c>
      <c r="S1137" s="51">
        <v>0.66666666666666663</v>
      </c>
      <c r="T1137" s="51">
        <v>0.68055555555555558</v>
      </c>
      <c r="X1137" t="s">
        <v>3299</v>
      </c>
      <c r="Y1137" t="s">
        <v>3029</v>
      </c>
      <c r="Z1137">
        <v>1742398</v>
      </c>
    </row>
    <row r="1138" spans="1:26" x14ac:dyDescent="0.25">
      <c r="A1138">
        <v>1134</v>
      </c>
      <c r="B1138" t="s">
        <v>26</v>
      </c>
      <c r="C1138" t="s">
        <v>27</v>
      </c>
      <c r="D1138">
        <v>15</v>
      </c>
      <c r="E1138" t="s">
        <v>2729</v>
      </c>
      <c r="F1138" t="s">
        <v>512</v>
      </c>
      <c r="G1138">
        <v>3926</v>
      </c>
      <c r="H1138" t="s">
        <v>2727</v>
      </c>
      <c r="I1138" t="s">
        <v>2728</v>
      </c>
      <c r="J1138">
        <v>8</v>
      </c>
      <c r="K1138">
        <v>1</v>
      </c>
      <c r="L1138">
        <v>1.4699074074074074E-3</v>
      </c>
      <c r="M1138" t="s">
        <v>117</v>
      </c>
      <c r="N1138" t="s">
        <v>1200</v>
      </c>
      <c r="O1138" s="24">
        <v>46122</v>
      </c>
      <c r="P1138">
        <v>605</v>
      </c>
      <c r="Q1138" t="s">
        <v>34</v>
      </c>
      <c r="R1138">
        <v>46135</v>
      </c>
      <c r="S1138" s="51">
        <v>0.66666666666666663</v>
      </c>
      <c r="T1138" s="51">
        <v>0.68055555555555558</v>
      </c>
      <c r="X1138" t="s">
        <v>3299</v>
      </c>
      <c r="Y1138" t="s">
        <v>3029</v>
      </c>
      <c r="Z1138">
        <v>1742398</v>
      </c>
    </row>
    <row r="1139" spans="1:26" x14ac:dyDescent="0.25">
      <c r="A1139">
        <v>1135</v>
      </c>
      <c r="B1139" t="s">
        <v>26</v>
      </c>
      <c r="C1139" t="s">
        <v>27</v>
      </c>
      <c r="D1139">
        <v>15</v>
      </c>
      <c r="E1139" t="s">
        <v>2742</v>
      </c>
      <c r="F1139" t="s">
        <v>512</v>
      </c>
      <c r="G1139">
        <v>3926</v>
      </c>
      <c r="H1139" t="s">
        <v>2741</v>
      </c>
      <c r="I1139" t="s">
        <v>2728</v>
      </c>
      <c r="J1139">
        <v>8</v>
      </c>
      <c r="K1139">
        <v>1</v>
      </c>
      <c r="L1139">
        <v>1.4699074074074074E-3</v>
      </c>
      <c r="M1139" t="s">
        <v>117</v>
      </c>
      <c r="N1139" t="s">
        <v>1200</v>
      </c>
      <c r="O1139" s="24">
        <v>46122</v>
      </c>
      <c r="P1139">
        <v>605</v>
      </c>
      <c r="Q1139" t="s">
        <v>34</v>
      </c>
      <c r="R1139">
        <v>46135</v>
      </c>
      <c r="S1139" s="51">
        <v>0.66666666666666663</v>
      </c>
      <c r="T1139" s="51">
        <v>0.68055555555555558</v>
      </c>
      <c r="X1139" t="s">
        <v>3299</v>
      </c>
      <c r="Y1139" t="s">
        <v>3029</v>
      </c>
      <c r="Z1139">
        <v>1742398</v>
      </c>
    </row>
    <row r="1140" spans="1:26" x14ac:dyDescent="0.25">
      <c r="A1140">
        <v>1136</v>
      </c>
      <c r="B1140" t="s">
        <v>26</v>
      </c>
      <c r="C1140" t="s">
        <v>27</v>
      </c>
      <c r="D1140">
        <v>15</v>
      </c>
      <c r="E1140" t="s">
        <v>1665</v>
      </c>
      <c r="F1140" t="s">
        <v>498</v>
      </c>
      <c r="G1140">
        <v>3928</v>
      </c>
      <c r="H1140" t="s">
        <v>2110</v>
      </c>
      <c r="I1140" t="s">
        <v>2111</v>
      </c>
      <c r="J1140">
        <v>8</v>
      </c>
      <c r="K1140">
        <v>2</v>
      </c>
      <c r="L1140">
        <v>1.1805555555555556E-3</v>
      </c>
      <c r="M1140" t="s">
        <v>117</v>
      </c>
      <c r="N1140" t="s">
        <v>953</v>
      </c>
      <c r="O1140" s="24">
        <v>46122</v>
      </c>
      <c r="P1140">
        <v>603</v>
      </c>
      <c r="Q1140" t="s">
        <v>34</v>
      </c>
      <c r="R1140" s="24">
        <v>46136</v>
      </c>
      <c r="S1140" s="51">
        <v>0.63402777777777775</v>
      </c>
      <c r="T1140" s="51">
        <v>0.64513888888888893</v>
      </c>
      <c r="X1140" t="s">
        <v>3300</v>
      </c>
      <c r="Y1140" t="s">
        <v>3029</v>
      </c>
      <c r="Z1140">
        <v>1742255</v>
      </c>
    </row>
    <row r="1141" spans="1:26" x14ac:dyDescent="0.25">
      <c r="A1141">
        <v>1137</v>
      </c>
      <c r="B1141" t="s">
        <v>26</v>
      </c>
      <c r="C1141" t="s">
        <v>27</v>
      </c>
      <c r="D1141">
        <v>15</v>
      </c>
      <c r="E1141" t="s">
        <v>1672</v>
      </c>
      <c r="F1141" t="s">
        <v>512</v>
      </c>
      <c r="G1141">
        <v>3928</v>
      </c>
      <c r="H1141" t="s">
        <v>2297</v>
      </c>
      <c r="I1141" t="s">
        <v>2226</v>
      </c>
      <c r="J1141">
        <v>8</v>
      </c>
      <c r="K1141">
        <v>1</v>
      </c>
      <c r="L1141">
        <v>1.8287037037037037E-3</v>
      </c>
      <c r="M1141" t="s">
        <v>117</v>
      </c>
      <c r="N1141" t="s">
        <v>953</v>
      </c>
      <c r="O1141" s="24">
        <v>46122</v>
      </c>
      <c r="P1141">
        <v>603</v>
      </c>
      <c r="Q1141" t="s">
        <v>34</v>
      </c>
      <c r="R1141" s="24">
        <v>46136</v>
      </c>
      <c r="S1141" s="51">
        <v>0.63402777777777775</v>
      </c>
      <c r="T1141" s="51">
        <v>0.64513888888888893</v>
      </c>
      <c r="X1141" t="s">
        <v>3300</v>
      </c>
      <c r="Y1141" t="s">
        <v>3029</v>
      </c>
      <c r="Z1141">
        <v>1742255</v>
      </c>
    </row>
    <row r="1142" spans="1:26" x14ac:dyDescent="0.25">
      <c r="A1142">
        <v>1138</v>
      </c>
      <c r="B1142" t="s">
        <v>26</v>
      </c>
      <c r="C1142" t="s">
        <v>27</v>
      </c>
      <c r="D1142">
        <v>15</v>
      </c>
      <c r="E1142" t="s">
        <v>1672</v>
      </c>
      <c r="F1142" t="s">
        <v>115</v>
      </c>
      <c r="G1142">
        <v>3928</v>
      </c>
      <c r="H1142" t="s">
        <v>2087</v>
      </c>
      <c r="I1142" t="s">
        <v>2088</v>
      </c>
      <c r="J1142">
        <v>8</v>
      </c>
      <c r="K1142">
        <v>2</v>
      </c>
      <c r="L1142">
        <v>1.7129629629629628E-3</v>
      </c>
      <c r="M1142" t="s">
        <v>117</v>
      </c>
      <c r="N1142" t="s">
        <v>953</v>
      </c>
      <c r="O1142" s="24">
        <v>46122</v>
      </c>
      <c r="P1142">
        <v>603</v>
      </c>
      <c r="Q1142" t="s">
        <v>34</v>
      </c>
      <c r="R1142" s="24">
        <v>46136</v>
      </c>
      <c r="S1142" s="51">
        <v>0.63402777777777775</v>
      </c>
      <c r="T1142" s="51">
        <v>0.64513888888888893</v>
      </c>
      <c r="X1142" t="s">
        <v>3300</v>
      </c>
      <c r="Y1142" t="s">
        <v>3029</v>
      </c>
      <c r="Z1142">
        <v>1742255</v>
      </c>
    </row>
    <row r="1143" spans="1:26" x14ac:dyDescent="0.25">
      <c r="A1143">
        <v>1139</v>
      </c>
      <c r="B1143" t="s">
        <v>26</v>
      </c>
      <c r="C1143" t="s">
        <v>27</v>
      </c>
      <c r="D1143">
        <v>15</v>
      </c>
      <c r="E1143" t="s">
        <v>131</v>
      </c>
      <c r="F1143" t="s">
        <v>115</v>
      </c>
      <c r="G1143">
        <v>3928</v>
      </c>
      <c r="H1143" t="s">
        <v>2744</v>
      </c>
      <c r="I1143" t="s">
        <v>2088</v>
      </c>
      <c r="J1143">
        <v>8</v>
      </c>
      <c r="K1143">
        <v>2</v>
      </c>
      <c r="L1143">
        <v>1.7129629629629628E-3</v>
      </c>
      <c r="M1143" t="s">
        <v>117</v>
      </c>
      <c r="N1143" t="s">
        <v>953</v>
      </c>
      <c r="O1143" s="24">
        <v>46122</v>
      </c>
      <c r="P1143">
        <v>603</v>
      </c>
      <c r="Q1143" t="s">
        <v>34</v>
      </c>
      <c r="R1143" s="24">
        <v>46136</v>
      </c>
      <c r="S1143" s="51">
        <v>0.63402777777777775</v>
      </c>
      <c r="T1143" s="51">
        <v>0.64513888888888893</v>
      </c>
      <c r="X1143" t="s">
        <v>3300</v>
      </c>
      <c r="Y1143" t="s">
        <v>3029</v>
      </c>
      <c r="Z1143">
        <v>1742255</v>
      </c>
    </row>
    <row r="1144" spans="1:26" x14ac:dyDescent="0.25">
      <c r="A1144">
        <v>1140</v>
      </c>
      <c r="B1144" t="s">
        <v>26</v>
      </c>
      <c r="C1144" t="s">
        <v>27</v>
      </c>
      <c r="D1144">
        <v>15</v>
      </c>
      <c r="E1144" t="s">
        <v>1672</v>
      </c>
      <c r="F1144" t="s">
        <v>115</v>
      </c>
      <c r="G1144">
        <v>3928</v>
      </c>
      <c r="H1144" t="s">
        <v>2266</v>
      </c>
      <c r="I1144" t="s">
        <v>2267</v>
      </c>
      <c r="J1144">
        <v>8</v>
      </c>
      <c r="K1144">
        <v>1</v>
      </c>
      <c r="L1144">
        <v>5.6597222222222222E-3</v>
      </c>
      <c r="M1144" t="s">
        <v>117</v>
      </c>
      <c r="N1144" t="s">
        <v>953</v>
      </c>
      <c r="O1144" s="24">
        <v>46122</v>
      </c>
      <c r="P1144">
        <v>603</v>
      </c>
      <c r="Q1144" t="s">
        <v>34</v>
      </c>
      <c r="R1144" s="24">
        <v>46136</v>
      </c>
      <c r="S1144" s="51">
        <v>0.63402777777777775</v>
      </c>
      <c r="T1144" s="51">
        <v>0.64513888888888893</v>
      </c>
      <c r="X1144" t="s">
        <v>3300</v>
      </c>
      <c r="Y1144" t="s">
        <v>3029</v>
      </c>
      <c r="Z1144">
        <v>1742255</v>
      </c>
    </row>
    <row r="1145" spans="1:26" x14ac:dyDescent="0.25">
      <c r="A1145">
        <v>1141</v>
      </c>
      <c r="B1145" t="s">
        <v>26</v>
      </c>
      <c r="C1145" t="s">
        <v>27</v>
      </c>
      <c r="D1145">
        <v>15</v>
      </c>
      <c r="E1145" t="s">
        <v>367</v>
      </c>
      <c r="F1145" t="s">
        <v>368</v>
      </c>
      <c r="G1145">
        <v>3928</v>
      </c>
      <c r="H1145" t="s">
        <v>2096</v>
      </c>
      <c r="I1145" t="s">
        <v>2097</v>
      </c>
      <c r="J1145">
        <v>8</v>
      </c>
      <c r="K1145">
        <v>1</v>
      </c>
      <c r="L1145">
        <v>6.5972222222222224E-4</v>
      </c>
      <c r="M1145" t="s">
        <v>117</v>
      </c>
      <c r="N1145" t="s">
        <v>953</v>
      </c>
      <c r="O1145" s="24">
        <v>46122</v>
      </c>
      <c r="P1145">
        <v>603</v>
      </c>
      <c r="Q1145" t="s">
        <v>34</v>
      </c>
      <c r="R1145" s="24">
        <v>46136</v>
      </c>
      <c r="S1145" s="51">
        <v>0.63402777777777775</v>
      </c>
      <c r="T1145" s="51">
        <v>0.64513888888888893</v>
      </c>
      <c r="X1145" t="s">
        <v>3300</v>
      </c>
      <c r="Y1145" t="s">
        <v>3029</v>
      </c>
      <c r="Z1145">
        <v>1742255</v>
      </c>
    </row>
    <row r="1146" spans="1:26" x14ac:dyDescent="0.25">
      <c r="A1146">
        <v>1142</v>
      </c>
      <c r="B1146" t="s">
        <v>26</v>
      </c>
      <c r="C1146" t="s">
        <v>27</v>
      </c>
      <c r="D1146">
        <v>15</v>
      </c>
      <c r="E1146" t="s">
        <v>367</v>
      </c>
      <c r="F1146" t="s">
        <v>512</v>
      </c>
      <c r="G1146">
        <v>3928</v>
      </c>
      <c r="H1146" t="s">
        <v>2203</v>
      </c>
      <c r="I1146" t="s">
        <v>2204</v>
      </c>
      <c r="J1146">
        <v>8</v>
      </c>
      <c r="K1146">
        <v>1</v>
      </c>
      <c r="L1146">
        <v>1.1342592592592591E-3</v>
      </c>
      <c r="M1146" t="s">
        <v>117</v>
      </c>
      <c r="N1146" t="s">
        <v>953</v>
      </c>
      <c r="O1146" s="24">
        <v>46122</v>
      </c>
      <c r="P1146">
        <v>603</v>
      </c>
      <c r="Q1146" t="s">
        <v>34</v>
      </c>
      <c r="R1146" s="24">
        <v>46136</v>
      </c>
      <c r="S1146" s="51">
        <v>0.63402777777777775</v>
      </c>
      <c r="T1146" s="51">
        <v>0.64513888888888893</v>
      </c>
      <c r="X1146" t="s">
        <v>3300</v>
      </c>
      <c r="Y1146" t="s">
        <v>3029</v>
      </c>
      <c r="Z1146">
        <v>1742255</v>
      </c>
    </row>
    <row r="1147" spans="1:26" x14ac:dyDescent="0.25">
      <c r="A1147">
        <v>1143</v>
      </c>
      <c r="B1147" t="s">
        <v>26</v>
      </c>
      <c r="C1147" t="s">
        <v>27</v>
      </c>
      <c r="D1147">
        <v>15</v>
      </c>
      <c r="E1147" t="s">
        <v>367</v>
      </c>
      <c r="F1147" t="s">
        <v>427</v>
      </c>
      <c r="G1147">
        <v>3928</v>
      </c>
      <c r="H1147" t="s">
        <v>2312</v>
      </c>
      <c r="I1147" t="s">
        <v>2270</v>
      </c>
      <c r="J1147">
        <v>8</v>
      </c>
      <c r="K1147">
        <v>1</v>
      </c>
      <c r="L1147">
        <v>1.6203703703703703E-3</v>
      </c>
      <c r="M1147" t="s">
        <v>117</v>
      </c>
      <c r="N1147" t="s">
        <v>953</v>
      </c>
      <c r="O1147" s="24">
        <v>46122</v>
      </c>
      <c r="P1147">
        <v>603</v>
      </c>
      <c r="Q1147" t="s">
        <v>34</v>
      </c>
      <c r="R1147" s="24">
        <v>46136</v>
      </c>
      <c r="S1147" s="51">
        <v>0.63402777777777775</v>
      </c>
      <c r="T1147" s="51">
        <v>0.64513888888888893</v>
      </c>
      <c r="X1147" t="s">
        <v>3300</v>
      </c>
      <c r="Y1147" t="s">
        <v>3029</v>
      </c>
      <c r="Z1147">
        <v>1742255</v>
      </c>
    </row>
    <row r="1148" spans="1:26" x14ac:dyDescent="0.25">
      <c r="A1148">
        <v>1144</v>
      </c>
      <c r="B1148" t="s">
        <v>26</v>
      </c>
      <c r="C1148" t="s">
        <v>27</v>
      </c>
      <c r="D1148">
        <v>15</v>
      </c>
      <c r="E1148" t="s">
        <v>1665</v>
      </c>
      <c r="F1148" t="s">
        <v>512</v>
      </c>
      <c r="G1148">
        <v>4370</v>
      </c>
      <c r="H1148" t="s">
        <v>2225</v>
      </c>
      <c r="I1148" t="s">
        <v>2226</v>
      </c>
      <c r="J1148">
        <v>8</v>
      </c>
      <c r="K1148">
        <v>2</v>
      </c>
      <c r="L1148">
        <v>3.9004629629629628E-3</v>
      </c>
      <c r="M1148" t="s">
        <v>778</v>
      </c>
      <c r="N1148" t="s">
        <v>1388</v>
      </c>
      <c r="O1148" s="24">
        <v>46133</v>
      </c>
      <c r="P1148">
        <v>605</v>
      </c>
      <c r="Q1148" t="s">
        <v>34</v>
      </c>
      <c r="X1148" t="s">
        <v>3301</v>
      </c>
    </row>
    <row r="1149" spans="1:26" x14ac:dyDescent="0.25">
      <c r="A1149">
        <v>1145</v>
      </c>
      <c r="B1149" t="s">
        <v>26</v>
      </c>
      <c r="C1149" t="s">
        <v>27</v>
      </c>
      <c r="D1149">
        <v>15</v>
      </c>
      <c r="E1149" t="s">
        <v>1672</v>
      </c>
      <c r="F1149" t="s">
        <v>512</v>
      </c>
      <c r="G1149">
        <v>4370</v>
      </c>
      <c r="H1149" t="s">
        <v>2297</v>
      </c>
      <c r="I1149" t="s">
        <v>2226</v>
      </c>
      <c r="J1149">
        <v>8</v>
      </c>
      <c r="K1149">
        <v>4</v>
      </c>
      <c r="L1149">
        <v>7.8009259259259256E-3</v>
      </c>
      <c r="M1149" t="s">
        <v>778</v>
      </c>
      <c r="N1149" t="s">
        <v>1388</v>
      </c>
      <c r="O1149" s="24">
        <v>46133</v>
      </c>
      <c r="P1149">
        <v>605</v>
      </c>
      <c r="Q1149" t="s">
        <v>34</v>
      </c>
      <c r="X1149" t="s">
        <v>3301</v>
      </c>
    </row>
    <row r="1150" spans="1:26" x14ac:dyDescent="0.25">
      <c r="A1150">
        <v>1146</v>
      </c>
      <c r="B1150" t="s">
        <v>26</v>
      </c>
      <c r="C1150" t="s">
        <v>27</v>
      </c>
      <c r="D1150">
        <v>15</v>
      </c>
      <c r="E1150" t="s">
        <v>131</v>
      </c>
      <c r="F1150" t="s">
        <v>512</v>
      </c>
      <c r="G1150">
        <v>4370</v>
      </c>
      <c r="H1150" t="s">
        <v>2746</v>
      </c>
      <c r="I1150" t="s">
        <v>1620</v>
      </c>
      <c r="J1150">
        <v>8</v>
      </c>
      <c r="K1150">
        <v>1</v>
      </c>
      <c r="L1150">
        <v>6.0185185185185185E-3</v>
      </c>
      <c r="M1150" t="s">
        <v>778</v>
      </c>
      <c r="N1150" t="s">
        <v>1388</v>
      </c>
      <c r="O1150" s="24">
        <v>46133</v>
      </c>
      <c r="P1150">
        <v>605</v>
      </c>
      <c r="Q1150" t="s">
        <v>34</v>
      </c>
      <c r="X1150" t="s">
        <v>3301</v>
      </c>
    </row>
    <row r="1151" spans="1:26" x14ac:dyDescent="0.25">
      <c r="A1151">
        <v>1147</v>
      </c>
      <c r="B1151" t="s">
        <v>26</v>
      </c>
      <c r="C1151" t="s">
        <v>27</v>
      </c>
      <c r="D1151">
        <v>15</v>
      </c>
      <c r="E1151" t="s">
        <v>1588</v>
      </c>
      <c r="F1151" t="s">
        <v>44</v>
      </c>
      <c r="G1151">
        <v>4370</v>
      </c>
      <c r="H1151" t="s">
        <v>2275</v>
      </c>
      <c r="I1151" t="s">
        <v>2216</v>
      </c>
      <c r="J1151">
        <v>8</v>
      </c>
      <c r="K1151">
        <v>1</v>
      </c>
      <c r="L1151">
        <v>1.747685185185185E-3</v>
      </c>
      <c r="M1151" t="s">
        <v>778</v>
      </c>
      <c r="N1151" t="s">
        <v>1388</v>
      </c>
      <c r="O1151" s="24">
        <v>46133</v>
      </c>
      <c r="P1151">
        <v>605</v>
      </c>
      <c r="Q1151" t="s">
        <v>34</v>
      </c>
      <c r="X1151" t="s">
        <v>3301</v>
      </c>
    </row>
    <row r="1152" spans="1:26" x14ac:dyDescent="0.25">
      <c r="A1152">
        <v>1148</v>
      </c>
      <c r="B1152" t="s">
        <v>26</v>
      </c>
      <c r="C1152" t="s">
        <v>27</v>
      </c>
      <c r="D1152">
        <v>15</v>
      </c>
      <c r="E1152" t="s">
        <v>1588</v>
      </c>
      <c r="F1152" t="s">
        <v>512</v>
      </c>
      <c r="G1152">
        <v>4354</v>
      </c>
      <c r="H1152" t="s">
        <v>2197</v>
      </c>
      <c r="I1152" t="s">
        <v>2198</v>
      </c>
      <c r="J1152">
        <v>8</v>
      </c>
      <c r="K1152">
        <v>1</v>
      </c>
      <c r="L1152">
        <v>6.192129629629629E-3</v>
      </c>
      <c r="M1152" t="s">
        <v>778</v>
      </c>
      <c r="N1152" t="s">
        <v>777</v>
      </c>
      <c r="O1152" s="24">
        <v>46128</v>
      </c>
      <c r="P1152">
        <v>603</v>
      </c>
      <c r="Q1152" t="s">
        <v>34</v>
      </c>
      <c r="X1152" t="s">
        <v>3302</v>
      </c>
    </row>
    <row r="1153" spans="1:26" x14ac:dyDescent="0.25">
      <c r="A1153">
        <v>1149</v>
      </c>
      <c r="B1153" t="s">
        <v>26</v>
      </c>
      <c r="C1153" t="s">
        <v>27</v>
      </c>
      <c r="D1153">
        <v>15</v>
      </c>
      <c r="E1153" t="s">
        <v>2195</v>
      </c>
      <c r="F1153" t="s">
        <v>44</v>
      </c>
      <c r="G1153">
        <v>4354</v>
      </c>
      <c r="H1153" t="s">
        <v>48</v>
      </c>
      <c r="I1153" t="s">
        <v>1119</v>
      </c>
      <c r="J1153">
        <v>8</v>
      </c>
      <c r="K1153">
        <v>1</v>
      </c>
      <c r="L1153">
        <v>1.5162037037037036E-3</v>
      </c>
      <c r="M1153" t="s">
        <v>778</v>
      </c>
      <c r="N1153" t="s">
        <v>777</v>
      </c>
      <c r="O1153" s="24">
        <v>46128</v>
      </c>
      <c r="P1153">
        <v>603</v>
      </c>
      <c r="Q1153" t="s">
        <v>34</v>
      </c>
      <c r="X1153" t="s">
        <v>3302</v>
      </c>
    </row>
    <row r="1154" spans="1:26" x14ac:dyDescent="0.25">
      <c r="A1154">
        <v>1150</v>
      </c>
      <c r="B1154" t="s">
        <v>26</v>
      </c>
      <c r="C1154" t="s">
        <v>27</v>
      </c>
      <c r="D1154">
        <v>15</v>
      </c>
      <c r="E1154" t="s">
        <v>1588</v>
      </c>
      <c r="F1154" t="s">
        <v>512</v>
      </c>
      <c r="G1154">
        <v>4355</v>
      </c>
      <c r="H1154" t="s">
        <v>2197</v>
      </c>
      <c r="I1154" t="s">
        <v>2198</v>
      </c>
      <c r="J1154">
        <v>8</v>
      </c>
      <c r="K1154">
        <v>1</v>
      </c>
      <c r="L1154">
        <v>6.192129629629629E-3</v>
      </c>
      <c r="M1154" t="s">
        <v>778</v>
      </c>
      <c r="N1154" t="s">
        <v>777</v>
      </c>
      <c r="O1154" s="24">
        <v>46128</v>
      </c>
      <c r="P1154">
        <v>603</v>
      </c>
      <c r="Q1154" t="s">
        <v>34</v>
      </c>
      <c r="X1154" t="s">
        <v>3303</v>
      </c>
    </row>
    <row r="1155" spans="1:26" x14ac:dyDescent="0.25">
      <c r="A1155">
        <v>1151</v>
      </c>
      <c r="B1155" t="s">
        <v>26</v>
      </c>
      <c r="C1155" t="s">
        <v>27</v>
      </c>
      <c r="D1155">
        <v>15</v>
      </c>
      <c r="E1155" t="s">
        <v>2195</v>
      </c>
      <c r="F1155" t="s">
        <v>44</v>
      </c>
      <c r="G1155">
        <v>4355</v>
      </c>
      <c r="H1155" t="s">
        <v>48</v>
      </c>
      <c r="I1155" t="s">
        <v>1119</v>
      </c>
      <c r="J1155">
        <v>8</v>
      </c>
      <c r="K1155">
        <v>1</v>
      </c>
      <c r="L1155">
        <v>1.5162037037037036E-3</v>
      </c>
      <c r="M1155" t="s">
        <v>778</v>
      </c>
      <c r="N1155" t="s">
        <v>777</v>
      </c>
      <c r="O1155" s="24">
        <v>46128</v>
      </c>
      <c r="P1155">
        <v>603</v>
      </c>
      <c r="Q1155" t="s">
        <v>34</v>
      </c>
      <c r="X1155" t="s">
        <v>3303</v>
      </c>
    </row>
    <row r="1156" spans="1:26" x14ac:dyDescent="0.25">
      <c r="A1156">
        <v>1152</v>
      </c>
      <c r="B1156" t="s">
        <v>26</v>
      </c>
      <c r="C1156" t="s">
        <v>27</v>
      </c>
      <c r="D1156">
        <v>15</v>
      </c>
      <c r="E1156" t="s">
        <v>1588</v>
      </c>
      <c r="F1156" t="s">
        <v>512</v>
      </c>
      <c r="G1156">
        <v>4353</v>
      </c>
      <c r="H1156" t="s">
        <v>2197</v>
      </c>
      <c r="I1156" t="s">
        <v>2198</v>
      </c>
      <c r="J1156">
        <v>8</v>
      </c>
      <c r="K1156">
        <v>1</v>
      </c>
      <c r="L1156">
        <v>6.0185185185185185E-3</v>
      </c>
      <c r="M1156" t="s">
        <v>778</v>
      </c>
      <c r="N1156" t="s">
        <v>777</v>
      </c>
      <c r="O1156" s="24">
        <v>46128</v>
      </c>
      <c r="P1156">
        <v>603</v>
      </c>
      <c r="Q1156" t="s">
        <v>34</v>
      </c>
      <c r="X1156" t="s">
        <v>3304</v>
      </c>
    </row>
    <row r="1157" spans="1:26" x14ac:dyDescent="0.25">
      <c r="A1157">
        <v>1153</v>
      </c>
      <c r="B1157" t="s">
        <v>26</v>
      </c>
      <c r="C1157" t="s">
        <v>27</v>
      </c>
      <c r="D1157">
        <v>15</v>
      </c>
      <c r="E1157" t="s">
        <v>367</v>
      </c>
      <c r="F1157" t="s">
        <v>1594</v>
      </c>
      <c r="G1157">
        <v>4353</v>
      </c>
      <c r="H1157" t="s">
        <v>2474</v>
      </c>
      <c r="I1157" t="s">
        <v>2475</v>
      </c>
      <c r="J1157">
        <v>8</v>
      </c>
      <c r="K1157">
        <v>1</v>
      </c>
      <c r="L1157">
        <v>9.4907407407407408E-4</v>
      </c>
      <c r="M1157" t="s">
        <v>778</v>
      </c>
      <c r="N1157" t="s">
        <v>777</v>
      </c>
      <c r="O1157" s="24">
        <v>46128</v>
      </c>
      <c r="P1157">
        <v>603</v>
      </c>
      <c r="Q1157" t="s">
        <v>34</v>
      </c>
      <c r="X1157" t="s">
        <v>3304</v>
      </c>
    </row>
    <row r="1158" spans="1:26" x14ac:dyDescent="0.25">
      <c r="A1158">
        <v>1154</v>
      </c>
      <c r="B1158" t="s">
        <v>26</v>
      </c>
      <c r="C1158" t="s">
        <v>27</v>
      </c>
      <c r="D1158">
        <v>15</v>
      </c>
      <c r="E1158" t="s">
        <v>2195</v>
      </c>
      <c r="F1158" t="s">
        <v>44</v>
      </c>
      <c r="G1158">
        <v>4353</v>
      </c>
      <c r="H1158" t="s">
        <v>48</v>
      </c>
      <c r="I1158" t="s">
        <v>1119</v>
      </c>
      <c r="J1158">
        <v>8</v>
      </c>
      <c r="K1158">
        <v>1</v>
      </c>
      <c r="L1158">
        <v>1.4699074074074074E-3</v>
      </c>
      <c r="M1158" t="s">
        <v>778</v>
      </c>
      <c r="N1158" t="s">
        <v>777</v>
      </c>
      <c r="O1158" s="24">
        <v>46128</v>
      </c>
      <c r="P1158">
        <v>603</v>
      </c>
      <c r="Q1158" t="s">
        <v>34</v>
      </c>
      <c r="X1158" t="s">
        <v>3304</v>
      </c>
    </row>
    <row r="1159" spans="1:26" x14ac:dyDescent="0.25">
      <c r="A1159">
        <v>1155</v>
      </c>
      <c r="B1159" t="s">
        <v>26</v>
      </c>
      <c r="C1159" t="s">
        <v>27</v>
      </c>
      <c r="D1159">
        <v>15</v>
      </c>
      <c r="E1159" t="s">
        <v>1588</v>
      </c>
      <c r="F1159" t="s">
        <v>512</v>
      </c>
      <c r="G1159">
        <v>4352</v>
      </c>
      <c r="H1159" t="s">
        <v>2197</v>
      </c>
      <c r="I1159" t="s">
        <v>2198</v>
      </c>
      <c r="J1159">
        <v>8</v>
      </c>
      <c r="K1159">
        <v>1</v>
      </c>
      <c r="L1159">
        <v>6.192129629629629E-3</v>
      </c>
      <c r="M1159" t="s">
        <v>778</v>
      </c>
      <c r="N1159" t="s">
        <v>777</v>
      </c>
      <c r="O1159" s="24">
        <v>46128</v>
      </c>
      <c r="P1159">
        <v>603</v>
      </c>
      <c r="Q1159" t="s">
        <v>34</v>
      </c>
      <c r="X1159" t="s">
        <v>3305</v>
      </c>
    </row>
    <row r="1160" spans="1:26" x14ac:dyDescent="0.25">
      <c r="A1160">
        <v>1156</v>
      </c>
      <c r="B1160" t="s">
        <v>26</v>
      </c>
      <c r="C1160" t="s">
        <v>27</v>
      </c>
      <c r="D1160">
        <v>15</v>
      </c>
      <c r="E1160" t="s">
        <v>2195</v>
      </c>
      <c r="F1160" t="s">
        <v>44</v>
      </c>
      <c r="G1160">
        <v>4352</v>
      </c>
      <c r="H1160" t="s">
        <v>48</v>
      </c>
      <c r="I1160" t="s">
        <v>1119</v>
      </c>
      <c r="J1160">
        <v>8</v>
      </c>
      <c r="K1160">
        <v>1</v>
      </c>
      <c r="L1160">
        <v>1.5162037037037036E-3</v>
      </c>
      <c r="M1160" t="s">
        <v>778</v>
      </c>
      <c r="N1160" t="s">
        <v>777</v>
      </c>
      <c r="O1160" s="24">
        <v>46128</v>
      </c>
      <c r="P1160">
        <v>603</v>
      </c>
      <c r="Q1160" t="s">
        <v>34</v>
      </c>
      <c r="X1160" t="s">
        <v>3305</v>
      </c>
    </row>
    <row r="1161" spans="1:26" x14ac:dyDescent="0.25">
      <c r="A1161">
        <v>1157</v>
      </c>
      <c r="B1161" t="s">
        <v>26</v>
      </c>
      <c r="C1161" t="s">
        <v>27</v>
      </c>
      <c r="D1161">
        <v>15</v>
      </c>
      <c r="E1161" t="s">
        <v>1672</v>
      </c>
      <c r="F1161" t="s">
        <v>512</v>
      </c>
      <c r="G1161">
        <v>3934</v>
      </c>
      <c r="H1161" t="s">
        <v>2297</v>
      </c>
      <c r="I1161" t="s">
        <v>2226</v>
      </c>
      <c r="J1161">
        <v>8</v>
      </c>
      <c r="K1161">
        <v>3</v>
      </c>
      <c r="L1161">
        <v>5.0115740740740737E-3</v>
      </c>
      <c r="M1161" t="s">
        <v>117</v>
      </c>
      <c r="N1161" t="s">
        <v>1128</v>
      </c>
      <c r="O1161" s="24">
        <v>46126</v>
      </c>
      <c r="P1161">
        <v>605</v>
      </c>
      <c r="Q1161" t="s">
        <v>34</v>
      </c>
      <c r="R1161">
        <v>46137</v>
      </c>
      <c r="S1161" s="51">
        <v>0.58958333333333335</v>
      </c>
      <c r="T1161" s="51">
        <v>0.59722222222222221</v>
      </c>
      <c r="X1161" t="s">
        <v>3306</v>
      </c>
      <c r="Y1161" t="s">
        <v>3029</v>
      </c>
      <c r="Z1161">
        <v>2777698</v>
      </c>
    </row>
    <row r="1162" spans="1:26" x14ac:dyDescent="0.25">
      <c r="A1162">
        <v>1158</v>
      </c>
      <c r="B1162" t="s">
        <v>26</v>
      </c>
      <c r="C1162" t="s">
        <v>27</v>
      </c>
      <c r="D1162">
        <v>15</v>
      </c>
      <c r="E1162" t="s">
        <v>1588</v>
      </c>
      <c r="F1162" t="s">
        <v>44</v>
      </c>
      <c r="G1162">
        <v>3934</v>
      </c>
      <c r="H1162" t="s">
        <v>1623</v>
      </c>
      <c r="I1162" t="s">
        <v>1624</v>
      </c>
      <c r="J1162">
        <v>8</v>
      </c>
      <c r="K1162">
        <v>2</v>
      </c>
      <c r="L1162">
        <v>2.7083333333333334E-3</v>
      </c>
      <c r="M1162" t="s">
        <v>117</v>
      </c>
      <c r="N1162" t="s">
        <v>1128</v>
      </c>
      <c r="O1162" s="24">
        <v>46126</v>
      </c>
      <c r="P1162">
        <v>605</v>
      </c>
      <c r="Q1162" t="s">
        <v>34</v>
      </c>
      <c r="R1162">
        <v>46137</v>
      </c>
      <c r="S1162" s="51">
        <v>0.58958333333333335</v>
      </c>
      <c r="T1162" s="51">
        <v>0.59722222222222221</v>
      </c>
      <c r="X1162" t="s">
        <v>3306</v>
      </c>
      <c r="Y1162" t="s">
        <v>3029</v>
      </c>
      <c r="Z1162">
        <v>2777698</v>
      </c>
    </row>
    <row r="1163" spans="1:26" x14ac:dyDescent="0.25">
      <c r="A1163">
        <v>1159</v>
      </c>
      <c r="B1163" t="s">
        <v>26</v>
      </c>
      <c r="C1163" t="s">
        <v>27</v>
      </c>
      <c r="D1163">
        <v>15</v>
      </c>
      <c r="E1163" t="s">
        <v>1588</v>
      </c>
      <c r="F1163" t="s">
        <v>44</v>
      </c>
      <c r="G1163">
        <v>3934</v>
      </c>
      <c r="H1163" t="s">
        <v>2048</v>
      </c>
      <c r="I1163" t="s">
        <v>2049</v>
      </c>
      <c r="J1163">
        <v>8</v>
      </c>
      <c r="K1163">
        <v>1</v>
      </c>
      <c r="L1163">
        <v>1.2037037037037036E-3</v>
      </c>
      <c r="M1163" t="s">
        <v>117</v>
      </c>
      <c r="N1163" t="s">
        <v>1128</v>
      </c>
      <c r="O1163" s="24">
        <v>46126</v>
      </c>
      <c r="P1163">
        <v>605</v>
      </c>
      <c r="Q1163" t="s">
        <v>34</v>
      </c>
      <c r="R1163">
        <v>46137</v>
      </c>
      <c r="S1163" s="51">
        <v>0.58958333333333335</v>
      </c>
      <c r="T1163" s="51">
        <v>0.59722222222222221</v>
      </c>
      <c r="X1163" t="s">
        <v>3306</v>
      </c>
      <c r="Y1163" t="s">
        <v>3029</v>
      </c>
      <c r="Z1163">
        <v>2777698</v>
      </c>
    </row>
    <row r="1164" spans="1:26" x14ac:dyDescent="0.25">
      <c r="A1164">
        <v>1160</v>
      </c>
      <c r="B1164" t="s">
        <v>26</v>
      </c>
      <c r="C1164" t="s">
        <v>27</v>
      </c>
      <c r="D1164">
        <v>15</v>
      </c>
      <c r="E1164" t="s">
        <v>367</v>
      </c>
      <c r="F1164" t="s">
        <v>1592</v>
      </c>
      <c r="G1164">
        <v>3934</v>
      </c>
      <c r="H1164" t="s">
        <v>2062</v>
      </c>
      <c r="I1164" t="s">
        <v>2063</v>
      </c>
      <c r="J1164">
        <v>8</v>
      </c>
      <c r="K1164">
        <v>11</v>
      </c>
      <c r="L1164">
        <v>4.5949074074074069E-3</v>
      </c>
      <c r="M1164" t="s">
        <v>117</v>
      </c>
      <c r="N1164" t="s">
        <v>1128</v>
      </c>
      <c r="O1164" s="24">
        <v>46126</v>
      </c>
      <c r="P1164">
        <v>605</v>
      </c>
      <c r="Q1164" t="s">
        <v>34</v>
      </c>
      <c r="R1164">
        <v>46137</v>
      </c>
      <c r="S1164" s="51">
        <v>0.58958333333333335</v>
      </c>
      <c r="T1164" s="51">
        <v>0.59722222222222221</v>
      </c>
      <c r="X1164" t="s">
        <v>3306</v>
      </c>
      <c r="Y1164" t="s">
        <v>3029</v>
      </c>
      <c r="Z1164">
        <v>2777698</v>
      </c>
    </row>
    <row r="1165" spans="1:26" x14ac:dyDescent="0.25">
      <c r="A1165">
        <v>1161</v>
      </c>
      <c r="B1165" t="s">
        <v>26</v>
      </c>
      <c r="C1165" t="s">
        <v>27</v>
      </c>
      <c r="D1165">
        <v>15</v>
      </c>
      <c r="E1165" t="s">
        <v>1141</v>
      </c>
      <c r="F1165" t="s">
        <v>1594</v>
      </c>
      <c r="G1165">
        <v>3934</v>
      </c>
      <c r="H1165" t="s">
        <v>2433</v>
      </c>
      <c r="I1165" t="s">
        <v>2434</v>
      </c>
      <c r="J1165">
        <v>8</v>
      </c>
      <c r="K1165">
        <v>1</v>
      </c>
      <c r="L1165">
        <v>3.1828703703703702E-3</v>
      </c>
      <c r="M1165" t="s">
        <v>117</v>
      </c>
      <c r="N1165" t="s">
        <v>1128</v>
      </c>
      <c r="O1165" s="24">
        <v>46126</v>
      </c>
      <c r="P1165">
        <v>605</v>
      </c>
      <c r="Q1165" t="s">
        <v>34</v>
      </c>
      <c r="R1165">
        <v>46137</v>
      </c>
      <c r="S1165" s="51">
        <v>0.58958333333333335</v>
      </c>
      <c r="T1165" s="51">
        <v>0.59722222222222221</v>
      </c>
      <c r="X1165" t="s">
        <v>3306</v>
      </c>
      <c r="Y1165" t="s">
        <v>3029</v>
      </c>
      <c r="Z1165">
        <v>2777698</v>
      </c>
    </row>
    <row r="1166" spans="1:26" x14ac:dyDescent="0.25">
      <c r="A1166">
        <v>1162</v>
      </c>
      <c r="B1166" t="s">
        <v>26</v>
      </c>
      <c r="C1166" t="s">
        <v>27</v>
      </c>
      <c r="D1166">
        <v>15</v>
      </c>
      <c r="E1166" t="s">
        <v>1141</v>
      </c>
      <c r="F1166" t="s">
        <v>1598</v>
      </c>
      <c r="G1166">
        <v>3934</v>
      </c>
      <c r="H1166" t="s">
        <v>2249</v>
      </c>
      <c r="I1166" t="s">
        <v>2240</v>
      </c>
      <c r="J1166">
        <v>8</v>
      </c>
      <c r="K1166">
        <v>1</v>
      </c>
      <c r="L1166">
        <v>2.2569444444444442E-3</v>
      </c>
      <c r="M1166" t="s">
        <v>117</v>
      </c>
      <c r="N1166" t="s">
        <v>1128</v>
      </c>
      <c r="O1166" s="24">
        <v>46126</v>
      </c>
      <c r="P1166">
        <v>605</v>
      </c>
      <c r="Q1166" t="s">
        <v>34</v>
      </c>
      <c r="R1166">
        <v>46137</v>
      </c>
      <c r="S1166" s="51">
        <v>0.58958333333333335</v>
      </c>
      <c r="T1166" s="51">
        <v>0.59722222222222221</v>
      </c>
      <c r="X1166" t="s">
        <v>3306</v>
      </c>
      <c r="Y1166" t="s">
        <v>3029</v>
      </c>
      <c r="Z1166">
        <v>2777698</v>
      </c>
    </row>
    <row r="1167" spans="1:26" x14ac:dyDescent="0.25">
      <c r="A1167">
        <v>1163</v>
      </c>
      <c r="B1167" t="s">
        <v>26</v>
      </c>
      <c r="C1167" t="s">
        <v>27</v>
      </c>
      <c r="D1167">
        <v>15</v>
      </c>
      <c r="E1167" t="s">
        <v>1141</v>
      </c>
      <c r="F1167" t="s">
        <v>368</v>
      </c>
      <c r="G1167">
        <v>3632</v>
      </c>
      <c r="H1167" t="s">
        <v>369</v>
      </c>
      <c r="I1167" t="s">
        <v>370</v>
      </c>
      <c r="J1167">
        <v>8</v>
      </c>
      <c r="K1167">
        <v>1</v>
      </c>
      <c r="L1167">
        <v>6.898148148148148E-3</v>
      </c>
      <c r="M1167" t="s">
        <v>778</v>
      </c>
      <c r="N1167" t="s">
        <v>1388</v>
      </c>
      <c r="O1167" s="24">
        <v>46133</v>
      </c>
      <c r="P1167">
        <v>605</v>
      </c>
      <c r="Q1167" t="s">
        <v>34</v>
      </c>
      <c r="X1167" t="s">
        <v>3307</v>
      </c>
    </row>
    <row r="1168" spans="1:26" x14ac:dyDescent="0.25">
      <c r="A1168">
        <v>1164</v>
      </c>
      <c r="B1168" t="s">
        <v>26</v>
      </c>
      <c r="C1168" t="s">
        <v>27</v>
      </c>
      <c r="D1168">
        <v>15</v>
      </c>
      <c r="E1168" t="s">
        <v>1588</v>
      </c>
      <c r="F1168" t="s">
        <v>512</v>
      </c>
      <c r="G1168">
        <v>4356</v>
      </c>
      <c r="H1168" t="s">
        <v>2197</v>
      </c>
      <c r="I1168" t="s">
        <v>2198</v>
      </c>
      <c r="J1168">
        <v>8</v>
      </c>
      <c r="K1168">
        <v>1</v>
      </c>
      <c r="L1168">
        <v>6.0185185185185185E-3</v>
      </c>
      <c r="M1168" t="s">
        <v>778</v>
      </c>
      <c r="N1168" t="s">
        <v>777</v>
      </c>
      <c r="O1168" s="24">
        <v>46128</v>
      </c>
      <c r="P1168">
        <v>603</v>
      </c>
      <c r="Q1168" t="s">
        <v>34</v>
      </c>
      <c r="X1168" t="s">
        <v>3308</v>
      </c>
    </row>
    <row r="1169" spans="1:26" x14ac:dyDescent="0.25">
      <c r="A1169">
        <v>1165</v>
      </c>
      <c r="B1169" t="s">
        <v>26</v>
      </c>
      <c r="C1169" t="s">
        <v>27</v>
      </c>
      <c r="D1169">
        <v>15</v>
      </c>
      <c r="E1169" t="s">
        <v>367</v>
      </c>
      <c r="F1169" t="s">
        <v>512</v>
      </c>
      <c r="G1169">
        <v>4356</v>
      </c>
      <c r="H1169" t="s">
        <v>2598</v>
      </c>
      <c r="I1169" t="s">
        <v>2599</v>
      </c>
      <c r="J1169">
        <v>8</v>
      </c>
      <c r="K1169">
        <v>1</v>
      </c>
      <c r="L1169">
        <v>9.7222222222222219E-4</v>
      </c>
      <c r="M1169" t="s">
        <v>778</v>
      </c>
      <c r="N1169" t="s">
        <v>777</v>
      </c>
      <c r="O1169" s="24">
        <v>46128</v>
      </c>
      <c r="P1169">
        <v>603</v>
      </c>
      <c r="Q1169" t="s">
        <v>34</v>
      </c>
      <c r="X1169" t="s">
        <v>3308</v>
      </c>
    </row>
    <row r="1170" spans="1:26" x14ac:dyDescent="0.25">
      <c r="A1170">
        <v>1166</v>
      </c>
      <c r="B1170" t="s">
        <v>26</v>
      </c>
      <c r="C1170" t="s">
        <v>27</v>
      </c>
      <c r="D1170">
        <v>15</v>
      </c>
      <c r="E1170" t="s">
        <v>2195</v>
      </c>
      <c r="F1170" t="s">
        <v>44</v>
      </c>
      <c r="G1170">
        <v>4356</v>
      </c>
      <c r="H1170" t="s">
        <v>48</v>
      </c>
      <c r="I1170" t="s">
        <v>1119</v>
      </c>
      <c r="J1170">
        <v>8</v>
      </c>
      <c r="K1170">
        <v>1</v>
      </c>
      <c r="L1170">
        <v>1.4699074074074074E-3</v>
      </c>
      <c r="M1170" t="s">
        <v>778</v>
      </c>
      <c r="N1170" t="s">
        <v>777</v>
      </c>
      <c r="O1170" s="24">
        <v>46128</v>
      </c>
      <c r="P1170">
        <v>603</v>
      </c>
      <c r="Q1170" t="s">
        <v>34</v>
      </c>
      <c r="X1170" t="s">
        <v>3308</v>
      </c>
    </row>
    <row r="1171" spans="1:26" x14ac:dyDescent="0.25">
      <c r="A1171">
        <v>1167</v>
      </c>
      <c r="B1171" t="s">
        <v>26</v>
      </c>
      <c r="C1171" t="s">
        <v>27</v>
      </c>
      <c r="D1171">
        <v>15</v>
      </c>
      <c r="E1171" t="s">
        <v>1665</v>
      </c>
      <c r="F1171" t="s">
        <v>115</v>
      </c>
      <c r="G1171">
        <v>3634</v>
      </c>
      <c r="H1171" t="s">
        <v>2113</v>
      </c>
      <c r="I1171" t="s">
        <v>2111</v>
      </c>
      <c r="J1171">
        <v>8</v>
      </c>
      <c r="K1171">
        <v>2</v>
      </c>
      <c r="L1171">
        <v>1.2962962962962963E-3</v>
      </c>
      <c r="M1171" t="s">
        <v>3079</v>
      </c>
      <c r="X1171" t="s">
        <v>3309</v>
      </c>
    </row>
    <row r="1172" spans="1:26" x14ac:dyDescent="0.25">
      <c r="A1172">
        <v>1168</v>
      </c>
      <c r="B1172" t="s">
        <v>26</v>
      </c>
      <c r="C1172" t="s">
        <v>27</v>
      </c>
      <c r="D1172">
        <v>15</v>
      </c>
      <c r="E1172" t="s">
        <v>147</v>
      </c>
      <c r="F1172" t="s">
        <v>512</v>
      </c>
      <c r="G1172">
        <v>3634</v>
      </c>
      <c r="H1172" t="s">
        <v>2352</v>
      </c>
      <c r="I1172" t="s">
        <v>2161</v>
      </c>
      <c r="J1172">
        <v>8</v>
      </c>
      <c r="K1172">
        <v>4</v>
      </c>
      <c r="L1172">
        <v>7.4421296296296293E-3</v>
      </c>
      <c r="M1172" t="s">
        <v>3079</v>
      </c>
      <c r="X1172" t="s">
        <v>3309</v>
      </c>
    </row>
    <row r="1173" spans="1:26" x14ac:dyDescent="0.25">
      <c r="A1173">
        <v>1169</v>
      </c>
      <c r="B1173" t="s">
        <v>26</v>
      </c>
      <c r="C1173" t="s">
        <v>27</v>
      </c>
      <c r="D1173">
        <v>15</v>
      </c>
      <c r="E1173" t="s">
        <v>1141</v>
      </c>
      <c r="F1173" t="s">
        <v>367</v>
      </c>
      <c r="G1173">
        <v>3634</v>
      </c>
      <c r="H1173" t="s">
        <v>2579</v>
      </c>
      <c r="I1173" t="s">
        <v>2580</v>
      </c>
      <c r="J1173">
        <v>8</v>
      </c>
      <c r="K1173">
        <v>1</v>
      </c>
      <c r="L1173">
        <v>6.0185185185185185E-3</v>
      </c>
      <c r="M1173" t="s">
        <v>3079</v>
      </c>
      <c r="X1173" t="s">
        <v>3309</v>
      </c>
    </row>
    <row r="1174" spans="1:26" x14ac:dyDescent="0.25">
      <c r="A1174">
        <v>1170</v>
      </c>
      <c r="B1174" t="s">
        <v>26</v>
      </c>
      <c r="C1174" t="s">
        <v>27</v>
      </c>
      <c r="D1174">
        <v>15</v>
      </c>
      <c r="E1174" t="s">
        <v>367</v>
      </c>
      <c r="F1174" t="s">
        <v>1594</v>
      </c>
      <c r="G1174">
        <v>3634</v>
      </c>
      <c r="H1174" t="s">
        <v>2474</v>
      </c>
      <c r="I1174" t="s">
        <v>2475</v>
      </c>
      <c r="J1174">
        <v>8</v>
      </c>
      <c r="K1174">
        <v>1</v>
      </c>
      <c r="L1174">
        <v>9.7222222222222219E-4</v>
      </c>
      <c r="M1174" t="s">
        <v>3079</v>
      </c>
      <c r="X1174" t="s">
        <v>3309</v>
      </c>
    </row>
    <row r="1175" spans="1:26" x14ac:dyDescent="0.25">
      <c r="A1175">
        <v>1171</v>
      </c>
      <c r="B1175" t="s">
        <v>26</v>
      </c>
      <c r="C1175" t="s">
        <v>27</v>
      </c>
      <c r="D1175">
        <v>15</v>
      </c>
      <c r="E1175" t="s">
        <v>2195</v>
      </c>
      <c r="F1175" t="s">
        <v>44</v>
      </c>
      <c r="G1175">
        <v>3634</v>
      </c>
      <c r="H1175" t="s">
        <v>48</v>
      </c>
      <c r="I1175" t="s">
        <v>1119</v>
      </c>
      <c r="J1175">
        <v>8</v>
      </c>
      <c r="K1175">
        <v>1</v>
      </c>
      <c r="L1175">
        <v>1.5046296296296296E-3</v>
      </c>
      <c r="M1175" t="s">
        <v>3079</v>
      </c>
      <c r="X1175" t="s">
        <v>3309</v>
      </c>
    </row>
    <row r="1176" spans="1:26" x14ac:dyDescent="0.25">
      <c r="A1176">
        <v>1172</v>
      </c>
      <c r="B1176" t="s">
        <v>26</v>
      </c>
      <c r="C1176" t="s">
        <v>27</v>
      </c>
      <c r="D1176">
        <v>15</v>
      </c>
      <c r="E1176" t="s">
        <v>1672</v>
      </c>
      <c r="F1176" t="s">
        <v>512</v>
      </c>
      <c r="G1176">
        <v>3635</v>
      </c>
      <c r="H1176" t="s">
        <v>2297</v>
      </c>
      <c r="I1176" t="s">
        <v>2226</v>
      </c>
      <c r="J1176">
        <v>8</v>
      </c>
      <c r="K1176">
        <v>3</v>
      </c>
      <c r="L1176">
        <v>5.6365740740740742E-3</v>
      </c>
      <c r="M1176" t="s">
        <v>117</v>
      </c>
      <c r="N1176" t="s">
        <v>1128</v>
      </c>
      <c r="O1176" s="24">
        <v>46126</v>
      </c>
      <c r="P1176">
        <v>605</v>
      </c>
      <c r="Q1176" t="s">
        <v>34</v>
      </c>
      <c r="R1176">
        <v>46137</v>
      </c>
      <c r="S1176" s="51">
        <v>0.63263888888888886</v>
      </c>
      <c r="T1176" s="51">
        <v>0.6381944444444444</v>
      </c>
      <c r="X1176" t="s">
        <v>3310</v>
      </c>
      <c r="Y1176" t="s">
        <v>3029</v>
      </c>
      <c r="Z1176">
        <v>2733753</v>
      </c>
    </row>
    <row r="1177" spans="1:26" x14ac:dyDescent="0.25">
      <c r="A1177">
        <v>1173</v>
      </c>
      <c r="B1177" t="s">
        <v>26</v>
      </c>
      <c r="C1177" t="s">
        <v>27</v>
      </c>
      <c r="D1177">
        <v>15</v>
      </c>
      <c r="E1177" t="s">
        <v>147</v>
      </c>
      <c r="F1177" t="s">
        <v>512</v>
      </c>
      <c r="G1177">
        <v>3635</v>
      </c>
      <c r="H1177" t="s">
        <v>2352</v>
      </c>
      <c r="I1177" t="s">
        <v>2161</v>
      </c>
      <c r="J1177">
        <v>8</v>
      </c>
      <c r="K1177">
        <v>3</v>
      </c>
      <c r="L1177">
        <v>5.2199074074074075E-3</v>
      </c>
      <c r="M1177" t="s">
        <v>117</v>
      </c>
      <c r="N1177" t="s">
        <v>1128</v>
      </c>
      <c r="O1177" s="24">
        <v>46126</v>
      </c>
      <c r="P1177">
        <v>605</v>
      </c>
      <c r="Q1177" t="s">
        <v>34</v>
      </c>
      <c r="R1177">
        <v>46137</v>
      </c>
      <c r="S1177" s="51">
        <v>0.63263888888888886</v>
      </c>
      <c r="T1177" s="51">
        <v>0.6381944444444444</v>
      </c>
      <c r="X1177" t="s">
        <v>3310</v>
      </c>
      <c r="Y1177" t="s">
        <v>3029</v>
      </c>
      <c r="Z1177">
        <v>2733753</v>
      </c>
    </row>
    <row r="1178" spans="1:26" x14ac:dyDescent="0.25">
      <c r="A1178">
        <v>1174</v>
      </c>
      <c r="B1178" t="s">
        <v>26</v>
      </c>
      <c r="C1178" t="s">
        <v>27</v>
      </c>
      <c r="D1178">
        <v>15</v>
      </c>
      <c r="E1178" t="s">
        <v>1672</v>
      </c>
      <c r="F1178" t="s">
        <v>512</v>
      </c>
      <c r="G1178">
        <v>3635</v>
      </c>
      <c r="H1178" t="s">
        <v>2152</v>
      </c>
      <c r="I1178" t="s">
        <v>2153</v>
      </c>
      <c r="J1178">
        <v>8</v>
      </c>
      <c r="K1178">
        <v>1</v>
      </c>
      <c r="L1178">
        <v>1.6435185185185185E-3</v>
      </c>
      <c r="M1178" t="s">
        <v>117</v>
      </c>
      <c r="N1178" t="s">
        <v>1128</v>
      </c>
      <c r="O1178" s="24">
        <v>46126</v>
      </c>
      <c r="P1178">
        <v>605</v>
      </c>
      <c r="Q1178" t="s">
        <v>34</v>
      </c>
      <c r="R1178">
        <v>46137</v>
      </c>
      <c r="S1178" s="51">
        <v>0.63263888888888886</v>
      </c>
      <c r="T1178" s="51">
        <v>0.6381944444444444</v>
      </c>
      <c r="X1178" t="s">
        <v>3310</v>
      </c>
      <c r="Y1178" t="s">
        <v>3029</v>
      </c>
      <c r="Z1178">
        <v>2733753</v>
      </c>
    </row>
    <row r="1179" spans="1:26" x14ac:dyDescent="0.25">
      <c r="A1179">
        <v>1175</v>
      </c>
      <c r="B1179" t="s">
        <v>26</v>
      </c>
      <c r="C1179" t="s">
        <v>27</v>
      </c>
      <c r="D1179">
        <v>15</v>
      </c>
      <c r="E1179" t="s">
        <v>1141</v>
      </c>
      <c r="F1179" t="s">
        <v>368</v>
      </c>
      <c r="G1179">
        <v>3635</v>
      </c>
      <c r="H1179" t="s">
        <v>2331</v>
      </c>
      <c r="I1179" t="s">
        <v>2653</v>
      </c>
      <c r="J1179">
        <v>8</v>
      </c>
      <c r="K1179">
        <v>1</v>
      </c>
      <c r="L1179">
        <v>5.7986111111111112E-3</v>
      </c>
      <c r="M1179" t="s">
        <v>117</v>
      </c>
      <c r="N1179" t="s">
        <v>1128</v>
      </c>
      <c r="O1179" s="24">
        <v>46126</v>
      </c>
      <c r="P1179">
        <v>605</v>
      </c>
      <c r="Q1179" t="s">
        <v>34</v>
      </c>
      <c r="R1179">
        <v>46137</v>
      </c>
      <c r="S1179" s="51">
        <v>0.63263888888888886</v>
      </c>
      <c r="T1179" s="51">
        <v>0.6381944444444444</v>
      </c>
      <c r="X1179" t="s">
        <v>3310</v>
      </c>
      <c r="Y1179" t="s">
        <v>3029</v>
      </c>
      <c r="Z1179">
        <v>2733753</v>
      </c>
    </row>
    <row r="1180" spans="1:26" x14ac:dyDescent="0.25">
      <c r="A1180">
        <v>1176</v>
      </c>
      <c r="B1180" t="s">
        <v>26</v>
      </c>
      <c r="C1180" t="s">
        <v>27</v>
      </c>
      <c r="D1180">
        <v>15</v>
      </c>
      <c r="E1180" t="s">
        <v>367</v>
      </c>
      <c r="F1180" t="s">
        <v>427</v>
      </c>
      <c r="G1180">
        <v>3635</v>
      </c>
      <c r="H1180" t="s">
        <v>2271</v>
      </c>
      <c r="I1180" t="s">
        <v>2270</v>
      </c>
      <c r="J1180">
        <v>8</v>
      </c>
      <c r="K1180">
        <v>1</v>
      </c>
      <c r="L1180">
        <v>1.7824074074074072E-3</v>
      </c>
      <c r="M1180" t="s">
        <v>117</v>
      </c>
      <c r="N1180" t="s">
        <v>1128</v>
      </c>
      <c r="O1180" s="24">
        <v>46126</v>
      </c>
      <c r="P1180">
        <v>605</v>
      </c>
      <c r="Q1180" t="s">
        <v>34</v>
      </c>
      <c r="R1180">
        <v>46137</v>
      </c>
      <c r="S1180" s="51">
        <v>0.63263888888888886</v>
      </c>
      <c r="T1180" s="51">
        <v>0.6381944444444444</v>
      </c>
      <c r="X1180" t="s">
        <v>3310</v>
      </c>
      <c r="Y1180" t="s">
        <v>3029</v>
      </c>
      <c r="Z1180">
        <v>2733753</v>
      </c>
    </row>
    <row r="1181" spans="1:26" x14ac:dyDescent="0.25">
      <c r="A1181">
        <v>1177</v>
      </c>
      <c r="B1181" t="s">
        <v>26</v>
      </c>
      <c r="C1181" t="s">
        <v>27</v>
      </c>
      <c r="D1181">
        <v>15</v>
      </c>
      <c r="E1181" t="s">
        <v>1588</v>
      </c>
      <c r="F1181" t="s">
        <v>512</v>
      </c>
      <c r="G1181">
        <v>4357</v>
      </c>
      <c r="H1181" t="s">
        <v>2197</v>
      </c>
      <c r="I1181" t="s">
        <v>2198</v>
      </c>
      <c r="J1181">
        <v>8</v>
      </c>
      <c r="K1181">
        <v>1</v>
      </c>
      <c r="L1181">
        <v>6.192129629629629E-3</v>
      </c>
      <c r="M1181" t="s">
        <v>778</v>
      </c>
      <c r="N1181" t="s">
        <v>777</v>
      </c>
      <c r="O1181" s="24">
        <v>46128</v>
      </c>
      <c r="P1181">
        <v>603</v>
      </c>
      <c r="Q1181" t="s">
        <v>34</v>
      </c>
      <c r="X1181" t="s">
        <v>3311</v>
      </c>
    </row>
    <row r="1182" spans="1:26" x14ac:dyDescent="0.25">
      <c r="A1182">
        <v>1178</v>
      </c>
      <c r="B1182" t="s">
        <v>26</v>
      </c>
      <c r="C1182" t="s">
        <v>27</v>
      </c>
      <c r="D1182">
        <v>15</v>
      </c>
      <c r="E1182" t="s">
        <v>2195</v>
      </c>
      <c r="F1182" t="s">
        <v>44</v>
      </c>
      <c r="G1182">
        <v>4357</v>
      </c>
      <c r="H1182" t="s">
        <v>48</v>
      </c>
      <c r="I1182" t="s">
        <v>1119</v>
      </c>
      <c r="J1182">
        <v>8</v>
      </c>
      <c r="K1182">
        <v>1</v>
      </c>
      <c r="L1182">
        <v>1.5162037037037036E-3</v>
      </c>
      <c r="M1182" t="s">
        <v>778</v>
      </c>
      <c r="N1182" t="s">
        <v>777</v>
      </c>
      <c r="O1182" s="24">
        <v>46128</v>
      </c>
      <c r="P1182">
        <v>603</v>
      </c>
      <c r="Q1182" t="s">
        <v>34</v>
      </c>
      <c r="X1182" t="s">
        <v>3311</v>
      </c>
    </row>
    <row r="1183" spans="1:26" x14ac:dyDescent="0.25">
      <c r="A1183">
        <v>1179</v>
      </c>
      <c r="B1183" t="s">
        <v>26</v>
      </c>
      <c r="C1183" t="s">
        <v>27</v>
      </c>
      <c r="D1183">
        <v>15</v>
      </c>
      <c r="E1183" t="s">
        <v>1672</v>
      </c>
      <c r="F1183" t="s">
        <v>498</v>
      </c>
      <c r="G1183">
        <v>4358</v>
      </c>
      <c r="H1183" t="s">
        <v>2480</v>
      </c>
      <c r="I1183" t="s">
        <v>2193</v>
      </c>
      <c r="J1183">
        <v>8</v>
      </c>
      <c r="K1183">
        <v>1</v>
      </c>
      <c r="L1183">
        <v>6.1111111111111106E-3</v>
      </c>
      <c r="M1183" t="s">
        <v>778</v>
      </c>
      <c r="N1183" t="s">
        <v>777</v>
      </c>
      <c r="O1183" s="24">
        <v>46128</v>
      </c>
      <c r="P1183">
        <v>603</v>
      </c>
      <c r="Q1183" t="s">
        <v>34</v>
      </c>
      <c r="X1183" t="s">
        <v>3312</v>
      </c>
    </row>
    <row r="1184" spans="1:26" x14ac:dyDescent="0.25">
      <c r="A1184">
        <v>1180</v>
      </c>
      <c r="B1184" t="s">
        <v>26</v>
      </c>
      <c r="C1184" t="s">
        <v>27</v>
      </c>
      <c r="D1184">
        <v>15</v>
      </c>
      <c r="E1184" t="s">
        <v>2195</v>
      </c>
      <c r="F1184" t="s">
        <v>44</v>
      </c>
      <c r="G1184">
        <v>4358</v>
      </c>
      <c r="H1184" t="s">
        <v>48</v>
      </c>
      <c r="I1184" t="s">
        <v>1119</v>
      </c>
      <c r="J1184">
        <v>8</v>
      </c>
      <c r="K1184">
        <v>1</v>
      </c>
      <c r="L1184">
        <v>1.5162037037037036E-3</v>
      </c>
      <c r="M1184" t="s">
        <v>778</v>
      </c>
      <c r="N1184" t="s">
        <v>777</v>
      </c>
      <c r="O1184" s="24">
        <v>46128</v>
      </c>
      <c r="P1184">
        <v>603</v>
      </c>
      <c r="Q1184" t="s">
        <v>34</v>
      </c>
      <c r="X1184" t="s">
        <v>3312</v>
      </c>
    </row>
    <row r="1185" spans="1:26" x14ac:dyDescent="0.25">
      <c r="A1185">
        <v>1181</v>
      </c>
      <c r="B1185" t="s">
        <v>26</v>
      </c>
      <c r="C1185" t="s">
        <v>27</v>
      </c>
      <c r="D1185">
        <v>15</v>
      </c>
      <c r="E1185" t="s">
        <v>114</v>
      </c>
      <c r="F1185" t="s">
        <v>512</v>
      </c>
      <c r="G1185">
        <v>3938</v>
      </c>
      <c r="H1185" t="s">
        <v>2394</v>
      </c>
      <c r="I1185" t="s">
        <v>2161</v>
      </c>
      <c r="J1185">
        <v>8</v>
      </c>
      <c r="K1185">
        <v>2</v>
      </c>
      <c r="L1185">
        <v>3.2523148148148147E-3</v>
      </c>
      <c r="M1185" t="s">
        <v>778</v>
      </c>
      <c r="N1185" t="s">
        <v>1388</v>
      </c>
      <c r="O1185" s="24">
        <v>46133</v>
      </c>
      <c r="P1185">
        <v>605</v>
      </c>
      <c r="Q1185" t="s">
        <v>34</v>
      </c>
      <c r="X1185" t="s">
        <v>3313</v>
      </c>
    </row>
    <row r="1186" spans="1:26" x14ac:dyDescent="0.25">
      <c r="A1186">
        <v>1182</v>
      </c>
      <c r="B1186" t="s">
        <v>26</v>
      </c>
      <c r="C1186" t="s">
        <v>27</v>
      </c>
      <c r="D1186">
        <v>15</v>
      </c>
      <c r="E1186" t="s">
        <v>131</v>
      </c>
      <c r="F1186" t="s">
        <v>512</v>
      </c>
      <c r="G1186">
        <v>3938</v>
      </c>
      <c r="H1186" t="s">
        <v>2759</v>
      </c>
      <c r="I1186" t="s">
        <v>2226</v>
      </c>
      <c r="J1186">
        <v>8</v>
      </c>
      <c r="K1186">
        <v>3</v>
      </c>
      <c r="L1186">
        <v>5.2662037037037035E-3</v>
      </c>
      <c r="M1186" t="s">
        <v>778</v>
      </c>
      <c r="N1186" t="s">
        <v>1388</v>
      </c>
      <c r="O1186" s="24">
        <v>46133</v>
      </c>
      <c r="P1186">
        <v>605</v>
      </c>
      <c r="Q1186" t="s">
        <v>34</v>
      </c>
      <c r="X1186" t="s">
        <v>3313</v>
      </c>
    </row>
    <row r="1187" spans="1:26" x14ac:dyDescent="0.25">
      <c r="A1187">
        <v>1183</v>
      </c>
      <c r="B1187" t="s">
        <v>26</v>
      </c>
      <c r="C1187" t="s">
        <v>27</v>
      </c>
      <c r="D1187">
        <v>15</v>
      </c>
      <c r="E1187" t="s">
        <v>131</v>
      </c>
      <c r="F1187" t="s">
        <v>115</v>
      </c>
      <c r="G1187">
        <v>3938</v>
      </c>
      <c r="H1187" t="s">
        <v>2715</v>
      </c>
      <c r="I1187" t="s">
        <v>2310</v>
      </c>
      <c r="J1187">
        <v>8</v>
      </c>
      <c r="K1187">
        <v>1</v>
      </c>
      <c r="L1187">
        <v>1.7592592592592592E-3</v>
      </c>
      <c r="M1187" t="s">
        <v>778</v>
      </c>
      <c r="N1187" t="s">
        <v>1388</v>
      </c>
      <c r="O1187" s="24">
        <v>46133</v>
      </c>
      <c r="P1187">
        <v>605</v>
      </c>
      <c r="Q1187" t="s">
        <v>34</v>
      </c>
      <c r="X1187" t="s">
        <v>3313</v>
      </c>
    </row>
    <row r="1188" spans="1:26" x14ac:dyDescent="0.25">
      <c r="A1188">
        <v>1184</v>
      </c>
      <c r="B1188" t="s">
        <v>26</v>
      </c>
      <c r="C1188" t="s">
        <v>27</v>
      </c>
      <c r="D1188">
        <v>15</v>
      </c>
      <c r="E1188" t="s">
        <v>1588</v>
      </c>
      <c r="F1188" t="s">
        <v>512</v>
      </c>
      <c r="G1188">
        <v>3938</v>
      </c>
      <c r="H1188" t="s">
        <v>2596</v>
      </c>
      <c r="I1188" t="s">
        <v>2597</v>
      </c>
      <c r="J1188">
        <v>8</v>
      </c>
      <c r="K1188">
        <v>1</v>
      </c>
      <c r="L1188">
        <v>5.0810185185185186E-3</v>
      </c>
      <c r="M1188" t="s">
        <v>778</v>
      </c>
      <c r="N1188" t="s">
        <v>1388</v>
      </c>
      <c r="O1188" s="24">
        <v>46133</v>
      </c>
      <c r="P1188">
        <v>605</v>
      </c>
      <c r="Q1188" t="s">
        <v>34</v>
      </c>
      <c r="X1188" t="s">
        <v>3313</v>
      </c>
    </row>
    <row r="1189" spans="1:26" x14ac:dyDescent="0.25">
      <c r="A1189">
        <v>1185</v>
      </c>
      <c r="B1189" t="s">
        <v>26</v>
      </c>
      <c r="C1189" t="s">
        <v>27</v>
      </c>
      <c r="D1189">
        <v>15</v>
      </c>
      <c r="E1189" t="s">
        <v>1588</v>
      </c>
      <c r="F1189" t="s">
        <v>44</v>
      </c>
      <c r="G1189">
        <v>3938</v>
      </c>
      <c r="H1189" t="s">
        <v>2217</v>
      </c>
      <c r="I1189" t="s">
        <v>2049</v>
      </c>
      <c r="J1189">
        <v>8</v>
      </c>
      <c r="K1189">
        <v>1</v>
      </c>
      <c r="L1189">
        <v>1.2384259259259258E-3</v>
      </c>
      <c r="M1189" t="s">
        <v>778</v>
      </c>
      <c r="N1189" t="s">
        <v>1388</v>
      </c>
      <c r="O1189" s="24">
        <v>46133</v>
      </c>
      <c r="P1189">
        <v>605</v>
      </c>
      <c r="Q1189" t="s">
        <v>34</v>
      </c>
      <c r="X1189" t="s">
        <v>3313</v>
      </c>
    </row>
    <row r="1190" spans="1:26" x14ac:dyDescent="0.25">
      <c r="A1190">
        <v>1186</v>
      </c>
      <c r="B1190" t="s">
        <v>26</v>
      </c>
      <c r="C1190" t="s">
        <v>27</v>
      </c>
      <c r="D1190">
        <v>15</v>
      </c>
      <c r="E1190" t="s">
        <v>367</v>
      </c>
      <c r="F1190" t="s">
        <v>1592</v>
      </c>
      <c r="G1190">
        <v>3938</v>
      </c>
      <c r="H1190" t="s">
        <v>2062</v>
      </c>
      <c r="I1190" t="s">
        <v>2063</v>
      </c>
      <c r="J1190">
        <v>8</v>
      </c>
      <c r="K1190">
        <v>7</v>
      </c>
      <c r="L1190">
        <v>3.0787037037037037E-3</v>
      </c>
      <c r="M1190" t="s">
        <v>778</v>
      </c>
      <c r="N1190" t="s">
        <v>1388</v>
      </c>
      <c r="O1190" s="24">
        <v>46133</v>
      </c>
      <c r="P1190">
        <v>605</v>
      </c>
      <c r="Q1190" t="s">
        <v>34</v>
      </c>
      <c r="X1190" t="s">
        <v>3313</v>
      </c>
    </row>
    <row r="1191" spans="1:26" x14ac:dyDescent="0.25">
      <c r="A1191">
        <v>1187</v>
      </c>
      <c r="B1191" t="s">
        <v>26</v>
      </c>
      <c r="C1191" t="s">
        <v>27</v>
      </c>
      <c r="D1191">
        <v>15</v>
      </c>
      <c r="E1191" t="s">
        <v>2195</v>
      </c>
      <c r="F1191" t="s">
        <v>44</v>
      </c>
      <c r="G1191">
        <v>3938</v>
      </c>
      <c r="H1191" t="s">
        <v>48</v>
      </c>
      <c r="I1191" t="s">
        <v>1119</v>
      </c>
      <c r="J1191">
        <v>8</v>
      </c>
      <c r="K1191">
        <v>1</v>
      </c>
      <c r="L1191">
        <v>1.3194444444444445E-3</v>
      </c>
      <c r="M1191" t="s">
        <v>778</v>
      </c>
      <c r="N1191" t="s">
        <v>1388</v>
      </c>
      <c r="O1191" s="24">
        <v>46133</v>
      </c>
      <c r="P1191">
        <v>605</v>
      </c>
      <c r="Q1191" t="s">
        <v>34</v>
      </c>
      <c r="X1191" t="s">
        <v>3313</v>
      </c>
    </row>
    <row r="1192" spans="1:26" x14ac:dyDescent="0.25">
      <c r="A1192">
        <v>1188</v>
      </c>
      <c r="B1192" t="s">
        <v>26</v>
      </c>
      <c r="C1192" t="s">
        <v>27</v>
      </c>
      <c r="D1192">
        <v>15</v>
      </c>
      <c r="E1192" t="s">
        <v>1665</v>
      </c>
      <c r="F1192" t="s">
        <v>115</v>
      </c>
      <c r="G1192">
        <v>3641</v>
      </c>
      <c r="H1192" t="s">
        <v>2113</v>
      </c>
      <c r="I1192" t="s">
        <v>2111</v>
      </c>
      <c r="J1192">
        <v>8</v>
      </c>
      <c r="K1192">
        <v>1</v>
      </c>
      <c r="L1192">
        <v>5.7870370370370367E-4</v>
      </c>
      <c r="M1192" t="s">
        <v>117</v>
      </c>
      <c r="N1192" t="s">
        <v>1128</v>
      </c>
      <c r="O1192" s="24">
        <v>46126</v>
      </c>
      <c r="P1192">
        <v>605</v>
      </c>
      <c r="Q1192" t="s">
        <v>34</v>
      </c>
      <c r="R1192">
        <v>46137</v>
      </c>
      <c r="S1192" s="51">
        <v>0.64375000000000004</v>
      </c>
      <c r="T1192" s="51">
        <v>0.65208333333333335</v>
      </c>
      <c r="X1192" t="s">
        <v>3314</v>
      </c>
      <c r="Y1192" t="s">
        <v>3029</v>
      </c>
      <c r="Z1192">
        <v>2733753</v>
      </c>
    </row>
    <row r="1193" spans="1:26" x14ac:dyDescent="0.25">
      <c r="A1193">
        <v>1189</v>
      </c>
      <c r="B1193" t="s">
        <v>26</v>
      </c>
      <c r="C1193" t="s">
        <v>27</v>
      </c>
      <c r="D1193">
        <v>15</v>
      </c>
      <c r="E1193" t="s">
        <v>367</v>
      </c>
      <c r="F1193" t="s">
        <v>368</v>
      </c>
      <c r="G1193">
        <v>3641</v>
      </c>
      <c r="H1193" t="s">
        <v>2114</v>
      </c>
      <c r="I1193" t="s">
        <v>2097</v>
      </c>
      <c r="J1193">
        <v>8</v>
      </c>
      <c r="K1193">
        <v>1</v>
      </c>
      <c r="L1193">
        <v>6.5972222222222224E-4</v>
      </c>
      <c r="M1193" t="s">
        <v>117</v>
      </c>
      <c r="N1193" t="s">
        <v>1128</v>
      </c>
      <c r="O1193" s="24">
        <v>46126</v>
      </c>
      <c r="P1193">
        <v>605</v>
      </c>
      <c r="Q1193" t="s">
        <v>34</v>
      </c>
      <c r="R1193">
        <v>46137</v>
      </c>
      <c r="S1193" s="51">
        <v>0.64375000000000004</v>
      </c>
      <c r="T1193" s="51">
        <v>0.65208333333333335</v>
      </c>
      <c r="X1193" t="s">
        <v>3314</v>
      </c>
      <c r="Y1193" t="s">
        <v>3029</v>
      </c>
      <c r="Z1193">
        <v>2733753</v>
      </c>
    </row>
    <row r="1194" spans="1:26" x14ac:dyDescent="0.25">
      <c r="A1194">
        <v>1190</v>
      </c>
      <c r="B1194" t="s">
        <v>26</v>
      </c>
      <c r="C1194" t="s">
        <v>27</v>
      </c>
      <c r="D1194">
        <v>15</v>
      </c>
      <c r="E1194" t="s">
        <v>367</v>
      </c>
      <c r="F1194" t="s">
        <v>368</v>
      </c>
      <c r="G1194">
        <v>3641</v>
      </c>
      <c r="H1194" t="s">
        <v>2096</v>
      </c>
      <c r="I1194" t="s">
        <v>2097</v>
      </c>
      <c r="J1194">
        <v>8</v>
      </c>
      <c r="K1194">
        <v>3</v>
      </c>
      <c r="L1194">
        <v>1.9791666666666664E-3</v>
      </c>
      <c r="M1194" t="s">
        <v>117</v>
      </c>
      <c r="N1194" t="s">
        <v>1128</v>
      </c>
      <c r="O1194" s="24">
        <v>46126</v>
      </c>
      <c r="P1194">
        <v>605</v>
      </c>
      <c r="Q1194" t="s">
        <v>34</v>
      </c>
      <c r="R1194">
        <v>46137</v>
      </c>
      <c r="S1194" s="51">
        <v>0.64375000000000004</v>
      </c>
      <c r="T1194" s="51">
        <v>0.65208333333333335</v>
      </c>
      <c r="X1194" t="s">
        <v>3314</v>
      </c>
      <c r="Y1194" t="s">
        <v>3029</v>
      </c>
      <c r="Z1194">
        <v>2733753</v>
      </c>
    </row>
    <row r="1195" spans="1:26" x14ac:dyDescent="0.25">
      <c r="A1195">
        <v>1191</v>
      </c>
      <c r="B1195" t="s">
        <v>26</v>
      </c>
      <c r="C1195" t="s">
        <v>27</v>
      </c>
      <c r="D1195">
        <v>15</v>
      </c>
      <c r="E1195" t="s">
        <v>829</v>
      </c>
      <c r="F1195" t="s">
        <v>1594</v>
      </c>
      <c r="G1195">
        <v>3641</v>
      </c>
      <c r="H1195" t="s">
        <v>2410</v>
      </c>
      <c r="I1195" t="s">
        <v>494</v>
      </c>
      <c r="J1195">
        <v>8</v>
      </c>
      <c r="K1195">
        <v>1</v>
      </c>
      <c r="L1195">
        <v>6.5856481481481478E-3</v>
      </c>
      <c r="M1195" t="s">
        <v>117</v>
      </c>
      <c r="N1195" t="s">
        <v>1128</v>
      </c>
      <c r="O1195" s="24">
        <v>46126</v>
      </c>
      <c r="P1195">
        <v>605</v>
      </c>
      <c r="Q1195" t="s">
        <v>34</v>
      </c>
      <c r="R1195">
        <v>46137</v>
      </c>
      <c r="S1195" s="51">
        <v>0.64375000000000004</v>
      </c>
      <c r="T1195" s="51">
        <v>0.65208333333333335</v>
      </c>
      <c r="X1195" t="s">
        <v>3314</v>
      </c>
      <c r="Y1195" t="s">
        <v>3029</v>
      </c>
      <c r="Z1195">
        <v>2733753</v>
      </c>
    </row>
    <row r="1196" spans="1:26" x14ac:dyDescent="0.25">
      <c r="A1196">
        <v>1192</v>
      </c>
      <c r="B1196" t="s">
        <v>26</v>
      </c>
      <c r="C1196" t="s">
        <v>27</v>
      </c>
      <c r="D1196">
        <v>15</v>
      </c>
      <c r="E1196" t="s">
        <v>367</v>
      </c>
      <c r="F1196" t="s">
        <v>1592</v>
      </c>
      <c r="G1196">
        <v>3939</v>
      </c>
      <c r="H1196" t="s">
        <v>2455</v>
      </c>
      <c r="I1196" t="s">
        <v>2456</v>
      </c>
      <c r="J1196">
        <v>8</v>
      </c>
      <c r="K1196">
        <v>7</v>
      </c>
      <c r="L1196">
        <v>2.8472222222222219E-3</v>
      </c>
      <c r="M1196" t="s">
        <v>117</v>
      </c>
      <c r="N1196" t="s">
        <v>1128</v>
      </c>
      <c r="O1196" s="24">
        <v>46126</v>
      </c>
      <c r="P1196">
        <v>605</v>
      </c>
      <c r="Q1196" t="s">
        <v>34</v>
      </c>
      <c r="R1196">
        <v>46137</v>
      </c>
      <c r="S1196" s="51">
        <v>0.63124999999999998</v>
      </c>
      <c r="T1196" s="51">
        <v>0.63888888888888895</v>
      </c>
      <c r="X1196" t="s">
        <v>3315</v>
      </c>
      <c r="Y1196" t="s">
        <v>3029</v>
      </c>
      <c r="Z1196">
        <v>2777698</v>
      </c>
    </row>
    <row r="1197" spans="1:26" x14ac:dyDescent="0.25">
      <c r="A1197">
        <v>1193</v>
      </c>
      <c r="B1197" t="s">
        <v>26</v>
      </c>
      <c r="C1197" t="s">
        <v>27</v>
      </c>
      <c r="D1197">
        <v>15</v>
      </c>
      <c r="E1197" t="s">
        <v>1141</v>
      </c>
      <c r="F1197" t="s">
        <v>1594</v>
      </c>
      <c r="G1197">
        <v>3939</v>
      </c>
      <c r="H1197" t="s">
        <v>2236</v>
      </c>
      <c r="I1197" t="s">
        <v>2237</v>
      </c>
      <c r="J1197">
        <v>8</v>
      </c>
      <c r="K1197">
        <v>1</v>
      </c>
      <c r="L1197">
        <v>4.2013888888888891E-3</v>
      </c>
      <c r="M1197" t="s">
        <v>117</v>
      </c>
      <c r="N1197" t="s">
        <v>1128</v>
      </c>
      <c r="O1197" s="24">
        <v>46126</v>
      </c>
      <c r="P1197">
        <v>605</v>
      </c>
      <c r="Q1197" t="s">
        <v>34</v>
      </c>
      <c r="R1197">
        <v>46137</v>
      </c>
      <c r="S1197" s="51">
        <v>0.63124999999999998</v>
      </c>
      <c r="T1197" s="51">
        <v>0.63888888888888895</v>
      </c>
      <c r="X1197" t="s">
        <v>3315</v>
      </c>
      <c r="Y1197" t="s">
        <v>3029</v>
      </c>
      <c r="Z1197">
        <v>2777698</v>
      </c>
    </row>
    <row r="1198" spans="1:26" x14ac:dyDescent="0.25">
      <c r="A1198">
        <v>1194</v>
      </c>
      <c r="B1198" t="s">
        <v>26</v>
      </c>
      <c r="C1198" t="s">
        <v>27</v>
      </c>
      <c r="D1198">
        <v>15</v>
      </c>
      <c r="E1198" t="s">
        <v>1141</v>
      </c>
      <c r="F1198" t="s">
        <v>1598</v>
      </c>
      <c r="G1198">
        <v>3939</v>
      </c>
      <c r="H1198" t="s">
        <v>2249</v>
      </c>
      <c r="I1198" t="s">
        <v>2240</v>
      </c>
      <c r="J1198">
        <v>8</v>
      </c>
      <c r="K1198">
        <v>1</v>
      </c>
      <c r="L1198">
        <v>2.3263888888888887E-3</v>
      </c>
      <c r="M1198" t="s">
        <v>117</v>
      </c>
      <c r="N1198" t="s">
        <v>1128</v>
      </c>
      <c r="O1198" s="24">
        <v>46126</v>
      </c>
      <c r="P1198">
        <v>605</v>
      </c>
      <c r="Q1198" t="s">
        <v>34</v>
      </c>
      <c r="R1198">
        <v>46137</v>
      </c>
      <c r="S1198" s="51">
        <v>0.63124999999999998</v>
      </c>
      <c r="T1198" s="51">
        <v>0.63888888888888895</v>
      </c>
      <c r="X1198" t="s">
        <v>3315</v>
      </c>
      <c r="Y1198" t="s">
        <v>3029</v>
      </c>
      <c r="Z1198">
        <v>2777698</v>
      </c>
    </row>
    <row r="1199" spans="1:26" x14ac:dyDescent="0.25">
      <c r="A1199">
        <v>1195</v>
      </c>
      <c r="B1199" t="s">
        <v>26</v>
      </c>
      <c r="C1199" t="s">
        <v>27</v>
      </c>
      <c r="D1199">
        <v>15</v>
      </c>
      <c r="E1199" t="s">
        <v>131</v>
      </c>
      <c r="F1199" t="s">
        <v>115</v>
      </c>
      <c r="G1199">
        <v>3940</v>
      </c>
      <c r="H1199" t="s">
        <v>1190</v>
      </c>
      <c r="I1199" t="s">
        <v>1191</v>
      </c>
      <c r="J1199">
        <v>8</v>
      </c>
      <c r="K1199">
        <v>1</v>
      </c>
      <c r="L1199">
        <v>7.9629629629629634E-3</v>
      </c>
      <c r="M1199" t="s">
        <v>117</v>
      </c>
      <c r="N1199" t="s">
        <v>1161</v>
      </c>
      <c r="O1199" s="24">
        <v>46125</v>
      </c>
      <c r="P1199">
        <v>603</v>
      </c>
      <c r="Q1199" t="s">
        <v>34</v>
      </c>
      <c r="R1199">
        <v>46135</v>
      </c>
      <c r="S1199" s="51">
        <v>0.42083333333333334</v>
      </c>
      <c r="T1199" s="51">
        <v>0.42638888888888887</v>
      </c>
      <c r="X1199" t="s">
        <v>3316</v>
      </c>
      <c r="Y1199" t="s">
        <v>3072</v>
      </c>
      <c r="Z1199">
        <v>1742079</v>
      </c>
    </row>
    <row r="1200" spans="1:26" x14ac:dyDescent="0.25">
      <c r="A1200">
        <v>1196</v>
      </c>
      <c r="B1200" t="s">
        <v>26</v>
      </c>
      <c r="C1200" t="s">
        <v>27</v>
      </c>
      <c r="D1200">
        <v>15</v>
      </c>
      <c r="E1200" t="s">
        <v>2763</v>
      </c>
      <c r="F1200" t="s">
        <v>44</v>
      </c>
      <c r="G1200">
        <v>3941</v>
      </c>
      <c r="H1200" t="s">
        <v>2463</v>
      </c>
      <c r="I1200" t="s">
        <v>2049</v>
      </c>
      <c r="J1200">
        <v>8</v>
      </c>
      <c r="K1200">
        <v>1</v>
      </c>
      <c r="L1200">
        <v>1.273148148148148E-3</v>
      </c>
      <c r="M1200" t="s">
        <v>3079</v>
      </c>
      <c r="X1200" t="s">
        <v>3317</v>
      </c>
    </row>
    <row r="1201" spans="1:26" x14ac:dyDescent="0.25">
      <c r="A1201">
        <v>1197</v>
      </c>
      <c r="B1201" t="s">
        <v>26</v>
      </c>
      <c r="C1201" t="s">
        <v>27</v>
      </c>
      <c r="D1201">
        <v>15</v>
      </c>
      <c r="E1201" t="s">
        <v>2763</v>
      </c>
      <c r="F1201" t="s">
        <v>44</v>
      </c>
      <c r="G1201">
        <v>3941</v>
      </c>
      <c r="H1201" t="s">
        <v>2383</v>
      </c>
      <c r="I1201" t="s">
        <v>2384</v>
      </c>
      <c r="J1201">
        <v>8</v>
      </c>
      <c r="K1201">
        <v>2</v>
      </c>
      <c r="L1201">
        <v>3.0092592592592593E-3</v>
      </c>
      <c r="M1201" t="s">
        <v>3079</v>
      </c>
      <c r="X1201" t="s">
        <v>3317</v>
      </c>
    </row>
    <row r="1202" spans="1:26" x14ac:dyDescent="0.25">
      <c r="A1202">
        <v>1198</v>
      </c>
      <c r="B1202" t="s">
        <v>26</v>
      </c>
      <c r="C1202" t="s">
        <v>27</v>
      </c>
      <c r="D1202">
        <v>15</v>
      </c>
      <c r="E1202" t="s">
        <v>2763</v>
      </c>
      <c r="F1202" t="s">
        <v>44</v>
      </c>
      <c r="G1202">
        <v>3941</v>
      </c>
      <c r="H1202" t="s">
        <v>2448</v>
      </c>
      <c r="I1202" t="s">
        <v>2049</v>
      </c>
      <c r="J1202">
        <v>8</v>
      </c>
      <c r="K1202">
        <v>1</v>
      </c>
      <c r="L1202">
        <v>1.273148148148148E-3</v>
      </c>
      <c r="M1202" t="s">
        <v>3079</v>
      </c>
      <c r="X1202" t="s">
        <v>3317</v>
      </c>
    </row>
    <row r="1203" spans="1:26" x14ac:dyDescent="0.25">
      <c r="A1203">
        <v>1199</v>
      </c>
      <c r="B1203" t="s">
        <v>26</v>
      </c>
      <c r="C1203" t="s">
        <v>27</v>
      </c>
      <c r="D1203">
        <v>15</v>
      </c>
      <c r="E1203" t="s">
        <v>2763</v>
      </c>
      <c r="F1203" t="s">
        <v>44</v>
      </c>
      <c r="G1203">
        <v>3941</v>
      </c>
      <c r="H1203" t="s">
        <v>2765</v>
      </c>
      <c r="I1203" t="s">
        <v>2766</v>
      </c>
      <c r="J1203">
        <v>8</v>
      </c>
      <c r="K1203">
        <v>1</v>
      </c>
      <c r="L1203">
        <v>1.3425925925925925E-3</v>
      </c>
      <c r="M1203" t="s">
        <v>3079</v>
      </c>
      <c r="X1203" t="s">
        <v>3317</v>
      </c>
    </row>
    <row r="1204" spans="1:26" x14ac:dyDescent="0.25">
      <c r="A1204">
        <v>1200</v>
      </c>
      <c r="B1204" t="s">
        <v>26</v>
      </c>
      <c r="C1204" t="s">
        <v>27</v>
      </c>
      <c r="D1204">
        <v>15</v>
      </c>
      <c r="E1204" t="s">
        <v>2763</v>
      </c>
      <c r="F1204" t="s">
        <v>44</v>
      </c>
      <c r="G1204">
        <v>3941</v>
      </c>
      <c r="H1204" t="s">
        <v>2767</v>
      </c>
      <c r="I1204" t="s">
        <v>2766</v>
      </c>
      <c r="J1204">
        <v>8</v>
      </c>
      <c r="K1204">
        <v>1</v>
      </c>
      <c r="L1204">
        <v>1.3425925925925925E-3</v>
      </c>
      <c r="M1204" t="s">
        <v>3079</v>
      </c>
      <c r="X1204" t="s">
        <v>3317</v>
      </c>
    </row>
    <row r="1205" spans="1:26" x14ac:dyDescent="0.25">
      <c r="A1205">
        <v>1201</v>
      </c>
      <c r="B1205" t="s">
        <v>26</v>
      </c>
      <c r="C1205" t="s">
        <v>27</v>
      </c>
      <c r="D1205">
        <v>15</v>
      </c>
      <c r="E1205" t="s">
        <v>2763</v>
      </c>
      <c r="F1205" t="s">
        <v>44</v>
      </c>
      <c r="G1205">
        <v>3941</v>
      </c>
      <c r="H1205" t="s">
        <v>2768</v>
      </c>
      <c r="I1205" t="s">
        <v>2216</v>
      </c>
      <c r="J1205">
        <v>8</v>
      </c>
      <c r="K1205">
        <v>1</v>
      </c>
      <c r="L1205">
        <v>1.5972222222222221E-3</v>
      </c>
      <c r="M1205" t="s">
        <v>3079</v>
      </c>
      <c r="X1205" t="s">
        <v>3317</v>
      </c>
    </row>
    <row r="1206" spans="1:26" x14ac:dyDescent="0.25">
      <c r="A1206">
        <v>1202</v>
      </c>
      <c r="B1206" t="s">
        <v>26</v>
      </c>
      <c r="C1206" t="s">
        <v>27</v>
      </c>
      <c r="D1206">
        <v>15</v>
      </c>
      <c r="E1206" t="s">
        <v>2763</v>
      </c>
      <c r="F1206" t="s">
        <v>44</v>
      </c>
      <c r="G1206">
        <v>3941</v>
      </c>
      <c r="H1206" t="s">
        <v>2769</v>
      </c>
      <c r="I1206" t="s">
        <v>2216</v>
      </c>
      <c r="J1206">
        <v>8</v>
      </c>
      <c r="K1206">
        <v>1</v>
      </c>
      <c r="L1206">
        <v>1.5972222222222221E-3</v>
      </c>
      <c r="M1206" t="s">
        <v>3079</v>
      </c>
      <c r="X1206" t="s">
        <v>3317</v>
      </c>
    </row>
    <row r="1207" spans="1:26" x14ac:dyDescent="0.25">
      <c r="A1207">
        <v>1203</v>
      </c>
      <c r="B1207" t="s">
        <v>26</v>
      </c>
      <c r="C1207" t="s">
        <v>27</v>
      </c>
      <c r="D1207">
        <v>15</v>
      </c>
      <c r="E1207" t="s">
        <v>2259</v>
      </c>
      <c r="F1207" t="s">
        <v>44</v>
      </c>
      <c r="G1207">
        <v>3941</v>
      </c>
      <c r="H1207" t="s">
        <v>45</v>
      </c>
      <c r="I1207" t="s">
        <v>1119</v>
      </c>
      <c r="J1207">
        <v>8</v>
      </c>
      <c r="K1207">
        <v>2</v>
      </c>
      <c r="L1207">
        <v>2.7199074074074074E-3</v>
      </c>
      <c r="M1207" t="s">
        <v>3079</v>
      </c>
      <c r="X1207" t="s">
        <v>3317</v>
      </c>
    </row>
    <row r="1208" spans="1:26" x14ac:dyDescent="0.25">
      <c r="A1208">
        <v>1204</v>
      </c>
      <c r="B1208" t="s">
        <v>26</v>
      </c>
      <c r="C1208" t="s">
        <v>27</v>
      </c>
      <c r="D1208">
        <v>15</v>
      </c>
      <c r="E1208" t="s">
        <v>2770</v>
      </c>
      <c r="F1208" t="s">
        <v>44</v>
      </c>
      <c r="G1208">
        <v>3941</v>
      </c>
      <c r="H1208" t="s">
        <v>54</v>
      </c>
      <c r="I1208" t="s">
        <v>1119</v>
      </c>
      <c r="J1208">
        <v>8</v>
      </c>
      <c r="K1208">
        <v>8</v>
      </c>
      <c r="L1208">
        <v>9.8148148148148144E-3</v>
      </c>
      <c r="M1208" t="s">
        <v>3079</v>
      </c>
      <c r="X1208" t="s">
        <v>3317</v>
      </c>
    </row>
    <row r="1209" spans="1:26" x14ac:dyDescent="0.25">
      <c r="A1209">
        <v>1205</v>
      </c>
      <c r="B1209" t="s">
        <v>26</v>
      </c>
      <c r="C1209" t="s">
        <v>27</v>
      </c>
      <c r="D1209">
        <v>15</v>
      </c>
      <c r="E1209" t="s">
        <v>367</v>
      </c>
      <c r="F1209" t="s">
        <v>368</v>
      </c>
      <c r="G1209">
        <v>4184</v>
      </c>
      <c r="H1209" t="s">
        <v>1719</v>
      </c>
      <c r="I1209" t="s">
        <v>1720</v>
      </c>
      <c r="J1209">
        <v>16</v>
      </c>
      <c r="K1209">
        <v>1</v>
      </c>
      <c r="L1209">
        <v>6.0185185185185179E-4</v>
      </c>
      <c r="M1209" t="s">
        <v>117</v>
      </c>
      <c r="N1209" t="s">
        <v>1082</v>
      </c>
      <c r="O1209" s="24">
        <v>46133</v>
      </c>
      <c r="P1209">
        <v>606</v>
      </c>
      <c r="Q1209" t="s">
        <v>34</v>
      </c>
      <c r="R1209">
        <v>46135</v>
      </c>
      <c r="S1209" s="51">
        <v>0.79166666666666663</v>
      </c>
      <c r="T1209" s="51">
        <v>0.41666666666666669</v>
      </c>
      <c r="X1209" t="s">
        <v>3318</v>
      </c>
      <c r="Y1209" t="s">
        <v>3035</v>
      </c>
      <c r="Z1209">
        <v>2777656</v>
      </c>
    </row>
    <row r="1210" spans="1:26" x14ac:dyDescent="0.25">
      <c r="A1210">
        <v>1206</v>
      </c>
      <c r="B1210" t="s">
        <v>26</v>
      </c>
      <c r="C1210" t="s">
        <v>27</v>
      </c>
      <c r="D1210">
        <v>15</v>
      </c>
      <c r="E1210" t="s">
        <v>367</v>
      </c>
      <c r="F1210" t="s">
        <v>368</v>
      </c>
      <c r="G1210">
        <v>4184</v>
      </c>
      <c r="H1210" t="s">
        <v>1786</v>
      </c>
      <c r="I1210" t="s">
        <v>1679</v>
      </c>
      <c r="J1210">
        <v>16</v>
      </c>
      <c r="K1210">
        <v>1</v>
      </c>
      <c r="L1210">
        <v>6.0185185185185179E-4</v>
      </c>
      <c r="M1210" t="s">
        <v>117</v>
      </c>
      <c r="N1210" t="s">
        <v>1082</v>
      </c>
      <c r="O1210" s="24">
        <v>46133</v>
      </c>
      <c r="P1210">
        <v>606</v>
      </c>
      <c r="Q1210" t="s">
        <v>34</v>
      </c>
      <c r="R1210">
        <v>46135</v>
      </c>
      <c r="S1210" s="51">
        <v>0.79166666666666663</v>
      </c>
      <c r="T1210" s="51">
        <v>0.41666666666666669</v>
      </c>
      <c r="X1210" t="s">
        <v>3318</v>
      </c>
      <c r="Y1210" t="s">
        <v>3035</v>
      </c>
      <c r="Z1210">
        <v>2777656</v>
      </c>
    </row>
    <row r="1211" spans="1:26" x14ac:dyDescent="0.25">
      <c r="A1211">
        <v>1207</v>
      </c>
      <c r="B1211" t="s">
        <v>26</v>
      </c>
      <c r="C1211" t="s">
        <v>27</v>
      </c>
      <c r="D1211">
        <v>15</v>
      </c>
      <c r="E1211" t="s">
        <v>367</v>
      </c>
      <c r="F1211" t="s">
        <v>368</v>
      </c>
      <c r="G1211">
        <v>4184</v>
      </c>
      <c r="H1211" t="s">
        <v>1784</v>
      </c>
      <c r="I1211" t="s">
        <v>1785</v>
      </c>
      <c r="J1211">
        <v>16</v>
      </c>
      <c r="K1211">
        <v>1</v>
      </c>
      <c r="L1211">
        <v>6.9444444444444436E-4</v>
      </c>
      <c r="M1211" t="s">
        <v>117</v>
      </c>
      <c r="N1211" t="s">
        <v>1082</v>
      </c>
      <c r="O1211" s="24">
        <v>46133</v>
      </c>
      <c r="P1211">
        <v>606</v>
      </c>
      <c r="Q1211" t="s">
        <v>34</v>
      </c>
      <c r="R1211">
        <v>46135</v>
      </c>
      <c r="S1211" s="51">
        <v>0.79166666666666663</v>
      </c>
      <c r="T1211" s="51">
        <v>0.41666666666666669</v>
      </c>
      <c r="X1211" t="s">
        <v>3318</v>
      </c>
      <c r="Y1211" t="s">
        <v>3035</v>
      </c>
      <c r="Z1211">
        <v>2777656</v>
      </c>
    </row>
    <row r="1212" spans="1:26" x14ac:dyDescent="0.25">
      <c r="A1212">
        <v>1208</v>
      </c>
      <c r="B1212" t="s">
        <v>26</v>
      </c>
      <c r="C1212" t="s">
        <v>27</v>
      </c>
      <c r="D1212">
        <v>15</v>
      </c>
      <c r="E1212" t="s">
        <v>367</v>
      </c>
      <c r="F1212" t="s">
        <v>368</v>
      </c>
      <c r="G1212">
        <v>4184</v>
      </c>
      <c r="H1212" t="s">
        <v>1783</v>
      </c>
      <c r="I1212" t="s">
        <v>1679</v>
      </c>
      <c r="J1212">
        <v>16</v>
      </c>
      <c r="K1212">
        <v>1</v>
      </c>
      <c r="L1212">
        <v>6.0185185185185179E-4</v>
      </c>
      <c r="M1212" t="s">
        <v>117</v>
      </c>
      <c r="N1212" t="s">
        <v>1082</v>
      </c>
      <c r="O1212" s="24">
        <v>46133</v>
      </c>
      <c r="P1212">
        <v>606</v>
      </c>
      <c r="Q1212" t="s">
        <v>34</v>
      </c>
      <c r="R1212">
        <v>46135</v>
      </c>
      <c r="S1212" s="51">
        <v>0.79166666666666663</v>
      </c>
      <c r="T1212" s="51">
        <v>0.41666666666666669</v>
      </c>
      <c r="X1212" t="s">
        <v>3318</v>
      </c>
      <c r="Y1212" t="s">
        <v>3035</v>
      </c>
      <c r="Z1212">
        <v>2777656</v>
      </c>
    </row>
    <row r="1213" spans="1:26" x14ac:dyDescent="0.25">
      <c r="A1213">
        <v>1209</v>
      </c>
      <c r="B1213" t="s">
        <v>26</v>
      </c>
      <c r="C1213" t="s">
        <v>27</v>
      </c>
      <c r="D1213">
        <v>15</v>
      </c>
      <c r="E1213" t="s">
        <v>367</v>
      </c>
      <c r="F1213" t="s">
        <v>368</v>
      </c>
      <c r="G1213">
        <v>4184</v>
      </c>
      <c r="H1213" t="s">
        <v>1680</v>
      </c>
      <c r="I1213" t="s">
        <v>1679</v>
      </c>
      <c r="J1213">
        <v>16</v>
      </c>
      <c r="K1213">
        <v>2</v>
      </c>
      <c r="L1213">
        <v>1.2037037037037036E-3</v>
      </c>
      <c r="M1213" t="s">
        <v>117</v>
      </c>
      <c r="N1213" t="s">
        <v>1082</v>
      </c>
      <c r="O1213" s="24">
        <v>46133</v>
      </c>
      <c r="P1213">
        <v>606</v>
      </c>
      <c r="Q1213" t="s">
        <v>34</v>
      </c>
      <c r="R1213">
        <v>46135</v>
      </c>
      <c r="S1213" s="51">
        <v>0.79166666666666663</v>
      </c>
      <c r="T1213" s="51">
        <v>0.41666666666666669</v>
      </c>
      <c r="X1213" t="s">
        <v>3318</v>
      </c>
      <c r="Y1213" t="s">
        <v>3035</v>
      </c>
      <c r="Z1213">
        <v>2777656</v>
      </c>
    </row>
    <row r="1214" spans="1:26" x14ac:dyDescent="0.25">
      <c r="A1214">
        <v>1210</v>
      </c>
      <c r="B1214" t="s">
        <v>26</v>
      </c>
      <c r="C1214" t="s">
        <v>27</v>
      </c>
      <c r="D1214">
        <v>15</v>
      </c>
      <c r="E1214" t="s">
        <v>367</v>
      </c>
      <c r="F1214" t="s">
        <v>368</v>
      </c>
      <c r="G1214">
        <v>4184</v>
      </c>
      <c r="H1214" t="s">
        <v>1721</v>
      </c>
      <c r="I1214" t="s">
        <v>1722</v>
      </c>
      <c r="J1214">
        <v>16</v>
      </c>
      <c r="K1214">
        <v>2</v>
      </c>
      <c r="L1214">
        <v>1.1458333333333333E-3</v>
      </c>
      <c r="M1214" t="s">
        <v>117</v>
      </c>
      <c r="N1214" t="s">
        <v>1082</v>
      </c>
      <c r="O1214" s="24">
        <v>46133</v>
      </c>
      <c r="P1214">
        <v>606</v>
      </c>
      <c r="Q1214" t="s">
        <v>34</v>
      </c>
      <c r="R1214">
        <v>46135</v>
      </c>
      <c r="S1214" s="51">
        <v>0.79166666666666663</v>
      </c>
      <c r="T1214" s="51">
        <v>0.41666666666666669</v>
      </c>
      <c r="X1214" t="s">
        <v>3318</v>
      </c>
      <c r="Y1214" t="s">
        <v>3035</v>
      </c>
      <c r="Z1214">
        <v>2777656</v>
      </c>
    </row>
    <row r="1215" spans="1:26" x14ac:dyDescent="0.25">
      <c r="A1215">
        <v>1211</v>
      </c>
      <c r="B1215" t="s">
        <v>26</v>
      </c>
      <c r="C1215" t="s">
        <v>27</v>
      </c>
      <c r="D1215">
        <v>15</v>
      </c>
      <c r="E1215" t="s">
        <v>1141</v>
      </c>
      <c r="F1215" t="s">
        <v>367</v>
      </c>
      <c r="G1215">
        <v>4184</v>
      </c>
      <c r="H1215" t="s">
        <v>2072</v>
      </c>
      <c r="I1215" t="s">
        <v>2772</v>
      </c>
      <c r="J1215">
        <v>16</v>
      </c>
      <c r="K1215">
        <v>1</v>
      </c>
      <c r="L1215">
        <v>1.5046296296296296E-3</v>
      </c>
      <c r="M1215" t="s">
        <v>117</v>
      </c>
      <c r="N1215" t="s">
        <v>1082</v>
      </c>
      <c r="O1215" s="24">
        <v>46133</v>
      </c>
      <c r="P1215">
        <v>606</v>
      </c>
      <c r="Q1215" t="s">
        <v>34</v>
      </c>
      <c r="R1215">
        <v>46135</v>
      </c>
      <c r="S1215" s="51">
        <v>0.79166666666666663</v>
      </c>
      <c r="T1215" s="51">
        <v>0.41666666666666669</v>
      </c>
      <c r="X1215" t="s">
        <v>3318</v>
      </c>
      <c r="Y1215" t="s">
        <v>3035</v>
      </c>
      <c r="Z1215">
        <v>2777656</v>
      </c>
    </row>
    <row r="1216" spans="1:26" x14ac:dyDescent="0.25">
      <c r="A1216">
        <v>1212</v>
      </c>
      <c r="B1216" t="s">
        <v>26</v>
      </c>
      <c r="C1216" t="s">
        <v>27</v>
      </c>
      <c r="D1216">
        <v>15</v>
      </c>
      <c r="E1216" t="s">
        <v>1141</v>
      </c>
      <c r="F1216" t="s">
        <v>367</v>
      </c>
      <c r="G1216">
        <v>4184</v>
      </c>
      <c r="H1216" t="s">
        <v>2074</v>
      </c>
      <c r="I1216" t="s">
        <v>2772</v>
      </c>
      <c r="J1216">
        <v>16</v>
      </c>
      <c r="K1216">
        <v>1</v>
      </c>
      <c r="L1216">
        <v>1.8634259259259259E-3</v>
      </c>
      <c r="M1216" t="s">
        <v>117</v>
      </c>
      <c r="N1216" t="s">
        <v>1082</v>
      </c>
      <c r="O1216" s="24">
        <v>46133</v>
      </c>
      <c r="P1216">
        <v>606</v>
      </c>
      <c r="Q1216" t="s">
        <v>34</v>
      </c>
      <c r="R1216">
        <v>46135</v>
      </c>
      <c r="S1216" s="51">
        <v>0.79166666666666663</v>
      </c>
      <c r="T1216" s="51">
        <v>0.41666666666666669</v>
      </c>
      <c r="X1216" t="s">
        <v>3318</v>
      </c>
      <c r="Y1216" t="s">
        <v>3035</v>
      </c>
      <c r="Z1216">
        <v>2777656</v>
      </c>
    </row>
    <row r="1217" spans="1:26" x14ac:dyDescent="0.25">
      <c r="A1217">
        <v>1213</v>
      </c>
      <c r="B1217" t="s">
        <v>26</v>
      </c>
      <c r="C1217" t="s">
        <v>27</v>
      </c>
      <c r="D1217">
        <v>15</v>
      </c>
      <c r="E1217" t="s">
        <v>367</v>
      </c>
      <c r="F1217" t="s">
        <v>512</v>
      </c>
      <c r="G1217">
        <v>4184</v>
      </c>
      <c r="H1217" t="s">
        <v>1749</v>
      </c>
      <c r="I1217" t="s">
        <v>1747</v>
      </c>
      <c r="J1217">
        <v>16</v>
      </c>
      <c r="K1217">
        <v>2</v>
      </c>
      <c r="L1217">
        <v>1.1458333333333333E-3</v>
      </c>
      <c r="M1217" t="s">
        <v>117</v>
      </c>
      <c r="N1217" t="s">
        <v>1082</v>
      </c>
      <c r="O1217" s="24">
        <v>46133</v>
      </c>
      <c r="P1217">
        <v>606</v>
      </c>
      <c r="Q1217" t="s">
        <v>34</v>
      </c>
      <c r="R1217">
        <v>46135</v>
      </c>
      <c r="S1217" s="51">
        <v>0.79166666666666663</v>
      </c>
      <c r="T1217" s="51">
        <v>0.41666666666666669</v>
      </c>
      <c r="X1217" t="s">
        <v>3318</v>
      </c>
      <c r="Y1217" t="s">
        <v>3035</v>
      </c>
      <c r="Z1217">
        <v>2777656</v>
      </c>
    </row>
    <row r="1218" spans="1:26" x14ac:dyDescent="0.25">
      <c r="A1218">
        <v>1214</v>
      </c>
      <c r="B1218" t="s">
        <v>26</v>
      </c>
      <c r="C1218" t="s">
        <v>27</v>
      </c>
      <c r="D1218">
        <v>15</v>
      </c>
      <c r="E1218" t="s">
        <v>367</v>
      </c>
      <c r="F1218" t="s">
        <v>512</v>
      </c>
      <c r="G1218">
        <v>4184</v>
      </c>
      <c r="H1218" t="s">
        <v>1750</v>
      </c>
      <c r="I1218" t="s">
        <v>1747</v>
      </c>
      <c r="J1218">
        <v>16</v>
      </c>
      <c r="K1218">
        <v>3</v>
      </c>
      <c r="L1218">
        <v>1.724537037037037E-3</v>
      </c>
      <c r="M1218" t="s">
        <v>117</v>
      </c>
      <c r="N1218" t="s">
        <v>1082</v>
      </c>
      <c r="O1218" s="24">
        <v>46133</v>
      </c>
      <c r="P1218">
        <v>606</v>
      </c>
      <c r="Q1218" t="s">
        <v>34</v>
      </c>
      <c r="R1218">
        <v>46135</v>
      </c>
      <c r="S1218" s="51">
        <v>0.79166666666666663</v>
      </c>
      <c r="T1218" s="51">
        <v>0.41666666666666669</v>
      </c>
      <c r="X1218" t="s">
        <v>3318</v>
      </c>
      <c r="Y1218" t="s">
        <v>3035</v>
      </c>
      <c r="Z1218">
        <v>2777656</v>
      </c>
    </row>
    <row r="1219" spans="1:26" x14ac:dyDescent="0.25">
      <c r="A1219">
        <v>1215</v>
      </c>
      <c r="B1219" t="s">
        <v>26</v>
      </c>
      <c r="C1219" t="s">
        <v>27</v>
      </c>
      <c r="D1219">
        <v>15</v>
      </c>
      <c r="E1219" t="s">
        <v>367</v>
      </c>
      <c r="F1219" t="s">
        <v>512</v>
      </c>
      <c r="G1219">
        <v>4184</v>
      </c>
      <c r="H1219" t="s">
        <v>2081</v>
      </c>
      <c r="I1219" t="s">
        <v>2082</v>
      </c>
      <c r="J1219">
        <v>16</v>
      </c>
      <c r="K1219">
        <v>1</v>
      </c>
      <c r="L1219">
        <v>8.9120370370370362E-4</v>
      </c>
      <c r="M1219" t="s">
        <v>117</v>
      </c>
      <c r="N1219" t="s">
        <v>1082</v>
      </c>
      <c r="O1219" s="24">
        <v>46133</v>
      </c>
      <c r="P1219">
        <v>606</v>
      </c>
      <c r="Q1219" t="s">
        <v>34</v>
      </c>
      <c r="R1219">
        <v>46135</v>
      </c>
      <c r="S1219" s="51">
        <v>0.79166666666666663</v>
      </c>
      <c r="T1219" s="51">
        <v>0.41666666666666669</v>
      </c>
      <c r="X1219" t="s">
        <v>3318</v>
      </c>
      <c r="Y1219" t="s">
        <v>3035</v>
      </c>
      <c r="Z1219">
        <v>2777656</v>
      </c>
    </row>
    <row r="1220" spans="1:26" x14ac:dyDescent="0.25">
      <c r="A1220">
        <v>1216</v>
      </c>
      <c r="B1220" t="s">
        <v>26</v>
      </c>
      <c r="C1220" t="s">
        <v>27</v>
      </c>
      <c r="D1220">
        <v>15</v>
      </c>
      <c r="E1220" t="s">
        <v>367</v>
      </c>
      <c r="F1220" t="s">
        <v>512</v>
      </c>
      <c r="G1220">
        <v>4184</v>
      </c>
      <c r="H1220" t="s">
        <v>2499</v>
      </c>
      <c r="I1220" t="s">
        <v>2500</v>
      </c>
      <c r="J1220">
        <v>16</v>
      </c>
      <c r="K1220">
        <v>1</v>
      </c>
      <c r="L1220">
        <v>8.9120370370370362E-4</v>
      </c>
      <c r="M1220" t="s">
        <v>117</v>
      </c>
      <c r="N1220" t="s">
        <v>1082</v>
      </c>
      <c r="O1220" s="24">
        <v>46133</v>
      </c>
      <c r="P1220">
        <v>606</v>
      </c>
      <c r="Q1220" t="s">
        <v>34</v>
      </c>
      <c r="R1220">
        <v>46135</v>
      </c>
      <c r="S1220" s="51">
        <v>0.79166666666666663</v>
      </c>
      <c r="T1220" s="51">
        <v>0.41666666666666669</v>
      </c>
      <c r="X1220" t="s">
        <v>3318</v>
      </c>
      <c r="Y1220" t="s">
        <v>3035</v>
      </c>
      <c r="Z1220">
        <v>2777656</v>
      </c>
    </row>
    <row r="1221" spans="1:26" x14ac:dyDescent="0.25">
      <c r="A1221">
        <v>1217</v>
      </c>
      <c r="B1221" t="s">
        <v>26</v>
      </c>
      <c r="C1221" t="s">
        <v>27</v>
      </c>
      <c r="D1221">
        <v>15</v>
      </c>
      <c r="E1221" t="s">
        <v>367</v>
      </c>
      <c r="F1221" t="s">
        <v>1594</v>
      </c>
      <c r="G1221">
        <v>4184</v>
      </c>
      <c r="H1221" t="s">
        <v>1641</v>
      </c>
      <c r="I1221" t="s">
        <v>1642</v>
      </c>
      <c r="J1221">
        <v>16</v>
      </c>
      <c r="K1221">
        <v>2</v>
      </c>
      <c r="L1221">
        <v>1.1342592592592591E-3</v>
      </c>
      <c r="M1221" t="s">
        <v>117</v>
      </c>
      <c r="N1221" t="s">
        <v>1082</v>
      </c>
      <c r="O1221" s="24">
        <v>46133</v>
      </c>
      <c r="P1221">
        <v>606</v>
      </c>
      <c r="Q1221" t="s">
        <v>34</v>
      </c>
      <c r="R1221">
        <v>46135</v>
      </c>
      <c r="S1221" s="51">
        <v>0.79166666666666663</v>
      </c>
      <c r="T1221" s="51">
        <v>0.41666666666666669</v>
      </c>
      <c r="X1221" t="s">
        <v>3318</v>
      </c>
      <c r="Y1221" t="s">
        <v>3035</v>
      </c>
      <c r="Z1221">
        <v>2777656</v>
      </c>
    </row>
    <row r="1222" spans="1:26" x14ac:dyDescent="0.25">
      <c r="A1222">
        <v>1218</v>
      </c>
      <c r="B1222" t="s">
        <v>26</v>
      </c>
      <c r="C1222" t="s">
        <v>27</v>
      </c>
      <c r="D1222">
        <v>15</v>
      </c>
      <c r="E1222" t="s">
        <v>367</v>
      </c>
      <c r="F1222" t="s">
        <v>1594</v>
      </c>
      <c r="G1222">
        <v>4184</v>
      </c>
      <c r="H1222" t="s">
        <v>1793</v>
      </c>
      <c r="I1222" t="s">
        <v>1642</v>
      </c>
      <c r="J1222">
        <v>16</v>
      </c>
      <c r="K1222">
        <v>3</v>
      </c>
      <c r="L1222">
        <v>1.7129629629629628E-3</v>
      </c>
      <c r="M1222" t="s">
        <v>117</v>
      </c>
      <c r="N1222" t="s">
        <v>1082</v>
      </c>
      <c r="O1222" s="24">
        <v>46133</v>
      </c>
      <c r="P1222">
        <v>606</v>
      </c>
      <c r="Q1222" t="s">
        <v>34</v>
      </c>
      <c r="R1222">
        <v>46135</v>
      </c>
      <c r="S1222" s="51">
        <v>0.79166666666666663</v>
      </c>
      <c r="T1222" s="51">
        <v>0.41666666666666669</v>
      </c>
      <c r="X1222" t="s">
        <v>3318</v>
      </c>
      <c r="Y1222" t="s">
        <v>3035</v>
      </c>
      <c r="Z1222">
        <v>2777656</v>
      </c>
    </row>
    <row r="1223" spans="1:26" x14ac:dyDescent="0.25">
      <c r="A1223">
        <v>1219</v>
      </c>
      <c r="B1223" t="s">
        <v>26</v>
      </c>
      <c r="C1223" t="s">
        <v>27</v>
      </c>
      <c r="D1223">
        <v>15</v>
      </c>
      <c r="E1223" t="s">
        <v>1141</v>
      </c>
      <c r="F1223" t="s">
        <v>367</v>
      </c>
      <c r="G1223">
        <v>4185</v>
      </c>
      <c r="H1223" t="s">
        <v>2502</v>
      </c>
      <c r="I1223" t="s">
        <v>2503</v>
      </c>
      <c r="J1223">
        <v>16</v>
      </c>
      <c r="K1223">
        <v>1</v>
      </c>
      <c r="L1223">
        <v>1.5624999999999999E-3</v>
      </c>
      <c r="M1223" t="s">
        <v>117</v>
      </c>
      <c r="N1223" t="s">
        <v>1082</v>
      </c>
      <c r="O1223" s="24">
        <v>46133</v>
      </c>
      <c r="P1223">
        <v>606</v>
      </c>
      <c r="Q1223" t="s">
        <v>34</v>
      </c>
      <c r="R1223">
        <v>46135</v>
      </c>
      <c r="S1223" s="51">
        <v>0.38194444444444442</v>
      </c>
      <c r="T1223" s="51">
        <v>0.41458333333333336</v>
      </c>
      <c r="X1223" t="s">
        <v>3319</v>
      </c>
      <c r="Y1223" t="s">
        <v>3035</v>
      </c>
      <c r="Z1223">
        <v>2777656</v>
      </c>
    </row>
    <row r="1224" spans="1:26" x14ac:dyDescent="0.25">
      <c r="A1224">
        <v>1220</v>
      </c>
      <c r="B1224" t="s">
        <v>26</v>
      </c>
      <c r="C1224" t="s">
        <v>27</v>
      </c>
      <c r="D1224">
        <v>15</v>
      </c>
      <c r="E1224" t="s">
        <v>1141</v>
      </c>
      <c r="F1224" t="s">
        <v>367</v>
      </c>
      <c r="G1224">
        <v>4185</v>
      </c>
      <c r="H1224" t="s">
        <v>2504</v>
      </c>
      <c r="I1224" t="s">
        <v>2503</v>
      </c>
      <c r="J1224">
        <v>16</v>
      </c>
      <c r="K1224">
        <v>1</v>
      </c>
      <c r="L1224">
        <v>1.5624999999999999E-3</v>
      </c>
      <c r="M1224" t="s">
        <v>117</v>
      </c>
      <c r="N1224" t="s">
        <v>1082</v>
      </c>
      <c r="O1224" s="24">
        <v>46133</v>
      </c>
      <c r="P1224">
        <v>606</v>
      </c>
      <c r="Q1224" t="s">
        <v>34</v>
      </c>
      <c r="R1224">
        <v>46135</v>
      </c>
      <c r="S1224" s="51">
        <v>0.38194444444444442</v>
      </c>
      <c r="T1224" s="51">
        <v>0.41458333333333336</v>
      </c>
      <c r="X1224" t="s">
        <v>3319</v>
      </c>
      <c r="Y1224" t="s">
        <v>3035</v>
      </c>
      <c r="Z1224">
        <v>2777656</v>
      </c>
    </row>
    <row r="1225" spans="1:26" x14ac:dyDescent="0.25">
      <c r="A1225">
        <v>1221</v>
      </c>
      <c r="B1225" t="s">
        <v>26</v>
      </c>
      <c r="C1225" t="s">
        <v>27</v>
      </c>
      <c r="D1225">
        <v>15</v>
      </c>
      <c r="E1225" t="s">
        <v>1585</v>
      </c>
      <c r="F1225" t="s">
        <v>1585</v>
      </c>
      <c r="G1225">
        <v>4185</v>
      </c>
      <c r="H1225" t="s">
        <v>1635</v>
      </c>
      <c r="I1225" t="s">
        <v>1636</v>
      </c>
      <c r="J1225">
        <v>16</v>
      </c>
      <c r="K1225">
        <v>4</v>
      </c>
      <c r="L1225">
        <v>4.3981481481481476E-3</v>
      </c>
      <c r="M1225" t="s">
        <v>117</v>
      </c>
      <c r="N1225" t="s">
        <v>1082</v>
      </c>
      <c r="O1225" s="24">
        <v>46133</v>
      </c>
      <c r="P1225">
        <v>606</v>
      </c>
      <c r="Q1225" t="s">
        <v>34</v>
      </c>
      <c r="R1225">
        <v>46135</v>
      </c>
      <c r="S1225" s="51">
        <v>0.38194444444444442</v>
      </c>
      <c r="T1225" s="51">
        <v>0.41458333333333336</v>
      </c>
      <c r="X1225" t="s">
        <v>3319</v>
      </c>
      <c r="Y1225" t="s">
        <v>3035</v>
      </c>
      <c r="Z1225">
        <v>2777656</v>
      </c>
    </row>
    <row r="1226" spans="1:26" x14ac:dyDescent="0.25">
      <c r="A1226">
        <v>1222</v>
      </c>
      <c r="B1226" t="s">
        <v>26</v>
      </c>
      <c r="C1226" t="s">
        <v>27</v>
      </c>
      <c r="D1226">
        <v>15</v>
      </c>
      <c r="E1226" t="s">
        <v>367</v>
      </c>
      <c r="F1226" t="s">
        <v>512</v>
      </c>
      <c r="G1226">
        <v>4185</v>
      </c>
      <c r="H1226" t="s">
        <v>1727</v>
      </c>
      <c r="I1226" t="s">
        <v>1726</v>
      </c>
      <c r="J1226">
        <v>16</v>
      </c>
      <c r="K1226">
        <v>1</v>
      </c>
      <c r="L1226">
        <v>1.1342592592592591E-3</v>
      </c>
      <c r="M1226" t="s">
        <v>117</v>
      </c>
      <c r="N1226" t="s">
        <v>1082</v>
      </c>
      <c r="O1226" s="24">
        <v>46133</v>
      </c>
      <c r="P1226">
        <v>606</v>
      </c>
      <c r="Q1226" t="s">
        <v>34</v>
      </c>
      <c r="R1226">
        <v>46135</v>
      </c>
      <c r="S1226" s="51">
        <v>0.38194444444444442</v>
      </c>
      <c r="T1226" s="51">
        <v>0.41458333333333336</v>
      </c>
      <c r="X1226" t="s">
        <v>3319</v>
      </c>
      <c r="Y1226" t="s">
        <v>3035</v>
      </c>
      <c r="Z1226">
        <v>2777656</v>
      </c>
    </row>
    <row r="1227" spans="1:26" x14ac:dyDescent="0.25">
      <c r="A1227">
        <v>1223</v>
      </c>
      <c r="B1227" t="s">
        <v>26</v>
      </c>
      <c r="C1227" t="s">
        <v>27</v>
      </c>
      <c r="D1227">
        <v>15</v>
      </c>
      <c r="E1227" t="s">
        <v>367</v>
      </c>
      <c r="F1227" t="s">
        <v>512</v>
      </c>
      <c r="G1227">
        <v>4185</v>
      </c>
      <c r="H1227" t="s">
        <v>1773</v>
      </c>
      <c r="I1227" t="s">
        <v>1774</v>
      </c>
      <c r="J1227">
        <v>16</v>
      </c>
      <c r="K1227">
        <v>2</v>
      </c>
      <c r="L1227">
        <v>3.1481481481481482E-3</v>
      </c>
      <c r="M1227" t="s">
        <v>117</v>
      </c>
      <c r="N1227" t="s">
        <v>1082</v>
      </c>
      <c r="O1227" s="24">
        <v>46133</v>
      </c>
      <c r="P1227">
        <v>606</v>
      </c>
      <c r="Q1227" t="s">
        <v>34</v>
      </c>
      <c r="R1227">
        <v>46135</v>
      </c>
      <c r="S1227" s="51">
        <v>0.38194444444444442</v>
      </c>
      <c r="T1227" s="51">
        <v>0.41458333333333336</v>
      </c>
      <c r="X1227" t="s">
        <v>3319</v>
      </c>
      <c r="Y1227" t="s">
        <v>3035</v>
      </c>
      <c r="Z1227">
        <v>2777656</v>
      </c>
    </row>
    <row r="1228" spans="1:26" x14ac:dyDescent="0.25">
      <c r="A1228">
        <v>1224</v>
      </c>
      <c r="B1228" t="s">
        <v>26</v>
      </c>
      <c r="C1228" t="s">
        <v>27</v>
      </c>
      <c r="D1228">
        <v>15</v>
      </c>
      <c r="E1228" t="s">
        <v>367</v>
      </c>
      <c r="F1228" t="s">
        <v>512</v>
      </c>
      <c r="G1228">
        <v>4185</v>
      </c>
      <c r="H1228" t="s">
        <v>1775</v>
      </c>
      <c r="I1228" t="s">
        <v>1776</v>
      </c>
      <c r="J1228">
        <v>16</v>
      </c>
      <c r="K1228">
        <v>1</v>
      </c>
      <c r="L1228">
        <v>1.5277777777777776E-3</v>
      </c>
      <c r="M1228" t="s">
        <v>117</v>
      </c>
      <c r="N1228" t="s">
        <v>1082</v>
      </c>
      <c r="O1228" s="24">
        <v>46133</v>
      </c>
      <c r="P1228">
        <v>606</v>
      </c>
      <c r="Q1228" t="s">
        <v>34</v>
      </c>
      <c r="R1228">
        <v>46135</v>
      </c>
      <c r="S1228" s="51">
        <v>0.38194444444444442</v>
      </c>
      <c r="T1228" s="51">
        <v>0.41458333333333336</v>
      </c>
      <c r="X1228" t="s">
        <v>3319</v>
      </c>
      <c r="Y1228" t="s">
        <v>3035</v>
      </c>
      <c r="Z1228">
        <v>2777656</v>
      </c>
    </row>
    <row r="1229" spans="1:26" x14ac:dyDescent="0.25">
      <c r="A1229">
        <v>1225</v>
      </c>
      <c r="B1229" t="s">
        <v>26</v>
      </c>
      <c r="C1229" t="s">
        <v>27</v>
      </c>
      <c r="D1229">
        <v>15</v>
      </c>
      <c r="E1229" t="s">
        <v>367</v>
      </c>
      <c r="F1229" t="s">
        <v>1594</v>
      </c>
      <c r="G1229">
        <v>4185</v>
      </c>
      <c r="H1229" t="s">
        <v>1793</v>
      </c>
      <c r="I1229" t="s">
        <v>1642</v>
      </c>
      <c r="J1229">
        <v>16</v>
      </c>
      <c r="K1229">
        <v>1</v>
      </c>
      <c r="L1229">
        <v>6.8287037037037036E-4</v>
      </c>
      <c r="M1229" t="s">
        <v>117</v>
      </c>
      <c r="N1229" t="s">
        <v>1082</v>
      </c>
      <c r="O1229" s="24">
        <v>46133</v>
      </c>
      <c r="P1229">
        <v>606</v>
      </c>
      <c r="Q1229" t="s">
        <v>34</v>
      </c>
      <c r="R1229">
        <v>46135</v>
      </c>
      <c r="S1229" s="51">
        <v>0.38194444444444442</v>
      </c>
      <c r="T1229" s="51">
        <v>0.41458333333333336</v>
      </c>
      <c r="X1229" t="s">
        <v>3319</v>
      </c>
      <c r="Y1229" t="s">
        <v>3035</v>
      </c>
      <c r="Z1229">
        <v>2777656</v>
      </c>
    </row>
    <row r="1230" spans="1:26" x14ac:dyDescent="0.25">
      <c r="A1230">
        <v>1226</v>
      </c>
      <c r="B1230" t="s">
        <v>26</v>
      </c>
      <c r="C1230" t="s">
        <v>27</v>
      </c>
      <c r="D1230">
        <v>15</v>
      </c>
      <c r="E1230" t="s">
        <v>2763</v>
      </c>
      <c r="F1230" t="s">
        <v>512</v>
      </c>
      <c r="G1230">
        <v>4185</v>
      </c>
      <c r="H1230" t="s">
        <v>2774</v>
      </c>
      <c r="I1230" t="s">
        <v>1714</v>
      </c>
      <c r="J1230">
        <v>16</v>
      </c>
      <c r="K1230">
        <v>1</v>
      </c>
      <c r="L1230">
        <v>6.3657407407407402E-4</v>
      </c>
      <c r="M1230" t="s">
        <v>117</v>
      </c>
      <c r="N1230" t="s">
        <v>1082</v>
      </c>
      <c r="O1230" s="24">
        <v>46133</v>
      </c>
      <c r="P1230">
        <v>606</v>
      </c>
      <c r="Q1230" t="s">
        <v>34</v>
      </c>
      <c r="R1230">
        <v>46135</v>
      </c>
      <c r="S1230" s="51">
        <v>0.38194444444444442</v>
      </c>
      <c r="T1230" s="51">
        <v>0.41458333333333336</v>
      </c>
      <c r="X1230" t="s">
        <v>3319</v>
      </c>
      <c r="Y1230" t="s">
        <v>3035</v>
      </c>
      <c r="Z1230">
        <v>2777656</v>
      </c>
    </row>
    <row r="1231" spans="1:26" x14ac:dyDescent="0.25">
      <c r="A1231">
        <v>1227</v>
      </c>
      <c r="B1231" t="s">
        <v>26</v>
      </c>
      <c r="C1231" t="s">
        <v>27</v>
      </c>
      <c r="D1231">
        <v>15</v>
      </c>
      <c r="E1231" t="s">
        <v>1588</v>
      </c>
      <c r="F1231" t="s">
        <v>1588</v>
      </c>
      <c r="G1231">
        <v>4185</v>
      </c>
      <c r="H1231" t="s">
        <v>1713</v>
      </c>
      <c r="I1231" t="s">
        <v>1714</v>
      </c>
      <c r="J1231">
        <v>16</v>
      </c>
      <c r="K1231">
        <v>1</v>
      </c>
      <c r="L1231">
        <v>6.3657407407407402E-4</v>
      </c>
      <c r="M1231" t="s">
        <v>117</v>
      </c>
      <c r="N1231" t="s">
        <v>1082</v>
      </c>
      <c r="O1231" s="24">
        <v>46133</v>
      </c>
      <c r="P1231">
        <v>606</v>
      </c>
      <c r="Q1231" t="s">
        <v>34</v>
      </c>
      <c r="R1231">
        <v>46135</v>
      </c>
      <c r="S1231" s="51">
        <v>0.38194444444444442</v>
      </c>
      <c r="T1231" s="51">
        <v>0.41458333333333336</v>
      </c>
      <c r="X1231" t="s">
        <v>3319</v>
      </c>
      <c r="Y1231" t="s">
        <v>3035</v>
      </c>
      <c r="Z1231">
        <v>2777656</v>
      </c>
    </row>
    <row r="1232" spans="1:26" x14ac:dyDescent="0.25">
      <c r="A1232">
        <v>1228</v>
      </c>
      <c r="B1232" t="s">
        <v>26</v>
      </c>
      <c r="C1232" t="s">
        <v>27</v>
      </c>
      <c r="D1232">
        <v>15</v>
      </c>
      <c r="E1232" t="s">
        <v>367</v>
      </c>
      <c r="F1232" t="s">
        <v>512</v>
      </c>
      <c r="G1232">
        <v>4185</v>
      </c>
      <c r="H1232" t="s">
        <v>2639</v>
      </c>
      <c r="I1232" t="s">
        <v>1752</v>
      </c>
      <c r="J1232">
        <v>16</v>
      </c>
      <c r="K1232">
        <v>3</v>
      </c>
      <c r="L1232">
        <v>2.8124999999999999E-3</v>
      </c>
      <c r="M1232" t="s">
        <v>117</v>
      </c>
      <c r="N1232" t="s">
        <v>1082</v>
      </c>
      <c r="O1232" s="24">
        <v>46133</v>
      </c>
      <c r="P1232">
        <v>606</v>
      </c>
      <c r="Q1232" t="s">
        <v>34</v>
      </c>
      <c r="R1232">
        <v>46135</v>
      </c>
      <c r="S1232" s="51">
        <v>0.38194444444444442</v>
      </c>
      <c r="T1232" s="51">
        <v>0.41458333333333336</v>
      </c>
      <c r="X1232" t="s">
        <v>3319</v>
      </c>
      <c r="Y1232" t="s">
        <v>3035</v>
      </c>
      <c r="Z1232">
        <v>2777656</v>
      </c>
    </row>
    <row r="1233" spans="1:26" x14ac:dyDescent="0.25">
      <c r="A1233">
        <v>1229</v>
      </c>
      <c r="B1233" t="s">
        <v>26</v>
      </c>
      <c r="C1233" t="s">
        <v>27</v>
      </c>
      <c r="D1233">
        <v>15</v>
      </c>
      <c r="E1233" t="s">
        <v>367</v>
      </c>
      <c r="F1233" t="s">
        <v>368</v>
      </c>
      <c r="G1233">
        <v>4186</v>
      </c>
      <c r="H1233" t="s">
        <v>1784</v>
      </c>
      <c r="I1233" t="s">
        <v>1785</v>
      </c>
      <c r="J1233">
        <v>16</v>
      </c>
      <c r="K1233">
        <v>1</v>
      </c>
      <c r="L1233">
        <v>7.8703703703703705E-4</v>
      </c>
      <c r="M1233" t="s">
        <v>117</v>
      </c>
      <c r="N1233" t="s">
        <v>1082</v>
      </c>
      <c r="O1233" s="24">
        <v>46133</v>
      </c>
      <c r="P1233">
        <v>606</v>
      </c>
      <c r="Q1233" t="s">
        <v>34</v>
      </c>
      <c r="R1233">
        <v>46135</v>
      </c>
      <c r="S1233" s="51">
        <v>0.55555555555555558</v>
      </c>
      <c r="T1233" s="51">
        <v>0.625</v>
      </c>
      <c r="X1233" t="s">
        <v>3320</v>
      </c>
      <c r="Y1233" t="s">
        <v>3035</v>
      </c>
      <c r="Z1233">
        <v>2777656</v>
      </c>
    </row>
    <row r="1234" spans="1:26" x14ac:dyDescent="0.25">
      <c r="A1234">
        <v>1230</v>
      </c>
      <c r="B1234" t="s">
        <v>26</v>
      </c>
      <c r="C1234" t="s">
        <v>27</v>
      </c>
      <c r="D1234">
        <v>15</v>
      </c>
      <c r="E1234" t="s">
        <v>367</v>
      </c>
      <c r="F1234" t="s">
        <v>368</v>
      </c>
      <c r="G1234">
        <v>4186</v>
      </c>
      <c r="H1234" t="s">
        <v>1675</v>
      </c>
      <c r="I1234" t="s">
        <v>1676</v>
      </c>
      <c r="J1234">
        <v>16</v>
      </c>
      <c r="K1234">
        <v>1</v>
      </c>
      <c r="L1234">
        <v>6.5972222222222224E-4</v>
      </c>
      <c r="M1234" t="s">
        <v>117</v>
      </c>
      <c r="N1234" t="s">
        <v>1082</v>
      </c>
      <c r="O1234" s="24">
        <v>46133</v>
      </c>
      <c r="P1234">
        <v>606</v>
      </c>
      <c r="Q1234" t="s">
        <v>34</v>
      </c>
      <c r="R1234">
        <v>46135</v>
      </c>
      <c r="S1234" s="51">
        <v>0.55555555555555558</v>
      </c>
      <c r="T1234" s="51">
        <v>0.625</v>
      </c>
      <c r="X1234" t="s">
        <v>3320</v>
      </c>
      <c r="Y1234" t="s">
        <v>3035</v>
      </c>
      <c r="Z1234">
        <v>2777656</v>
      </c>
    </row>
    <row r="1235" spans="1:26" x14ac:dyDescent="0.25">
      <c r="A1235">
        <v>1231</v>
      </c>
      <c r="B1235" t="s">
        <v>26</v>
      </c>
      <c r="C1235" t="s">
        <v>27</v>
      </c>
      <c r="D1235">
        <v>15</v>
      </c>
      <c r="E1235" t="s">
        <v>367</v>
      </c>
      <c r="F1235" t="s">
        <v>368</v>
      </c>
      <c r="G1235">
        <v>4186</v>
      </c>
      <c r="H1235" t="s">
        <v>1787</v>
      </c>
      <c r="I1235" t="s">
        <v>1785</v>
      </c>
      <c r="J1235">
        <v>16</v>
      </c>
      <c r="K1235">
        <v>2</v>
      </c>
      <c r="L1235">
        <v>1.5740740740740741E-3</v>
      </c>
      <c r="M1235" t="s">
        <v>117</v>
      </c>
      <c r="N1235" t="s">
        <v>1082</v>
      </c>
      <c r="O1235" s="24">
        <v>46133</v>
      </c>
      <c r="P1235">
        <v>606</v>
      </c>
      <c r="Q1235" t="s">
        <v>34</v>
      </c>
      <c r="R1235">
        <v>46135</v>
      </c>
      <c r="S1235" s="51">
        <v>0.55555555555555558</v>
      </c>
      <c r="T1235" s="51">
        <v>0.625</v>
      </c>
      <c r="X1235" t="s">
        <v>3320</v>
      </c>
      <c r="Y1235" t="s">
        <v>3035</v>
      </c>
      <c r="Z1235">
        <v>2777656</v>
      </c>
    </row>
    <row r="1236" spans="1:26" x14ac:dyDescent="0.25">
      <c r="A1236">
        <v>1232</v>
      </c>
      <c r="B1236" t="s">
        <v>26</v>
      </c>
      <c r="C1236" t="s">
        <v>27</v>
      </c>
      <c r="D1236">
        <v>15</v>
      </c>
      <c r="E1236" t="s">
        <v>367</v>
      </c>
      <c r="F1236" t="s">
        <v>368</v>
      </c>
      <c r="G1236">
        <v>4186</v>
      </c>
      <c r="H1236" t="s">
        <v>1721</v>
      </c>
      <c r="I1236" t="s">
        <v>1722</v>
      </c>
      <c r="J1236">
        <v>16</v>
      </c>
      <c r="K1236">
        <v>1</v>
      </c>
      <c r="L1236">
        <v>6.4814814814814813E-4</v>
      </c>
      <c r="M1236" t="s">
        <v>117</v>
      </c>
      <c r="N1236" t="s">
        <v>1082</v>
      </c>
      <c r="O1236" s="24">
        <v>46133</v>
      </c>
      <c r="P1236">
        <v>606</v>
      </c>
      <c r="Q1236" t="s">
        <v>34</v>
      </c>
      <c r="R1236">
        <v>46135</v>
      </c>
      <c r="S1236" s="51">
        <v>0.55555555555555558</v>
      </c>
      <c r="T1236" s="51">
        <v>0.625</v>
      </c>
      <c r="X1236" t="s">
        <v>3320</v>
      </c>
      <c r="Y1236" t="s">
        <v>3035</v>
      </c>
      <c r="Z1236">
        <v>2777656</v>
      </c>
    </row>
    <row r="1237" spans="1:26" x14ac:dyDescent="0.25">
      <c r="A1237">
        <v>1233</v>
      </c>
      <c r="B1237" t="s">
        <v>26</v>
      </c>
      <c r="C1237" t="s">
        <v>27</v>
      </c>
      <c r="D1237">
        <v>15</v>
      </c>
      <c r="E1237" t="s">
        <v>1141</v>
      </c>
      <c r="F1237" t="s">
        <v>367</v>
      </c>
      <c r="G1237">
        <v>4186</v>
      </c>
      <c r="H1237" t="s">
        <v>1682</v>
      </c>
      <c r="I1237" t="s">
        <v>2776</v>
      </c>
      <c r="J1237">
        <v>16</v>
      </c>
      <c r="K1237">
        <v>1</v>
      </c>
      <c r="L1237">
        <v>1.7708333333333332E-3</v>
      </c>
      <c r="M1237" t="s">
        <v>117</v>
      </c>
      <c r="N1237" t="s">
        <v>1082</v>
      </c>
      <c r="O1237" s="24">
        <v>46133</v>
      </c>
      <c r="P1237">
        <v>606</v>
      </c>
      <c r="Q1237" t="s">
        <v>34</v>
      </c>
      <c r="R1237">
        <v>46135</v>
      </c>
      <c r="S1237" s="51">
        <v>0.55555555555555558</v>
      </c>
      <c r="T1237" s="51">
        <v>0.625</v>
      </c>
      <c r="X1237" t="s">
        <v>3320</v>
      </c>
      <c r="Y1237" t="s">
        <v>3035</v>
      </c>
      <c r="Z1237">
        <v>2777656</v>
      </c>
    </row>
    <row r="1238" spans="1:26" x14ac:dyDescent="0.25">
      <c r="A1238">
        <v>1234</v>
      </c>
      <c r="B1238" t="s">
        <v>26</v>
      </c>
      <c r="C1238" t="s">
        <v>27</v>
      </c>
      <c r="D1238">
        <v>15</v>
      </c>
      <c r="E1238" t="s">
        <v>367</v>
      </c>
      <c r="F1238" t="s">
        <v>367</v>
      </c>
      <c r="G1238">
        <v>4186</v>
      </c>
      <c r="H1238" t="s">
        <v>1684</v>
      </c>
      <c r="I1238" t="s">
        <v>2777</v>
      </c>
      <c r="J1238">
        <v>16</v>
      </c>
      <c r="K1238">
        <v>1</v>
      </c>
      <c r="L1238">
        <v>1.0995370370370369E-3</v>
      </c>
      <c r="M1238" t="s">
        <v>117</v>
      </c>
      <c r="N1238" t="s">
        <v>1082</v>
      </c>
      <c r="O1238" s="24">
        <v>46133</v>
      </c>
      <c r="P1238">
        <v>606</v>
      </c>
      <c r="Q1238" t="s">
        <v>34</v>
      </c>
      <c r="R1238">
        <v>46135</v>
      </c>
      <c r="S1238" s="51">
        <v>0.55555555555555558</v>
      </c>
      <c r="T1238" s="51">
        <v>0.625</v>
      </c>
      <c r="X1238" t="s">
        <v>3320</v>
      </c>
      <c r="Y1238" t="s">
        <v>3035</v>
      </c>
      <c r="Z1238">
        <v>2777656</v>
      </c>
    </row>
    <row r="1239" spans="1:26" x14ac:dyDescent="0.25">
      <c r="A1239">
        <v>1235</v>
      </c>
      <c r="B1239" t="s">
        <v>26</v>
      </c>
      <c r="C1239" t="s">
        <v>27</v>
      </c>
      <c r="D1239">
        <v>15</v>
      </c>
      <c r="E1239" t="s">
        <v>367</v>
      </c>
      <c r="F1239" t="s">
        <v>367</v>
      </c>
      <c r="G1239">
        <v>4186</v>
      </c>
      <c r="H1239" t="s">
        <v>1686</v>
      </c>
      <c r="I1239" t="s">
        <v>2777</v>
      </c>
      <c r="J1239">
        <v>16</v>
      </c>
      <c r="K1239">
        <v>1</v>
      </c>
      <c r="L1239">
        <v>9.0277777777777774E-4</v>
      </c>
      <c r="M1239" t="s">
        <v>117</v>
      </c>
      <c r="N1239" t="s">
        <v>1082</v>
      </c>
      <c r="O1239" s="24">
        <v>46133</v>
      </c>
      <c r="P1239">
        <v>606</v>
      </c>
      <c r="Q1239" t="s">
        <v>34</v>
      </c>
      <c r="R1239">
        <v>46135</v>
      </c>
      <c r="S1239" s="51">
        <v>0.55555555555555558</v>
      </c>
      <c r="T1239" s="51">
        <v>0.625</v>
      </c>
      <c r="X1239" t="s">
        <v>3320</v>
      </c>
      <c r="Y1239" t="s">
        <v>3035</v>
      </c>
      <c r="Z1239">
        <v>2777656</v>
      </c>
    </row>
    <row r="1240" spans="1:26" x14ac:dyDescent="0.25">
      <c r="A1240">
        <v>1236</v>
      </c>
      <c r="B1240" t="s">
        <v>26</v>
      </c>
      <c r="C1240" t="s">
        <v>27</v>
      </c>
      <c r="D1240">
        <v>15</v>
      </c>
      <c r="E1240" t="s">
        <v>1141</v>
      </c>
      <c r="F1240" t="s">
        <v>367</v>
      </c>
      <c r="G1240">
        <v>4186</v>
      </c>
      <c r="H1240" t="s">
        <v>1687</v>
      </c>
      <c r="I1240" t="s">
        <v>2776</v>
      </c>
      <c r="J1240">
        <v>16</v>
      </c>
      <c r="K1240">
        <v>1</v>
      </c>
      <c r="L1240">
        <v>1.8171296296296295E-3</v>
      </c>
      <c r="M1240" t="s">
        <v>117</v>
      </c>
      <c r="N1240" t="s">
        <v>1082</v>
      </c>
      <c r="O1240" s="24">
        <v>46133</v>
      </c>
      <c r="P1240">
        <v>606</v>
      </c>
      <c r="Q1240" t="s">
        <v>34</v>
      </c>
      <c r="R1240">
        <v>46135</v>
      </c>
      <c r="S1240" s="51">
        <v>0.55555555555555558</v>
      </c>
      <c r="T1240" s="51">
        <v>0.625</v>
      </c>
      <c r="X1240" t="s">
        <v>3320</v>
      </c>
      <c r="Y1240" t="s">
        <v>3035</v>
      </c>
      <c r="Z1240">
        <v>2777656</v>
      </c>
    </row>
    <row r="1241" spans="1:26" x14ac:dyDescent="0.25">
      <c r="A1241">
        <v>1237</v>
      </c>
      <c r="B1241" t="s">
        <v>26</v>
      </c>
      <c r="C1241" t="s">
        <v>27</v>
      </c>
      <c r="D1241">
        <v>15</v>
      </c>
      <c r="E1241" t="s">
        <v>2778</v>
      </c>
      <c r="F1241" t="s">
        <v>1594</v>
      </c>
      <c r="G1241">
        <v>4186</v>
      </c>
      <c r="H1241" t="s">
        <v>1723</v>
      </c>
      <c r="I1241" t="s">
        <v>1724</v>
      </c>
      <c r="J1241">
        <v>16</v>
      </c>
      <c r="K1241">
        <v>3</v>
      </c>
      <c r="L1241">
        <v>2.6157407407407405E-3</v>
      </c>
      <c r="M1241" t="s">
        <v>117</v>
      </c>
      <c r="N1241" t="s">
        <v>1082</v>
      </c>
      <c r="O1241" s="24">
        <v>46133</v>
      </c>
      <c r="P1241">
        <v>606</v>
      </c>
      <c r="Q1241" t="s">
        <v>34</v>
      </c>
      <c r="R1241">
        <v>46135</v>
      </c>
      <c r="S1241" s="51">
        <v>0.55555555555555558</v>
      </c>
      <c r="T1241" s="51">
        <v>0.625</v>
      </c>
      <c r="X1241" t="s">
        <v>3320</v>
      </c>
      <c r="Y1241" t="s">
        <v>3035</v>
      </c>
      <c r="Z1241">
        <v>2777656</v>
      </c>
    </row>
    <row r="1242" spans="1:26" x14ac:dyDescent="0.25">
      <c r="A1242">
        <v>1238</v>
      </c>
      <c r="B1242" t="s">
        <v>26</v>
      </c>
      <c r="C1242" t="s">
        <v>27</v>
      </c>
      <c r="D1242">
        <v>15</v>
      </c>
      <c r="E1242" t="s">
        <v>367</v>
      </c>
      <c r="F1242" t="s">
        <v>427</v>
      </c>
      <c r="G1242">
        <v>4186</v>
      </c>
      <c r="H1242" t="s">
        <v>2629</v>
      </c>
      <c r="I1242" t="s">
        <v>2630</v>
      </c>
      <c r="J1242">
        <v>16</v>
      </c>
      <c r="K1242">
        <v>2</v>
      </c>
      <c r="L1242">
        <v>2.5694444444444445E-3</v>
      </c>
      <c r="M1242" t="s">
        <v>117</v>
      </c>
      <c r="N1242" t="s">
        <v>1082</v>
      </c>
      <c r="O1242" s="24">
        <v>46133</v>
      </c>
      <c r="P1242">
        <v>606</v>
      </c>
      <c r="Q1242" t="s">
        <v>34</v>
      </c>
      <c r="R1242">
        <v>46135</v>
      </c>
      <c r="S1242" s="51">
        <v>0.55555555555555558</v>
      </c>
      <c r="T1242" s="51">
        <v>0.625</v>
      </c>
      <c r="X1242" t="s">
        <v>3320</v>
      </c>
      <c r="Y1242" t="s">
        <v>3035</v>
      </c>
      <c r="Z1242">
        <v>2777656</v>
      </c>
    </row>
    <row r="1243" spans="1:26" x14ac:dyDescent="0.25">
      <c r="A1243">
        <v>1239</v>
      </c>
      <c r="B1243" t="s">
        <v>26</v>
      </c>
      <c r="C1243" t="s">
        <v>27</v>
      </c>
      <c r="D1243">
        <v>15</v>
      </c>
      <c r="E1243" t="s">
        <v>367</v>
      </c>
      <c r="F1243" t="s">
        <v>1595</v>
      </c>
      <c r="G1243">
        <v>4186</v>
      </c>
      <c r="H1243" t="s">
        <v>2631</v>
      </c>
      <c r="I1243" t="s">
        <v>2632</v>
      </c>
      <c r="J1243">
        <v>16</v>
      </c>
      <c r="K1243">
        <v>1</v>
      </c>
      <c r="L1243">
        <v>1.0416666666666667E-3</v>
      </c>
      <c r="M1243" t="s">
        <v>117</v>
      </c>
      <c r="N1243" t="s">
        <v>1082</v>
      </c>
      <c r="O1243" s="24">
        <v>46133</v>
      </c>
      <c r="P1243">
        <v>606</v>
      </c>
      <c r="Q1243" t="s">
        <v>34</v>
      </c>
      <c r="R1243">
        <v>46135</v>
      </c>
      <c r="S1243" s="51">
        <v>0.55555555555555558</v>
      </c>
      <c r="T1243" s="51">
        <v>0.625</v>
      </c>
      <c r="X1243" t="s">
        <v>3320</v>
      </c>
      <c r="Y1243" t="s">
        <v>3035</v>
      </c>
      <c r="Z1243">
        <v>2777656</v>
      </c>
    </row>
    <row r="1244" spans="1:26" x14ac:dyDescent="0.25">
      <c r="A1244">
        <v>1240</v>
      </c>
      <c r="B1244" t="s">
        <v>26</v>
      </c>
      <c r="C1244" t="s">
        <v>27</v>
      </c>
      <c r="D1244">
        <v>15</v>
      </c>
      <c r="E1244" t="s">
        <v>1585</v>
      </c>
      <c r="F1244" t="s">
        <v>1585</v>
      </c>
      <c r="G1244">
        <v>4186</v>
      </c>
      <c r="H1244" t="s">
        <v>1635</v>
      </c>
      <c r="I1244" t="s">
        <v>1636</v>
      </c>
      <c r="J1244">
        <v>16</v>
      </c>
      <c r="K1244">
        <v>2</v>
      </c>
      <c r="L1244">
        <v>2.0601851851851853E-3</v>
      </c>
      <c r="M1244" t="s">
        <v>117</v>
      </c>
      <c r="N1244" t="s">
        <v>1082</v>
      </c>
      <c r="O1244" s="24">
        <v>46133</v>
      </c>
      <c r="P1244">
        <v>606</v>
      </c>
      <c r="Q1244" t="s">
        <v>34</v>
      </c>
      <c r="R1244">
        <v>46135</v>
      </c>
      <c r="S1244" s="51">
        <v>0.55555555555555558</v>
      </c>
      <c r="T1244" s="51">
        <v>0.625</v>
      </c>
      <c r="X1244" t="s">
        <v>3320</v>
      </c>
      <c r="Y1244" t="s">
        <v>3035</v>
      </c>
      <c r="Z1244">
        <v>2777656</v>
      </c>
    </row>
    <row r="1245" spans="1:26" x14ac:dyDescent="0.25">
      <c r="A1245">
        <v>1241</v>
      </c>
      <c r="B1245" t="s">
        <v>26</v>
      </c>
      <c r="C1245" t="s">
        <v>27</v>
      </c>
      <c r="D1245">
        <v>15</v>
      </c>
      <c r="E1245" t="s">
        <v>367</v>
      </c>
      <c r="F1245" t="s">
        <v>512</v>
      </c>
      <c r="G1245">
        <v>4186</v>
      </c>
      <c r="H1245" t="s">
        <v>1749</v>
      </c>
      <c r="I1245" t="s">
        <v>1747</v>
      </c>
      <c r="J1245">
        <v>16</v>
      </c>
      <c r="K1245">
        <v>2</v>
      </c>
      <c r="L1245">
        <v>1.2962962962962963E-3</v>
      </c>
      <c r="M1245" t="s">
        <v>117</v>
      </c>
      <c r="N1245" t="s">
        <v>1082</v>
      </c>
      <c r="O1245" s="24">
        <v>46133</v>
      </c>
      <c r="P1245">
        <v>606</v>
      </c>
      <c r="Q1245" t="s">
        <v>34</v>
      </c>
      <c r="R1245">
        <v>46135</v>
      </c>
      <c r="S1245" s="51">
        <v>0.55555555555555558</v>
      </c>
      <c r="T1245" s="51">
        <v>0.625</v>
      </c>
      <c r="X1245" t="s">
        <v>3320</v>
      </c>
      <c r="Y1245" t="s">
        <v>3035</v>
      </c>
      <c r="Z1245">
        <v>2777656</v>
      </c>
    </row>
    <row r="1246" spans="1:26" x14ac:dyDescent="0.25">
      <c r="A1246">
        <v>1242</v>
      </c>
      <c r="B1246" t="s">
        <v>26</v>
      </c>
      <c r="C1246" t="s">
        <v>27</v>
      </c>
      <c r="D1246">
        <v>15</v>
      </c>
      <c r="E1246" t="s">
        <v>367</v>
      </c>
      <c r="F1246" t="s">
        <v>512</v>
      </c>
      <c r="G1246">
        <v>4186</v>
      </c>
      <c r="H1246" t="s">
        <v>1750</v>
      </c>
      <c r="I1246" t="s">
        <v>1747</v>
      </c>
      <c r="J1246">
        <v>16</v>
      </c>
      <c r="K1246">
        <v>1</v>
      </c>
      <c r="L1246">
        <v>6.4814814814814813E-4</v>
      </c>
      <c r="M1246" t="s">
        <v>117</v>
      </c>
      <c r="N1246" t="s">
        <v>1082</v>
      </c>
      <c r="O1246" s="24">
        <v>46133</v>
      </c>
      <c r="P1246">
        <v>606</v>
      </c>
      <c r="Q1246" t="s">
        <v>34</v>
      </c>
      <c r="R1246">
        <v>46135</v>
      </c>
      <c r="S1246" s="51">
        <v>0.55555555555555558</v>
      </c>
      <c r="T1246" s="51">
        <v>0.625</v>
      </c>
      <c r="X1246" t="s">
        <v>3320</v>
      </c>
      <c r="Y1246" t="s">
        <v>3035</v>
      </c>
      <c r="Z1246">
        <v>2777656</v>
      </c>
    </row>
    <row r="1247" spans="1:26" x14ac:dyDescent="0.25">
      <c r="A1247">
        <v>1243</v>
      </c>
      <c r="B1247" t="s">
        <v>26</v>
      </c>
      <c r="C1247" t="s">
        <v>27</v>
      </c>
      <c r="D1247">
        <v>15</v>
      </c>
      <c r="E1247" t="s">
        <v>367</v>
      </c>
      <c r="F1247" t="s">
        <v>512</v>
      </c>
      <c r="G1247">
        <v>4186</v>
      </c>
      <c r="H1247" t="s">
        <v>1792</v>
      </c>
      <c r="I1247" t="s">
        <v>1752</v>
      </c>
      <c r="J1247">
        <v>16</v>
      </c>
      <c r="K1247">
        <v>1</v>
      </c>
      <c r="L1247">
        <v>7.8703703703703705E-4</v>
      </c>
      <c r="M1247" t="s">
        <v>117</v>
      </c>
      <c r="N1247" t="s">
        <v>1082</v>
      </c>
      <c r="O1247" s="24">
        <v>46133</v>
      </c>
      <c r="P1247">
        <v>606</v>
      </c>
      <c r="Q1247" t="s">
        <v>34</v>
      </c>
      <c r="R1247">
        <v>46135</v>
      </c>
      <c r="S1247" s="51">
        <v>0.55555555555555558</v>
      </c>
      <c r="T1247" s="51">
        <v>0.625</v>
      </c>
      <c r="X1247" t="s">
        <v>3320</v>
      </c>
      <c r="Y1247" t="s">
        <v>3035</v>
      </c>
      <c r="Z1247">
        <v>2777656</v>
      </c>
    </row>
    <row r="1248" spans="1:26" x14ac:dyDescent="0.25">
      <c r="A1248">
        <v>1244</v>
      </c>
      <c r="B1248" t="s">
        <v>26</v>
      </c>
      <c r="C1248" t="s">
        <v>27</v>
      </c>
      <c r="D1248">
        <v>15</v>
      </c>
      <c r="E1248" t="s">
        <v>367</v>
      </c>
      <c r="F1248" t="s">
        <v>512</v>
      </c>
      <c r="G1248">
        <v>4186</v>
      </c>
      <c r="H1248" t="s">
        <v>1751</v>
      </c>
      <c r="I1248" t="s">
        <v>1752</v>
      </c>
      <c r="J1248">
        <v>16</v>
      </c>
      <c r="K1248">
        <v>1</v>
      </c>
      <c r="L1248">
        <v>1.0648148148148149E-3</v>
      </c>
      <c r="M1248" t="s">
        <v>117</v>
      </c>
      <c r="N1248" t="s">
        <v>1082</v>
      </c>
      <c r="O1248" s="24">
        <v>46133</v>
      </c>
      <c r="P1248">
        <v>606</v>
      </c>
      <c r="Q1248" t="s">
        <v>34</v>
      </c>
      <c r="R1248">
        <v>46135</v>
      </c>
      <c r="S1248" s="51">
        <v>0.55555555555555558</v>
      </c>
      <c r="T1248" s="51">
        <v>0.625</v>
      </c>
      <c r="X1248" t="s">
        <v>3320</v>
      </c>
      <c r="Y1248" t="s">
        <v>3035</v>
      </c>
      <c r="Z1248">
        <v>2777656</v>
      </c>
    </row>
    <row r="1249" spans="1:26" x14ac:dyDescent="0.25">
      <c r="A1249">
        <v>1245</v>
      </c>
      <c r="B1249" t="s">
        <v>26</v>
      </c>
      <c r="C1249" t="s">
        <v>27</v>
      </c>
      <c r="D1249">
        <v>15</v>
      </c>
      <c r="E1249" t="s">
        <v>367</v>
      </c>
      <c r="F1249" t="s">
        <v>512</v>
      </c>
      <c r="G1249">
        <v>4186</v>
      </c>
      <c r="H1249" t="s">
        <v>1725</v>
      </c>
      <c r="I1249" t="s">
        <v>1726</v>
      </c>
      <c r="J1249">
        <v>16</v>
      </c>
      <c r="K1249">
        <v>1</v>
      </c>
      <c r="L1249">
        <v>8.7962962962962962E-4</v>
      </c>
      <c r="M1249" t="s">
        <v>117</v>
      </c>
      <c r="N1249" t="s">
        <v>1082</v>
      </c>
      <c r="O1249" s="24">
        <v>46133</v>
      </c>
      <c r="P1249">
        <v>606</v>
      </c>
      <c r="Q1249" t="s">
        <v>34</v>
      </c>
      <c r="R1249">
        <v>46135</v>
      </c>
      <c r="S1249" s="51">
        <v>0.55555555555555558</v>
      </c>
      <c r="T1249" s="51">
        <v>0.625</v>
      </c>
      <c r="X1249" t="s">
        <v>3320</v>
      </c>
      <c r="Y1249" t="s">
        <v>3035</v>
      </c>
      <c r="Z1249">
        <v>2777656</v>
      </c>
    </row>
    <row r="1250" spans="1:26" x14ac:dyDescent="0.25">
      <c r="A1250">
        <v>1246</v>
      </c>
      <c r="B1250" t="s">
        <v>26</v>
      </c>
      <c r="C1250" t="s">
        <v>27</v>
      </c>
      <c r="D1250">
        <v>15</v>
      </c>
      <c r="E1250" t="s">
        <v>367</v>
      </c>
      <c r="F1250" t="s">
        <v>512</v>
      </c>
      <c r="G1250">
        <v>4186</v>
      </c>
      <c r="H1250" t="s">
        <v>1727</v>
      </c>
      <c r="I1250" t="s">
        <v>1726</v>
      </c>
      <c r="J1250">
        <v>16</v>
      </c>
      <c r="K1250">
        <v>2</v>
      </c>
      <c r="L1250">
        <v>2.1296296296296298E-3</v>
      </c>
      <c r="M1250" t="s">
        <v>117</v>
      </c>
      <c r="N1250" t="s">
        <v>1082</v>
      </c>
      <c r="O1250" s="24">
        <v>46133</v>
      </c>
      <c r="P1250">
        <v>606</v>
      </c>
      <c r="Q1250" t="s">
        <v>34</v>
      </c>
      <c r="R1250">
        <v>46135</v>
      </c>
      <c r="S1250" s="51">
        <v>0.55555555555555558</v>
      </c>
      <c r="T1250" s="51">
        <v>0.625</v>
      </c>
      <c r="X1250" t="s">
        <v>3320</v>
      </c>
      <c r="Y1250" t="s">
        <v>3035</v>
      </c>
      <c r="Z1250">
        <v>2777656</v>
      </c>
    </row>
    <row r="1251" spans="1:26" x14ac:dyDescent="0.25">
      <c r="A1251">
        <v>1247</v>
      </c>
      <c r="B1251" t="s">
        <v>26</v>
      </c>
      <c r="C1251" t="s">
        <v>27</v>
      </c>
      <c r="D1251">
        <v>15</v>
      </c>
      <c r="E1251" t="s">
        <v>367</v>
      </c>
      <c r="F1251" t="s">
        <v>512</v>
      </c>
      <c r="G1251">
        <v>4186</v>
      </c>
      <c r="H1251" t="s">
        <v>2498</v>
      </c>
      <c r="I1251" t="s">
        <v>2779</v>
      </c>
      <c r="J1251">
        <v>16</v>
      </c>
      <c r="K1251">
        <v>2</v>
      </c>
      <c r="L1251">
        <v>1.7824074074074072E-3</v>
      </c>
      <c r="M1251" t="s">
        <v>117</v>
      </c>
      <c r="N1251" t="s">
        <v>1082</v>
      </c>
      <c r="O1251" s="24">
        <v>46133</v>
      </c>
      <c r="P1251">
        <v>606</v>
      </c>
      <c r="Q1251" t="s">
        <v>34</v>
      </c>
      <c r="R1251">
        <v>46135</v>
      </c>
      <c r="S1251" s="51">
        <v>0.55555555555555558</v>
      </c>
      <c r="T1251" s="51">
        <v>0.625</v>
      </c>
      <c r="X1251" t="s">
        <v>3320</v>
      </c>
      <c r="Y1251" t="s">
        <v>3035</v>
      </c>
      <c r="Z1251">
        <v>2777656</v>
      </c>
    </row>
    <row r="1252" spans="1:26" x14ac:dyDescent="0.25">
      <c r="A1252">
        <v>1248</v>
      </c>
      <c r="B1252" t="s">
        <v>26</v>
      </c>
      <c r="C1252" t="s">
        <v>27</v>
      </c>
      <c r="D1252">
        <v>15</v>
      </c>
      <c r="E1252" t="s">
        <v>367</v>
      </c>
      <c r="F1252" t="s">
        <v>1594</v>
      </c>
      <c r="G1252">
        <v>4186</v>
      </c>
      <c r="H1252" t="s">
        <v>1793</v>
      </c>
      <c r="I1252" t="s">
        <v>1642</v>
      </c>
      <c r="J1252">
        <v>16</v>
      </c>
      <c r="K1252">
        <v>1</v>
      </c>
      <c r="L1252">
        <v>6.4814814814814813E-4</v>
      </c>
      <c r="M1252" t="s">
        <v>117</v>
      </c>
      <c r="N1252" t="s">
        <v>1082</v>
      </c>
      <c r="O1252" s="24">
        <v>46133</v>
      </c>
      <c r="P1252">
        <v>606</v>
      </c>
      <c r="Q1252" t="s">
        <v>34</v>
      </c>
      <c r="R1252">
        <v>46135</v>
      </c>
      <c r="S1252" s="51">
        <v>0.55555555555555558</v>
      </c>
      <c r="T1252" s="51">
        <v>0.625</v>
      </c>
      <c r="X1252" t="s">
        <v>3320</v>
      </c>
      <c r="Y1252" t="s">
        <v>3035</v>
      </c>
      <c r="Z1252">
        <v>2777656</v>
      </c>
    </row>
    <row r="1253" spans="1:26" x14ac:dyDescent="0.25">
      <c r="A1253">
        <v>1249</v>
      </c>
      <c r="B1253" t="s">
        <v>26</v>
      </c>
      <c r="C1253" t="s">
        <v>27</v>
      </c>
      <c r="D1253">
        <v>15</v>
      </c>
      <c r="E1253" t="s">
        <v>2763</v>
      </c>
      <c r="F1253" t="s">
        <v>512</v>
      </c>
      <c r="G1253">
        <v>4186</v>
      </c>
      <c r="H1253" t="s">
        <v>2774</v>
      </c>
      <c r="I1253" t="s">
        <v>1714</v>
      </c>
      <c r="J1253">
        <v>16</v>
      </c>
      <c r="K1253">
        <v>1</v>
      </c>
      <c r="L1253">
        <v>6.0185185185185179E-4</v>
      </c>
      <c r="M1253" t="s">
        <v>117</v>
      </c>
      <c r="N1253" t="s">
        <v>1082</v>
      </c>
      <c r="O1253" s="24">
        <v>46133</v>
      </c>
      <c r="P1253">
        <v>606</v>
      </c>
      <c r="Q1253" t="s">
        <v>34</v>
      </c>
      <c r="R1253">
        <v>46135</v>
      </c>
      <c r="S1253" s="51">
        <v>0.55555555555555558</v>
      </c>
      <c r="T1253" s="51">
        <v>0.625</v>
      </c>
      <c r="X1253" t="s">
        <v>3320</v>
      </c>
      <c r="Y1253" t="s">
        <v>3035</v>
      </c>
      <c r="Z1253">
        <v>2777656</v>
      </c>
    </row>
    <row r="1254" spans="1:26" x14ac:dyDescent="0.25">
      <c r="A1254">
        <v>1250</v>
      </c>
      <c r="B1254" t="s">
        <v>26</v>
      </c>
      <c r="C1254" t="s">
        <v>27</v>
      </c>
      <c r="D1254">
        <v>15</v>
      </c>
      <c r="E1254" t="s">
        <v>367</v>
      </c>
      <c r="F1254" t="s">
        <v>512</v>
      </c>
      <c r="G1254">
        <v>4186</v>
      </c>
      <c r="H1254" t="s">
        <v>2638</v>
      </c>
      <c r="I1254" t="s">
        <v>1780</v>
      </c>
      <c r="J1254">
        <v>16</v>
      </c>
      <c r="K1254">
        <v>1</v>
      </c>
      <c r="L1254">
        <v>8.3333333333333328E-4</v>
      </c>
      <c r="M1254" t="s">
        <v>117</v>
      </c>
      <c r="N1254" t="s">
        <v>1082</v>
      </c>
      <c r="O1254" s="24">
        <v>46133</v>
      </c>
      <c r="P1254">
        <v>606</v>
      </c>
      <c r="Q1254" t="s">
        <v>34</v>
      </c>
      <c r="R1254">
        <v>46135</v>
      </c>
      <c r="S1254" s="51">
        <v>0.55555555555555558</v>
      </c>
      <c r="T1254" s="51">
        <v>0.625</v>
      </c>
      <c r="X1254" t="s">
        <v>3320</v>
      </c>
      <c r="Y1254" t="s">
        <v>3035</v>
      </c>
      <c r="Z1254">
        <v>2777656</v>
      </c>
    </row>
    <row r="1255" spans="1:26" x14ac:dyDescent="0.25">
      <c r="A1255">
        <v>1251</v>
      </c>
      <c r="B1255" t="s">
        <v>26</v>
      </c>
      <c r="C1255" t="s">
        <v>27</v>
      </c>
      <c r="D1255">
        <v>15</v>
      </c>
      <c r="E1255" t="s">
        <v>367</v>
      </c>
      <c r="F1255" t="s">
        <v>512</v>
      </c>
      <c r="G1255">
        <v>4186</v>
      </c>
      <c r="H1255" t="s">
        <v>2639</v>
      </c>
      <c r="I1255" t="s">
        <v>1752</v>
      </c>
      <c r="J1255">
        <v>16</v>
      </c>
      <c r="K1255">
        <v>1</v>
      </c>
      <c r="L1255">
        <v>8.7962962962962962E-4</v>
      </c>
      <c r="M1255" t="s">
        <v>117</v>
      </c>
      <c r="N1255" t="s">
        <v>1082</v>
      </c>
      <c r="O1255" s="24">
        <v>46133</v>
      </c>
      <c r="P1255">
        <v>606</v>
      </c>
      <c r="Q1255" t="s">
        <v>34</v>
      </c>
      <c r="R1255">
        <v>46135</v>
      </c>
      <c r="S1255" s="51">
        <v>0.55555555555555558</v>
      </c>
      <c r="T1255" s="51">
        <v>0.625</v>
      </c>
      <c r="X1255" t="s">
        <v>3320</v>
      </c>
      <c r="Y1255" t="s">
        <v>3035</v>
      </c>
      <c r="Z1255">
        <v>2777656</v>
      </c>
    </row>
    <row r="1256" spans="1:26" x14ac:dyDescent="0.25">
      <c r="A1256">
        <v>1252</v>
      </c>
      <c r="B1256" t="s">
        <v>26</v>
      </c>
      <c r="C1256" t="s">
        <v>27</v>
      </c>
      <c r="D1256">
        <v>15</v>
      </c>
      <c r="E1256" t="s">
        <v>1665</v>
      </c>
      <c r="F1256" t="s">
        <v>498</v>
      </c>
      <c r="G1256">
        <v>3131</v>
      </c>
      <c r="H1256" t="s">
        <v>1981</v>
      </c>
      <c r="I1256" t="s">
        <v>1978</v>
      </c>
      <c r="J1256">
        <v>10</v>
      </c>
      <c r="K1256">
        <v>52</v>
      </c>
      <c r="L1256">
        <v>1.8518518518518517E-2</v>
      </c>
      <c r="M1256" t="s">
        <v>3079</v>
      </c>
      <c r="X1256" t="s">
        <v>3321</v>
      </c>
    </row>
    <row r="1257" spans="1:26" x14ac:dyDescent="0.25">
      <c r="A1257">
        <v>1253</v>
      </c>
      <c r="B1257" t="s">
        <v>26</v>
      </c>
      <c r="C1257" t="s">
        <v>27</v>
      </c>
      <c r="D1257">
        <v>15</v>
      </c>
      <c r="E1257" t="s">
        <v>367</v>
      </c>
      <c r="F1257" t="s">
        <v>1593</v>
      </c>
      <c r="G1257">
        <v>3131</v>
      </c>
      <c r="H1257" t="s">
        <v>2012</v>
      </c>
      <c r="I1257" t="s">
        <v>2013</v>
      </c>
      <c r="J1257">
        <v>10</v>
      </c>
      <c r="K1257">
        <v>11</v>
      </c>
      <c r="L1257">
        <v>2.7199074074074074E-3</v>
      </c>
      <c r="M1257" t="s">
        <v>3079</v>
      </c>
      <c r="X1257" t="s">
        <v>3321</v>
      </c>
    </row>
    <row r="1258" spans="1:26" x14ac:dyDescent="0.25">
      <c r="A1258">
        <v>1254</v>
      </c>
      <c r="B1258" t="s">
        <v>26</v>
      </c>
      <c r="C1258" t="s">
        <v>27</v>
      </c>
      <c r="D1258">
        <v>15</v>
      </c>
      <c r="E1258" t="s">
        <v>367</v>
      </c>
      <c r="F1258" t="s">
        <v>367</v>
      </c>
      <c r="G1258">
        <v>3131</v>
      </c>
      <c r="H1258" t="s">
        <v>1982</v>
      </c>
      <c r="I1258" t="s">
        <v>1983</v>
      </c>
      <c r="J1258">
        <v>10</v>
      </c>
      <c r="K1258">
        <v>42</v>
      </c>
      <c r="L1258">
        <v>8.9583333333333338E-3</v>
      </c>
      <c r="M1258" t="s">
        <v>3079</v>
      </c>
      <c r="X1258" t="s">
        <v>3321</v>
      </c>
    </row>
    <row r="1259" spans="1:26" x14ac:dyDescent="0.25">
      <c r="A1259">
        <v>1255</v>
      </c>
      <c r="B1259" t="s">
        <v>26</v>
      </c>
      <c r="C1259" t="s">
        <v>27</v>
      </c>
      <c r="D1259">
        <v>15</v>
      </c>
      <c r="E1259" t="s">
        <v>1665</v>
      </c>
      <c r="F1259" t="s">
        <v>498</v>
      </c>
      <c r="G1259">
        <v>3132</v>
      </c>
      <c r="H1259" t="s">
        <v>1981</v>
      </c>
      <c r="I1259" t="s">
        <v>1978</v>
      </c>
      <c r="J1259">
        <v>10</v>
      </c>
      <c r="K1259">
        <v>8</v>
      </c>
      <c r="L1259">
        <v>3.0555555555555553E-3</v>
      </c>
      <c r="M1259" t="s">
        <v>3079</v>
      </c>
      <c r="X1259" t="s">
        <v>3322</v>
      </c>
    </row>
    <row r="1260" spans="1:26" x14ac:dyDescent="0.25">
      <c r="A1260">
        <v>1256</v>
      </c>
      <c r="B1260" t="s">
        <v>26</v>
      </c>
      <c r="C1260" t="s">
        <v>27</v>
      </c>
      <c r="D1260">
        <v>15</v>
      </c>
      <c r="E1260" t="s">
        <v>1672</v>
      </c>
      <c r="F1260" t="s">
        <v>498</v>
      </c>
      <c r="G1260">
        <v>3132</v>
      </c>
      <c r="H1260" t="s">
        <v>1977</v>
      </c>
      <c r="I1260" t="s">
        <v>1978</v>
      </c>
      <c r="J1260">
        <v>10</v>
      </c>
      <c r="K1260">
        <v>48</v>
      </c>
      <c r="L1260">
        <v>1.9328703703703702E-2</v>
      </c>
      <c r="M1260" t="s">
        <v>3079</v>
      </c>
      <c r="X1260" t="s">
        <v>3322</v>
      </c>
    </row>
    <row r="1261" spans="1:26" x14ac:dyDescent="0.25">
      <c r="A1261">
        <v>1257</v>
      </c>
      <c r="B1261" t="s">
        <v>26</v>
      </c>
      <c r="C1261" t="s">
        <v>27</v>
      </c>
      <c r="D1261">
        <v>15</v>
      </c>
      <c r="E1261" t="s">
        <v>367</v>
      </c>
      <c r="F1261" t="s">
        <v>367</v>
      </c>
      <c r="G1261">
        <v>3132</v>
      </c>
      <c r="H1261" t="s">
        <v>1982</v>
      </c>
      <c r="I1261" t="s">
        <v>1983</v>
      </c>
      <c r="J1261">
        <v>10</v>
      </c>
      <c r="K1261">
        <v>25</v>
      </c>
      <c r="L1261">
        <v>5.7175925925925927E-3</v>
      </c>
      <c r="M1261" t="s">
        <v>3079</v>
      </c>
      <c r="X1261" t="s">
        <v>3322</v>
      </c>
    </row>
    <row r="1262" spans="1:26" x14ac:dyDescent="0.25">
      <c r="A1262">
        <v>1258</v>
      </c>
      <c r="B1262" t="s">
        <v>26</v>
      </c>
      <c r="C1262" t="s">
        <v>27</v>
      </c>
      <c r="D1262">
        <v>15</v>
      </c>
      <c r="E1262" t="s">
        <v>1665</v>
      </c>
      <c r="F1262" t="s">
        <v>498</v>
      </c>
      <c r="G1262">
        <v>3845</v>
      </c>
      <c r="H1262" t="s">
        <v>1981</v>
      </c>
      <c r="I1262" t="s">
        <v>1978</v>
      </c>
      <c r="J1262">
        <v>10</v>
      </c>
      <c r="K1262">
        <v>9</v>
      </c>
      <c r="L1262">
        <v>3.8078703703703703E-3</v>
      </c>
      <c r="M1262" t="s">
        <v>3079</v>
      </c>
      <c r="X1262" t="s">
        <v>3323</v>
      </c>
    </row>
    <row r="1263" spans="1:26" x14ac:dyDescent="0.25">
      <c r="A1263">
        <v>1259</v>
      </c>
      <c r="B1263" t="s">
        <v>26</v>
      </c>
      <c r="C1263" t="s">
        <v>27</v>
      </c>
      <c r="D1263">
        <v>15</v>
      </c>
      <c r="E1263" t="s">
        <v>1672</v>
      </c>
      <c r="F1263" t="s">
        <v>498</v>
      </c>
      <c r="G1263">
        <v>3845</v>
      </c>
      <c r="H1263" t="s">
        <v>1977</v>
      </c>
      <c r="I1263" t="s">
        <v>1978</v>
      </c>
      <c r="J1263">
        <v>10</v>
      </c>
      <c r="K1263">
        <v>21</v>
      </c>
      <c r="L1263">
        <v>9.3865740740740732E-3</v>
      </c>
      <c r="M1263" t="s">
        <v>3079</v>
      </c>
      <c r="X1263" t="s">
        <v>3323</v>
      </c>
    </row>
    <row r="1264" spans="1:26" x14ac:dyDescent="0.25">
      <c r="A1264">
        <v>1260</v>
      </c>
      <c r="B1264" t="s">
        <v>26</v>
      </c>
      <c r="C1264" t="s">
        <v>27</v>
      </c>
      <c r="D1264">
        <v>15</v>
      </c>
      <c r="E1264" t="s">
        <v>367</v>
      </c>
      <c r="F1264" t="s">
        <v>1593</v>
      </c>
      <c r="G1264">
        <v>3845</v>
      </c>
      <c r="H1264" t="s">
        <v>1999</v>
      </c>
      <c r="I1264" t="s">
        <v>2000</v>
      </c>
      <c r="J1264">
        <v>10</v>
      </c>
      <c r="K1264">
        <v>16</v>
      </c>
      <c r="L1264">
        <v>5.1967592592592595E-3</v>
      </c>
      <c r="M1264" t="s">
        <v>3079</v>
      </c>
      <c r="X1264" t="s">
        <v>3323</v>
      </c>
    </row>
    <row r="1265" spans="1:26" x14ac:dyDescent="0.25">
      <c r="A1265">
        <v>1261</v>
      </c>
      <c r="B1265" t="s">
        <v>26</v>
      </c>
      <c r="C1265" t="s">
        <v>27</v>
      </c>
      <c r="D1265">
        <v>15</v>
      </c>
      <c r="E1265" t="s">
        <v>367</v>
      </c>
      <c r="F1265" t="s">
        <v>1593</v>
      </c>
      <c r="G1265">
        <v>3845</v>
      </c>
      <c r="H1265" t="s">
        <v>2012</v>
      </c>
      <c r="I1265" t="s">
        <v>2013</v>
      </c>
      <c r="J1265">
        <v>10</v>
      </c>
      <c r="K1265">
        <v>1</v>
      </c>
      <c r="L1265">
        <v>2.8935185185185184E-4</v>
      </c>
      <c r="M1265" t="s">
        <v>3079</v>
      </c>
      <c r="X1265" t="s">
        <v>3323</v>
      </c>
    </row>
    <row r="1266" spans="1:26" x14ac:dyDescent="0.25">
      <c r="A1266">
        <v>1262</v>
      </c>
      <c r="B1266" t="s">
        <v>26</v>
      </c>
      <c r="C1266" t="s">
        <v>27</v>
      </c>
      <c r="D1266">
        <v>15</v>
      </c>
      <c r="E1266" t="s">
        <v>2778</v>
      </c>
      <c r="F1266" t="s">
        <v>1594</v>
      </c>
      <c r="G1266">
        <v>3845</v>
      </c>
      <c r="H1266" t="s">
        <v>2001</v>
      </c>
      <c r="I1266" t="s">
        <v>2002</v>
      </c>
      <c r="J1266">
        <v>10</v>
      </c>
      <c r="K1266">
        <v>2</v>
      </c>
      <c r="L1266">
        <v>2.5231481481481481E-3</v>
      </c>
      <c r="M1266" t="s">
        <v>3079</v>
      </c>
      <c r="X1266" t="s">
        <v>3323</v>
      </c>
    </row>
    <row r="1267" spans="1:26" x14ac:dyDescent="0.25">
      <c r="A1267">
        <v>1263</v>
      </c>
      <c r="B1267" t="s">
        <v>26</v>
      </c>
      <c r="C1267" t="s">
        <v>27</v>
      </c>
      <c r="D1267">
        <v>15</v>
      </c>
      <c r="E1267" t="s">
        <v>367</v>
      </c>
      <c r="F1267" t="s">
        <v>367</v>
      </c>
      <c r="G1267">
        <v>3845</v>
      </c>
      <c r="H1267" t="s">
        <v>1982</v>
      </c>
      <c r="I1267" t="s">
        <v>1983</v>
      </c>
      <c r="J1267">
        <v>10</v>
      </c>
      <c r="K1267">
        <v>5</v>
      </c>
      <c r="L1267">
        <v>1.261574074074074E-3</v>
      </c>
      <c r="M1267" t="s">
        <v>3079</v>
      </c>
      <c r="X1267" t="s">
        <v>3323</v>
      </c>
    </row>
    <row r="1268" spans="1:26" x14ac:dyDescent="0.25">
      <c r="A1268">
        <v>1264</v>
      </c>
      <c r="B1268" t="s">
        <v>26</v>
      </c>
      <c r="C1268" t="s">
        <v>27</v>
      </c>
      <c r="D1268">
        <v>15</v>
      </c>
      <c r="E1268" t="s">
        <v>152</v>
      </c>
      <c r="F1268" t="s">
        <v>152</v>
      </c>
      <c r="G1268">
        <v>4456</v>
      </c>
      <c r="H1268" t="s">
        <v>1812</v>
      </c>
      <c r="I1268" t="s">
        <v>1813</v>
      </c>
      <c r="J1268">
        <v>12</v>
      </c>
      <c r="K1268">
        <v>1</v>
      </c>
      <c r="L1268">
        <v>1.5034722222222222E-2</v>
      </c>
      <c r="M1268" t="s">
        <v>3079</v>
      </c>
      <c r="X1268" t="s">
        <v>3324</v>
      </c>
    </row>
    <row r="1269" spans="1:26" x14ac:dyDescent="0.25">
      <c r="A1269">
        <v>1265</v>
      </c>
      <c r="B1269" t="s">
        <v>26</v>
      </c>
      <c r="C1269" t="s">
        <v>27</v>
      </c>
      <c r="D1269">
        <v>15</v>
      </c>
      <c r="E1269" t="s">
        <v>1141</v>
      </c>
      <c r="F1269" t="s">
        <v>512</v>
      </c>
      <c r="G1269">
        <v>4456</v>
      </c>
      <c r="H1269" t="s">
        <v>1848</v>
      </c>
      <c r="I1269" t="s">
        <v>1849</v>
      </c>
      <c r="J1269">
        <v>12</v>
      </c>
      <c r="K1269">
        <v>2</v>
      </c>
      <c r="L1269">
        <v>3.4375E-3</v>
      </c>
      <c r="M1269" t="s">
        <v>3079</v>
      </c>
      <c r="X1269" t="s">
        <v>3324</v>
      </c>
    </row>
    <row r="1270" spans="1:26" x14ac:dyDescent="0.25">
      <c r="A1270">
        <v>1266</v>
      </c>
      <c r="B1270" t="s">
        <v>26</v>
      </c>
      <c r="C1270" t="s">
        <v>27</v>
      </c>
      <c r="D1270">
        <v>15</v>
      </c>
      <c r="E1270" t="s">
        <v>1588</v>
      </c>
      <c r="F1270" t="s">
        <v>512</v>
      </c>
      <c r="G1270">
        <v>4458</v>
      </c>
      <c r="H1270" t="s">
        <v>1968</v>
      </c>
      <c r="I1270" t="s">
        <v>1954</v>
      </c>
      <c r="J1270">
        <v>12</v>
      </c>
      <c r="K1270">
        <v>2</v>
      </c>
      <c r="L1270">
        <v>3.4027777777777776E-3</v>
      </c>
      <c r="M1270" t="s">
        <v>3079</v>
      </c>
      <c r="X1270" t="s">
        <v>3325</v>
      </c>
    </row>
    <row r="1271" spans="1:26" x14ac:dyDescent="0.25">
      <c r="A1271">
        <v>1267</v>
      </c>
      <c r="B1271" t="s">
        <v>26</v>
      </c>
      <c r="C1271" t="s">
        <v>27</v>
      </c>
      <c r="D1271">
        <v>15</v>
      </c>
      <c r="E1271" t="s">
        <v>152</v>
      </c>
      <c r="F1271" t="s">
        <v>152</v>
      </c>
      <c r="G1271">
        <v>4458</v>
      </c>
      <c r="H1271" t="s">
        <v>1812</v>
      </c>
      <c r="I1271" t="s">
        <v>1813</v>
      </c>
      <c r="J1271">
        <v>12</v>
      </c>
      <c r="K1271">
        <v>1</v>
      </c>
      <c r="L1271">
        <v>1.5034722222222222E-2</v>
      </c>
      <c r="M1271" t="s">
        <v>3079</v>
      </c>
      <c r="X1271" t="s">
        <v>3325</v>
      </c>
    </row>
    <row r="1272" spans="1:26" x14ac:dyDescent="0.25">
      <c r="A1272">
        <v>1268</v>
      </c>
      <c r="B1272" t="s">
        <v>26</v>
      </c>
      <c r="C1272" t="s">
        <v>27</v>
      </c>
      <c r="D1272">
        <v>15</v>
      </c>
      <c r="E1272" t="s">
        <v>1588</v>
      </c>
      <c r="F1272" t="s">
        <v>512</v>
      </c>
      <c r="G1272">
        <v>4402</v>
      </c>
      <c r="H1272" t="s">
        <v>1968</v>
      </c>
      <c r="I1272" t="s">
        <v>1954</v>
      </c>
      <c r="J1272">
        <v>12</v>
      </c>
      <c r="K1272">
        <v>1</v>
      </c>
      <c r="L1272">
        <v>1.6666666666666666E-3</v>
      </c>
      <c r="M1272" t="s">
        <v>3079</v>
      </c>
      <c r="X1272" t="s">
        <v>3326</v>
      </c>
    </row>
    <row r="1273" spans="1:26" x14ac:dyDescent="0.25">
      <c r="A1273">
        <v>1269</v>
      </c>
      <c r="B1273" t="s">
        <v>26</v>
      </c>
      <c r="C1273" t="s">
        <v>27</v>
      </c>
      <c r="D1273">
        <v>15</v>
      </c>
      <c r="E1273" t="s">
        <v>1588</v>
      </c>
      <c r="F1273" t="s">
        <v>512</v>
      </c>
      <c r="G1273">
        <v>4402</v>
      </c>
      <c r="H1273" t="s">
        <v>1953</v>
      </c>
      <c r="I1273" t="s">
        <v>1954</v>
      </c>
      <c r="J1273">
        <v>12</v>
      </c>
      <c r="K1273">
        <v>1</v>
      </c>
      <c r="L1273">
        <v>1.9560185185185184E-3</v>
      </c>
      <c r="M1273" t="s">
        <v>3079</v>
      </c>
      <c r="X1273" t="s">
        <v>3326</v>
      </c>
    </row>
    <row r="1274" spans="1:26" x14ac:dyDescent="0.25">
      <c r="A1274">
        <v>1270</v>
      </c>
      <c r="B1274" t="s">
        <v>26</v>
      </c>
      <c r="C1274" t="s">
        <v>27</v>
      </c>
      <c r="D1274">
        <v>15</v>
      </c>
      <c r="E1274" t="s">
        <v>152</v>
      </c>
      <c r="F1274" t="s">
        <v>152</v>
      </c>
      <c r="G1274">
        <v>4402</v>
      </c>
      <c r="H1274" t="s">
        <v>1812</v>
      </c>
      <c r="I1274" t="s">
        <v>1813</v>
      </c>
      <c r="J1274">
        <v>12</v>
      </c>
      <c r="K1274">
        <v>1</v>
      </c>
      <c r="L1274">
        <v>1.480324074074074E-2</v>
      </c>
      <c r="M1274" t="s">
        <v>3079</v>
      </c>
      <c r="X1274" t="s">
        <v>3326</v>
      </c>
    </row>
    <row r="1275" spans="1:26" x14ac:dyDescent="0.25">
      <c r="A1275">
        <v>1271</v>
      </c>
      <c r="B1275" t="s">
        <v>26</v>
      </c>
      <c r="C1275" t="s">
        <v>27</v>
      </c>
      <c r="D1275">
        <v>15</v>
      </c>
      <c r="E1275" t="s">
        <v>1588</v>
      </c>
      <c r="F1275" t="s">
        <v>512</v>
      </c>
      <c r="G1275">
        <v>4403</v>
      </c>
      <c r="H1275" t="s">
        <v>1968</v>
      </c>
      <c r="I1275" t="s">
        <v>1954</v>
      </c>
      <c r="J1275">
        <v>12</v>
      </c>
      <c r="K1275">
        <v>1</v>
      </c>
      <c r="L1275">
        <v>1.7013888888888888E-3</v>
      </c>
      <c r="M1275" t="s">
        <v>3079</v>
      </c>
      <c r="X1275" t="s">
        <v>3327</v>
      </c>
    </row>
    <row r="1276" spans="1:26" x14ac:dyDescent="0.25">
      <c r="A1276">
        <v>1272</v>
      </c>
      <c r="B1276" t="s">
        <v>26</v>
      </c>
      <c r="C1276" t="s">
        <v>27</v>
      </c>
      <c r="D1276">
        <v>15</v>
      </c>
      <c r="E1276" t="s">
        <v>152</v>
      </c>
      <c r="F1276" t="s">
        <v>152</v>
      </c>
      <c r="G1276">
        <v>4403</v>
      </c>
      <c r="H1276" t="s">
        <v>1812</v>
      </c>
      <c r="I1276" t="s">
        <v>1813</v>
      </c>
      <c r="J1276">
        <v>12</v>
      </c>
      <c r="K1276">
        <v>1</v>
      </c>
      <c r="L1276">
        <v>1.5023148148148148E-2</v>
      </c>
      <c r="M1276" t="s">
        <v>3079</v>
      </c>
      <c r="X1276" t="s">
        <v>3327</v>
      </c>
    </row>
    <row r="1277" spans="1:26" x14ac:dyDescent="0.25">
      <c r="A1277">
        <v>1273</v>
      </c>
      <c r="B1277" t="s">
        <v>26</v>
      </c>
      <c r="C1277" t="s">
        <v>27</v>
      </c>
      <c r="D1277">
        <v>15</v>
      </c>
      <c r="E1277" t="s">
        <v>1141</v>
      </c>
      <c r="F1277" t="s">
        <v>512</v>
      </c>
      <c r="G1277">
        <v>4403</v>
      </c>
      <c r="H1277" t="s">
        <v>1848</v>
      </c>
      <c r="I1277" t="s">
        <v>1849</v>
      </c>
      <c r="J1277">
        <v>12</v>
      </c>
      <c r="K1277">
        <v>1</v>
      </c>
      <c r="L1277">
        <v>1.7129629629629628E-3</v>
      </c>
      <c r="M1277" t="s">
        <v>3079</v>
      </c>
      <c r="X1277" t="s">
        <v>3327</v>
      </c>
    </row>
    <row r="1278" spans="1:26" x14ac:dyDescent="0.25">
      <c r="A1278">
        <v>1274</v>
      </c>
      <c r="B1278" t="s">
        <v>26</v>
      </c>
      <c r="C1278" t="s">
        <v>27</v>
      </c>
      <c r="D1278">
        <v>15</v>
      </c>
      <c r="E1278" t="s">
        <v>1588</v>
      </c>
      <c r="F1278" t="s">
        <v>512</v>
      </c>
      <c r="G1278">
        <v>4405</v>
      </c>
      <c r="H1278" t="s">
        <v>1953</v>
      </c>
      <c r="I1278" t="s">
        <v>1954</v>
      </c>
      <c r="J1278">
        <v>12</v>
      </c>
      <c r="K1278">
        <v>2</v>
      </c>
      <c r="L1278">
        <v>3.8541666666666663E-3</v>
      </c>
      <c r="M1278" t="s">
        <v>3079</v>
      </c>
      <c r="X1278" t="s">
        <v>3328</v>
      </c>
    </row>
    <row r="1279" spans="1:26" x14ac:dyDescent="0.25">
      <c r="A1279">
        <v>1275</v>
      </c>
      <c r="B1279" t="s">
        <v>26</v>
      </c>
      <c r="C1279" t="s">
        <v>27</v>
      </c>
      <c r="D1279">
        <v>15</v>
      </c>
      <c r="E1279" t="s">
        <v>152</v>
      </c>
      <c r="F1279" t="s">
        <v>152</v>
      </c>
      <c r="G1279">
        <v>4405</v>
      </c>
      <c r="H1279" t="s">
        <v>1812</v>
      </c>
      <c r="I1279" t="s">
        <v>1813</v>
      </c>
      <c r="J1279">
        <v>12</v>
      </c>
      <c r="K1279">
        <v>1</v>
      </c>
      <c r="L1279">
        <v>1.4571759259259258E-2</v>
      </c>
      <c r="M1279" t="s">
        <v>3079</v>
      </c>
      <c r="X1279" t="s">
        <v>3328</v>
      </c>
    </row>
    <row r="1280" spans="1:26" x14ac:dyDescent="0.25">
      <c r="A1280">
        <v>1276</v>
      </c>
      <c r="B1280" t="s">
        <v>26</v>
      </c>
      <c r="C1280" t="s">
        <v>27</v>
      </c>
      <c r="D1280">
        <v>15</v>
      </c>
      <c r="E1280" t="s">
        <v>511</v>
      </c>
      <c r="F1280" t="s">
        <v>511</v>
      </c>
      <c r="G1280">
        <v>3317</v>
      </c>
      <c r="H1280" t="s">
        <v>1875</v>
      </c>
      <c r="I1280" t="s">
        <v>1813</v>
      </c>
      <c r="J1280">
        <v>12</v>
      </c>
      <c r="K1280">
        <v>1</v>
      </c>
      <c r="L1280">
        <v>1.4270833333333333E-2</v>
      </c>
      <c r="M1280" t="s">
        <v>117</v>
      </c>
      <c r="N1280" t="s">
        <v>1367</v>
      </c>
      <c r="O1280" s="24">
        <v>46133</v>
      </c>
      <c r="P1280">
        <v>605</v>
      </c>
      <c r="Q1280" t="s">
        <v>34</v>
      </c>
      <c r="R1280">
        <v>46137</v>
      </c>
      <c r="S1280" s="51">
        <v>0.63124999999999998</v>
      </c>
      <c r="T1280" s="51">
        <v>0.68055555555555558</v>
      </c>
      <c r="X1280" t="s">
        <v>3329</v>
      </c>
      <c r="Y1280" t="s">
        <v>3029</v>
      </c>
      <c r="Z1280">
        <v>2777672</v>
      </c>
    </row>
    <row r="1281" spans="1:26" x14ac:dyDescent="0.25">
      <c r="A1281">
        <v>1277</v>
      </c>
      <c r="B1281" t="s">
        <v>26</v>
      </c>
      <c r="C1281" t="s">
        <v>27</v>
      </c>
      <c r="D1281">
        <v>15</v>
      </c>
      <c r="E1281" t="s">
        <v>1665</v>
      </c>
      <c r="F1281" t="s">
        <v>512</v>
      </c>
      <c r="G1281">
        <v>3317</v>
      </c>
      <c r="H1281" t="s">
        <v>1910</v>
      </c>
      <c r="I1281" t="s">
        <v>2789</v>
      </c>
      <c r="J1281">
        <v>12</v>
      </c>
      <c r="K1281">
        <v>1</v>
      </c>
      <c r="L1281">
        <v>6.2500000000000001E-4</v>
      </c>
      <c r="M1281" t="s">
        <v>117</v>
      </c>
      <c r="N1281" t="s">
        <v>1367</v>
      </c>
      <c r="O1281" s="24">
        <v>46133</v>
      </c>
      <c r="P1281">
        <v>605</v>
      </c>
      <c r="Q1281" t="s">
        <v>34</v>
      </c>
      <c r="R1281">
        <v>46137</v>
      </c>
      <c r="S1281" s="51">
        <v>0.63124999999999998</v>
      </c>
      <c r="T1281" s="51">
        <v>0.68055555555555558</v>
      </c>
      <c r="X1281" t="s">
        <v>3329</v>
      </c>
      <c r="Y1281" t="s">
        <v>3029</v>
      </c>
      <c r="Z1281">
        <v>2777672</v>
      </c>
    </row>
    <row r="1282" spans="1:26" x14ac:dyDescent="0.25">
      <c r="A1282">
        <v>1278</v>
      </c>
      <c r="B1282" t="s">
        <v>26</v>
      </c>
      <c r="C1282" t="s">
        <v>27</v>
      </c>
      <c r="D1282">
        <v>15</v>
      </c>
      <c r="E1282" t="s">
        <v>147</v>
      </c>
      <c r="F1282" t="s">
        <v>115</v>
      </c>
      <c r="G1282">
        <v>3317</v>
      </c>
      <c r="H1282" t="s">
        <v>1840</v>
      </c>
      <c r="I1282" t="s">
        <v>1809</v>
      </c>
      <c r="J1282">
        <v>12</v>
      </c>
      <c r="K1282">
        <v>7</v>
      </c>
      <c r="L1282">
        <v>6.7129629629629631E-3</v>
      </c>
      <c r="M1282" t="s">
        <v>117</v>
      </c>
      <c r="N1282" t="s">
        <v>1367</v>
      </c>
      <c r="O1282" s="24">
        <v>46133</v>
      </c>
      <c r="P1282">
        <v>605</v>
      </c>
      <c r="Q1282" t="s">
        <v>34</v>
      </c>
      <c r="R1282">
        <v>46137</v>
      </c>
      <c r="S1282" s="51">
        <v>0.63124999999999998</v>
      </c>
      <c r="T1282" s="51">
        <v>0.68055555555555558</v>
      </c>
      <c r="X1282" t="s">
        <v>3329</v>
      </c>
      <c r="Y1282" t="s">
        <v>3029</v>
      </c>
      <c r="Z1282">
        <v>2777672</v>
      </c>
    </row>
    <row r="1283" spans="1:26" x14ac:dyDescent="0.25">
      <c r="A1283">
        <v>1279</v>
      </c>
      <c r="B1283" t="s">
        <v>26</v>
      </c>
      <c r="C1283" t="s">
        <v>27</v>
      </c>
      <c r="D1283">
        <v>15</v>
      </c>
      <c r="E1283" t="s">
        <v>367</v>
      </c>
      <c r="F1283" t="s">
        <v>512</v>
      </c>
      <c r="G1283">
        <v>3317</v>
      </c>
      <c r="H1283" t="s">
        <v>2035</v>
      </c>
      <c r="I1283" t="s">
        <v>2036</v>
      </c>
      <c r="J1283">
        <v>12</v>
      </c>
      <c r="K1283">
        <v>1</v>
      </c>
      <c r="L1283">
        <v>6.8287037037037036E-4</v>
      </c>
      <c r="M1283" t="s">
        <v>117</v>
      </c>
      <c r="N1283" t="s">
        <v>1367</v>
      </c>
      <c r="O1283" s="24">
        <v>46133</v>
      </c>
      <c r="P1283">
        <v>605</v>
      </c>
      <c r="Q1283" t="s">
        <v>34</v>
      </c>
      <c r="R1283">
        <v>46137</v>
      </c>
      <c r="S1283" s="51">
        <v>0.63124999999999998</v>
      </c>
      <c r="T1283" s="51">
        <v>0.68055555555555558</v>
      </c>
      <c r="X1283" t="s">
        <v>3329</v>
      </c>
      <c r="Y1283" t="s">
        <v>3029</v>
      </c>
      <c r="Z1283">
        <v>2777672</v>
      </c>
    </row>
    <row r="1284" spans="1:26" x14ac:dyDescent="0.25">
      <c r="A1284">
        <v>1280</v>
      </c>
      <c r="B1284" t="s">
        <v>26</v>
      </c>
      <c r="C1284" t="s">
        <v>27</v>
      </c>
      <c r="D1284">
        <v>15</v>
      </c>
      <c r="E1284" t="s">
        <v>511</v>
      </c>
      <c r="F1284" t="s">
        <v>511</v>
      </c>
      <c r="G1284">
        <v>4410</v>
      </c>
      <c r="H1284" t="s">
        <v>1875</v>
      </c>
      <c r="I1284" t="s">
        <v>1813</v>
      </c>
      <c r="J1284">
        <v>12</v>
      </c>
      <c r="K1284">
        <v>1</v>
      </c>
      <c r="L1284">
        <v>1.3657407407407406E-2</v>
      </c>
      <c r="M1284" t="s">
        <v>117</v>
      </c>
      <c r="N1284" t="s">
        <v>1367</v>
      </c>
      <c r="O1284" s="24">
        <v>46133</v>
      </c>
      <c r="P1284">
        <v>605</v>
      </c>
      <c r="Q1284" t="s">
        <v>34</v>
      </c>
      <c r="R1284">
        <v>46137</v>
      </c>
      <c r="S1284" s="51">
        <v>0.68472222222222223</v>
      </c>
      <c r="T1284" s="51">
        <v>0.72361111111111109</v>
      </c>
      <c r="X1284" t="s">
        <v>3330</v>
      </c>
      <c r="Y1284" t="s">
        <v>3029</v>
      </c>
      <c r="Z1284">
        <v>3215737</v>
      </c>
    </row>
    <row r="1285" spans="1:26" x14ac:dyDescent="0.25">
      <c r="A1285">
        <v>1281</v>
      </c>
      <c r="B1285" t="s">
        <v>26</v>
      </c>
      <c r="C1285" t="s">
        <v>27</v>
      </c>
      <c r="D1285">
        <v>15</v>
      </c>
      <c r="E1285" t="s">
        <v>1665</v>
      </c>
      <c r="F1285" t="s">
        <v>512</v>
      </c>
      <c r="G1285">
        <v>4410</v>
      </c>
      <c r="H1285" t="s">
        <v>1910</v>
      </c>
      <c r="I1285" t="s">
        <v>2789</v>
      </c>
      <c r="J1285">
        <v>12</v>
      </c>
      <c r="K1285">
        <v>1</v>
      </c>
      <c r="L1285">
        <v>6.0185185185185179E-4</v>
      </c>
      <c r="M1285" t="s">
        <v>117</v>
      </c>
      <c r="N1285" t="s">
        <v>1367</v>
      </c>
      <c r="O1285" s="24">
        <v>46133</v>
      </c>
      <c r="P1285">
        <v>605</v>
      </c>
      <c r="Q1285" t="s">
        <v>34</v>
      </c>
      <c r="R1285">
        <v>46137</v>
      </c>
      <c r="S1285" s="51">
        <v>0.68472222222222223</v>
      </c>
      <c r="T1285" s="51">
        <v>0.72361111111111109</v>
      </c>
      <c r="X1285" t="s">
        <v>3330</v>
      </c>
      <c r="Y1285" t="s">
        <v>3029</v>
      </c>
      <c r="Z1285">
        <v>3215737</v>
      </c>
    </row>
    <row r="1286" spans="1:26" x14ac:dyDescent="0.25">
      <c r="A1286">
        <v>1282</v>
      </c>
      <c r="B1286" t="s">
        <v>26</v>
      </c>
      <c r="C1286" t="s">
        <v>27</v>
      </c>
      <c r="D1286">
        <v>15</v>
      </c>
      <c r="E1286" t="s">
        <v>147</v>
      </c>
      <c r="F1286" t="s">
        <v>115</v>
      </c>
      <c r="G1286">
        <v>4410</v>
      </c>
      <c r="H1286" t="s">
        <v>1840</v>
      </c>
      <c r="I1286" t="s">
        <v>1809</v>
      </c>
      <c r="J1286">
        <v>12</v>
      </c>
      <c r="K1286">
        <v>3</v>
      </c>
      <c r="L1286">
        <v>2.7430555555555554E-3</v>
      </c>
      <c r="M1286" t="s">
        <v>117</v>
      </c>
      <c r="N1286" t="s">
        <v>1367</v>
      </c>
      <c r="O1286" s="24">
        <v>46133</v>
      </c>
      <c r="P1286">
        <v>605</v>
      </c>
      <c r="Q1286" t="s">
        <v>34</v>
      </c>
      <c r="R1286">
        <v>46137</v>
      </c>
      <c r="S1286" s="51">
        <v>0.68472222222222223</v>
      </c>
      <c r="T1286" s="51">
        <v>0.72361111111111109</v>
      </c>
      <c r="X1286" t="s">
        <v>3330</v>
      </c>
      <c r="Y1286" t="s">
        <v>3029</v>
      </c>
      <c r="Z1286">
        <v>3215737</v>
      </c>
    </row>
    <row r="1287" spans="1:26" x14ac:dyDescent="0.25">
      <c r="A1287">
        <v>1283</v>
      </c>
      <c r="B1287" t="s">
        <v>26</v>
      </c>
      <c r="C1287" t="s">
        <v>27</v>
      </c>
      <c r="D1287">
        <v>15</v>
      </c>
      <c r="E1287" t="s">
        <v>1665</v>
      </c>
      <c r="F1287" t="s">
        <v>115</v>
      </c>
      <c r="G1287">
        <v>4410</v>
      </c>
      <c r="H1287" t="s">
        <v>1898</v>
      </c>
      <c r="I1287" t="s">
        <v>1899</v>
      </c>
      <c r="J1287">
        <v>12</v>
      </c>
      <c r="K1287">
        <v>4</v>
      </c>
      <c r="L1287">
        <v>4.5717592592592589E-3</v>
      </c>
      <c r="M1287" t="s">
        <v>117</v>
      </c>
      <c r="N1287" t="s">
        <v>1367</v>
      </c>
      <c r="O1287" s="24">
        <v>46133</v>
      </c>
      <c r="P1287">
        <v>605</v>
      </c>
      <c r="Q1287" t="s">
        <v>34</v>
      </c>
      <c r="R1287">
        <v>46137</v>
      </c>
      <c r="S1287" s="51">
        <v>0.68472222222222223</v>
      </c>
      <c r="T1287" s="51">
        <v>0.72361111111111109</v>
      </c>
      <c r="X1287" t="s">
        <v>3330</v>
      </c>
      <c r="Y1287" t="s">
        <v>3029</v>
      </c>
      <c r="Z1287">
        <v>3215737</v>
      </c>
    </row>
    <row r="1288" spans="1:26" x14ac:dyDescent="0.25">
      <c r="A1288">
        <v>1284</v>
      </c>
      <c r="B1288" t="s">
        <v>26</v>
      </c>
      <c r="C1288" t="s">
        <v>27</v>
      </c>
      <c r="D1288">
        <v>15</v>
      </c>
      <c r="E1288" t="s">
        <v>367</v>
      </c>
      <c r="F1288" t="s">
        <v>512</v>
      </c>
      <c r="G1288">
        <v>4410</v>
      </c>
      <c r="H1288" t="s">
        <v>1842</v>
      </c>
      <c r="I1288" t="s">
        <v>1843</v>
      </c>
      <c r="J1288">
        <v>12</v>
      </c>
      <c r="K1288">
        <v>1</v>
      </c>
      <c r="L1288">
        <v>6.4814814814814813E-4</v>
      </c>
      <c r="M1288" t="s">
        <v>117</v>
      </c>
      <c r="N1288" t="s">
        <v>1367</v>
      </c>
      <c r="O1288" s="24">
        <v>46133</v>
      </c>
      <c r="P1288">
        <v>605</v>
      </c>
      <c r="Q1288" t="s">
        <v>34</v>
      </c>
      <c r="R1288">
        <v>46137</v>
      </c>
      <c r="S1288" s="51">
        <v>0.68472222222222223</v>
      </c>
      <c r="T1288" s="51">
        <v>0.72361111111111109</v>
      </c>
      <c r="X1288" t="s">
        <v>3330</v>
      </c>
      <c r="Y1288" t="s">
        <v>3029</v>
      </c>
      <c r="Z1288">
        <v>3215737</v>
      </c>
    </row>
    <row r="1289" spans="1:26" x14ac:dyDescent="0.25">
      <c r="A1289">
        <v>1285</v>
      </c>
      <c r="B1289" t="s">
        <v>26</v>
      </c>
      <c r="C1289" t="s">
        <v>27</v>
      </c>
      <c r="D1289">
        <v>15</v>
      </c>
      <c r="E1289" t="s">
        <v>511</v>
      </c>
      <c r="F1289" t="s">
        <v>511</v>
      </c>
      <c r="G1289">
        <v>4398</v>
      </c>
      <c r="H1289" t="s">
        <v>1875</v>
      </c>
      <c r="I1289" t="s">
        <v>1813</v>
      </c>
      <c r="J1289">
        <v>12</v>
      </c>
      <c r="K1289">
        <v>1</v>
      </c>
      <c r="L1289">
        <v>1.3530092592592592E-2</v>
      </c>
      <c r="M1289" t="s">
        <v>3079</v>
      </c>
      <c r="X1289" t="s">
        <v>3331</v>
      </c>
    </row>
    <row r="1290" spans="1:26" x14ac:dyDescent="0.25">
      <c r="A1290">
        <v>1286</v>
      </c>
      <c r="B1290" t="s">
        <v>26</v>
      </c>
      <c r="C1290" t="s">
        <v>27</v>
      </c>
      <c r="D1290">
        <v>15</v>
      </c>
      <c r="E1290" t="s">
        <v>1665</v>
      </c>
      <c r="F1290" t="s">
        <v>115</v>
      </c>
      <c r="G1290">
        <v>4398</v>
      </c>
      <c r="H1290" t="s">
        <v>1898</v>
      </c>
      <c r="I1290" t="s">
        <v>1899</v>
      </c>
      <c r="J1290">
        <v>12</v>
      </c>
      <c r="K1290">
        <v>4</v>
      </c>
      <c r="L1290">
        <v>4.5370370370370365E-3</v>
      </c>
      <c r="M1290" t="s">
        <v>3079</v>
      </c>
      <c r="X1290" t="s">
        <v>3331</v>
      </c>
    </row>
    <row r="1291" spans="1:26" x14ac:dyDescent="0.25">
      <c r="A1291">
        <v>1287</v>
      </c>
      <c r="B1291" t="s">
        <v>26</v>
      </c>
      <c r="C1291" t="s">
        <v>27</v>
      </c>
      <c r="D1291">
        <v>15</v>
      </c>
      <c r="E1291" t="s">
        <v>1672</v>
      </c>
      <c r="F1291" t="s">
        <v>115</v>
      </c>
      <c r="G1291">
        <v>4398</v>
      </c>
      <c r="H1291" t="s">
        <v>1900</v>
      </c>
      <c r="I1291" t="s">
        <v>1899</v>
      </c>
      <c r="J1291">
        <v>12</v>
      </c>
      <c r="K1291">
        <v>3</v>
      </c>
      <c r="L1291">
        <v>2.696759259259259E-3</v>
      </c>
      <c r="M1291" t="s">
        <v>3079</v>
      </c>
      <c r="X1291" t="s">
        <v>3331</v>
      </c>
    </row>
    <row r="1292" spans="1:26" x14ac:dyDescent="0.25">
      <c r="A1292">
        <v>1288</v>
      </c>
      <c r="B1292" t="s">
        <v>26</v>
      </c>
      <c r="C1292" t="s">
        <v>27</v>
      </c>
      <c r="D1292">
        <v>15</v>
      </c>
      <c r="E1292" t="s">
        <v>367</v>
      </c>
      <c r="F1292" t="s">
        <v>1594</v>
      </c>
      <c r="G1292">
        <v>4398</v>
      </c>
      <c r="H1292" t="s">
        <v>1969</v>
      </c>
      <c r="I1292" t="s">
        <v>1970</v>
      </c>
      <c r="J1292">
        <v>12</v>
      </c>
      <c r="K1292">
        <v>1</v>
      </c>
      <c r="L1292">
        <v>8.5648148148148139E-4</v>
      </c>
      <c r="M1292" t="s">
        <v>3079</v>
      </c>
      <c r="X1292" t="s">
        <v>3331</v>
      </c>
    </row>
    <row r="1293" spans="1:26" x14ac:dyDescent="0.25">
      <c r="A1293">
        <v>1289</v>
      </c>
      <c r="B1293" t="s">
        <v>26</v>
      </c>
      <c r="C1293" t="s">
        <v>27</v>
      </c>
      <c r="D1293">
        <v>15</v>
      </c>
      <c r="E1293" t="s">
        <v>1665</v>
      </c>
      <c r="F1293" t="s">
        <v>512</v>
      </c>
      <c r="G1293">
        <v>4399</v>
      </c>
      <c r="H1293" t="s">
        <v>2034</v>
      </c>
      <c r="I1293" t="s">
        <v>2792</v>
      </c>
      <c r="J1293">
        <v>12</v>
      </c>
      <c r="K1293">
        <v>2</v>
      </c>
      <c r="L1293">
        <v>1.1921296296296296E-3</v>
      </c>
      <c r="M1293" t="s">
        <v>3079</v>
      </c>
      <c r="X1293" t="s">
        <v>3332</v>
      </c>
    </row>
    <row r="1294" spans="1:26" x14ac:dyDescent="0.25">
      <c r="A1294">
        <v>1290</v>
      </c>
      <c r="B1294" t="s">
        <v>26</v>
      </c>
      <c r="C1294" t="s">
        <v>27</v>
      </c>
      <c r="D1294">
        <v>15</v>
      </c>
      <c r="E1294" t="s">
        <v>511</v>
      </c>
      <c r="F1294" t="s">
        <v>511</v>
      </c>
      <c r="G1294">
        <v>4399</v>
      </c>
      <c r="H1294" t="s">
        <v>1875</v>
      </c>
      <c r="I1294" t="s">
        <v>1813</v>
      </c>
      <c r="J1294">
        <v>12</v>
      </c>
      <c r="K1294">
        <v>1</v>
      </c>
      <c r="L1294">
        <v>1.3599537037037037E-2</v>
      </c>
      <c r="M1294" t="s">
        <v>3079</v>
      </c>
      <c r="X1294" t="s">
        <v>3332</v>
      </c>
    </row>
    <row r="1295" spans="1:26" x14ac:dyDescent="0.25">
      <c r="A1295">
        <v>1291</v>
      </c>
      <c r="B1295" t="s">
        <v>26</v>
      </c>
      <c r="C1295" t="s">
        <v>27</v>
      </c>
      <c r="D1295">
        <v>15</v>
      </c>
      <c r="E1295" t="s">
        <v>150</v>
      </c>
      <c r="F1295" t="s">
        <v>115</v>
      </c>
      <c r="G1295">
        <v>4399</v>
      </c>
      <c r="H1295" t="s">
        <v>1808</v>
      </c>
      <c r="I1295" t="s">
        <v>1809</v>
      </c>
      <c r="J1295">
        <v>12</v>
      </c>
      <c r="K1295">
        <v>2</v>
      </c>
      <c r="L1295">
        <v>2.3032407407407407E-3</v>
      </c>
      <c r="M1295" t="s">
        <v>3079</v>
      </c>
      <c r="X1295" t="s">
        <v>3332</v>
      </c>
    </row>
    <row r="1296" spans="1:26" x14ac:dyDescent="0.25">
      <c r="A1296">
        <v>1292</v>
      </c>
      <c r="B1296" t="s">
        <v>26</v>
      </c>
      <c r="C1296" t="s">
        <v>27</v>
      </c>
      <c r="D1296">
        <v>15</v>
      </c>
      <c r="E1296" t="s">
        <v>1672</v>
      </c>
      <c r="F1296" t="s">
        <v>115</v>
      </c>
      <c r="G1296">
        <v>4399</v>
      </c>
      <c r="H1296" t="s">
        <v>1900</v>
      </c>
      <c r="I1296" t="s">
        <v>1899</v>
      </c>
      <c r="J1296">
        <v>12</v>
      </c>
      <c r="K1296">
        <v>5</v>
      </c>
      <c r="L1296">
        <v>4.5254629629629629E-3</v>
      </c>
      <c r="M1296" t="s">
        <v>3079</v>
      </c>
      <c r="X1296" t="s">
        <v>3332</v>
      </c>
    </row>
    <row r="1297" spans="1:24" x14ac:dyDescent="0.25">
      <c r="A1297">
        <v>1293</v>
      </c>
      <c r="B1297" t="s">
        <v>26</v>
      </c>
      <c r="C1297" t="s">
        <v>27</v>
      </c>
      <c r="D1297">
        <v>15</v>
      </c>
      <c r="E1297" t="s">
        <v>1665</v>
      </c>
      <c r="F1297" t="s">
        <v>512</v>
      </c>
      <c r="G1297">
        <v>4444</v>
      </c>
      <c r="H1297" t="s">
        <v>2034</v>
      </c>
      <c r="I1297" t="s">
        <v>2792</v>
      </c>
      <c r="J1297">
        <v>12</v>
      </c>
      <c r="K1297">
        <v>2</v>
      </c>
      <c r="L1297">
        <v>1.1342592592592591E-3</v>
      </c>
      <c r="M1297" t="s">
        <v>3079</v>
      </c>
      <c r="X1297" t="s">
        <v>3333</v>
      </c>
    </row>
    <row r="1298" spans="1:24" x14ac:dyDescent="0.25">
      <c r="A1298">
        <v>1294</v>
      </c>
      <c r="B1298" t="s">
        <v>26</v>
      </c>
      <c r="C1298" t="s">
        <v>27</v>
      </c>
      <c r="D1298">
        <v>15</v>
      </c>
      <c r="E1298" t="s">
        <v>511</v>
      </c>
      <c r="F1298" t="s">
        <v>511</v>
      </c>
      <c r="G1298">
        <v>4444</v>
      </c>
      <c r="H1298" t="s">
        <v>1875</v>
      </c>
      <c r="I1298" t="s">
        <v>1813</v>
      </c>
      <c r="J1298">
        <v>12</v>
      </c>
      <c r="K1298">
        <v>1</v>
      </c>
      <c r="L1298">
        <v>1.2974537037037036E-2</v>
      </c>
      <c r="M1298" t="s">
        <v>3079</v>
      </c>
      <c r="X1298" t="s">
        <v>3333</v>
      </c>
    </row>
    <row r="1299" spans="1:24" x14ac:dyDescent="0.25">
      <c r="A1299">
        <v>1295</v>
      </c>
      <c r="B1299" t="s">
        <v>26</v>
      </c>
      <c r="C1299" t="s">
        <v>27</v>
      </c>
      <c r="D1299">
        <v>15</v>
      </c>
      <c r="E1299" t="s">
        <v>150</v>
      </c>
      <c r="F1299" t="s">
        <v>115</v>
      </c>
      <c r="G1299">
        <v>4444</v>
      </c>
      <c r="H1299" t="s">
        <v>1808</v>
      </c>
      <c r="I1299" t="s">
        <v>1809</v>
      </c>
      <c r="J1299">
        <v>12</v>
      </c>
      <c r="K1299">
        <v>7</v>
      </c>
      <c r="L1299">
        <v>7.6851851851851847E-3</v>
      </c>
      <c r="M1299" t="s">
        <v>3079</v>
      </c>
      <c r="X1299" t="s">
        <v>3333</v>
      </c>
    </row>
    <row r="1300" spans="1:24" x14ac:dyDescent="0.25">
      <c r="A1300">
        <v>1296</v>
      </c>
      <c r="B1300" t="s">
        <v>26</v>
      </c>
      <c r="C1300" t="s">
        <v>27</v>
      </c>
      <c r="D1300">
        <v>15</v>
      </c>
      <c r="E1300" t="s">
        <v>511</v>
      </c>
      <c r="F1300" t="s">
        <v>511</v>
      </c>
      <c r="G1300">
        <v>4662</v>
      </c>
      <c r="H1300" t="s">
        <v>1875</v>
      </c>
      <c r="I1300" t="s">
        <v>1813</v>
      </c>
      <c r="J1300">
        <v>12</v>
      </c>
      <c r="K1300">
        <v>1</v>
      </c>
      <c r="L1300">
        <v>1.4594907407407407E-2</v>
      </c>
      <c r="M1300" t="s">
        <v>3079</v>
      </c>
      <c r="X1300" t="s">
        <v>3334</v>
      </c>
    </row>
    <row r="1301" spans="1:24" x14ac:dyDescent="0.25">
      <c r="A1301">
        <v>1297</v>
      </c>
      <c r="B1301" t="s">
        <v>26</v>
      </c>
      <c r="C1301" t="s">
        <v>27</v>
      </c>
      <c r="D1301">
        <v>15</v>
      </c>
      <c r="E1301" t="s">
        <v>152</v>
      </c>
      <c r="F1301" t="s">
        <v>152</v>
      </c>
      <c r="G1301">
        <v>4662</v>
      </c>
      <c r="H1301" t="s">
        <v>2796</v>
      </c>
      <c r="I1301" t="s">
        <v>2797</v>
      </c>
      <c r="J1301">
        <v>12</v>
      </c>
      <c r="K1301">
        <v>1</v>
      </c>
      <c r="L1301">
        <v>1.5972222222222221E-3</v>
      </c>
      <c r="M1301" t="s">
        <v>3079</v>
      </c>
      <c r="X1301" t="s">
        <v>3334</v>
      </c>
    </row>
    <row r="1302" spans="1:24" x14ac:dyDescent="0.25">
      <c r="A1302">
        <v>1298</v>
      </c>
      <c r="B1302" t="s">
        <v>26</v>
      </c>
      <c r="C1302" t="s">
        <v>27</v>
      </c>
      <c r="D1302">
        <v>15</v>
      </c>
      <c r="E1302" t="s">
        <v>152</v>
      </c>
      <c r="F1302" t="s">
        <v>152</v>
      </c>
      <c r="G1302">
        <v>4662</v>
      </c>
      <c r="H1302" t="s">
        <v>2798</v>
      </c>
      <c r="I1302" t="s">
        <v>2797</v>
      </c>
      <c r="J1302">
        <v>12</v>
      </c>
      <c r="K1302">
        <v>2</v>
      </c>
      <c r="L1302">
        <v>3.2060185185185182E-3</v>
      </c>
      <c r="M1302" t="s">
        <v>3079</v>
      </c>
      <c r="X1302" t="s">
        <v>3334</v>
      </c>
    </row>
    <row r="1303" spans="1:24" x14ac:dyDescent="0.25">
      <c r="A1303">
        <v>1299</v>
      </c>
      <c r="B1303" t="s">
        <v>26</v>
      </c>
      <c r="C1303" t="s">
        <v>27</v>
      </c>
      <c r="D1303">
        <v>15</v>
      </c>
      <c r="E1303" t="s">
        <v>511</v>
      </c>
      <c r="F1303" t="s">
        <v>511</v>
      </c>
      <c r="G1303">
        <v>4445</v>
      </c>
      <c r="H1303" t="s">
        <v>1875</v>
      </c>
      <c r="I1303" t="s">
        <v>1813</v>
      </c>
      <c r="J1303">
        <v>12</v>
      </c>
      <c r="K1303">
        <v>1</v>
      </c>
      <c r="L1303">
        <v>1.2997685185185185E-2</v>
      </c>
      <c r="M1303" t="s">
        <v>3079</v>
      </c>
      <c r="X1303" t="s">
        <v>3335</v>
      </c>
    </row>
    <row r="1304" spans="1:24" x14ac:dyDescent="0.25">
      <c r="A1304">
        <v>1300</v>
      </c>
      <c r="B1304" t="s">
        <v>26</v>
      </c>
      <c r="C1304" t="s">
        <v>27</v>
      </c>
      <c r="D1304">
        <v>15</v>
      </c>
      <c r="E1304" t="s">
        <v>1665</v>
      </c>
      <c r="F1304" t="s">
        <v>512</v>
      </c>
      <c r="G1304">
        <v>4445</v>
      </c>
      <c r="H1304" t="s">
        <v>1910</v>
      </c>
      <c r="I1304" t="s">
        <v>2789</v>
      </c>
      <c r="J1304">
        <v>12</v>
      </c>
      <c r="K1304">
        <v>4</v>
      </c>
      <c r="L1304">
        <v>2.3148148148148147E-3</v>
      </c>
      <c r="M1304" t="s">
        <v>3079</v>
      </c>
      <c r="X1304" t="s">
        <v>3335</v>
      </c>
    </row>
    <row r="1305" spans="1:24" x14ac:dyDescent="0.25">
      <c r="A1305">
        <v>1301</v>
      </c>
      <c r="B1305" t="s">
        <v>26</v>
      </c>
      <c r="C1305" t="s">
        <v>27</v>
      </c>
      <c r="D1305">
        <v>15</v>
      </c>
      <c r="E1305" t="s">
        <v>147</v>
      </c>
      <c r="F1305" t="s">
        <v>115</v>
      </c>
      <c r="G1305">
        <v>4445</v>
      </c>
      <c r="H1305" t="s">
        <v>1840</v>
      </c>
      <c r="I1305" t="s">
        <v>1809</v>
      </c>
      <c r="J1305">
        <v>12</v>
      </c>
      <c r="K1305">
        <v>7</v>
      </c>
      <c r="L1305">
        <v>6.1111111111111106E-3</v>
      </c>
      <c r="M1305" t="s">
        <v>3079</v>
      </c>
      <c r="X1305" t="s">
        <v>3335</v>
      </c>
    </row>
    <row r="1306" spans="1:24" x14ac:dyDescent="0.25">
      <c r="A1306">
        <v>1302</v>
      </c>
      <c r="B1306" t="s">
        <v>26</v>
      </c>
      <c r="C1306" t="s">
        <v>27</v>
      </c>
      <c r="D1306">
        <v>15</v>
      </c>
      <c r="E1306" t="s">
        <v>367</v>
      </c>
      <c r="F1306" t="s">
        <v>367</v>
      </c>
      <c r="G1306">
        <v>4445</v>
      </c>
      <c r="H1306" t="s">
        <v>1941</v>
      </c>
      <c r="I1306" t="s">
        <v>1942</v>
      </c>
      <c r="J1306">
        <v>12</v>
      </c>
      <c r="K1306">
        <v>3</v>
      </c>
      <c r="L1306">
        <v>1.261574074074074E-3</v>
      </c>
      <c r="M1306" t="s">
        <v>3079</v>
      </c>
      <c r="X1306" t="s">
        <v>3335</v>
      </c>
    </row>
    <row r="1307" spans="1:24" x14ac:dyDescent="0.25">
      <c r="A1307">
        <v>1303</v>
      </c>
      <c r="B1307" t="s">
        <v>26</v>
      </c>
      <c r="C1307" t="s">
        <v>27</v>
      </c>
      <c r="D1307">
        <v>15</v>
      </c>
      <c r="E1307" t="s">
        <v>511</v>
      </c>
      <c r="F1307" t="s">
        <v>511</v>
      </c>
      <c r="G1307">
        <v>4446</v>
      </c>
      <c r="H1307" t="s">
        <v>1875</v>
      </c>
      <c r="I1307" t="s">
        <v>1813</v>
      </c>
      <c r="J1307">
        <v>12</v>
      </c>
      <c r="K1307">
        <v>1</v>
      </c>
      <c r="L1307">
        <v>1.4212962962962962E-2</v>
      </c>
      <c r="M1307" t="s">
        <v>3079</v>
      </c>
      <c r="X1307" t="s">
        <v>3336</v>
      </c>
    </row>
    <row r="1308" spans="1:24" x14ac:dyDescent="0.25">
      <c r="A1308">
        <v>1304</v>
      </c>
      <c r="B1308" t="s">
        <v>26</v>
      </c>
      <c r="C1308" t="s">
        <v>27</v>
      </c>
      <c r="D1308">
        <v>15</v>
      </c>
      <c r="E1308" t="s">
        <v>1665</v>
      </c>
      <c r="F1308" t="s">
        <v>512</v>
      </c>
      <c r="G1308">
        <v>4446</v>
      </c>
      <c r="H1308" t="s">
        <v>1896</v>
      </c>
      <c r="I1308" t="s">
        <v>2792</v>
      </c>
      <c r="J1308">
        <v>12</v>
      </c>
      <c r="K1308">
        <v>2</v>
      </c>
      <c r="L1308">
        <v>1.25E-3</v>
      </c>
      <c r="M1308" t="s">
        <v>3079</v>
      </c>
      <c r="X1308" t="s">
        <v>3336</v>
      </c>
    </row>
    <row r="1309" spans="1:24" x14ac:dyDescent="0.25">
      <c r="A1309">
        <v>1305</v>
      </c>
      <c r="B1309" t="s">
        <v>26</v>
      </c>
      <c r="C1309" t="s">
        <v>27</v>
      </c>
      <c r="D1309">
        <v>15</v>
      </c>
      <c r="E1309" t="s">
        <v>147</v>
      </c>
      <c r="F1309" t="s">
        <v>115</v>
      </c>
      <c r="G1309">
        <v>4446</v>
      </c>
      <c r="H1309" t="s">
        <v>1840</v>
      </c>
      <c r="I1309" t="s">
        <v>1809</v>
      </c>
      <c r="J1309">
        <v>12</v>
      </c>
      <c r="K1309">
        <v>6</v>
      </c>
      <c r="L1309">
        <v>5.7291666666666663E-3</v>
      </c>
      <c r="M1309" t="s">
        <v>3079</v>
      </c>
      <c r="X1309" t="s">
        <v>3336</v>
      </c>
    </row>
    <row r="1310" spans="1:24" x14ac:dyDescent="0.25">
      <c r="A1310">
        <v>1306</v>
      </c>
      <c r="B1310" t="s">
        <v>26</v>
      </c>
      <c r="C1310" t="s">
        <v>27</v>
      </c>
      <c r="D1310">
        <v>15</v>
      </c>
      <c r="E1310" t="s">
        <v>367</v>
      </c>
      <c r="F1310" t="s">
        <v>1594</v>
      </c>
      <c r="G1310">
        <v>4446</v>
      </c>
      <c r="H1310" t="s">
        <v>1914</v>
      </c>
      <c r="I1310" t="s">
        <v>1809</v>
      </c>
      <c r="J1310">
        <v>12</v>
      </c>
      <c r="K1310">
        <v>1</v>
      </c>
      <c r="L1310">
        <v>1.6203703703703703E-3</v>
      </c>
      <c r="M1310" t="s">
        <v>3079</v>
      </c>
      <c r="X1310" t="s">
        <v>3336</v>
      </c>
    </row>
    <row r="1311" spans="1:24" x14ac:dyDescent="0.25">
      <c r="A1311">
        <v>1307</v>
      </c>
      <c r="B1311" t="s">
        <v>26</v>
      </c>
      <c r="C1311" t="s">
        <v>27</v>
      </c>
      <c r="D1311">
        <v>15</v>
      </c>
      <c r="E1311" t="s">
        <v>1583</v>
      </c>
      <c r="F1311" t="s">
        <v>1583</v>
      </c>
      <c r="G1311">
        <v>4447</v>
      </c>
      <c r="H1311" t="s">
        <v>1888</v>
      </c>
      <c r="I1311" t="s">
        <v>1889</v>
      </c>
      <c r="J1311">
        <v>12</v>
      </c>
      <c r="K1311">
        <v>4</v>
      </c>
      <c r="L1311">
        <v>3.7615740740740739E-3</v>
      </c>
      <c r="M1311" t="s">
        <v>3079</v>
      </c>
      <c r="X1311" t="s">
        <v>3337</v>
      </c>
    </row>
    <row r="1312" spans="1:24" x14ac:dyDescent="0.25">
      <c r="A1312">
        <v>1308</v>
      </c>
      <c r="B1312" t="s">
        <v>26</v>
      </c>
      <c r="C1312" t="s">
        <v>27</v>
      </c>
      <c r="D1312">
        <v>15</v>
      </c>
      <c r="E1312" t="s">
        <v>511</v>
      </c>
      <c r="F1312" t="s">
        <v>511</v>
      </c>
      <c r="G1312">
        <v>4447</v>
      </c>
      <c r="H1312" t="s">
        <v>1875</v>
      </c>
      <c r="I1312" t="s">
        <v>1813</v>
      </c>
      <c r="J1312">
        <v>12</v>
      </c>
      <c r="K1312">
        <v>1</v>
      </c>
      <c r="L1312">
        <v>1.3761574074074074E-2</v>
      </c>
      <c r="M1312" t="s">
        <v>3079</v>
      </c>
      <c r="X1312" t="s">
        <v>3337</v>
      </c>
    </row>
    <row r="1313" spans="1:24" x14ac:dyDescent="0.25">
      <c r="A1313">
        <v>1309</v>
      </c>
      <c r="B1313" t="s">
        <v>26</v>
      </c>
      <c r="C1313" t="s">
        <v>27</v>
      </c>
      <c r="D1313">
        <v>15</v>
      </c>
      <c r="E1313" t="s">
        <v>150</v>
      </c>
      <c r="F1313" t="s">
        <v>115</v>
      </c>
      <c r="G1313">
        <v>4447</v>
      </c>
      <c r="H1313" t="s">
        <v>1808</v>
      </c>
      <c r="I1313" t="s">
        <v>1809</v>
      </c>
      <c r="J1313">
        <v>12</v>
      </c>
      <c r="K1313">
        <v>1</v>
      </c>
      <c r="L1313">
        <v>1.1574074074074073E-3</v>
      </c>
      <c r="M1313" t="s">
        <v>3079</v>
      </c>
      <c r="X1313" t="s">
        <v>3337</v>
      </c>
    </row>
    <row r="1314" spans="1:24" x14ac:dyDescent="0.25">
      <c r="A1314">
        <v>1310</v>
      </c>
      <c r="B1314" t="s">
        <v>26</v>
      </c>
      <c r="C1314" t="s">
        <v>27</v>
      </c>
      <c r="D1314">
        <v>15</v>
      </c>
      <c r="E1314" t="s">
        <v>367</v>
      </c>
      <c r="F1314" t="s">
        <v>367</v>
      </c>
      <c r="G1314">
        <v>4447</v>
      </c>
      <c r="H1314" t="s">
        <v>1814</v>
      </c>
      <c r="I1314" t="s">
        <v>1815</v>
      </c>
      <c r="J1314">
        <v>12</v>
      </c>
      <c r="K1314">
        <v>1</v>
      </c>
      <c r="L1314">
        <v>1.2268518518518518E-3</v>
      </c>
      <c r="M1314" t="s">
        <v>3079</v>
      </c>
      <c r="X1314" t="s">
        <v>3337</v>
      </c>
    </row>
    <row r="1315" spans="1:24" x14ac:dyDescent="0.25">
      <c r="A1315">
        <v>1311</v>
      </c>
      <c r="B1315" t="s">
        <v>26</v>
      </c>
      <c r="C1315" t="s">
        <v>27</v>
      </c>
      <c r="D1315">
        <v>15</v>
      </c>
      <c r="E1315" t="s">
        <v>367</v>
      </c>
      <c r="F1315" t="s">
        <v>1594</v>
      </c>
      <c r="G1315">
        <v>4447</v>
      </c>
      <c r="H1315" t="s">
        <v>1950</v>
      </c>
      <c r="I1315" t="s">
        <v>1951</v>
      </c>
      <c r="J1315">
        <v>12</v>
      </c>
      <c r="K1315">
        <v>2</v>
      </c>
      <c r="L1315">
        <v>1.7592592592592592E-3</v>
      </c>
      <c r="M1315" t="s">
        <v>3079</v>
      </c>
      <c r="X1315" t="s">
        <v>3337</v>
      </c>
    </row>
    <row r="1316" spans="1:24" x14ac:dyDescent="0.25">
      <c r="A1316">
        <v>1312</v>
      </c>
      <c r="B1316" t="s">
        <v>26</v>
      </c>
      <c r="C1316" t="s">
        <v>27</v>
      </c>
      <c r="D1316">
        <v>15</v>
      </c>
      <c r="E1316" t="s">
        <v>511</v>
      </c>
      <c r="F1316" t="s">
        <v>511</v>
      </c>
      <c r="G1316">
        <v>4448</v>
      </c>
      <c r="H1316" t="s">
        <v>1875</v>
      </c>
      <c r="I1316" t="s">
        <v>1813</v>
      </c>
      <c r="J1316">
        <v>12</v>
      </c>
      <c r="K1316">
        <v>1</v>
      </c>
      <c r="L1316">
        <v>1.5023148148148148E-2</v>
      </c>
      <c r="M1316" t="s">
        <v>3079</v>
      </c>
      <c r="X1316" t="s">
        <v>3338</v>
      </c>
    </row>
    <row r="1317" spans="1:24" x14ac:dyDescent="0.25">
      <c r="A1317">
        <v>1313</v>
      </c>
      <c r="B1317" t="s">
        <v>26</v>
      </c>
      <c r="C1317" t="s">
        <v>27</v>
      </c>
      <c r="D1317">
        <v>15</v>
      </c>
      <c r="E1317" t="s">
        <v>829</v>
      </c>
      <c r="F1317" t="s">
        <v>512</v>
      </c>
      <c r="G1317">
        <v>4448</v>
      </c>
      <c r="H1317" t="s">
        <v>1848</v>
      </c>
      <c r="I1317" t="s">
        <v>1849</v>
      </c>
      <c r="J1317">
        <v>12</v>
      </c>
      <c r="K1317">
        <v>2</v>
      </c>
      <c r="L1317">
        <v>3.4375E-3</v>
      </c>
      <c r="M1317" t="s">
        <v>3079</v>
      </c>
      <c r="X1317" t="s">
        <v>3338</v>
      </c>
    </row>
    <row r="1318" spans="1:24" x14ac:dyDescent="0.25">
      <c r="A1318">
        <v>1314</v>
      </c>
      <c r="B1318" t="s">
        <v>26</v>
      </c>
      <c r="C1318" t="s">
        <v>27</v>
      </c>
      <c r="D1318">
        <v>15</v>
      </c>
      <c r="E1318" t="s">
        <v>511</v>
      </c>
      <c r="F1318" t="s">
        <v>511</v>
      </c>
      <c r="G1318">
        <v>4449</v>
      </c>
      <c r="H1318" t="s">
        <v>1875</v>
      </c>
      <c r="I1318" t="s">
        <v>1813</v>
      </c>
      <c r="J1318">
        <v>12</v>
      </c>
      <c r="K1318">
        <v>1</v>
      </c>
      <c r="L1318">
        <v>1.3622685185185184E-2</v>
      </c>
      <c r="M1318" t="s">
        <v>3079</v>
      </c>
      <c r="X1318" t="s">
        <v>3339</v>
      </c>
    </row>
    <row r="1319" spans="1:24" x14ac:dyDescent="0.25">
      <c r="A1319">
        <v>1315</v>
      </c>
      <c r="B1319" t="s">
        <v>26</v>
      </c>
      <c r="C1319" t="s">
        <v>27</v>
      </c>
      <c r="D1319">
        <v>15</v>
      </c>
      <c r="E1319" t="s">
        <v>1665</v>
      </c>
      <c r="F1319" t="s">
        <v>512</v>
      </c>
      <c r="G1319">
        <v>4449</v>
      </c>
      <c r="H1319" t="s">
        <v>1896</v>
      </c>
      <c r="I1319" t="s">
        <v>2792</v>
      </c>
      <c r="J1319">
        <v>12</v>
      </c>
      <c r="K1319">
        <v>1</v>
      </c>
      <c r="L1319">
        <v>5.9027777777777778E-4</v>
      </c>
      <c r="M1319" t="s">
        <v>3079</v>
      </c>
      <c r="X1319" t="s">
        <v>3339</v>
      </c>
    </row>
    <row r="1320" spans="1:24" x14ac:dyDescent="0.25">
      <c r="A1320">
        <v>1316</v>
      </c>
      <c r="B1320" t="s">
        <v>26</v>
      </c>
      <c r="C1320" t="s">
        <v>27</v>
      </c>
      <c r="D1320">
        <v>15</v>
      </c>
      <c r="E1320" t="s">
        <v>367</v>
      </c>
      <c r="F1320" t="s">
        <v>367</v>
      </c>
      <c r="G1320">
        <v>4449</v>
      </c>
      <c r="H1320" t="s">
        <v>1941</v>
      </c>
      <c r="I1320" t="s">
        <v>1942</v>
      </c>
      <c r="J1320">
        <v>12</v>
      </c>
      <c r="K1320">
        <v>2</v>
      </c>
      <c r="L1320">
        <v>8.7962962962962962E-4</v>
      </c>
      <c r="M1320" t="s">
        <v>3079</v>
      </c>
      <c r="X1320" t="s">
        <v>3339</v>
      </c>
    </row>
    <row r="1321" spans="1:24" x14ac:dyDescent="0.25">
      <c r="A1321">
        <v>1317</v>
      </c>
      <c r="B1321" t="s">
        <v>26</v>
      </c>
      <c r="C1321" t="s">
        <v>27</v>
      </c>
      <c r="D1321">
        <v>15</v>
      </c>
      <c r="E1321" t="s">
        <v>829</v>
      </c>
      <c r="F1321" t="s">
        <v>512</v>
      </c>
      <c r="G1321">
        <v>4449</v>
      </c>
      <c r="H1321" t="s">
        <v>1848</v>
      </c>
      <c r="I1321" t="s">
        <v>1849</v>
      </c>
      <c r="J1321">
        <v>12</v>
      </c>
      <c r="K1321">
        <v>1</v>
      </c>
      <c r="L1321">
        <v>1.5509259259259259E-3</v>
      </c>
      <c r="M1321" t="s">
        <v>3079</v>
      </c>
      <c r="X1321" t="s">
        <v>3339</v>
      </c>
    </row>
    <row r="1322" spans="1:24" x14ac:dyDescent="0.25">
      <c r="A1322">
        <v>1318</v>
      </c>
      <c r="B1322" t="s">
        <v>26</v>
      </c>
      <c r="C1322" t="s">
        <v>27</v>
      </c>
      <c r="D1322">
        <v>15</v>
      </c>
      <c r="E1322" t="s">
        <v>367</v>
      </c>
      <c r="F1322" t="s">
        <v>1594</v>
      </c>
      <c r="G1322">
        <v>4449</v>
      </c>
      <c r="H1322" t="s">
        <v>1911</v>
      </c>
      <c r="I1322" t="s">
        <v>1809</v>
      </c>
      <c r="J1322">
        <v>12</v>
      </c>
      <c r="K1322">
        <v>2</v>
      </c>
      <c r="L1322">
        <v>2.3032407407407407E-3</v>
      </c>
      <c r="M1322" t="s">
        <v>3079</v>
      </c>
      <c r="X1322" t="s">
        <v>3339</v>
      </c>
    </row>
    <row r="1323" spans="1:24" x14ac:dyDescent="0.25">
      <c r="A1323">
        <v>1319</v>
      </c>
      <c r="B1323" t="s">
        <v>26</v>
      </c>
      <c r="C1323" t="s">
        <v>27</v>
      </c>
      <c r="D1323">
        <v>15</v>
      </c>
      <c r="E1323" t="s">
        <v>367</v>
      </c>
      <c r="F1323" t="s">
        <v>1594</v>
      </c>
      <c r="G1323">
        <v>4449</v>
      </c>
      <c r="H1323" t="s">
        <v>1912</v>
      </c>
      <c r="I1323" t="s">
        <v>1913</v>
      </c>
      <c r="J1323">
        <v>12</v>
      </c>
      <c r="K1323">
        <v>2</v>
      </c>
      <c r="L1323">
        <v>1.7824074074074072E-3</v>
      </c>
      <c r="M1323" t="s">
        <v>3079</v>
      </c>
      <c r="X1323" t="s">
        <v>3339</v>
      </c>
    </row>
    <row r="1324" spans="1:24" x14ac:dyDescent="0.25">
      <c r="A1324">
        <v>1320</v>
      </c>
      <c r="B1324" t="s">
        <v>26</v>
      </c>
      <c r="C1324" t="s">
        <v>27</v>
      </c>
      <c r="D1324">
        <v>15</v>
      </c>
      <c r="E1324" t="s">
        <v>1665</v>
      </c>
      <c r="F1324" t="s">
        <v>512</v>
      </c>
      <c r="G1324">
        <v>4450</v>
      </c>
      <c r="H1324" t="s">
        <v>2034</v>
      </c>
      <c r="I1324" t="s">
        <v>2792</v>
      </c>
      <c r="J1324">
        <v>12</v>
      </c>
      <c r="K1324">
        <v>2</v>
      </c>
      <c r="L1324">
        <v>1.1342592592592591E-3</v>
      </c>
      <c r="M1324" t="s">
        <v>3079</v>
      </c>
      <c r="X1324" t="s">
        <v>3340</v>
      </c>
    </row>
    <row r="1325" spans="1:24" x14ac:dyDescent="0.25">
      <c r="A1325">
        <v>1321</v>
      </c>
      <c r="B1325" t="s">
        <v>26</v>
      </c>
      <c r="C1325" t="s">
        <v>27</v>
      </c>
      <c r="D1325">
        <v>15</v>
      </c>
      <c r="E1325" t="s">
        <v>511</v>
      </c>
      <c r="F1325" t="s">
        <v>511</v>
      </c>
      <c r="G1325">
        <v>4450</v>
      </c>
      <c r="H1325" t="s">
        <v>1875</v>
      </c>
      <c r="I1325" t="s">
        <v>1813</v>
      </c>
      <c r="J1325">
        <v>12</v>
      </c>
      <c r="K1325">
        <v>1</v>
      </c>
      <c r="L1325">
        <v>1.2916666666666667E-2</v>
      </c>
      <c r="M1325" t="s">
        <v>3079</v>
      </c>
      <c r="X1325" t="s">
        <v>3340</v>
      </c>
    </row>
    <row r="1326" spans="1:24" x14ac:dyDescent="0.25">
      <c r="A1326">
        <v>1322</v>
      </c>
      <c r="B1326" t="s">
        <v>26</v>
      </c>
      <c r="C1326" t="s">
        <v>27</v>
      </c>
      <c r="D1326">
        <v>15</v>
      </c>
      <c r="E1326" t="s">
        <v>150</v>
      </c>
      <c r="F1326" t="s">
        <v>115</v>
      </c>
      <c r="G1326">
        <v>4450</v>
      </c>
      <c r="H1326" t="s">
        <v>1808</v>
      </c>
      <c r="I1326" t="s">
        <v>1809</v>
      </c>
      <c r="J1326">
        <v>12</v>
      </c>
      <c r="K1326">
        <v>7</v>
      </c>
      <c r="L1326">
        <v>7.6504629629629631E-3</v>
      </c>
      <c r="M1326" t="s">
        <v>3079</v>
      </c>
      <c r="X1326" t="s">
        <v>3340</v>
      </c>
    </row>
    <row r="1327" spans="1:24" x14ac:dyDescent="0.25">
      <c r="A1327">
        <v>1323</v>
      </c>
      <c r="B1327" t="s">
        <v>26</v>
      </c>
      <c r="C1327" t="s">
        <v>27</v>
      </c>
      <c r="D1327">
        <v>15</v>
      </c>
      <c r="E1327" t="s">
        <v>1665</v>
      </c>
      <c r="F1327" t="s">
        <v>512</v>
      </c>
      <c r="G1327">
        <v>4451</v>
      </c>
      <c r="H1327" t="s">
        <v>1896</v>
      </c>
      <c r="I1327" t="s">
        <v>2792</v>
      </c>
      <c r="J1327">
        <v>12</v>
      </c>
      <c r="K1327">
        <v>1</v>
      </c>
      <c r="L1327">
        <v>5.5555555555555556E-4</v>
      </c>
      <c r="M1327" t="s">
        <v>3079</v>
      </c>
      <c r="X1327" t="s">
        <v>3341</v>
      </c>
    </row>
    <row r="1328" spans="1:24" x14ac:dyDescent="0.25">
      <c r="A1328">
        <v>1324</v>
      </c>
      <c r="B1328" t="s">
        <v>26</v>
      </c>
      <c r="C1328" t="s">
        <v>27</v>
      </c>
      <c r="D1328">
        <v>15</v>
      </c>
      <c r="E1328" t="s">
        <v>150</v>
      </c>
      <c r="F1328" t="s">
        <v>115</v>
      </c>
      <c r="G1328">
        <v>4451</v>
      </c>
      <c r="H1328" t="s">
        <v>1808</v>
      </c>
      <c r="I1328" t="s">
        <v>1809</v>
      </c>
      <c r="J1328">
        <v>12</v>
      </c>
      <c r="K1328">
        <v>7</v>
      </c>
      <c r="L1328">
        <v>7.5462962962962957E-3</v>
      </c>
      <c r="M1328" t="s">
        <v>3079</v>
      </c>
      <c r="X1328" t="s">
        <v>3341</v>
      </c>
    </row>
    <row r="1329" spans="1:26" x14ac:dyDescent="0.25">
      <c r="A1329">
        <v>1325</v>
      </c>
      <c r="B1329" t="s">
        <v>26</v>
      </c>
      <c r="C1329" t="s">
        <v>27</v>
      </c>
      <c r="D1329">
        <v>15</v>
      </c>
      <c r="E1329" t="s">
        <v>152</v>
      </c>
      <c r="F1329" t="s">
        <v>152</v>
      </c>
      <c r="G1329">
        <v>4451</v>
      </c>
      <c r="H1329" t="s">
        <v>1846</v>
      </c>
      <c r="I1329" t="s">
        <v>1813</v>
      </c>
      <c r="J1329">
        <v>12</v>
      </c>
      <c r="K1329">
        <v>1</v>
      </c>
      <c r="L1329">
        <v>1.2650462962962962E-2</v>
      </c>
      <c r="M1329" t="s">
        <v>3079</v>
      </c>
      <c r="X1329" t="s">
        <v>3341</v>
      </c>
    </row>
    <row r="1330" spans="1:26" x14ac:dyDescent="0.25">
      <c r="A1330">
        <v>1326</v>
      </c>
      <c r="B1330" t="s">
        <v>26</v>
      </c>
      <c r="C1330" t="s">
        <v>27</v>
      </c>
      <c r="D1330">
        <v>15</v>
      </c>
      <c r="E1330" t="s">
        <v>367</v>
      </c>
      <c r="F1330" t="s">
        <v>1594</v>
      </c>
      <c r="G1330">
        <v>4451</v>
      </c>
      <c r="H1330" t="s">
        <v>1876</v>
      </c>
      <c r="I1330" t="s">
        <v>1877</v>
      </c>
      <c r="J1330">
        <v>12</v>
      </c>
      <c r="K1330">
        <v>2</v>
      </c>
      <c r="L1330">
        <v>1.4004629629629629E-3</v>
      </c>
      <c r="M1330" t="s">
        <v>3079</v>
      </c>
      <c r="X1330" t="s">
        <v>3341</v>
      </c>
    </row>
    <row r="1331" spans="1:26" x14ac:dyDescent="0.25">
      <c r="A1331">
        <v>1327</v>
      </c>
      <c r="B1331" t="s">
        <v>26</v>
      </c>
      <c r="C1331" t="s">
        <v>27</v>
      </c>
      <c r="D1331">
        <v>15</v>
      </c>
      <c r="E1331" t="s">
        <v>1665</v>
      </c>
      <c r="F1331" t="s">
        <v>512</v>
      </c>
      <c r="G1331">
        <v>4452</v>
      </c>
      <c r="H1331" t="s">
        <v>1831</v>
      </c>
      <c r="I1331" t="s">
        <v>1830</v>
      </c>
      <c r="J1331">
        <v>12</v>
      </c>
      <c r="K1331">
        <v>4</v>
      </c>
      <c r="L1331">
        <v>4.5717592592592589E-3</v>
      </c>
      <c r="M1331" t="s">
        <v>3079</v>
      </c>
      <c r="X1331" t="s">
        <v>3342</v>
      </c>
    </row>
    <row r="1332" spans="1:26" x14ac:dyDescent="0.25">
      <c r="A1332">
        <v>1328</v>
      </c>
      <c r="B1332" t="s">
        <v>26</v>
      </c>
      <c r="C1332" t="s">
        <v>27</v>
      </c>
      <c r="D1332">
        <v>15</v>
      </c>
      <c r="E1332" t="s">
        <v>550</v>
      </c>
      <c r="F1332" t="s">
        <v>550</v>
      </c>
      <c r="G1332">
        <v>4452</v>
      </c>
      <c r="H1332" t="s">
        <v>1868</v>
      </c>
      <c r="I1332" t="s">
        <v>1869</v>
      </c>
      <c r="J1332">
        <v>12</v>
      </c>
      <c r="K1332">
        <v>1</v>
      </c>
      <c r="L1332">
        <v>1.2847222222222222E-2</v>
      </c>
      <c r="M1332" t="s">
        <v>3079</v>
      </c>
      <c r="X1332" t="s">
        <v>3342</v>
      </c>
    </row>
    <row r="1333" spans="1:26" x14ac:dyDescent="0.25">
      <c r="A1333">
        <v>1329</v>
      </c>
      <c r="B1333" t="s">
        <v>26</v>
      </c>
      <c r="C1333" t="s">
        <v>27</v>
      </c>
      <c r="D1333">
        <v>15</v>
      </c>
      <c r="E1333" t="s">
        <v>1665</v>
      </c>
      <c r="F1333" t="s">
        <v>512</v>
      </c>
      <c r="G1333">
        <v>4452</v>
      </c>
      <c r="H1333" t="s">
        <v>1908</v>
      </c>
      <c r="I1333" t="s">
        <v>2789</v>
      </c>
      <c r="J1333">
        <v>12</v>
      </c>
      <c r="K1333">
        <v>2</v>
      </c>
      <c r="L1333">
        <v>1.1458333333333333E-3</v>
      </c>
      <c r="M1333" t="s">
        <v>3079</v>
      </c>
      <c r="X1333" t="s">
        <v>3342</v>
      </c>
    </row>
    <row r="1334" spans="1:26" x14ac:dyDescent="0.25">
      <c r="A1334">
        <v>1330</v>
      </c>
      <c r="B1334" t="s">
        <v>26</v>
      </c>
      <c r="C1334" t="s">
        <v>27</v>
      </c>
      <c r="D1334">
        <v>15</v>
      </c>
      <c r="E1334" t="s">
        <v>1672</v>
      </c>
      <c r="F1334" t="s">
        <v>115</v>
      </c>
      <c r="G1334">
        <v>4452</v>
      </c>
      <c r="H1334" t="s">
        <v>1885</v>
      </c>
      <c r="I1334" t="s">
        <v>1886</v>
      </c>
      <c r="J1334">
        <v>12</v>
      </c>
      <c r="K1334">
        <v>3</v>
      </c>
      <c r="L1334">
        <v>2.4652777777777776E-3</v>
      </c>
      <c r="M1334" t="s">
        <v>3079</v>
      </c>
      <c r="X1334" t="s">
        <v>3342</v>
      </c>
    </row>
    <row r="1335" spans="1:26" x14ac:dyDescent="0.25">
      <c r="A1335">
        <v>1331</v>
      </c>
      <c r="B1335" t="s">
        <v>26</v>
      </c>
      <c r="C1335" t="s">
        <v>27</v>
      </c>
      <c r="D1335">
        <v>15</v>
      </c>
      <c r="E1335" t="s">
        <v>367</v>
      </c>
      <c r="F1335" t="s">
        <v>367</v>
      </c>
      <c r="G1335">
        <v>4452</v>
      </c>
      <c r="H1335" t="s">
        <v>1814</v>
      </c>
      <c r="I1335" t="s">
        <v>1815</v>
      </c>
      <c r="J1335">
        <v>12</v>
      </c>
      <c r="K1335">
        <v>2</v>
      </c>
      <c r="L1335">
        <v>2.3148148148148147E-3</v>
      </c>
      <c r="M1335" t="s">
        <v>3079</v>
      </c>
      <c r="X1335" t="s">
        <v>3342</v>
      </c>
    </row>
    <row r="1336" spans="1:26" x14ac:dyDescent="0.25">
      <c r="A1336">
        <v>1332</v>
      </c>
      <c r="B1336" t="s">
        <v>26</v>
      </c>
      <c r="C1336" t="s">
        <v>27</v>
      </c>
      <c r="D1336">
        <v>15</v>
      </c>
      <c r="E1336" t="s">
        <v>367</v>
      </c>
      <c r="F1336" t="s">
        <v>1593</v>
      </c>
      <c r="G1336">
        <v>4452</v>
      </c>
      <c r="H1336" t="s">
        <v>1851</v>
      </c>
      <c r="I1336" t="s">
        <v>1852</v>
      </c>
      <c r="J1336">
        <v>12</v>
      </c>
      <c r="K1336">
        <v>1</v>
      </c>
      <c r="L1336">
        <v>8.9120370370370362E-4</v>
      </c>
      <c r="M1336" t="s">
        <v>3079</v>
      </c>
      <c r="X1336" t="s">
        <v>3342</v>
      </c>
    </row>
    <row r="1337" spans="1:26" x14ac:dyDescent="0.25">
      <c r="A1337">
        <v>1333</v>
      </c>
      <c r="B1337" t="s">
        <v>26</v>
      </c>
      <c r="C1337" t="s">
        <v>27</v>
      </c>
      <c r="D1337">
        <v>15</v>
      </c>
      <c r="E1337" t="s">
        <v>367</v>
      </c>
      <c r="F1337" t="s">
        <v>1594</v>
      </c>
      <c r="G1337">
        <v>4452</v>
      </c>
      <c r="H1337" t="s">
        <v>1911</v>
      </c>
      <c r="I1337" t="s">
        <v>1809</v>
      </c>
      <c r="J1337">
        <v>12</v>
      </c>
      <c r="K1337">
        <v>2</v>
      </c>
      <c r="L1337">
        <v>2.1759259259259258E-3</v>
      </c>
      <c r="M1337" t="s">
        <v>3079</v>
      </c>
      <c r="X1337" t="s">
        <v>3342</v>
      </c>
    </row>
    <row r="1338" spans="1:26" x14ac:dyDescent="0.25">
      <c r="A1338">
        <v>1334</v>
      </c>
      <c r="B1338" t="s">
        <v>26</v>
      </c>
      <c r="C1338" t="s">
        <v>27</v>
      </c>
      <c r="D1338">
        <v>15</v>
      </c>
      <c r="E1338" t="s">
        <v>1583</v>
      </c>
      <c r="F1338" t="s">
        <v>1583</v>
      </c>
      <c r="G1338">
        <v>4453</v>
      </c>
      <c r="H1338" t="s">
        <v>1888</v>
      </c>
      <c r="I1338" t="s">
        <v>1889</v>
      </c>
      <c r="J1338">
        <v>12</v>
      </c>
      <c r="K1338">
        <v>6</v>
      </c>
      <c r="L1338">
        <v>4.6064814814814814E-3</v>
      </c>
      <c r="M1338" t="s">
        <v>117</v>
      </c>
      <c r="N1338" t="s">
        <v>1099</v>
      </c>
      <c r="O1338" s="24">
        <v>46137</v>
      </c>
      <c r="P1338">
        <v>605</v>
      </c>
      <c r="Q1338" t="s">
        <v>34</v>
      </c>
      <c r="R1338">
        <v>46135</v>
      </c>
      <c r="S1338" s="51">
        <v>0.63124999999999998</v>
      </c>
      <c r="T1338" s="51">
        <v>0.65625</v>
      </c>
      <c r="X1338" t="s">
        <v>3343</v>
      </c>
      <c r="Y1338" t="s">
        <v>3029</v>
      </c>
      <c r="Z1338">
        <v>2777698</v>
      </c>
    </row>
    <row r="1339" spans="1:26" x14ac:dyDescent="0.25">
      <c r="A1339">
        <v>1335</v>
      </c>
      <c r="B1339" t="s">
        <v>26</v>
      </c>
      <c r="C1339" t="s">
        <v>27</v>
      </c>
      <c r="D1339">
        <v>15</v>
      </c>
      <c r="E1339" t="s">
        <v>1665</v>
      </c>
      <c r="F1339" t="s">
        <v>512</v>
      </c>
      <c r="G1339">
        <v>4453</v>
      </c>
      <c r="H1339" t="s">
        <v>1831</v>
      </c>
      <c r="I1339" t="s">
        <v>1830</v>
      </c>
      <c r="J1339">
        <v>12</v>
      </c>
      <c r="K1339">
        <v>2</v>
      </c>
      <c r="L1339">
        <v>1.9907407407407408E-3</v>
      </c>
      <c r="M1339" t="s">
        <v>117</v>
      </c>
      <c r="N1339" t="s">
        <v>1099</v>
      </c>
      <c r="O1339" s="24">
        <v>46137</v>
      </c>
      <c r="P1339">
        <v>605</v>
      </c>
      <c r="Q1339" t="s">
        <v>34</v>
      </c>
      <c r="R1339">
        <v>46135</v>
      </c>
      <c r="S1339" s="51">
        <v>0.63124999999999998</v>
      </c>
      <c r="T1339" s="51">
        <v>0.65625</v>
      </c>
      <c r="X1339" t="s">
        <v>3343</v>
      </c>
      <c r="Y1339" t="s">
        <v>3029</v>
      </c>
      <c r="Z1339">
        <v>2777698</v>
      </c>
    </row>
    <row r="1340" spans="1:26" x14ac:dyDescent="0.25">
      <c r="A1340">
        <v>1336</v>
      </c>
      <c r="B1340" t="s">
        <v>26</v>
      </c>
      <c r="C1340" t="s">
        <v>27</v>
      </c>
      <c r="D1340">
        <v>15</v>
      </c>
      <c r="E1340" t="s">
        <v>1665</v>
      </c>
      <c r="F1340" t="s">
        <v>512</v>
      </c>
      <c r="G1340">
        <v>4453</v>
      </c>
      <c r="H1340" t="s">
        <v>1896</v>
      </c>
      <c r="I1340" t="s">
        <v>2792</v>
      </c>
      <c r="J1340">
        <v>12</v>
      </c>
      <c r="K1340">
        <v>2</v>
      </c>
      <c r="L1340">
        <v>9.837962962962962E-4</v>
      </c>
      <c r="M1340" t="s">
        <v>117</v>
      </c>
      <c r="N1340" t="s">
        <v>1099</v>
      </c>
      <c r="O1340" s="24">
        <v>46137</v>
      </c>
      <c r="P1340">
        <v>605</v>
      </c>
      <c r="Q1340" t="s">
        <v>34</v>
      </c>
      <c r="R1340">
        <v>46135</v>
      </c>
      <c r="S1340" s="51">
        <v>0.63124999999999998</v>
      </c>
      <c r="T1340" s="51">
        <v>0.65625</v>
      </c>
      <c r="X1340" t="s">
        <v>3343</v>
      </c>
      <c r="Y1340" t="s">
        <v>3029</v>
      </c>
      <c r="Z1340">
        <v>2777698</v>
      </c>
    </row>
    <row r="1341" spans="1:26" x14ac:dyDescent="0.25">
      <c r="A1341">
        <v>1337</v>
      </c>
      <c r="B1341" t="s">
        <v>26</v>
      </c>
      <c r="C1341" t="s">
        <v>27</v>
      </c>
      <c r="D1341">
        <v>15</v>
      </c>
      <c r="E1341" t="s">
        <v>367</v>
      </c>
      <c r="F1341" t="s">
        <v>512</v>
      </c>
      <c r="G1341">
        <v>4453</v>
      </c>
      <c r="H1341" t="s">
        <v>2543</v>
      </c>
      <c r="I1341" t="s">
        <v>2544</v>
      </c>
      <c r="J1341">
        <v>12</v>
      </c>
      <c r="K1341">
        <v>2</v>
      </c>
      <c r="L1341">
        <v>2.650462962962963E-3</v>
      </c>
      <c r="M1341" t="s">
        <v>117</v>
      </c>
      <c r="N1341" t="s">
        <v>1099</v>
      </c>
      <c r="O1341" s="24">
        <v>46137</v>
      </c>
      <c r="P1341">
        <v>605</v>
      </c>
      <c r="Q1341" t="s">
        <v>34</v>
      </c>
      <c r="R1341">
        <v>46135</v>
      </c>
      <c r="S1341" s="51">
        <v>0.63124999999999998</v>
      </c>
      <c r="T1341" s="51">
        <v>0.65625</v>
      </c>
      <c r="X1341" t="s">
        <v>3343</v>
      </c>
      <c r="Y1341" t="s">
        <v>3029</v>
      </c>
      <c r="Z1341">
        <v>2777698</v>
      </c>
    </row>
    <row r="1342" spans="1:26" x14ac:dyDescent="0.25">
      <c r="A1342">
        <v>1338</v>
      </c>
      <c r="B1342" t="s">
        <v>26</v>
      </c>
      <c r="C1342" t="s">
        <v>27</v>
      </c>
      <c r="D1342">
        <v>15</v>
      </c>
      <c r="E1342" t="s">
        <v>367</v>
      </c>
      <c r="F1342" t="s">
        <v>512</v>
      </c>
      <c r="G1342">
        <v>4453</v>
      </c>
      <c r="H1342" t="s">
        <v>1844</v>
      </c>
      <c r="I1342" t="s">
        <v>1845</v>
      </c>
      <c r="J1342">
        <v>12</v>
      </c>
      <c r="K1342">
        <v>1</v>
      </c>
      <c r="L1342">
        <v>4.5138888888888887E-4</v>
      </c>
      <c r="M1342" t="s">
        <v>117</v>
      </c>
      <c r="N1342" t="s">
        <v>1099</v>
      </c>
      <c r="O1342" s="24">
        <v>46137</v>
      </c>
      <c r="P1342">
        <v>605</v>
      </c>
      <c r="Q1342" t="s">
        <v>34</v>
      </c>
      <c r="R1342">
        <v>46135</v>
      </c>
      <c r="S1342" s="51">
        <v>0.63124999999999998</v>
      </c>
      <c r="T1342" s="51">
        <v>0.65625</v>
      </c>
      <c r="X1342" t="s">
        <v>3343</v>
      </c>
      <c r="Y1342" t="s">
        <v>3029</v>
      </c>
      <c r="Z1342">
        <v>2777698</v>
      </c>
    </row>
    <row r="1343" spans="1:26" x14ac:dyDescent="0.25">
      <c r="A1343">
        <v>1339</v>
      </c>
      <c r="B1343" t="s">
        <v>26</v>
      </c>
      <c r="C1343" t="s">
        <v>27</v>
      </c>
      <c r="D1343">
        <v>15</v>
      </c>
      <c r="E1343" t="s">
        <v>367</v>
      </c>
      <c r="F1343" t="s">
        <v>1599</v>
      </c>
      <c r="G1343">
        <v>4453</v>
      </c>
      <c r="H1343" t="s">
        <v>2548</v>
      </c>
      <c r="I1343" t="s">
        <v>2808</v>
      </c>
      <c r="J1343">
        <v>12</v>
      </c>
      <c r="K1343">
        <v>2</v>
      </c>
      <c r="L1343">
        <v>2.685185185185185E-3</v>
      </c>
      <c r="M1343" t="s">
        <v>117</v>
      </c>
      <c r="N1343" t="s">
        <v>1099</v>
      </c>
      <c r="O1343" s="24">
        <v>46137</v>
      </c>
      <c r="P1343">
        <v>605</v>
      </c>
      <c r="Q1343" t="s">
        <v>34</v>
      </c>
      <c r="R1343">
        <v>46135</v>
      </c>
      <c r="S1343" s="51">
        <v>0.63124999999999998</v>
      </c>
      <c r="T1343" s="51">
        <v>0.65625</v>
      </c>
      <c r="X1343" t="s">
        <v>3343</v>
      </c>
      <c r="Y1343" t="s">
        <v>3029</v>
      </c>
      <c r="Z1343">
        <v>2777698</v>
      </c>
    </row>
    <row r="1344" spans="1:26" x14ac:dyDescent="0.25">
      <c r="A1344">
        <v>1340</v>
      </c>
      <c r="B1344" t="s">
        <v>26</v>
      </c>
      <c r="C1344" t="s">
        <v>27</v>
      </c>
      <c r="D1344">
        <v>15</v>
      </c>
      <c r="E1344" t="s">
        <v>2763</v>
      </c>
      <c r="F1344" t="s">
        <v>512</v>
      </c>
      <c r="G1344">
        <v>4453</v>
      </c>
      <c r="H1344" t="s">
        <v>2809</v>
      </c>
      <c r="I1344" t="s">
        <v>2810</v>
      </c>
      <c r="J1344">
        <v>12</v>
      </c>
      <c r="K1344">
        <v>1</v>
      </c>
      <c r="L1344">
        <v>1.1458333333333333E-3</v>
      </c>
      <c r="M1344" t="s">
        <v>117</v>
      </c>
      <c r="N1344" t="s">
        <v>1099</v>
      </c>
      <c r="O1344" s="24">
        <v>46137</v>
      </c>
      <c r="P1344">
        <v>605</v>
      </c>
      <c r="Q1344" t="s">
        <v>34</v>
      </c>
      <c r="R1344">
        <v>46135</v>
      </c>
      <c r="S1344" s="51">
        <v>0.63124999999999998</v>
      </c>
      <c r="T1344" s="51">
        <v>0.65625</v>
      </c>
      <c r="X1344" t="s">
        <v>3343</v>
      </c>
      <c r="Y1344" t="s">
        <v>3029</v>
      </c>
      <c r="Z1344">
        <v>2777698</v>
      </c>
    </row>
    <row r="1345" spans="1:26" x14ac:dyDescent="0.25">
      <c r="A1345">
        <v>1341</v>
      </c>
      <c r="B1345" t="s">
        <v>26</v>
      </c>
      <c r="C1345" t="s">
        <v>27</v>
      </c>
      <c r="D1345">
        <v>15</v>
      </c>
      <c r="E1345" t="s">
        <v>2763</v>
      </c>
      <c r="F1345" t="s">
        <v>512</v>
      </c>
      <c r="G1345">
        <v>4453</v>
      </c>
      <c r="H1345" t="s">
        <v>2811</v>
      </c>
      <c r="I1345" t="s">
        <v>2810</v>
      </c>
      <c r="J1345">
        <v>12</v>
      </c>
      <c r="K1345">
        <v>1</v>
      </c>
      <c r="L1345">
        <v>1.1458333333333333E-3</v>
      </c>
      <c r="M1345" t="s">
        <v>117</v>
      </c>
      <c r="N1345" t="s">
        <v>1099</v>
      </c>
      <c r="O1345" s="24">
        <v>46137</v>
      </c>
      <c r="P1345">
        <v>605</v>
      </c>
      <c r="Q1345" t="s">
        <v>34</v>
      </c>
      <c r="R1345">
        <v>46135</v>
      </c>
      <c r="S1345" s="51">
        <v>0.63124999999999998</v>
      </c>
      <c r="T1345" s="51">
        <v>0.65625</v>
      </c>
      <c r="X1345" t="s">
        <v>3343</v>
      </c>
      <c r="Y1345" t="s">
        <v>3029</v>
      </c>
      <c r="Z1345">
        <v>2777698</v>
      </c>
    </row>
    <row r="1346" spans="1:26" x14ac:dyDescent="0.25">
      <c r="A1346">
        <v>1342</v>
      </c>
      <c r="B1346" t="s">
        <v>26</v>
      </c>
      <c r="C1346" t="s">
        <v>27</v>
      </c>
      <c r="D1346">
        <v>15</v>
      </c>
      <c r="E1346" t="s">
        <v>152</v>
      </c>
      <c r="F1346" t="s">
        <v>152</v>
      </c>
      <c r="G1346">
        <v>4453</v>
      </c>
      <c r="H1346" t="s">
        <v>2812</v>
      </c>
      <c r="I1346" t="s">
        <v>2813</v>
      </c>
      <c r="J1346">
        <v>12</v>
      </c>
      <c r="K1346">
        <v>1</v>
      </c>
      <c r="L1346">
        <v>5.4398148148148144E-4</v>
      </c>
      <c r="M1346" t="s">
        <v>117</v>
      </c>
      <c r="N1346" t="s">
        <v>1099</v>
      </c>
      <c r="O1346" s="24">
        <v>46137</v>
      </c>
      <c r="P1346">
        <v>605</v>
      </c>
      <c r="Q1346" t="s">
        <v>34</v>
      </c>
      <c r="R1346">
        <v>46135</v>
      </c>
      <c r="S1346" s="51">
        <v>0.63124999999999998</v>
      </c>
      <c r="T1346" s="51">
        <v>0.65625</v>
      </c>
      <c r="X1346" t="s">
        <v>3343</v>
      </c>
      <c r="Y1346" t="s">
        <v>3029</v>
      </c>
      <c r="Z1346">
        <v>2777698</v>
      </c>
    </row>
    <row r="1347" spans="1:26" x14ac:dyDescent="0.25">
      <c r="A1347">
        <v>1343</v>
      </c>
      <c r="B1347" t="s">
        <v>26</v>
      </c>
      <c r="C1347" t="s">
        <v>27</v>
      </c>
      <c r="D1347">
        <v>15</v>
      </c>
      <c r="E1347" t="s">
        <v>152</v>
      </c>
      <c r="F1347" t="s">
        <v>152</v>
      </c>
      <c r="G1347">
        <v>4453</v>
      </c>
      <c r="H1347" t="s">
        <v>2814</v>
      </c>
      <c r="I1347" t="s">
        <v>2813</v>
      </c>
      <c r="J1347">
        <v>12</v>
      </c>
      <c r="K1347">
        <v>1</v>
      </c>
      <c r="L1347">
        <v>5.4398148148148144E-4</v>
      </c>
      <c r="M1347" t="s">
        <v>117</v>
      </c>
      <c r="N1347" t="s">
        <v>1099</v>
      </c>
      <c r="O1347" s="24">
        <v>46137</v>
      </c>
      <c r="P1347">
        <v>605</v>
      </c>
      <c r="Q1347" t="s">
        <v>34</v>
      </c>
      <c r="R1347">
        <v>46135</v>
      </c>
      <c r="S1347" s="51">
        <v>0.63124999999999998</v>
      </c>
      <c r="T1347" s="51">
        <v>0.65625</v>
      </c>
      <c r="X1347" t="s">
        <v>3343</v>
      </c>
      <c r="Y1347" t="s">
        <v>3029</v>
      </c>
      <c r="Z1347">
        <v>2777698</v>
      </c>
    </row>
    <row r="1348" spans="1:26" x14ac:dyDescent="0.25">
      <c r="A1348">
        <v>1344</v>
      </c>
      <c r="B1348" t="s">
        <v>26</v>
      </c>
      <c r="C1348" t="s">
        <v>27</v>
      </c>
      <c r="D1348">
        <v>15</v>
      </c>
      <c r="E1348" t="s">
        <v>1583</v>
      </c>
      <c r="F1348" t="s">
        <v>1583</v>
      </c>
      <c r="G1348">
        <v>4663</v>
      </c>
      <c r="H1348" t="s">
        <v>1888</v>
      </c>
      <c r="I1348" t="s">
        <v>1889</v>
      </c>
      <c r="J1348">
        <v>12</v>
      </c>
      <c r="K1348">
        <v>6</v>
      </c>
      <c r="L1348">
        <v>5.0115740740740737E-3</v>
      </c>
      <c r="M1348" t="s">
        <v>117</v>
      </c>
      <c r="N1348" t="s">
        <v>1099</v>
      </c>
      <c r="O1348" s="24">
        <v>46137</v>
      </c>
      <c r="P1348">
        <v>605</v>
      </c>
      <c r="Q1348" t="s">
        <v>34</v>
      </c>
      <c r="R1348">
        <v>46135</v>
      </c>
      <c r="S1348" s="51">
        <v>0.65208333333333335</v>
      </c>
      <c r="T1348" s="51">
        <v>0.68263888888888891</v>
      </c>
      <c r="X1348" t="s">
        <v>3344</v>
      </c>
      <c r="Y1348" t="s">
        <v>3029</v>
      </c>
      <c r="Z1348">
        <v>3215737</v>
      </c>
    </row>
    <row r="1349" spans="1:26" x14ac:dyDescent="0.25">
      <c r="A1349">
        <v>1345</v>
      </c>
      <c r="B1349" t="s">
        <v>26</v>
      </c>
      <c r="C1349" t="s">
        <v>27</v>
      </c>
      <c r="D1349">
        <v>15</v>
      </c>
      <c r="E1349" t="s">
        <v>511</v>
      </c>
      <c r="F1349" t="s">
        <v>512</v>
      </c>
      <c r="G1349">
        <v>4663</v>
      </c>
      <c r="H1349" t="s">
        <v>2033</v>
      </c>
      <c r="I1349" t="s">
        <v>1962</v>
      </c>
      <c r="J1349">
        <v>12</v>
      </c>
      <c r="K1349">
        <v>6</v>
      </c>
      <c r="L1349">
        <v>8.7037037037037031E-3</v>
      </c>
      <c r="M1349" t="s">
        <v>117</v>
      </c>
      <c r="N1349" t="s">
        <v>1099</v>
      </c>
      <c r="O1349" s="24">
        <v>46137</v>
      </c>
      <c r="P1349">
        <v>605</v>
      </c>
      <c r="Q1349" t="s">
        <v>34</v>
      </c>
      <c r="R1349">
        <v>46135</v>
      </c>
      <c r="S1349" s="51">
        <v>0.65208333333333335</v>
      </c>
      <c r="T1349" s="51">
        <v>0.68263888888888891</v>
      </c>
      <c r="X1349" t="s">
        <v>3344</v>
      </c>
      <c r="Y1349" t="s">
        <v>3029</v>
      </c>
      <c r="Z1349">
        <v>3215737</v>
      </c>
    </row>
    <row r="1350" spans="1:26" x14ac:dyDescent="0.25">
      <c r="A1350">
        <v>1346</v>
      </c>
      <c r="B1350" t="s">
        <v>26</v>
      </c>
      <c r="C1350" t="s">
        <v>27</v>
      </c>
      <c r="D1350">
        <v>15</v>
      </c>
      <c r="E1350" t="s">
        <v>1665</v>
      </c>
      <c r="F1350" t="s">
        <v>512</v>
      </c>
      <c r="G1350">
        <v>4663</v>
      </c>
      <c r="H1350" t="s">
        <v>1831</v>
      </c>
      <c r="I1350" t="s">
        <v>1830</v>
      </c>
      <c r="J1350">
        <v>12</v>
      </c>
      <c r="K1350">
        <v>1</v>
      </c>
      <c r="L1350">
        <v>1.0763888888888889E-3</v>
      </c>
      <c r="M1350" t="s">
        <v>117</v>
      </c>
      <c r="N1350" t="s">
        <v>1099</v>
      </c>
      <c r="O1350" s="24">
        <v>46137</v>
      </c>
      <c r="P1350">
        <v>605</v>
      </c>
      <c r="Q1350" t="s">
        <v>34</v>
      </c>
      <c r="R1350">
        <v>46135</v>
      </c>
      <c r="S1350" s="51">
        <v>0.65208333333333335</v>
      </c>
      <c r="T1350" s="51">
        <v>0.68263888888888891</v>
      </c>
      <c r="X1350" t="s">
        <v>3344</v>
      </c>
      <c r="Y1350" t="s">
        <v>3029</v>
      </c>
      <c r="Z1350">
        <v>3215737</v>
      </c>
    </row>
    <row r="1351" spans="1:26" x14ac:dyDescent="0.25">
      <c r="A1351">
        <v>1347</v>
      </c>
      <c r="B1351" t="s">
        <v>26</v>
      </c>
      <c r="C1351" t="s">
        <v>27</v>
      </c>
      <c r="D1351">
        <v>15</v>
      </c>
      <c r="E1351" t="s">
        <v>367</v>
      </c>
      <c r="F1351" t="s">
        <v>1594</v>
      </c>
      <c r="G1351">
        <v>4663</v>
      </c>
      <c r="H1351" t="s">
        <v>1912</v>
      </c>
      <c r="I1351" t="s">
        <v>1913</v>
      </c>
      <c r="J1351">
        <v>12</v>
      </c>
      <c r="K1351">
        <v>1</v>
      </c>
      <c r="L1351">
        <v>7.9861111111111105E-4</v>
      </c>
      <c r="M1351" t="s">
        <v>117</v>
      </c>
      <c r="N1351" t="s">
        <v>1099</v>
      </c>
      <c r="O1351" s="24">
        <v>46137</v>
      </c>
      <c r="P1351">
        <v>605</v>
      </c>
      <c r="Q1351" t="s">
        <v>34</v>
      </c>
      <c r="R1351">
        <v>46135</v>
      </c>
      <c r="S1351" s="51">
        <v>0.65208333333333335</v>
      </c>
      <c r="T1351" s="51">
        <v>0.68263888888888891</v>
      </c>
      <c r="X1351" t="s">
        <v>3344</v>
      </c>
      <c r="Y1351" t="s">
        <v>3029</v>
      </c>
      <c r="Z1351">
        <v>3215737</v>
      </c>
    </row>
    <row r="1352" spans="1:26" x14ac:dyDescent="0.25">
      <c r="A1352">
        <v>1348</v>
      </c>
      <c r="B1352" t="s">
        <v>26</v>
      </c>
      <c r="C1352" t="s">
        <v>27</v>
      </c>
      <c r="D1352">
        <v>15</v>
      </c>
      <c r="E1352" t="s">
        <v>1665</v>
      </c>
      <c r="F1352" t="s">
        <v>512</v>
      </c>
      <c r="G1352">
        <v>3970</v>
      </c>
      <c r="H1352" t="s">
        <v>1831</v>
      </c>
      <c r="I1352" t="s">
        <v>1830</v>
      </c>
      <c r="J1352">
        <v>12</v>
      </c>
      <c r="K1352">
        <v>1</v>
      </c>
      <c r="L1352">
        <v>9.7222222222222219E-4</v>
      </c>
      <c r="M1352" t="s">
        <v>3079</v>
      </c>
      <c r="X1352" t="s">
        <v>3345</v>
      </c>
    </row>
    <row r="1353" spans="1:26" x14ac:dyDescent="0.25">
      <c r="A1353">
        <v>1349</v>
      </c>
      <c r="B1353" t="s">
        <v>26</v>
      </c>
      <c r="C1353" t="s">
        <v>27</v>
      </c>
      <c r="D1353">
        <v>15</v>
      </c>
      <c r="E1353" t="s">
        <v>1665</v>
      </c>
      <c r="F1353" t="s">
        <v>115</v>
      </c>
      <c r="G1353">
        <v>3970</v>
      </c>
      <c r="H1353" t="s">
        <v>1940</v>
      </c>
      <c r="I1353" t="s">
        <v>1886</v>
      </c>
      <c r="J1353">
        <v>12</v>
      </c>
      <c r="K1353">
        <v>1</v>
      </c>
      <c r="L1353">
        <v>7.0601851851851847E-4</v>
      </c>
      <c r="M1353" t="s">
        <v>3079</v>
      </c>
      <c r="X1353" t="s">
        <v>3345</v>
      </c>
    </row>
    <row r="1354" spans="1:26" x14ac:dyDescent="0.25">
      <c r="A1354">
        <v>1350</v>
      </c>
      <c r="B1354" t="s">
        <v>26</v>
      </c>
      <c r="C1354" t="s">
        <v>27</v>
      </c>
      <c r="D1354">
        <v>15</v>
      </c>
      <c r="E1354" t="s">
        <v>1672</v>
      </c>
      <c r="F1354" t="s">
        <v>115</v>
      </c>
      <c r="G1354">
        <v>3970</v>
      </c>
      <c r="H1354" t="s">
        <v>1885</v>
      </c>
      <c r="I1354" t="s">
        <v>1886</v>
      </c>
      <c r="J1354">
        <v>12</v>
      </c>
      <c r="K1354">
        <v>4</v>
      </c>
      <c r="L1354">
        <v>2.8356481481481479E-3</v>
      </c>
      <c r="M1354" t="s">
        <v>3079</v>
      </c>
      <c r="X1354" t="s">
        <v>3345</v>
      </c>
    </row>
    <row r="1355" spans="1:26" x14ac:dyDescent="0.25">
      <c r="A1355">
        <v>1351</v>
      </c>
      <c r="B1355" t="s">
        <v>26</v>
      </c>
      <c r="C1355" t="s">
        <v>27</v>
      </c>
      <c r="D1355">
        <v>15</v>
      </c>
      <c r="E1355" t="s">
        <v>511</v>
      </c>
      <c r="F1355" t="s">
        <v>512</v>
      </c>
      <c r="G1355">
        <v>3970</v>
      </c>
      <c r="H1355" t="s">
        <v>1961</v>
      </c>
      <c r="I1355" t="s">
        <v>1962</v>
      </c>
      <c r="J1355">
        <v>12</v>
      </c>
      <c r="K1355">
        <v>6</v>
      </c>
      <c r="L1355">
        <v>9.2013888888888892E-3</v>
      </c>
      <c r="M1355" t="s">
        <v>3079</v>
      </c>
      <c r="X1355" t="s">
        <v>3345</v>
      </c>
    </row>
    <row r="1356" spans="1:26" x14ac:dyDescent="0.25">
      <c r="A1356">
        <v>1352</v>
      </c>
      <c r="B1356" t="s">
        <v>26</v>
      </c>
      <c r="C1356" t="s">
        <v>27</v>
      </c>
      <c r="D1356">
        <v>15</v>
      </c>
      <c r="E1356" t="s">
        <v>367</v>
      </c>
      <c r="F1356" t="s">
        <v>367</v>
      </c>
      <c r="G1356">
        <v>3970</v>
      </c>
      <c r="H1356" t="s">
        <v>1814</v>
      </c>
      <c r="I1356" t="s">
        <v>1815</v>
      </c>
      <c r="J1356">
        <v>12</v>
      </c>
      <c r="K1356">
        <v>1</v>
      </c>
      <c r="L1356">
        <v>9.9537037037037042E-4</v>
      </c>
      <c r="M1356" t="s">
        <v>3079</v>
      </c>
      <c r="X1356" t="s">
        <v>3345</v>
      </c>
    </row>
    <row r="1357" spans="1:26" x14ac:dyDescent="0.25">
      <c r="A1357">
        <v>1353</v>
      </c>
      <c r="B1357" t="s">
        <v>26</v>
      </c>
      <c r="C1357" t="s">
        <v>27</v>
      </c>
      <c r="D1357">
        <v>15</v>
      </c>
      <c r="E1357" t="s">
        <v>367</v>
      </c>
      <c r="F1357" t="s">
        <v>1594</v>
      </c>
      <c r="G1357">
        <v>3970</v>
      </c>
      <c r="H1357" t="s">
        <v>1969</v>
      </c>
      <c r="I1357" t="s">
        <v>1970</v>
      </c>
      <c r="J1357">
        <v>12</v>
      </c>
      <c r="K1357">
        <v>1</v>
      </c>
      <c r="L1357">
        <v>7.0601851851851847E-4</v>
      </c>
      <c r="M1357" t="s">
        <v>3079</v>
      </c>
      <c r="X1357" t="s">
        <v>3345</v>
      </c>
    </row>
    <row r="1358" spans="1:26" x14ac:dyDescent="0.25">
      <c r="A1358">
        <v>1354</v>
      </c>
      <c r="B1358" t="s">
        <v>26</v>
      </c>
      <c r="C1358" t="s">
        <v>27</v>
      </c>
      <c r="D1358">
        <v>15</v>
      </c>
      <c r="E1358" t="s">
        <v>367</v>
      </c>
      <c r="F1358" t="s">
        <v>1594</v>
      </c>
      <c r="G1358">
        <v>3970</v>
      </c>
      <c r="H1358" t="s">
        <v>1853</v>
      </c>
      <c r="I1358" t="s">
        <v>1854</v>
      </c>
      <c r="J1358">
        <v>12</v>
      </c>
      <c r="K1358">
        <v>1</v>
      </c>
      <c r="L1358">
        <v>4.6296296296296293E-4</v>
      </c>
      <c r="M1358" t="s">
        <v>3079</v>
      </c>
      <c r="X1358" t="s">
        <v>3345</v>
      </c>
    </row>
    <row r="1359" spans="1:26" x14ac:dyDescent="0.25">
      <c r="A1359">
        <v>1355</v>
      </c>
      <c r="B1359" t="s">
        <v>26</v>
      </c>
      <c r="C1359" t="s">
        <v>27</v>
      </c>
      <c r="D1359">
        <v>15</v>
      </c>
      <c r="E1359" t="s">
        <v>152</v>
      </c>
      <c r="F1359" t="s">
        <v>152</v>
      </c>
      <c r="G1359">
        <v>3970</v>
      </c>
      <c r="H1359" t="s">
        <v>2817</v>
      </c>
      <c r="I1359" t="s">
        <v>2797</v>
      </c>
      <c r="J1359">
        <v>12</v>
      </c>
      <c r="K1359">
        <v>1</v>
      </c>
      <c r="L1359">
        <v>1.2152777777777778E-3</v>
      </c>
      <c r="M1359" t="s">
        <v>3079</v>
      </c>
      <c r="X1359" t="s">
        <v>3345</v>
      </c>
    </row>
    <row r="1360" spans="1:26" x14ac:dyDescent="0.25">
      <c r="A1360">
        <v>1356</v>
      </c>
      <c r="B1360" t="s">
        <v>26</v>
      </c>
      <c r="C1360" t="s">
        <v>27</v>
      </c>
      <c r="D1360">
        <v>15</v>
      </c>
      <c r="E1360" t="s">
        <v>511</v>
      </c>
      <c r="F1360" t="s">
        <v>512</v>
      </c>
      <c r="G1360">
        <v>3971</v>
      </c>
      <c r="H1360" t="s">
        <v>1961</v>
      </c>
      <c r="I1360" t="s">
        <v>1962</v>
      </c>
      <c r="J1360">
        <v>12</v>
      </c>
      <c r="K1360">
        <v>6</v>
      </c>
      <c r="L1360">
        <v>9.8958333333333329E-3</v>
      </c>
      <c r="M1360" t="s">
        <v>117</v>
      </c>
      <c r="N1360" t="s">
        <v>1367</v>
      </c>
      <c r="O1360" s="24">
        <v>46133</v>
      </c>
      <c r="P1360">
        <v>605</v>
      </c>
      <c r="Q1360" t="s">
        <v>34</v>
      </c>
      <c r="R1360">
        <v>46137</v>
      </c>
      <c r="S1360" s="51">
        <v>0.63124999999999998</v>
      </c>
      <c r="T1360" s="51">
        <v>0.65138888888888891</v>
      </c>
      <c r="X1360" t="s">
        <v>3346</v>
      </c>
      <c r="Y1360" t="s">
        <v>3029</v>
      </c>
      <c r="Z1360">
        <v>2777672</v>
      </c>
    </row>
    <row r="1361" spans="1:26" x14ac:dyDescent="0.25">
      <c r="A1361">
        <v>1357</v>
      </c>
      <c r="B1361" t="s">
        <v>26</v>
      </c>
      <c r="C1361" t="s">
        <v>27</v>
      </c>
      <c r="D1361">
        <v>15</v>
      </c>
      <c r="E1361" t="s">
        <v>2763</v>
      </c>
      <c r="F1361" t="s">
        <v>512</v>
      </c>
      <c r="G1361">
        <v>3971</v>
      </c>
      <c r="H1361" t="s">
        <v>2819</v>
      </c>
      <c r="I1361" t="s">
        <v>2820</v>
      </c>
      <c r="J1361">
        <v>12</v>
      </c>
      <c r="K1361">
        <v>1</v>
      </c>
      <c r="L1361">
        <v>1.4467592592592592E-3</v>
      </c>
      <c r="M1361" t="s">
        <v>117</v>
      </c>
      <c r="N1361" t="s">
        <v>1367</v>
      </c>
      <c r="O1361" s="24">
        <v>46133</v>
      </c>
      <c r="P1361">
        <v>605</v>
      </c>
      <c r="Q1361" t="s">
        <v>34</v>
      </c>
      <c r="R1361">
        <v>46137</v>
      </c>
      <c r="S1361" s="51">
        <v>0.63124999999999998</v>
      </c>
      <c r="T1361" s="51">
        <v>0.65138888888888891</v>
      </c>
      <c r="X1361" t="s">
        <v>3346</v>
      </c>
      <c r="Y1361" t="s">
        <v>3029</v>
      </c>
      <c r="Z1361">
        <v>2777672</v>
      </c>
    </row>
    <row r="1362" spans="1:26" x14ac:dyDescent="0.25">
      <c r="A1362">
        <v>1358</v>
      </c>
      <c r="B1362" t="s">
        <v>26</v>
      </c>
      <c r="C1362" t="s">
        <v>27</v>
      </c>
      <c r="D1362">
        <v>15</v>
      </c>
      <c r="E1362" t="s">
        <v>2763</v>
      </c>
      <c r="F1362" t="s">
        <v>512</v>
      </c>
      <c r="G1362">
        <v>3971</v>
      </c>
      <c r="H1362" t="s">
        <v>2821</v>
      </c>
      <c r="I1362" t="s">
        <v>2810</v>
      </c>
      <c r="J1362">
        <v>12</v>
      </c>
      <c r="K1362">
        <v>1</v>
      </c>
      <c r="L1362">
        <v>1.4351851851851852E-3</v>
      </c>
      <c r="M1362" t="s">
        <v>117</v>
      </c>
      <c r="N1362" t="s">
        <v>1367</v>
      </c>
      <c r="O1362" s="24">
        <v>46133</v>
      </c>
      <c r="P1362">
        <v>605</v>
      </c>
      <c r="Q1362" t="s">
        <v>34</v>
      </c>
      <c r="R1362">
        <v>46137</v>
      </c>
      <c r="S1362" s="51">
        <v>0.63124999999999998</v>
      </c>
      <c r="T1362" s="51">
        <v>0.65138888888888891</v>
      </c>
      <c r="X1362" t="s">
        <v>3346</v>
      </c>
      <c r="Y1362" t="s">
        <v>3029</v>
      </c>
      <c r="Z1362">
        <v>2777672</v>
      </c>
    </row>
    <row r="1363" spans="1:26" x14ac:dyDescent="0.25">
      <c r="A1363">
        <v>1359</v>
      </c>
      <c r="B1363" t="s">
        <v>26</v>
      </c>
      <c r="C1363" t="s">
        <v>27</v>
      </c>
      <c r="D1363">
        <v>15</v>
      </c>
      <c r="E1363" t="s">
        <v>152</v>
      </c>
      <c r="F1363" t="s">
        <v>152</v>
      </c>
      <c r="G1363">
        <v>3971</v>
      </c>
      <c r="H1363" t="s">
        <v>2814</v>
      </c>
      <c r="I1363" t="s">
        <v>2813</v>
      </c>
      <c r="J1363">
        <v>12</v>
      </c>
      <c r="K1363">
        <v>1</v>
      </c>
      <c r="L1363">
        <v>5.7870370370370367E-4</v>
      </c>
      <c r="M1363" t="s">
        <v>117</v>
      </c>
      <c r="N1363" t="s">
        <v>1367</v>
      </c>
      <c r="O1363" s="24">
        <v>46133</v>
      </c>
      <c r="P1363">
        <v>605</v>
      </c>
      <c r="Q1363" t="s">
        <v>34</v>
      </c>
      <c r="R1363">
        <v>46137</v>
      </c>
      <c r="S1363" s="51">
        <v>0.63124999999999998</v>
      </c>
      <c r="T1363" s="51">
        <v>0.65138888888888891</v>
      </c>
      <c r="X1363" t="s">
        <v>3346</v>
      </c>
      <c r="Y1363" t="s">
        <v>3029</v>
      </c>
      <c r="Z1363">
        <v>2777672</v>
      </c>
    </row>
    <row r="1364" spans="1:26" x14ac:dyDescent="0.25">
      <c r="A1364">
        <v>1360</v>
      </c>
      <c r="B1364" t="s">
        <v>26</v>
      </c>
      <c r="C1364" t="s">
        <v>27</v>
      </c>
      <c r="D1364">
        <v>15</v>
      </c>
      <c r="E1364" t="s">
        <v>2823</v>
      </c>
      <c r="F1364" t="s">
        <v>2823</v>
      </c>
      <c r="G1364">
        <v>3971</v>
      </c>
      <c r="H1364" t="s">
        <v>2822</v>
      </c>
      <c r="I1364" t="s">
        <v>1886</v>
      </c>
      <c r="J1364">
        <v>12</v>
      </c>
      <c r="K1364">
        <v>1</v>
      </c>
      <c r="L1364">
        <v>7.5231481481481482E-4</v>
      </c>
      <c r="M1364" t="s">
        <v>117</v>
      </c>
      <c r="N1364" t="s">
        <v>1367</v>
      </c>
      <c r="O1364" s="24">
        <v>46133</v>
      </c>
      <c r="P1364">
        <v>605</v>
      </c>
      <c r="Q1364" t="s">
        <v>34</v>
      </c>
      <c r="R1364">
        <v>46137</v>
      </c>
      <c r="S1364" s="51">
        <v>0.63124999999999998</v>
      </c>
      <c r="T1364" s="51">
        <v>0.65138888888888891</v>
      </c>
      <c r="X1364" t="s">
        <v>3346</v>
      </c>
      <c r="Y1364" t="s">
        <v>3029</v>
      </c>
      <c r="Z1364">
        <v>2777672</v>
      </c>
    </row>
    <row r="1365" spans="1:26" x14ac:dyDescent="0.25">
      <c r="A1365">
        <v>1361</v>
      </c>
      <c r="B1365" t="s">
        <v>26</v>
      </c>
      <c r="C1365" t="s">
        <v>27</v>
      </c>
      <c r="D1365">
        <v>15</v>
      </c>
      <c r="E1365" t="s">
        <v>511</v>
      </c>
      <c r="F1365" t="s">
        <v>512</v>
      </c>
      <c r="G1365">
        <v>3972</v>
      </c>
      <c r="H1365" t="s">
        <v>2033</v>
      </c>
      <c r="I1365" t="s">
        <v>1962</v>
      </c>
      <c r="J1365">
        <v>12</v>
      </c>
      <c r="K1365">
        <v>2</v>
      </c>
      <c r="L1365">
        <v>2.9976851851851853E-3</v>
      </c>
      <c r="M1365" t="s">
        <v>3079</v>
      </c>
      <c r="X1365" t="s">
        <v>3347</v>
      </c>
    </row>
    <row r="1366" spans="1:26" x14ac:dyDescent="0.25">
      <c r="A1366">
        <v>1362</v>
      </c>
      <c r="B1366" t="s">
        <v>26</v>
      </c>
      <c r="C1366" t="s">
        <v>27</v>
      </c>
      <c r="D1366">
        <v>15</v>
      </c>
      <c r="E1366" t="s">
        <v>367</v>
      </c>
      <c r="F1366" t="s">
        <v>1594</v>
      </c>
      <c r="G1366">
        <v>3972</v>
      </c>
      <c r="H1366" t="s">
        <v>1912</v>
      </c>
      <c r="I1366" t="s">
        <v>1913</v>
      </c>
      <c r="J1366">
        <v>12</v>
      </c>
      <c r="K1366">
        <v>1</v>
      </c>
      <c r="L1366">
        <v>8.2175925925925927E-4</v>
      </c>
      <c r="M1366" t="s">
        <v>3079</v>
      </c>
      <c r="X1366" t="s">
        <v>3347</v>
      </c>
    </row>
    <row r="1367" spans="1:26" x14ac:dyDescent="0.25">
      <c r="A1367">
        <v>1363</v>
      </c>
      <c r="B1367" t="s">
        <v>26</v>
      </c>
      <c r="C1367" t="s">
        <v>27</v>
      </c>
      <c r="D1367">
        <v>15</v>
      </c>
      <c r="E1367" t="s">
        <v>367</v>
      </c>
      <c r="F1367" t="s">
        <v>1598</v>
      </c>
      <c r="G1367">
        <v>3972</v>
      </c>
      <c r="H1367" t="s">
        <v>2546</v>
      </c>
      <c r="I1367" t="s">
        <v>2808</v>
      </c>
      <c r="J1367">
        <v>12</v>
      </c>
      <c r="K1367">
        <v>2</v>
      </c>
      <c r="L1367">
        <v>3.0208333333333333E-3</v>
      </c>
      <c r="M1367" t="s">
        <v>3079</v>
      </c>
      <c r="X1367" t="s">
        <v>3347</v>
      </c>
    </row>
    <row r="1368" spans="1:26" x14ac:dyDescent="0.25">
      <c r="A1368">
        <v>1364</v>
      </c>
      <c r="B1368" t="s">
        <v>26</v>
      </c>
      <c r="C1368" t="s">
        <v>27</v>
      </c>
      <c r="D1368">
        <v>15</v>
      </c>
      <c r="E1368" t="s">
        <v>2763</v>
      </c>
      <c r="F1368" t="s">
        <v>512</v>
      </c>
      <c r="G1368">
        <v>3972</v>
      </c>
      <c r="H1368" t="s">
        <v>2825</v>
      </c>
      <c r="I1368" t="s">
        <v>2810</v>
      </c>
      <c r="J1368">
        <v>12</v>
      </c>
      <c r="K1368">
        <v>1</v>
      </c>
      <c r="L1368">
        <v>1.2962962962962963E-3</v>
      </c>
      <c r="M1368" t="s">
        <v>3079</v>
      </c>
      <c r="X1368" t="s">
        <v>3347</v>
      </c>
    </row>
    <row r="1369" spans="1:26" x14ac:dyDescent="0.25">
      <c r="A1369">
        <v>1365</v>
      </c>
      <c r="B1369" t="s">
        <v>26</v>
      </c>
      <c r="C1369" t="s">
        <v>27</v>
      </c>
      <c r="D1369">
        <v>15</v>
      </c>
      <c r="E1369" t="s">
        <v>2763</v>
      </c>
      <c r="F1369" t="s">
        <v>512</v>
      </c>
      <c r="G1369">
        <v>3972</v>
      </c>
      <c r="H1369" t="s">
        <v>2826</v>
      </c>
      <c r="I1369" t="s">
        <v>2820</v>
      </c>
      <c r="J1369">
        <v>12</v>
      </c>
      <c r="K1369">
        <v>1</v>
      </c>
      <c r="L1369">
        <v>1.5393518518518519E-3</v>
      </c>
      <c r="M1369" t="s">
        <v>3079</v>
      </c>
      <c r="X1369" t="s">
        <v>3347</v>
      </c>
    </row>
    <row r="1370" spans="1:26" x14ac:dyDescent="0.25">
      <c r="A1370">
        <v>1366</v>
      </c>
      <c r="B1370" t="s">
        <v>26</v>
      </c>
      <c r="C1370" t="s">
        <v>27</v>
      </c>
      <c r="D1370">
        <v>15</v>
      </c>
      <c r="E1370" t="s">
        <v>152</v>
      </c>
      <c r="F1370" t="s">
        <v>152</v>
      </c>
      <c r="G1370">
        <v>3972</v>
      </c>
      <c r="H1370" t="s">
        <v>2827</v>
      </c>
      <c r="I1370" t="s">
        <v>2813</v>
      </c>
      <c r="J1370">
        <v>12</v>
      </c>
      <c r="K1370">
        <v>1</v>
      </c>
      <c r="L1370">
        <v>6.134259259259259E-4</v>
      </c>
      <c r="M1370" t="s">
        <v>3079</v>
      </c>
      <c r="X1370" t="s">
        <v>3347</v>
      </c>
    </row>
    <row r="1371" spans="1:26" x14ac:dyDescent="0.25">
      <c r="A1371">
        <v>1367</v>
      </c>
      <c r="B1371" t="s">
        <v>26</v>
      </c>
      <c r="C1371" t="s">
        <v>27</v>
      </c>
      <c r="D1371">
        <v>15</v>
      </c>
      <c r="E1371" t="s">
        <v>152</v>
      </c>
      <c r="F1371" t="s">
        <v>152</v>
      </c>
      <c r="G1371">
        <v>3972</v>
      </c>
      <c r="H1371" t="s">
        <v>2828</v>
      </c>
      <c r="I1371" t="s">
        <v>2797</v>
      </c>
      <c r="J1371">
        <v>12</v>
      </c>
      <c r="K1371">
        <v>2</v>
      </c>
      <c r="L1371">
        <v>2.7777777777777775E-3</v>
      </c>
      <c r="M1371" t="s">
        <v>3079</v>
      </c>
      <c r="X1371" t="s">
        <v>3347</v>
      </c>
    </row>
    <row r="1372" spans="1:26" x14ac:dyDescent="0.25">
      <c r="A1372">
        <v>1368</v>
      </c>
      <c r="B1372" t="s">
        <v>26</v>
      </c>
      <c r="C1372" t="s">
        <v>27</v>
      </c>
      <c r="D1372">
        <v>15</v>
      </c>
      <c r="E1372" t="s">
        <v>152</v>
      </c>
      <c r="F1372" t="s">
        <v>152</v>
      </c>
      <c r="G1372">
        <v>3972</v>
      </c>
      <c r="H1372" t="s">
        <v>2796</v>
      </c>
      <c r="I1372" t="s">
        <v>2797</v>
      </c>
      <c r="J1372">
        <v>12</v>
      </c>
      <c r="K1372">
        <v>1</v>
      </c>
      <c r="L1372">
        <v>1.3888888888888887E-3</v>
      </c>
      <c r="M1372" t="s">
        <v>3079</v>
      </c>
      <c r="X1372" t="s">
        <v>3347</v>
      </c>
    </row>
    <row r="1373" spans="1:26" x14ac:dyDescent="0.25">
      <c r="A1373">
        <v>1369</v>
      </c>
      <c r="B1373" t="s">
        <v>26</v>
      </c>
      <c r="C1373" t="s">
        <v>27</v>
      </c>
      <c r="D1373">
        <v>15</v>
      </c>
      <c r="E1373" t="s">
        <v>511</v>
      </c>
      <c r="F1373" t="s">
        <v>512</v>
      </c>
      <c r="G1373">
        <v>3973</v>
      </c>
      <c r="H1373" t="s">
        <v>2033</v>
      </c>
      <c r="I1373" t="s">
        <v>1962</v>
      </c>
      <c r="J1373">
        <v>12</v>
      </c>
      <c r="K1373">
        <v>4</v>
      </c>
      <c r="L1373">
        <v>5.3356481481481475E-3</v>
      </c>
      <c r="M1373" t="s">
        <v>117</v>
      </c>
      <c r="N1373" t="s">
        <v>1367</v>
      </c>
      <c r="O1373" s="24">
        <v>46133</v>
      </c>
      <c r="P1373">
        <v>605</v>
      </c>
      <c r="Q1373" t="s">
        <v>34</v>
      </c>
      <c r="R1373">
        <v>46137</v>
      </c>
      <c r="S1373" s="51">
        <v>0.66597222222222219</v>
      </c>
      <c r="T1373" s="51">
        <v>0.71180555555555558</v>
      </c>
      <c r="X1373" t="s">
        <v>3348</v>
      </c>
      <c r="Y1373" t="s">
        <v>3029</v>
      </c>
      <c r="Z1373">
        <v>2777672</v>
      </c>
    </row>
    <row r="1374" spans="1:26" x14ac:dyDescent="0.25">
      <c r="A1374">
        <v>1370</v>
      </c>
      <c r="B1374" t="s">
        <v>26</v>
      </c>
      <c r="C1374" t="s">
        <v>27</v>
      </c>
      <c r="D1374">
        <v>15</v>
      </c>
      <c r="E1374" t="s">
        <v>1665</v>
      </c>
      <c r="F1374" t="s">
        <v>512</v>
      </c>
      <c r="G1374">
        <v>3973</v>
      </c>
      <c r="H1374" t="s">
        <v>1908</v>
      </c>
      <c r="I1374" t="s">
        <v>2789</v>
      </c>
      <c r="J1374">
        <v>12</v>
      </c>
      <c r="K1374">
        <v>2</v>
      </c>
      <c r="L1374">
        <v>9.9537037037037042E-4</v>
      </c>
      <c r="M1374" t="s">
        <v>117</v>
      </c>
      <c r="N1374" t="s">
        <v>1367</v>
      </c>
      <c r="O1374" s="24">
        <v>46133</v>
      </c>
      <c r="P1374">
        <v>605</v>
      </c>
      <c r="Q1374" t="s">
        <v>34</v>
      </c>
      <c r="R1374">
        <v>46137</v>
      </c>
      <c r="S1374" s="51">
        <v>0.66597222222222219</v>
      </c>
      <c r="T1374" s="51">
        <v>0.71180555555555558</v>
      </c>
      <c r="X1374" t="s">
        <v>3348</v>
      </c>
      <c r="Y1374" t="s">
        <v>3029</v>
      </c>
      <c r="Z1374">
        <v>2777672</v>
      </c>
    </row>
    <row r="1375" spans="1:26" x14ac:dyDescent="0.25">
      <c r="A1375">
        <v>1371</v>
      </c>
      <c r="B1375" t="s">
        <v>26</v>
      </c>
      <c r="C1375" t="s">
        <v>27</v>
      </c>
      <c r="D1375">
        <v>15</v>
      </c>
      <c r="E1375" t="s">
        <v>1665</v>
      </c>
      <c r="F1375" t="s">
        <v>115</v>
      </c>
      <c r="G1375">
        <v>3973</v>
      </c>
      <c r="H1375" t="s">
        <v>1940</v>
      </c>
      <c r="I1375" t="s">
        <v>1886</v>
      </c>
      <c r="J1375">
        <v>12</v>
      </c>
      <c r="K1375">
        <v>2</v>
      </c>
      <c r="L1375">
        <v>1.4351851851851852E-3</v>
      </c>
      <c r="M1375" t="s">
        <v>117</v>
      </c>
      <c r="N1375" t="s">
        <v>1367</v>
      </c>
      <c r="O1375" s="24">
        <v>46133</v>
      </c>
      <c r="P1375">
        <v>605</v>
      </c>
      <c r="Q1375" t="s">
        <v>34</v>
      </c>
      <c r="R1375">
        <v>46137</v>
      </c>
      <c r="S1375" s="51">
        <v>0.66597222222222219</v>
      </c>
      <c r="T1375" s="51">
        <v>0.71180555555555558</v>
      </c>
      <c r="X1375" t="s">
        <v>3348</v>
      </c>
      <c r="Y1375" t="s">
        <v>3029</v>
      </c>
      <c r="Z1375">
        <v>2777672</v>
      </c>
    </row>
    <row r="1376" spans="1:26" x14ac:dyDescent="0.25">
      <c r="A1376">
        <v>1372</v>
      </c>
      <c r="B1376" t="s">
        <v>26</v>
      </c>
      <c r="C1376" t="s">
        <v>27</v>
      </c>
      <c r="D1376">
        <v>15</v>
      </c>
      <c r="E1376" t="s">
        <v>367</v>
      </c>
      <c r="F1376" t="s">
        <v>512</v>
      </c>
      <c r="G1376">
        <v>3973</v>
      </c>
      <c r="H1376" t="s">
        <v>2541</v>
      </c>
      <c r="I1376" t="s">
        <v>2542</v>
      </c>
      <c r="J1376">
        <v>12</v>
      </c>
      <c r="K1376">
        <v>2</v>
      </c>
      <c r="L1376">
        <v>2.650462962962963E-3</v>
      </c>
      <c r="M1376" t="s">
        <v>117</v>
      </c>
      <c r="N1376" t="s">
        <v>1367</v>
      </c>
      <c r="O1376" s="24">
        <v>46133</v>
      </c>
      <c r="P1376">
        <v>605</v>
      </c>
      <c r="Q1376" t="s">
        <v>34</v>
      </c>
      <c r="R1376">
        <v>46137</v>
      </c>
      <c r="S1376" s="51">
        <v>0.66597222222222219</v>
      </c>
      <c r="T1376" s="51">
        <v>0.71180555555555558</v>
      </c>
      <c r="X1376" t="s">
        <v>3348</v>
      </c>
      <c r="Y1376" t="s">
        <v>3029</v>
      </c>
      <c r="Z1376">
        <v>2777672</v>
      </c>
    </row>
    <row r="1377" spans="1:26" x14ac:dyDescent="0.25">
      <c r="A1377">
        <v>1373</v>
      </c>
      <c r="B1377" t="s">
        <v>26</v>
      </c>
      <c r="C1377" t="s">
        <v>27</v>
      </c>
      <c r="D1377">
        <v>15</v>
      </c>
      <c r="E1377" t="s">
        <v>367</v>
      </c>
      <c r="F1377" t="s">
        <v>367</v>
      </c>
      <c r="G1377">
        <v>3973</v>
      </c>
      <c r="H1377" t="s">
        <v>1941</v>
      </c>
      <c r="I1377" t="s">
        <v>1942</v>
      </c>
      <c r="J1377">
        <v>12</v>
      </c>
      <c r="K1377">
        <v>2</v>
      </c>
      <c r="L1377">
        <v>7.2916666666666659E-4</v>
      </c>
      <c r="M1377" t="s">
        <v>117</v>
      </c>
      <c r="N1377" t="s">
        <v>1367</v>
      </c>
      <c r="O1377" s="24">
        <v>46133</v>
      </c>
      <c r="P1377">
        <v>605</v>
      </c>
      <c r="Q1377" t="s">
        <v>34</v>
      </c>
      <c r="R1377">
        <v>46137</v>
      </c>
      <c r="S1377" s="51">
        <v>0.66597222222222219</v>
      </c>
      <c r="T1377" s="51">
        <v>0.71180555555555558</v>
      </c>
      <c r="X1377" t="s">
        <v>3348</v>
      </c>
      <c r="Y1377" t="s">
        <v>3029</v>
      </c>
      <c r="Z1377">
        <v>2777672</v>
      </c>
    </row>
    <row r="1378" spans="1:26" x14ac:dyDescent="0.25">
      <c r="A1378">
        <v>1374</v>
      </c>
      <c r="B1378" t="s">
        <v>26</v>
      </c>
      <c r="C1378" t="s">
        <v>27</v>
      </c>
      <c r="D1378">
        <v>15</v>
      </c>
      <c r="E1378" t="s">
        <v>367</v>
      </c>
      <c r="F1378" t="s">
        <v>1593</v>
      </c>
      <c r="G1378">
        <v>3973</v>
      </c>
      <c r="H1378" t="s">
        <v>1851</v>
      </c>
      <c r="I1378" t="s">
        <v>1852</v>
      </c>
      <c r="J1378">
        <v>12</v>
      </c>
      <c r="K1378">
        <v>1</v>
      </c>
      <c r="L1378">
        <v>7.7546296296296293E-4</v>
      </c>
      <c r="M1378" t="s">
        <v>117</v>
      </c>
      <c r="N1378" t="s">
        <v>1367</v>
      </c>
      <c r="O1378" s="24">
        <v>46133</v>
      </c>
      <c r="P1378">
        <v>605</v>
      </c>
      <c r="Q1378" t="s">
        <v>34</v>
      </c>
      <c r="R1378">
        <v>46137</v>
      </c>
      <c r="S1378" s="51">
        <v>0.66597222222222219</v>
      </c>
      <c r="T1378" s="51">
        <v>0.71180555555555558</v>
      </c>
      <c r="X1378" t="s">
        <v>3348</v>
      </c>
      <c r="Y1378" t="s">
        <v>3029</v>
      </c>
      <c r="Z1378">
        <v>2777672</v>
      </c>
    </row>
    <row r="1379" spans="1:26" x14ac:dyDescent="0.25">
      <c r="A1379">
        <v>1375</v>
      </c>
      <c r="B1379" t="s">
        <v>26</v>
      </c>
      <c r="C1379" t="s">
        <v>27</v>
      </c>
      <c r="D1379">
        <v>15</v>
      </c>
      <c r="E1379" t="s">
        <v>367</v>
      </c>
      <c r="F1379" t="s">
        <v>1594</v>
      </c>
      <c r="G1379">
        <v>3973</v>
      </c>
      <c r="H1379" t="s">
        <v>1876</v>
      </c>
      <c r="I1379" t="s">
        <v>1877</v>
      </c>
      <c r="J1379">
        <v>12</v>
      </c>
      <c r="K1379">
        <v>4</v>
      </c>
      <c r="L1379">
        <v>2.4768518518518516E-3</v>
      </c>
      <c r="M1379" t="s">
        <v>117</v>
      </c>
      <c r="N1379" t="s">
        <v>1367</v>
      </c>
      <c r="O1379" s="24">
        <v>46133</v>
      </c>
      <c r="P1379">
        <v>605</v>
      </c>
      <c r="Q1379" t="s">
        <v>34</v>
      </c>
      <c r="R1379">
        <v>46137</v>
      </c>
      <c r="S1379" s="51">
        <v>0.66597222222222219</v>
      </c>
      <c r="T1379" s="51">
        <v>0.71180555555555558</v>
      </c>
      <c r="X1379" t="s">
        <v>3348</v>
      </c>
      <c r="Y1379" t="s">
        <v>3029</v>
      </c>
      <c r="Z1379">
        <v>2777672</v>
      </c>
    </row>
    <row r="1380" spans="1:26" x14ac:dyDescent="0.25">
      <c r="A1380">
        <v>1376</v>
      </c>
      <c r="B1380" t="s">
        <v>26</v>
      </c>
      <c r="C1380" t="s">
        <v>27</v>
      </c>
      <c r="D1380">
        <v>15</v>
      </c>
      <c r="E1380" t="s">
        <v>367</v>
      </c>
      <c r="F1380" t="s">
        <v>1594</v>
      </c>
      <c r="G1380">
        <v>3973</v>
      </c>
      <c r="H1380" t="s">
        <v>1853</v>
      </c>
      <c r="I1380" t="s">
        <v>1854</v>
      </c>
      <c r="J1380">
        <v>12</v>
      </c>
      <c r="K1380">
        <v>1</v>
      </c>
      <c r="L1380">
        <v>4.7453703703703704E-4</v>
      </c>
      <c r="M1380" t="s">
        <v>117</v>
      </c>
      <c r="N1380" t="s">
        <v>1367</v>
      </c>
      <c r="O1380" s="24">
        <v>46133</v>
      </c>
      <c r="P1380">
        <v>605</v>
      </c>
      <c r="Q1380" t="s">
        <v>34</v>
      </c>
      <c r="R1380">
        <v>46137</v>
      </c>
      <c r="S1380" s="51">
        <v>0.66597222222222219</v>
      </c>
      <c r="T1380" s="51">
        <v>0.71180555555555558</v>
      </c>
      <c r="X1380" t="s">
        <v>3348</v>
      </c>
      <c r="Y1380" t="s">
        <v>3029</v>
      </c>
      <c r="Z1380">
        <v>2777672</v>
      </c>
    </row>
    <row r="1381" spans="1:26" x14ac:dyDescent="0.25">
      <c r="A1381">
        <v>1377</v>
      </c>
      <c r="B1381" t="s">
        <v>26</v>
      </c>
      <c r="C1381" t="s">
        <v>27</v>
      </c>
      <c r="D1381">
        <v>15</v>
      </c>
      <c r="E1381" t="s">
        <v>367</v>
      </c>
      <c r="F1381" t="s">
        <v>1594</v>
      </c>
      <c r="G1381">
        <v>3973</v>
      </c>
      <c r="H1381" t="s">
        <v>1915</v>
      </c>
      <c r="I1381" t="s">
        <v>1916</v>
      </c>
      <c r="J1381">
        <v>12</v>
      </c>
      <c r="K1381">
        <v>1</v>
      </c>
      <c r="L1381">
        <v>1.0185185185185184E-3</v>
      </c>
      <c r="M1381" t="s">
        <v>117</v>
      </c>
      <c r="N1381" t="s">
        <v>1367</v>
      </c>
      <c r="O1381" s="24">
        <v>46133</v>
      </c>
      <c r="P1381">
        <v>605</v>
      </c>
      <c r="Q1381" t="s">
        <v>34</v>
      </c>
      <c r="R1381">
        <v>46137</v>
      </c>
      <c r="S1381" s="51">
        <v>0.66597222222222219</v>
      </c>
      <c r="T1381" s="51">
        <v>0.71180555555555558</v>
      </c>
      <c r="X1381" t="s">
        <v>3348</v>
      </c>
      <c r="Y1381" t="s">
        <v>3029</v>
      </c>
      <c r="Z1381">
        <v>2777672</v>
      </c>
    </row>
    <row r="1382" spans="1:26" x14ac:dyDescent="0.25">
      <c r="A1382">
        <v>1378</v>
      </c>
      <c r="B1382" t="s">
        <v>26</v>
      </c>
      <c r="C1382" t="s">
        <v>27</v>
      </c>
      <c r="D1382">
        <v>15</v>
      </c>
      <c r="E1382" t="s">
        <v>2742</v>
      </c>
      <c r="F1382" t="s">
        <v>115</v>
      </c>
      <c r="G1382">
        <v>3973</v>
      </c>
      <c r="H1382" t="s">
        <v>2830</v>
      </c>
      <c r="I1382" t="s">
        <v>2831</v>
      </c>
      <c r="J1382">
        <v>12</v>
      </c>
      <c r="K1382">
        <v>4</v>
      </c>
      <c r="L1382">
        <v>2.8935185185185184E-3</v>
      </c>
      <c r="M1382" t="s">
        <v>117</v>
      </c>
      <c r="N1382" t="s">
        <v>1367</v>
      </c>
      <c r="O1382" s="24">
        <v>46133</v>
      </c>
      <c r="P1382">
        <v>605</v>
      </c>
      <c r="Q1382" t="s">
        <v>34</v>
      </c>
      <c r="R1382">
        <v>46137</v>
      </c>
      <c r="S1382" s="51">
        <v>0.66597222222222219</v>
      </c>
      <c r="T1382" s="51">
        <v>0.71180555555555558</v>
      </c>
      <c r="X1382" t="s">
        <v>3348</v>
      </c>
      <c r="Y1382" t="s">
        <v>3029</v>
      </c>
      <c r="Z1382">
        <v>2777672</v>
      </c>
    </row>
    <row r="1383" spans="1:26" x14ac:dyDescent="0.25">
      <c r="A1383">
        <v>1379</v>
      </c>
      <c r="B1383" t="s">
        <v>26</v>
      </c>
      <c r="C1383" t="s">
        <v>27</v>
      </c>
      <c r="D1383">
        <v>15</v>
      </c>
      <c r="E1383" t="s">
        <v>1279</v>
      </c>
      <c r="F1383" t="s">
        <v>44</v>
      </c>
      <c r="G1383">
        <v>4243</v>
      </c>
      <c r="H1383" t="s">
        <v>54</v>
      </c>
      <c r="I1383" t="s">
        <v>1119</v>
      </c>
      <c r="J1383">
        <v>8</v>
      </c>
      <c r="K1383">
        <v>23</v>
      </c>
      <c r="L1383">
        <v>2.8460648148148148E-2</v>
      </c>
      <c r="M1383" t="s">
        <v>3079</v>
      </c>
      <c r="X1383" t="s">
        <v>3349</v>
      </c>
    </row>
    <row r="1384" spans="1:26" x14ac:dyDescent="0.25">
      <c r="A1384">
        <v>1380</v>
      </c>
      <c r="B1384" t="s">
        <v>26</v>
      </c>
      <c r="C1384" t="s">
        <v>27</v>
      </c>
      <c r="D1384">
        <v>15</v>
      </c>
      <c r="E1384" t="s">
        <v>1277</v>
      </c>
      <c r="F1384" t="s">
        <v>44</v>
      </c>
      <c r="G1384">
        <v>4242</v>
      </c>
      <c r="H1384" t="s">
        <v>54</v>
      </c>
      <c r="I1384" t="s">
        <v>1119</v>
      </c>
      <c r="J1384">
        <v>8</v>
      </c>
      <c r="K1384">
        <v>23</v>
      </c>
      <c r="L1384">
        <v>2.8460648148148148E-2</v>
      </c>
      <c r="M1384" t="s">
        <v>3079</v>
      </c>
      <c r="X1384" t="s">
        <v>3350</v>
      </c>
    </row>
    <row r="1385" spans="1:26" x14ac:dyDescent="0.25">
      <c r="A1385">
        <v>1381</v>
      </c>
      <c r="B1385" t="s">
        <v>26</v>
      </c>
      <c r="C1385" t="s">
        <v>27</v>
      </c>
      <c r="D1385">
        <v>15</v>
      </c>
      <c r="E1385" t="s">
        <v>1275</v>
      </c>
      <c r="F1385" t="s">
        <v>44</v>
      </c>
      <c r="G1385">
        <v>4241</v>
      </c>
      <c r="H1385" t="s">
        <v>54</v>
      </c>
      <c r="I1385" t="s">
        <v>1119</v>
      </c>
      <c r="J1385">
        <v>8</v>
      </c>
      <c r="K1385">
        <v>23</v>
      </c>
      <c r="L1385">
        <v>2.8460648148148148E-2</v>
      </c>
      <c r="M1385" t="s">
        <v>3079</v>
      </c>
      <c r="X1385" t="s">
        <v>3351</v>
      </c>
    </row>
    <row r="1386" spans="1:26" x14ac:dyDescent="0.25">
      <c r="A1386">
        <v>1382</v>
      </c>
      <c r="B1386" t="s">
        <v>26</v>
      </c>
      <c r="C1386" t="s">
        <v>27</v>
      </c>
      <c r="D1386">
        <v>15</v>
      </c>
      <c r="E1386" t="s">
        <v>2835</v>
      </c>
      <c r="F1386" t="s">
        <v>44</v>
      </c>
      <c r="G1386">
        <v>3669</v>
      </c>
      <c r="H1386" t="s">
        <v>45</v>
      </c>
      <c r="I1386" t="s">
        <v>1119</v>
      </c>
      <c r="J1386">
        <v>8</v>
      </c>
      <c r="K1386">
        <v>15</v>
      </c>
      <c r="L1386">
        <v>1.9444444444444445E-2</v>
      </c>
      <c r="M1386" t="s">
        <v>3079</v>
      </c>
      <c r="X1386" t="s">
        <v>3352</v>
      </c>
    </row>
    <row r="1387" spans="1:26" x14ac:dyDescent="0.25">
      <c r="A1387">
        <v>1383</v>
      </c>
      <c r="B1387" t="s">
        <v>26</v>
      </c>
      <c r="C1387" t="s">
        <v>27</v>
      </c>
      <c r="D1387">
        <v>15</v>
      </c>
      <c r="E1387" t="s">
        <v>2837</v>
      </c>
      <c r="F1387" t="s">
        <v>44</v>
      </c>
      <c r="G1387">
        <v>3669</v>
      </c>
      <c r="H1387" t="s">
        <v>54</v>
      </c>
      <c r="I1387" t="s">
        <v>1119</v>
      </c>
      <c r="J1387">
        <v>8</v>
      </c>
      <c r="K1387">
        <v>8</v>
      </c>
      <c r="L1387">
        <v>9.3402777777777772E-3</v>
      </c>
      <c r="M1387" t="s">
        <v>3079</v>
      </c>
      <c r="X1387" t="s">
        <v>3352</v>
      </c>
    </row>
    <row r="1388" spans="1:26" x14ac:dyDescent="0.25">
      <c r="A1388">
        <v>1384</v>
      </c>
      <c r="B1388" t="s">
        <v>26</v>
      </c>
      <c r="C1388" t="s">
        <v>27</v>
      </c>
      <c r="D1388">
        <v>15</v>
      </c>
      <c r="E1388" t="s">
        <v>1264</v>
      </c>
      <c r="F1388" t="s">
        <v>44</v>
      </c>
      <c r="G1388">
        <v>3670</v>
      </c>
      <c r="H1388" t="s">
        <v>45</v>
      </c>
      <c r="I1388" t="s">
        <v>1119</v>
      </c>
      <c r="J1388">
        <v>8</v>
      </c>
      <c r="K1388">
        <v>23</v>
      </c>
      <c r="L1388">
        <v>2.8912037037037035E-2</v>
      </c>
      <c r="M1388" t="s">
        <v>3079</v>
      </c>
      <c r="X1388" t="s">
        <v>3353</v>
      </c>
    </row>
    <row r="1389" spans="1:26" x14ac:dyDescent="0.25">
      <c r="A1389">
        <v>1385</v>
      </c>
      <c r="B1389" t="s">
        <v>26</v>
      </c>
      <c r="C1389" t="s">
        <v>27</v>
      </c>
      <c r="D1389">
        <v>15</v>
      </c>
      <c r="E1389" t="s">
        <v>1266</v>
      </c>
      <c r="F1389" t="s">
        <v>44</v>
      </c>
      <c r="G1389">
        <v>3671</v>
      </c>
      <c r="H1389" t="s">
        <v>45</v>
      </c>
      <c r="I1389" t="s">
        <v>1119</v>
      </c>
      <c r="J1389">
        <v>8</v>
      </c>
      <c r="K1389">
        <v>23</v>
      </c>
      <c r="L1389">
        <v>2.8912037037037035E-2</v>
      </c>
      <c r="M1389" t="s">
        <v>3079</v>
      </c>
      <c r="X1389" t="s">
        <v>3354</v>
      </c>
    </row>
    <row r="1390" spans="1:26" x14ac:dyDescent="0.25">
      <c r="A1390">
        <v>1386</v>
      </c>
      <c r="B1390" t="s">
        <v>26</v>
      </c>
      <c r="C1390" t="s">
        <v>27</v>
      </c>
      <c r="D1390">
        <v>15</v>
      </c>
      <c r="E1390" t="s">
        <v>2840</v>
      </c>
      <c r="F1390" t="s">
        <v>44</v>
      </c>
      <c r="G1390">
        <v>4240</v>
      </c>
      <c r="H1390" t="s">
        <v>45</v>
      </c>
      <c r="I1390" t="s">
        <v>1119</v>
      </c>
      <c r="J1390">
        <v>8</v>
      </c>
      <c r="K1390">
        <v>22</v>
      </c>
      <c r="L1390">
        <v>2.7199074074074073E-2</v>
      </c>
      <c r="M1390" t="s">
        <v>117</v>
      </c>
      <c r="N1390" t="s">
        <v>1099</v>
      </c>
      <c r="O1390" s="24">
        <v>46137</v>
      </c>
      <c r="P1390">
        <v>605</v>
      </c>
      <c r="Q1390" t="s">
        <v>34</v>
      </c>
      <c r="R1390">
        <v>46135</v>
      </c>
      <c r="S1390" s="51">
        <v>0.59444444444444444</v>
      </c>
      <c r="T1390" s="51">
        <v>0.60763888888888884</v>
      </c>
      <c r="X1390" t="s">
        <v>3355</v>
      </c>
      <c r="Y1390" t="s">
        <v>3029</v>
      </c>
      <c r="Z1390">
        <v>1742398</v>
      </c>
    </row>
    <row r="1391" spans="1:26" x14ac:dyDescent="0.25">
      <c r="A1391">
        <v>1387</v>
      </c>
      <c r="B1391" t="s">
        <v>26</v>
      </c>
      <c r="C1391" t="s">
        <v>27</v>
      </c>
      <c r="D1391">
        <v>15</v>
      </c>
      <c r="E1391" t="s">
        <v>2195</v>
      </c>
      <c r="F1391" t="s">
        <v>44</v>
      </c>
      <c r="G1391">
        <v>4240</v>
      </c>
      <c r="H1391" t="s">
        <v>48</v>
      </c>
      <c r="I1391" t="s">
        <v>1119</v>
      </c>
      <c r="J1391">
        <v>8</v>
      </c>
      <c r="K1391">
        <v>1</v>
      </c>
      <c r="L1391">
        <v>1.2268518518518518E-3</v>
      </c>
      <c r="M1391" t="s">
        <v>117</v>
      </c>
      <c r="N1391" t="s">
        <v>1099</v>
      </c>
      <c r="O1391" s="24">
        <v>46137</v>
      </c>
      <c r="P1391">
        <v>605</v>
      </c>
      <c r="Q1391" t="s">
        <v>34</v>
      </c>
      <c r="R1391">
        <v>46135</v>
      </c>
      <c r="S1391" s="51">
        <v>0.59444444444444444</v>
      </c>
      <c r="T1391" s="51">
        <v>0.60763888888888884</v>
      </c>
      <c r="X1391" t="s">
        <v>3355</v>
      </c>
      <c r="Y1391" t="s">
        <v>3029</v>
      </c>
      <c r="Z1391">
        <v>1742398</v>
      </c>
    </row>
    <row r="1392" spans="1:26" x14ac:dyDescent="0.25">
      <c r="A1392">
        <v>1388</v>
      </c>
      <c r="B1392" t="s">
        <v>26</v>
      </c>
      <c r="C1392" t="s">
        <v>27</v>
      </c>
      <c r="D1392">
        <v>15</v>
      </c>
      <c r="E1392" t="s">
        <v>49</v>
      </c>
      <c r="F1392" t="s">
        <v>44</v>
      </c>
      <c r="G1392">
        <v>3686</v>
      </c>
      <c r="H1392" t="s">
        <v>48</v>
      </c>
      <c r="I1392" t="s">
        <v>1119</v>
      </c>
      <c r="J1392">
        <v>8</v>
      </c>
      <c r="K1392">
        <v>23</v>
      </c>
      <c r="L1392">
        <v>2.9594907407407407E-2</v>
      </c>
      <c r="M1392" t="s">
        <v>3079</v>
      </c>
      <c r="X1392" t="s">
        <v>3356</v>
      </c>
    </row>
    <row r="1393" spans="1:26" x14ac:dyDescent="0.25">
      <c r="A1393">
        <v>1389</v>
      </c>
      <c r="B1393" t="s">
        <v>26</v>
      </c>
      <c r="C1393" t="s">
        <v>27</v>
      </c>
      <c r="D1393">
        <v>15</v>
      </c>
      <c r="E1393" t="s">
        <v>49</v>
      </c>
      <c r="F1393" t="s">
        <v>44</v>
      </c>
      <c r="G1393">
        <v>3687</v>
      </c>
      <c r="H1393" t="s">
        <v>48</v>
      </c>
      <c r="I1393" t="s">
        <v>1119</v>
      </c>
      <c r="J1393">
        <v>8</v>
      </c>
      <c r="K1393">
        <v>23</v>
      </c>
      <c r="L1393">
        <v>2.9594907407407407E-2</v>
      </c>
      <c r="M1393" t="s">
        <v>3079</v>
      </c>
      <c r="X1393" t="s">
        <v>3357</v>
      </c>
    </row>
    <row r="1394" spans="1:26" x14ac:dyDescent="0.25">
      <c r="A1394">
        <v>1390</v>
      </c>
      <c r="B1394" t="s">
        <v>26</v>
      </c>
      <c r="C1394" t="s">
        <v>27</v>
      </c>
      <c r="D1394">
        <v>15</v>
      </c>
      <c r="E1394" t="s">
        <v>49</v>
      </c>
      <c r="F1394" t="s">
        <v>44</v>
      </c>
      <c r="G1394">
        <v>3688</v>
      </c>
      <c r="H1394" t="s">
        <v>48</v>
      </c>
      <c r="I1394" t="s">
        <v>1119</v>
      </c>
      <c r="J1394">
        <v>8</v>
      </c>
      <c r="K1394">
        <v>23</v>
      </c>
      <c r="L1394">
        <v>2.9594907407407407E-2</v>
      </c>
      <c r="M1394" t="s">
        <v>3079</v>
      </c>
      <c r="X1394" t="s">
        <v>3358</v>
      </c>
    </row>
    <row r="1395" spans="1:26" x14ac:dyDescent="0.25">
      <c r="A1395">
        <v>1391</v>
      </c>
      <c r="B1395" t="s">
        <v>26</v>
      </c>
      <c r="C1395" t="s">
        <v>27</v>
      </c>
      <c r="D1395">
        <v>15</v>
      </c>
      <c r="E1395" t="s">
        <v>367</v>
      </c>
      <c r="F1395" t="s">
        <v>368</v>
      </c>
      <c r="G1395">
        <v>4188</v>
      </c>
      <c r="H1395" t="s">
        <v>1677</v>
      </c>
      <c r="I1395" t="s">
        <v>1674</v>
      </c>
      <c r="J1395">
        <v>16</v>
      </c>
      <c r="K1395">
        <v>1</v>
      </c>
      <c r="L1395">
        <v>1.6087962962962963E-3</v>
      </c>
      <c r="M1395" t="s">
        <v>117</v>
      </c>
      <c r="N1395" t="s">
        <v>1082</v>
      </c>
      <c r="O1395" s="24">
        <v>46133</v>
      </c>
      <c r="P1395">
        <v>606</v>
      </c>
      <c r="Q1395" t="s">
        <v>34</v>
      </c>
      <c r="R1395">
        <v>46135</v>
      </c>
      <c r="S1395" s="51">
        <v>0.85069444444444442</v>
      </c>
      <c r="T1395" s="51">
        <v>0.95833333333333337</v>
      </c>
      <c r="X1395" t="s">
        <v>3359</v>
      </c>
      <c r="Y1395" t="s">
        <v>3035</v>
      </c>
      <c r="Z1395">
        <v>2777656</v>
      </c>
    </row>
    <row r="1396" spans="1:26" x14ac:dyDescent="0.25">
      <c r="A1396">
        <v>1392</v>
      </c>
      <c r="B1396" t="s">
        <v>26</v>
      </c>
      <c r="C1396" t="s">
        <v>27</v>
      </c>
      <c r="D1396">
        <v>15</v>
      </c>
      <c r="E1396" t="s">
        <v>367</v>
      </c>
      <c r="F1396" t="s">
        <v>368</v>
      </c>
      <c r="G1396">
        <v>4188</v>
      </c>
      <c r="H1396" t="s">
        <v>1673</v>
      </c>
      <c r="I1396" t="s">
        <v>1674</v>
      </c>
      <c r="J1396">
        <v>16</v>
      </c>
      <c r="K1396">
        <v>1</v>
      </c>
      <c r="L1396">
        <v>1.6087962962962963E-3</v>
      </c>
      <c r="M1396" t="s">
        <v>117</v>
      </c>
      <c r="N1396" t="s">
        <v>1082</v>
      </c>
      <c r="O1396" s="24">
        <v>46133</v>
      </c>
      <c r="P1396">
        <v>606</v>
      </c>
      <c r="Q1396" t="s">
        <v>34</v>
      </c>
      <c r="R1396">
        <v>46135</v>
      </c>
      <c r="S1396" s="51">
        <v>0.85069444444444442</v>
      </c>
      <c r="T1396" s="51">
        <v>0.95833333333333337</v>
      </c>
      <c r="X1396" t="s">
        <v>3359</v>
      </c>
      <c r="Y1396" t="s">
        <v>3035</v>
      </c>
      <c r="Z1396">
        <v>2777656</v>
      </c>
    </row>
    <row r="1397" spans="1:26" x14ac:dyDescent="0.25">
      <c r="A1397">
        <v>1393</v>
      </c>
      <c r="B1397" t="s">
        <v>26</v>
      </c>
      <c r="C1397" t="s">
        <v>27</v>
      </c>
      <c r="D1397">
        <v>15</v>
      </c>
      <c r="E1397" t="s">
        <v>367</v>
      </c>
      <c r="F1397" t="s">
        <v>367</v>
      </c>
      <c r="G1397">
        <v>4188</v>
      </c>
      <c r="H1397" t="s">
        <v>1772</v>
      </c>
      <c r="I1397" t="s">
        <v>1771</v>
      </c>
      <c r="J1397">
        <v>16</v>
      </c>
      <c r="K1397">
        <v>1</v>
      </c>
      <c r="L1397">
        <v>1.0763888888888889E-3</v>
      </c>
      <c r="M1397" t="s">
        <v>117</v>
      </c>
      <c r="N1397" t="s">
        <v>1082</v>
      </c>
      <c r="O1397" s="24">
        <v>46133</v>
      </c>
      <c r="P1397">
        <v>606</v>
      </c>
      <c r="Q1397" t="s">
        <v>34</v>
      </c>
      <c r="R1397">
        <v>46135</v>
      </c>
      <c r="S1397" s="51">
        <v>0.85069444444444442</v>
      </c>
      <c r="T1397" s="51">
        <v>0.95833333333333337</v>
      </c>
      <c r="X1397" t="s">
        <v>3359</v>
      </c>
      <c r="Y1397" t="s">
        <v>3035</v>
      </c>
      <c r="Z1397">
        <v>2777656</v>
      </c>
    </row>
    <row r="1398" spans="1:26" x14ac:dyDescent="0.25">
      <c r="A1398">
        <v>1394</v>
      </c>
      <c r="B1398" t="s">
        <v>26</v>
      </c>
      <c r="C1398" t="s">
        <v>27</v>
      </c>
      <c r="D1398">
        <v>15</v>
      </c>
      <c r="E1398" t="s">
        <v>367</v>
      </c>
      <c r="F1398" t="s">
        <v>367</v>
      </c>
      <c r="G1398">
        <v>4188</v>
      </c>
      <c r="H1398" t="s">
        <v>1770</v>
      </c>
      <c r="I1398" t="s">
        <v>1771</v>
      </c>
      <c r="J1398">
        <v>16</v>
      </c>
      <c r="K1398">
        <v>1</v>
      </c>
      <c r="L1398">
        <v>1.1342592592592591E-3</v>
      </c>
      <c r="M1398" t="s">
        <v>117</v>
      </c>
      <c r="N1398" t="s">
        <v>1082</v>
      </c>
      <c r="O1398" s="24">
        <v>46133</v>
      </c>
      <c r="P1398">
        <v>606</v>
      </c>
      <c r="Q1398" t="s">
        <v>34</v>
      </c>
      <c r="R1398">
        <v>46135</v>
      </c>
      <c r="S1398" s="51">
        <v>0.85069444444444442</v>
      </c>
      <c r="T1398" s="51">
        <v>0.95833333333333337</v>
      </c>
      <c r="X1398" t="s">
        <v>3359</v>
      </c>
      <c r="Y1398" t="s">
        <v>3035</v>
      </c>
      <c r="Z1398">
        <v>2777656</v>
      </c>
    </row>
    <row r="1399" spans="1:26" x14ac:dyDescent="0.25">
      <c r="A1399">
        <v>1395</v>
      </c>
      <c r="B1399" t="s">
        <v>26</v>
      </c>
      <c r="C1399" t="s">
        <v>27</v>
      </c>
      <c r="D1399">
        <v>15</v>
      </c>
      <c r="E1399" t="s">
        <v>829</v>
      </c>
      <c r="F1399" t="s">
        <v>367</v>
      </c>
      <c r="G1399">
        <v>4188</v>
      </c>
      <c r="H1399" t="s">
        <v>1682</v>
      </c>
      <c r="I1399" t="s">
        <v>2776</v>
      </c>
      <c r="J1399">
        <v>16</v>
      </c>
      <c r="K1399">
        <v>1</v>
      </c>
      <c r="L1399">
        <v>1.8634259259259259E-3</v>
      </c>
      <c r="M1399" t="s">
        <v>117</v>
      </c>
      <c r="N1399" t="s">
        <v>1082</v>
      </c>
      <c r="O1399" s="24">
        <v>46133</v>
      </c>
      <c r="P1399">
        <v>606</v>
      </c>
      <c r="Q1399" t="s">
        <v>34</v>
      </c>
      <c r="R1399">
        <v>46135</v>
      </c>
      <c r="S1399" s="51">
        <v>0.85069444444444442</v>
      </c>
      <c r="T1399" s="51">
        <v>0.95833333333333337</v>
      </c>
      <c r="X1399" t="s">
        <v>3359</v>
      </c>
      <c r="Y1399" t="s">
        <v>3035</v>
      </c>
      <c r="Z1399">
        <v>2777656</v>
      </c>
    </row>
    <row r="1400" spans="1:26" x14ac:dyDescent="0.25">
      <c r="A1400">
        <v>1396</v>
      </c>
      <c r="B1400" t="s">
        <v>26</v>
      </c>
      <c r="C1400" t="s">
        <v>27</v>
      </c>
      <c r="D1400">
        <v>15</v>
      </c>
      <c r="E1400" t="s">
        <v>829</v>
      </c>
      <c r="F1400" t="s">
        <v>367</v>
      </c>
      <c r="G1400">
        <v>4188</v>
      </c>
      <c r="H1400" t="s">
        <v>2502</v>
      </c>
      <c r="I1400" t="s">
        <v>2503</v>
      </c>
      <c r="J1400">
        <v>16</v>
      </c>
      <c r="K1400">
        <v>1</v>
      </c>
      <c r="L1400">
        <v>1.5393518518518519E-3</v>
      </c>
      <c r="M1400" t="s">
        <v>117</v>
      </c>
      <c r="N1400" t="s">
        <v>1082</v>
      </c>
      <c r="O1400" s="24">
        <v>46133</v>
      </c>
      <c r="P1400">
        <v>606</v>
      </c>
      <c r="Q1400" t="s">
        <v>34</v>
      </c>
      <c r="R1400">
        <v>46135</v>
      </c>
      <c r="S1400" s="51">
        <v>0.85069444444444442</v>
      </c>
      <c r="T1400" s="51">
        <v>0.95833333333333337</v>
      </c>
      <c r="X1400" t="s">
        <v>3359</v>
      </c>
      <c r="Y1400" t="s">
        <v>3035</v>
      </c>
      <c r="Z1400">
        <v>2777656</v>
      </c>
    </row>
    <row r="1401" spans="1:26" x14ac:dyDescent="0.25">
      <c r="A1401">
        <v>1397</v>
      </c>
      <c r="B1401" t="s">
        <v>26</v>
      </c>
      <c r="C1401" t="s">
        <v>27</v>
      </c>
      <c r="D1401">
        <v>15</v>
      </c>
      <c r="E1401" t="s">
        <v>367</v>
      </c>
      <c r="F1401" t="s">
        <v>367</v>
      </c>
      <c r="G1401">
        <v>4188</v>
      </c>
      <c r="H1401" t="s">
        <v>1684</v>
      </c>
      <c r="I1401" t="s">
        <v>2777</v>
      </c>
      <c r="J1401">
        <v>16</v>
      </c>
      <c r="K1401">
        <v>1</v>
      </c>
      <c r="L1401">
        <v>1.1574074074074073E-3</v>
      </c>
      <c r="M1401" t="s">
        <v>117</v>
      </c>
      <c r="N1401" t="s">
        <v>1082</v>
      </c>
      <c r="O1401" s="24">
        <v>46133</v>
      </c>
      <c r="P1401">
        <v>606</v>
      </c>
      <c r="Q1401" t="s">
        <v>34</v>
      </c>
      <c r="R1401">
        <v>46135</v>
      </c>
      <c r="S1401" s="51">
        <v>0.85069444444444442</v>
      </c>
      <c r="T1401" s="51">
        <v>0.95833333333333337</v>
      </c>
      <c r="X1401" t="s">
        <v>3359</v>
      </c>
      <c r="Y1401" t="s">
        <v>3035</v>
      </c>
      <c r="Z1401">
        <v>2777656</v>
      </c>
    </row>
    <row r="1402" spans="1:26" x14ac:dyDescent="0.25">
      <c r="A1402">
        <v>1398</v>
      </c>
      <c r="B1402" t="s">
        <v>26</v>
      </c>
      <c r="C1402" t="s">
        <v>27</v>
      </c>
      <c r="D1402">
        <v>15</v>
      </c>
      <c r="E1402" t="s">
        <v>829</v>
      </c>
      <c r="F1402" t="s">
        <v>367</v>
      </c>
      <c r="G1402">
        <v>4188</v>
      </c>
      <c r="H1402" t="s">
        <v>2504</v>
      </c>
      <c r="I1402" t="s">
        <v>2503</v>
      </c>
      <c r="J1402">
        <v>16</v>
      </c>
      <c r="K1402">
        <v>1</v>
      </c>
      <c r="L1402">
        <v>1.5393518518518519E-3</v>
      </c>
      <c r="M1402" t="s">
        <v>117</v>
      </c>
      <c r="N1402" t="s">
        <v>1082</v>
      </c>
      <c r="O1402" s="24">
        <v>46133</v>
      </c>
      <c r="P1402">
        <v>606</v>
      </c>
      <c r="Q1402" t="s">
        <v>34</v>
      </c>
      <c r="R1402">
        <v>46135</v>
      </c>
      <c r="S1402" s="51">
        <v>0.85069444444444442</v>
      </c>
      <c r="T1402" s="51">
        <v>0.95833333333333337</v>
      </c>
      <c r="X1402" t="s">
        <v>3359</v>
      </c>
      <c r="Y1402" t="s">
        <v>3035</v>
      </c>
      <c r="Z1402">
        <v>2777656</v>
      </c>
    </row>
    <row r="1403" spans="1:26" x14ac:dyDescent="0.25">
      <c r="A1403">
        <v>1399</v>
      </c>
      <c r="B1403" t="s">
        <v>26</v>
      </c>
      <c r="C1403" t="s">
        <v>27</v>
      </c>
      <c r="D1403">
        <v>15</v>
      </c>
      <c r="E1403" t="s">
        <v>829</v>
      </c>
      <c r="F1403" t="s">
        <v>367</v>
      </c>
      <c r="G1403">
        <v>4188</v>
      </c>
      <c r="H1403" t="s">
        <v>1687</v>
      </c>
      <c r="I1403" t="s">
        <v>2776</v>
      </c>
      <c r="J1403">
        <v>16</v>
      </c>
      <c r="K1403">
        <v>1</v>
      </c>
      <c r="L1403">
        <v>1.9212962962962962E-3</v>
      </c>
      <c r="M1403" t="s">
        <v>117</v>
      </c>
      <c r="N1403" t="s">
        <v>1082</v>
      </c>
      <c r="O1403" s="24">
        <v>46133</v>
      </c>
      <c r="P1403">
        <v>606</v>
      </c>
      <c r="Q1403" t="s">
        <v>34</v>
      </c>
      <c r="R1403">
        <v>46135</v>
      </c>
      <c r="S1403" s="51">
        <v>0.85069444444444442</v>
      </c>
      <c r="T1403" s="51">
        <v>0.95833333333333337</v>
      </c>
      <c r="X1403" t="s">
        <v>3359</v>
      </c>
      <c r="Y1403" t="s">
        <v>3035</v>
      </c>
      <c r="Z1403">
        <v>2777656</v>
      </c>
    </row>
    <row r="1404" spans="1:26" x14ac:dyDescent="0.25">
      <c r="A1404">
        <v>1400</v>
      </c>
      <c r="B1404" t="s">
        <v>26</v>
      </c>
      <c r="C1404" t="s">
        <v>27</v>
      </c>
      <c r="D1404">
        <v>15</v>
      </c>
      <c r="E1404" t="s">
        <v>367</v>
      </c>
      <c r="F1404" t="s">
        <v>512</v>
      </c>
      <c r="G1404">
        <v>4188</v>
      </c>
      <c r="H1404" t="s">
        <v>1792</v>
      </c>
      <c r="I1404" t="s">
        <v>1752</v>
      </c>
      <c r="J1404">
        <v>16</v>
      </c>
      <c r="K1404">
        <v>3</v>
      </c>
      <c r="L1404">
        <v>2.5115740740740741E-3</v>
      </c>
      <c r="M1404" t="s">
        <v>117</v>
      </c>
      <c r="N1404" t="s">
        <v>1082</v>
      </c>
      <c r="O1404" s="24">
        <v>46133</v>
      </c>
      <c r="P1404">
        <v>606</v>
      </c>
      <c r="Q1404" t="s">
        <v>34</v>
      </c>
      <c r="R1404">
        <v>46135</v>
      </c>
      <c r="S1404" s="51">
        <v>0.85069444444444442</v>
      </c>
      <c r="T1404" s="51">
        <v>0.95833333333333337</v>
      </c>
      <c r="X1404" t="s">
        <v>3359</v>
      </c>
      <c r="Y1404" t="s">
        <v>3035</v>
      </c>
      <c r="Z1404">
        <v>2777656</v>
      </c>
    </row>
    <row r="1405" spans="1:26" x14ac:dyDescent="0.25">
      <c r="A1405">
        <v>1401</v>
      </c>
      <c r="B1405" t="s">
        <v>26</v>
      </c>
      <c r="C1405" t="s">
        <v>27</v>
      </c>
      <c r="D1405">
        <v>15</v>
      </c>
      <c r="E1405" t="s">
        <v>367</v>
      </c>
      <c r="F1405" t="s">
        <v>512</v>
      </c>
      <c r="G1405">
        <v>4188</v>
      </c>
      <c r="H1405" t="s">
        <v>1751</v>
      </c>
      <c r="I1405" t="s">
        <v>1752</v>
      </c>
      <c r="J1405">
        <v>16</v>
      </c>
      <c r="K1405">
        <v>3</v>
      </c>
      <c r="L1405">
        <v>3.3680555555555556E-3</v>
      </c>
      <c r="M1405" t="s">
        <v>117</v>
      </c>
      <c r="N1405" t="s">
        <v>1082</v>
      </c>
      <c r="O1405" s="24">
        <v>46133</v>
      </c>
      <c r="P1405">
        <v>606</v>
      </c>
      <c r="Q1405" t="s">
        <v>34</v>
      </c>
      <c r="R1405">
        <v>46135</v>
      </c>
      <c r="S1405" s="51">
        <v>0.85069444444444442</v>
      </c>
      <c r="T1405" s="51">
        <v>0.95833333333333337</v>
      </c>
      <c r="X1405" t="s">
        <v>3359</v>
      </c>
      <c r="Y1405" t="s">
        <v>3035</v>
      </c>
      <c r="Z1405">
        <v>2777656</v>
      </c>
    </row>
    <row r="1406" spans="1:26" x14ac:dyDescent="0.25">
      <c r="A1406">
        <v>1402</v>
      </c>
      <c r="B1406" t="s">
        <v>26</v>
      </c>
      <c r="C1406" t="s">
        <v>27</v>
      </c>
      <c r="D1406">
        <v>15</v>
      </c>
      <c r="E1406" t="s">
        <v>367</v>
      </c>
      <c r="F1406" t="s">
        <v>512</v>
      </c>
      <c r="G1406">
        <v>4188</v>
      </c>
      <c r="H1406" t="s">
        <v>1753</v>
      </c>
      <c r="I1406" t="s">
        <v>1752</v>
      </c>
      <c r="J1406">
        <v>16</v>
      </c>
      <c r="K1406">
        <v>3</v>
      </c>
      <c r="L1406">
        <v>2.5115740740740741E-3</v>
      </c>
      <c r="M1406" t="s">
        <v>117</v>
      </c>
      <c r="N1406" t="s">
        <v>1082</v>
      </c>
      <c r="O1406" s="24">
        <v>46133</v>
      </c>
      <c r="P1406">
        <v>606</v>
      </c>
      <c r="Q1406" t="s">
        <v>34</v>
      </c>
      <c r="R1406">
        <v>46135</v>
      </c>
      <c r="S1406" s="51">
        <v>0.85069444444444442</v>
      </c>
      <c r="T1406" s="51">
        <v>0.95833333333333337</v>
      </c>
      <c r="X1406" t="s">
        <v>3359</v>
      </c>
      <c r="Y1406" t="s">
        <v>3035</v>
      </c>
      <c r="Z1406">
        <v>2777656</v>
      </c>
    </row>
    <row r="1407" spans="1:26" x14ac:dyDescent="0.25">
      <c r="A1407">
        <v>1403</v>
      </c>
      <c r="B1407" t="s">
        <v>26</v>
      </c>
      <c r="C1407" t="s">
        <v>27</v>
      </c>
      <c r="D1407">
        <v>15</v>
      </c>
      <c r="E1407" t="s">
        <v>367</v>
      </c>
      <c r="F1407" t="s">
        <v>512</v>
      </c>
      <c r="G1407">
        <v>4188</v>
      </c>
      <c r="H1407" t="s">
        <v>1725</v>
      </c>
      <c r="I1407" t="s">
        <v>1726</v>
      </c>
      <c r="J1407">
        <v>16</v>
      </c>
      <c r="K1407">
        <v>1</v>
      </c>
      <c r="L1407">
        <v>9.2592592592592585E-4</v>
      </c>
      <c r="M1407" t="s">
        <v>117</v>
      </c>
      <c r="N1407" t="s">
        <v>1082</v>
      </c>
      <c r="O1407" s="24">
        <v>46133</v>
      </c>
      <c r="P1407">
        <v>606</v>
      </c>
      <c r="Q1407" t="s">
        <v>34</v>
      </c>
      <c r="R1407">
        <v>46135</v>
      </c>
      <c r="S1407" s="51">
        <v>0.85069444444444442</v>
      </c>
      <c r="T1407" s="51">
        <v>0.95833333333333337</v>
      </c>
      <c r="X1407" t="s">
        <v>3359</v>
      </c>
      <c r="Y1407" t="s">
        <v>3035</v>
      </c>
      <c r="Z1407">
        <v>2777656</v>
      </c>
    </row>
    <row r="1408" spans="1:26" x14ac:dyDescent="0.25">
      <c r="A1408">
        <v>1404</v>
      </c>
      <c r="B1408" t="s">
        <v>26</v>
      </c>
      <c r="C1408" t="s">
        <v>27</v>
      </c>
      <c r="D1408">
        <v>15</v>
      </c>
      <c r="E1408" t="s">
        <v>367</v>
      </c>
      <c r="F1408" t="s">
        <v>512</v>
      </c>
      <c r="G1408">
        <v>4188</v>
      </c>
      <c r="H1408" t="s">
        <v>1727</v>
      </c>
      <c r="I1408" t="s">
        <v>1726</v>
      </c>
      <c r="J1408">
        <v>16</v>
      </c>
      <c r="K1408">
        <v>1</v>
      </c>
      <c r="L1408">
        <v>1.1226851851851851E-3</v>
      </c>
      <c r="M1408" t="s">
        <v>117</v>
      </c>
      <c r="N1408" t="s">
        <v>1082</v>
      </c>
      <c r="O1408" s="24">
        <v>46133</v>
      </c>
      <c r="P1408">
        <v>606</v>
      </c>
      <c r="Q1408" t="s">
        <v>34</v>
      </c>
      <c r="R1408">
        <v>46135</v>
      </c>
      <c r="S1408" s="51">
        <v>0.85069444444444442</v>
      </c>
      <c r="T1408" s="51">
        <v>0.95833333333333337</v>
      </c>
      <c r="X1408" t="s">
        <v>3359</v>
      </c>
      <c r="Y1408" t="s">
        <v>3035</v>
      </c>
      <c r="Z1408">
        <v>2777656</v>
      </c>
    </row>
    <row r="1409" spans="1:26" x14ac:dyDescent="0.25">
      <c r="A1409">
        <v>1405</v>
      </c>
      <c r="B1409" t="s">
        <v>26</v>
      </c>
      <c r="C1409" t="s">
        <v>27</v>
      </c>
      <c r="D1409">
        <v>15</v>
      </c>
      <c r="E1409" t="s">
        <v>2763</v>
      </c>
      <c r="F1409" t="s">
        <v>512</v>
      </c>
      <c r="G1409">
        <v>4188</v>
      </c>
      <c r="H1409" t="s">
        <v>2774</v>
      </c>
      <c r="I1409" t="s">
        <v>1714</v>
      </c>
      <c r="J1409">
        <v>16</v>
      </c>
      <c r="K1409">
        <v>1</v>
      </c>
      <c r="L1409">
        <v>6.2500000000000001E-4</v>
      </c>
      <c r="M1409" t="s">
        <v>117</v>
      </c>
      <c r="N1409" t="s">
        <v>1082</v>
      </c>
      <c r="O1409" s="24">
        <v>46133</v>
      </c>
      <c r="P1409">
        <v>606</v>
      </c>
      <c r="Q1409" t="s">
        <v>34</v>
      </c>
      <c r="R1409">
        <v>46135</v>
      </c>
      <c r="S1409" s="51">
        <v>0.85069444444444442</v>
      </c>
      <c r="T1409" s="51">
        <v>0.95833333333333337</v>
      </c>
      <c r="X1409" t="s">
        <v>3359</v>
      </c>
      <c r="Y1409" t="s">
        <v>3035</v>
      </c>
      <c r="Z1409">
        <v>2777656</v>
      </c>
    </row>
    <row r="1410" spans="1:26" x14ac:dyDescent="0.25">
      <c r="A1410">
        <v>1406</v>
      </c>
      <c r="B1410" t="s">
        <v>26</v>
      </c>
      <c r="C1410" t="s">
        <v>27</v>
      </c>
      <c r="D1410">
        <v>15</v>
      </c>
      <c r="E1410" t="s">
        <v>1588</v>
      </c>
      <c r="F1410" t="s">
        <v>1588</v>
      </c>
      <c r="G1410">
        <v>4188</v>
      </c>
      <c r="H1410" t="s">
        <v>1713</v>
      </c>
      <c r="I1410" t="s">
        <v>1714</v>
      </c>
      <c r="J1410">
        <v>16</v>
      </c>
      <c r="K1410">
        <v>3</v>
      </c>
      <c r="L1410">
        <v>1.8981481481481482E-3</v>
      </c>
      <c r="M1410" t="s">
        <v>117</v>
      </c>
      <c r="N1410" t="s">
        <v>1082</v>
      </c>
      <c r="O1410" s="24">
        <v>46133</v>
      </c>
      <c r="P1410">
        <v>606</v>
      </c>
      <c r="Q1410" t="s">
        <v>34</v>
      </c>
      <c r="R1410">
        <v>46135</v>
      </c>
      <c r="S1410" s="51">
        <v>0.85069444444444442</v>
      </c>
      <c r="T1410" s="51">
        <v>0.95833333333333337</v>
      </c>
      <c r="X1410" t="s">
        <v>3359</v>
      </c>
      <c r="Y1410" t="s">
        <v>3035</v>
      </c>
      <c r="Z1410">
        <v>2777656</v>
      </c>
    </row>
    <row r="1411" spans="1:26" x14ac:dyDescent="0.25">
      <c r="A1411">
        <v>1407</v>
      </c>
      <c r="B1411" t="s">
        <v>26</v>
      </c>
      <c r="C1411" t="s">
        <v>27</v>
      </c>
      <c r="D1411">
        <v>15</v>
      </c>
      <c r="E1411" t="s">
        <v>367</v>
      </c>
      <c r="F1411" t="s">
        <v>512</v>
      </c>
      <c r="G1411">
        <v>4188</v>
      </c>
      <c r="H1411" t="s">
        <v>2638</v>
      </c>
      <c r="I1411" t="s">
        <v>1780</v>
      </c>
      <c r="J1411">
        <v>16</v>
      </c>
      <c r="K1411">
        <v>1</v>
      </c>
      <c r="L1411">
        <v>8.7962962962962962E-4</v>
      </c>
      <c r="M1411" t="s">
        <v>117</v>
      </c>
      <c r="N1411" t="s">
        <v>1082</v>
      </c>
      <c r="O1411" s="24">
        <v>46133</v>
      </c>
      <c r="P1411">
        <v>606</v>
      </c>
      <c r="Q1411" t="s">
        <v>34</v>
      </c>
      <c r="R1411">
        <v>46135</v>
      </c>
      <c r="S1411" s="51">
        <v>0.85069444444444442</v>
      </c>
      <c r="T1411" s="51">
        <v>0.95833333333333337</v>
      </c>
      <c r="X1411" t="s">
        <v>3359</v>
      </c>
      <c r="Y1411" t="s">
        <v>3035</v>
      </c>
      <c r="Z1411">
        <v>2777656</v>
      </c>
    </row>
    <row r="1412" spans="1:26" x14ac:dyDescent="0.25">
      <c r="A1412">
        <v>1408</v>
      </c>
      <c r="B1412" t="s">
        <v>26</v>
      </c>
      <c r="C1412" t="s">
        <v>27</v>
      </c>
      <c r="D1412">
        <v>15</v>
      </c>
      <c r="E1412" t="s">
        <v>367</v>
      </c>
      <c r="F1412" t="s">
        <v>512</v>
      </c>
      <c r="G1412">
        <v>4188</v>
      </c>
      <c r="H1412" t="s">
        <v>1779</v>
      </c>
      <c r="I1412" t="s">
        <v>1780</v>
      </c>
      <c r="J1412">
        <v>16</v>
      </c>
      <c r="K1412">
        <v>4</v>
      </c>
      <c r="L1412">
        <v>3.5532407407407405E-3</v>
      </c>
      <c r="M1412" t="s">
        <v>117</v>
      </c>
      <c r="N1412" t="s">
        <v>1082</v>
      </c>
      <c r="O1412" s="24">
        <v>46133</v>
      </c>
      <c r="P1412">
        <v>606</v>
      </c>
      <c r="Q1412" t="s">
        <v>34</v>
      </c>
      <c r="R1412">
        <v>46135</v>
      </c>
      <c r="S1412" s="51">
        <v>0.85069444444444442</v>
      </c>
      <c r="T1412" s="51">
        <v>0.95833333333333337</v>
      </c>
      <c r="X1412" t="s">
        <v>3359</v>
      </c>
      <c r="Y1412" t="s">
        <v>3035</v>
      </c>
      <c r="Z1412">
        <v>2777656</v>
      </c>
    </row>
    <row r="1413" spans="1:26" x14ac:dyDescent="0.25">
      <c r="A1413">
        <v>1409</v>
      </c>
      <c r="B1413" t="s">
        <v>26</v>
      </c>
      <c r="C1413" t="s">
        <v>27</v>
      </c>
      <c r="D1413">
        <v>15</v>
      </c>
      <c r="E1413" t="s">
        <v>367</v>
      </c>
      <c r="F1413" t="s">
        <v>368</v>
      </c>
      <c r="G1413">
        <v>4189</v>
      </c>
      <c r="H1413" t="s">
        <v>1719</v>
      </c>
      <c r="I1413" t="s">
        <v>1720</v>
      </c>
      <c r="J1413">
        <v>16</v>
      </c>
      <c r="K1413">
        <v>1</v>
      </c>
      <c r="L1413">
        <v>6.8287037037037036E-4</v>
      </c>
      <c r="M1413" t="s">
        <v>117</v>
      </c>
      <c r="N1413" t="s">
        <v>1082</v>
      </c>
      <c r="O1413" s="24">
        <v>46133</v>
      </c>
      <c r="P1413">
        <v>606</v>
      </c>
      <c r="Q1413" t="s">
        <v>34</v>
      </c>
      <c r="R1413">
        <v>46135</v>
      </c>
      <c r="S1413" s="51">
        <v>0.36388888888888887</v>
      </c>
      <c r="T1413" s="51">
        <v>0.41458333333333336</v>
      </c>
      <c r="X1413" t="s">
        <v>3360</v>
      </c>
      <c r="Y1413" t="s">
        <v>3035</v>
      </c>
      <c r="Z1413">
        <v>2777656</v>
      </c>
    </row>
    <row r="1414" spans="1:26" x14ac:dyDescent="0.25">
      <c r="A1414">
        <v>1410</v>
      </c>
      <c r="B1414" t="s">
        <v>26</v>
      </c>
      <c r="C1414" t="s">
        <v>27</v>
      </c>
      <c r="D1414">
        <v>15</v>
      </c>
      <c r="E1414" t="s">
        <v>367</v>
      </c>
      <c r="F1414" t="s">
        <v>368</v>
      </c>
      <c r="G1414">
        <v>4189</v>
      </c>
      <c r="H1414" t="s">
        <v>1677</v>
      </c>
      <c r="I1414" t="s">
        <v>1674</v>
      </c>
      <c r="J1414">
        <v>16</v>
      </c>
      <c r="K1414">
        <v>1</v>
      </c>
      <c r="L1414">
        <v>1.5509259259259259E-3</v>
      </c>
      <c r="M1414" t="s">
        <v>117</v>
      </c>
      <c r="N1414" t="s">
        <v>1082</v>
      </c>
      <c r="O1414" s="24">
        <v>46133</v>
      </c>
      <c r="P1414">
        <v>606</v>
      </c>
      <c r="Q1414" t="s">
        <v>34</v>
      </c>
      <c r="R1414">
        <v>46135</v>
      </c>
      <c r="S1414" s="51">
        <v>0.36388888888888887</v>
      </c>
      <c r="T1414" s="51">
        <v>0.41458333333333336</v>
      </c>
      <c r="X1414" t="s">
        <v>3360</v>
      </c>
      <c r="Y1414" t="s">
        <v>3035</v>
      </c>
      <c r="Z1414">
        <v>2777656</v>
      </c>
    </row>
    <row r="1415" spans="1:26" x14ac:dyDescent="0.25">
      <c r="A1415">
        <v>1411</v>
      </c>
      <c r="B1415" t="s">
        <v>26</v>
      </c>
      <c r="C1415" t="s">
        <v>27</v>
      </c>
      <c r="D1415">
        <v>15</v>
      </c>
      <c r="E1415" t="s">
        <v>367</v>
      </c>
      <c r="F1415" t="s">
        <v>368</v>
      </c>
      <c r="G1415">
        <v>4189</v>
      </c>
      <c r="H1415" t="s">
        <v>1673</v>
      </c>
      <c r="I1415" t="s">
        <v>1674</v>
      </c>
      <c r="J1415">
        <v>16</v>
      </c>
      <c r="K1415">
        <v>1</v>
      </c>
      <c r="L1415">
        <v>1.5509259259259259E-3</v>
      </c>
      <c r="M1415" t="s">
        <v>117</v>
      </c>
      <c r="N1415" t="s">
        <v>1082</v>
      </c>
      <c r="O1415" s="24">
        <v>46133</v>
      </c>
      <c r="P1415">
        <v>606</v>
      </c>
      <c r="Q1415" t="s">
        <v>34</v>
      </c>
      <c r="R1415">
        <v>46135</v>
      </c>
      <c r="S1415" s="51">
        <v>0.36388888888888887</v>
      </c>
      <c r="T1415" s="51">
        <v>0.41458333333333336</v>
      </c>
      <c r="X1415" t="s">
        <v>3360</v>
      </c>
      <c r="Y1415" t="s">
        <v>3035</v>
      </c>
      <c r="Z1415">
        <v>2777656</v>
      </c>
    </row>
    <row r="1416" spans="1:26" x14ac:dyDescent="0.25">
      <c r="A1416">
        <v>1412</v>
      </c>
      <c r="B1416" t="s">
        <v>26</v>
      </c>
      <c r="C1416" t="s">
        <v>27</v>
      </c>
      <c r="D1416">
        <v>15</v>
      </c>
      <c r="E1416" t="s">
        <v>367</v>
      </c>
      <c r="F1416" t="s">
        <v>368</v>
      </c>
      <c r="G1416">
        <v>4189</v>
      </c>
      <c r="H1416" t="s">
        <v>1681</v>
      </c>
      <c r="I1416" t="s">
        <v>1676</v>
      </c>
      <c r="J1416">
        <v>16</v>
      </c>
      <c r="K1416">
        <v>1</v>
      </c>
      <c r="L1416">
        <v>7.407407407407407E-4</v>
      </c>
      <c r="M1416" t="s">
        <v>117</v>
      </c>
      <c r="N1416" t="s">
        <v>1082</v>
      </c>
      <c r="O1416" s="24">
        <v>46133</v>
      </c>
      <c r="P1416">
        <v>606</v>
      </c>
      <c r="Q1416" t="s">
        <v>34</v>
      </c>
      <c r="R1416">
        <v>46135</v>
      </c>
      <c r="S1416" s="51">
        <v>0.36388888888888887</v>
      </c>
      <c r="T1416" s="51">
        <v>0.41458333333333336</v>
      </c>
      <c r="X1416" t="s">
        <v>3360</v>
      </c>
      <c r="Y1416" t="s">
        <v>3035</v>
      </c>
      <c r="Z1416">
        <v>2777656</v>
      </c>
    </row>
    <row r="1417" spans="1:26" x14ac:dyDescent="0.25">
      <c r="A1417">
        <v>1413</v>
      </c>
      <c r="B1417" t="s">
        <v>26</v>
      </c>
      <c r="C1417" t="s">
        <v>27</v>
      </c>
      <c r="D1417">
        <v>15</v>
      </c>
      <c r="E1417" t="s">
        <v>367</v>
      </c>
      <c r="F1417" t="s">
        <v>367</v>
      </c>
      <c r="G1417">
        <v>4189</v>
      </c>
      <c r="H1417" t="s">
        <v>1686</v>
      </c>
      <c r="I1417" t="s">
        <v>2777</v>
      </c>
      <c r="J1417">
        <v>16</v>
      </c>
      <c r="K1417">
        <v>1</v>
      </c>
      <c r="L1417">
        <v>9.1435185185185185E-4</v>
      </c>
      <c r="M1417" t="s">
        <v>117</v>
      </c>
      <c r="N1417" t="s">
        <v>1082</v>
      </c>
      <c r="O1417" s="24">
        <v>46133</v>
      </c>
      <c r="P1417">
        <v>606</v>
      </c>
      <c r="Q1417" t="s">
        <v>34</v>
      </c>
      <c r="R1417">
        <v>46135</v>
      </c>
      <c r="S1417" s="51">
        <v>0.36388888888888887</v>
      </c>
      <c r="T1417" s="51">
        <v>0.41458333333333336</v>
      </c>
      <c r="X1417" t="s">
        <v>3360</v>
      </c>
      <c r="Y1417" t="s">
        <v>3035</v>
      </c>
      <c r="Z1417">
        <v>2777656</v>
      </c>
    </row>
    <row r="1418" spans="1:26" x14ac:dyDescent="0.25">
      <c r="A1418">
        <v>1414</v>
      </c>
      <c r="B1418" t="s">
        <v>26</v>
      </c>
      <c r="C1418" t="s">
        <v>27</v>
      </c>
      <c r="D1418">
        <v>15</v>
      </c>
      <c r="E1418" t="s">
        <v>2778</v>
      </c>
      <c r="F1418" t="s">
        <v>1594</v>
      </c>
      <c r="G1418">
        <v>4189</v>
      </c>
      <c r="H1418" t="s">
        <v>1723</v>
      </c>
      <c r="I1418" t="s">
        <v>1724</v>
      </c>
      <c r="J1418">
        <v>16</v>
      </c>
      <c r="K1418">
        <v>1</v>
      </c>
      <c r="L1418">
        <v>8.7962962962962962E-4</v>
      </c>
      <c r="M1418" t="s">
        <v>117</v>
      </c>
      <c r="N1418" t="s">
        <v>1082</v>
      </c>
      <c r="O1418" s="24">
        <v>46133</v>
      </c>
      <c r="P1418">
        <v>606</v>
      </c>
      <c r="Q1418" t="s">
        <v>34</v>
      </c>
      <c r="R1418">
        <v>46135</v>
      </c>
      <c r="S1418" s="51">
        <v>0.36388888888888887</v>
      </c>
      <c r="T1418" s="51">
        <v>0.41458333333333336</v>
      </c>
      <c r="X1418" t="s">
        <v>3360</v>
      </c>
      <c r="Y1418" t="s">
        <v>3035</v>
      </c>
      <c r="Z1418">
        <v>2777656</v>
      </c>
    </row>
    <row r="1419" spans="1:26" x14ac:dyDescent="0.25">
      <c r="A1419">
        <v>1415</v>
      </c>
      <c r="B1419" t="s">
        <v>26</v>
      </c>
      <c r="C1419" t="s">
        <v>27</v>
      </c>
      <c r="D1419">
        <v>15</v>
      </c>
      <c r="E1419" t="s">
        <v>367</v>
      </c>
      <c r="F1419" t="s">
        <v>512</v>
      </c>
      <c r="G1419">
        <v>4189</v>
      </c>
      <c r="H1419" t="s">
        <v>1792</v>
      </c>
      <c r="I1419" t="s">
        <v>1752</v>
      </c>
      <c r="J1419">
        <v>16</v>
      </c>
      <c r="K1419">
        <v>2</v>
      </c>
      <c r="L1419">
        <v>1.6087962962962963E-3</v>
      </c>
      <c r="M1419" t="s">
        <v>117</v>
      </c>
      <c r="N1419" t="s">
        <v>1082</v>
      </c>
      <c r="O1419" s="24">
        <v>46133</v>
      </c>
      <c r="P1419">
        <v>606</v>
      </c>
      <c r="Q1419" t="s">
        <v>34</v>
      </c>
      <c r="R1419">
        <v>46135</v>
      </c>
      <c r="S1419" s="51">
        <v>0.36388888888888887</v>
      </c>
      <c r="T1419" s="51">
        <v>0.41458333333333336</v>
      </c>
      <c r="X1419" t="s">
        <v>3360</v>
      </c>
      <c r="Y1419" t="s">
        <v>3035</v>
      </c>
      <c r="Z1419">
        <v>2777656</v>
      </c>
    </row>
    <row r="1420" spans="1:26" x14ac:dyDescent="0.25">
      <c r="A1420">
        <v>1416</v>
      </c>
      <c r="B1420" t="s">
        <v>26</v>
      </c>
      <c r="C1420" t="s">
        <v>27</v>
      </c>
      <c r="D1420">
        <v>15</v>
      </c>
      <c r="E1420" t="s">
        <v>367</v>
      </c>
      <c r="F1420" t="s">
        <v>512</v>
      </c>
      <c r="G1420">
        <v>4189</v>
      </c>
      <c r="H1420" t="s">
        <v>1751</v>
      </c>
      <c r="I1420" t="s">
        <v>1752</v>
      </c>
      <c r="J1420">
        <v>16</v>
      </c>
      <c r="K1420">
        <v>2</v>
      </c>
      <c r="L1420">
        <v>2.1527777777777778E-3</v>
      </c>
      <c r="M1420" t="s">
        <v>117</v>
      </c>
      <c r="N1420" t="s">
        <v>1082</v>
      </c>
      <c r="O1420" s="24">
        <v>46133</v>
      </c>
      <c r="P1420">
        <v>606</v>
      </c>
      <c r="Q1420" t="s">
        <v>34</v>
      </c>
      <c r="R1420">
        <v>46135</v>
      </c>
      <c r="S1420" s="51">
        <v>0.36388888888888887</v>
      </c>
      <c r="T1420" s="51">
        <v>0.41458333333333336</v>
      </c>
      <c r="X1420" t="s">
        <v>3360</v>
      </c>
      <c r="Y1420" t="s">
        <v>3035</v>
      </c>
      <c r="Z1420">
        <v>2777656</v>
      </c>
    </row>
    <row r="1421" spans="1:26" x14ac:dyDescent="0.25">
      <c r="A1421">
        <v>1417</v>
      </c>
      <c r="B1421" t="s">
        <v>26</v>
      </c>
      <c r="C1421" t="s">
        <v>27</v>
      </c>
      <c r="D1421">
        <v>15</v>
      </c>
      <c r="E1421" t="s">
        <v>367</v>
      </c>
      <c r="F1421" t="s">
        <v>512</v>
      </c>
      <c r="G1421">
        <v>4189</v>
      </c>
      <c r="H1421" t="s">
        <v>1725</v>
      </c>
      <c r="I1421" t="s">
        <v>1726</v>
      </c>
      <c r="J1421">
        <v>16</v>
      </c>
      <c r="K1421">
        <v>3</v>
      </c>
      <c r="L1421">
        <v>2.685185185185185E-3</v>
      </c>
      <c r="M1421" t="s">
        <v>117</v>
      </c>
      <c r="N1421" t="s">
        <v>1082</v>
      </c>
      <c r="O1421" s="24">
        <v>46133</v>
      </c>
      <c r="P1421">
        <v>606</v>
      </c>
      <c r="Q1421" t="s">
        <v>34</v>
      </c>
      <c r="R1421">
        <v>46135</v>
      </c>
      <c r="S1421" s="51">
        <v>0.36388888888888887</v>
      </c>
      <c r="T1421" s="51">
        <v>0.41458333333333336</v>
      </c>
      <c r="X1421" t="s">
        <v>3360</v>
      </c>
      <c r="Y1421" t="s">
        <v>3035</v>
      </c>
      <c r="Z1421">
        <v>2777656</v>
      </c>
    </row>
    <row r="1422" spans="1:26" x14ac:dyDescent="0.25">
      <c r="A1422">
        <v>1418</v>
      </c>
      <c r="B1422" t="s">
        <v>26</v>
      </c>
      <c r="C1422" t="s">
        <v>27</v>
      </c>
      <c r="D1422">
        <v>15</v>
      </c>
      <c r="E1422" t="s">
        <v>1588</v>
      </c>
      <c r="F1422" t="s">
        <v>512</v>
      </c>
      <c r="G1422">
        <v>4189</v>
      </c>
      <c r="H1422" t="s">
        <v>2627</v>
      </c>
      <c r="I1422" t="s">
        <v>2628</v>
      </c>
      <c r="J1422">
        <v>16</v>
      </c>
      <c r="K1422">
        <v>2</v>
      </c>
      <c r="L1422">
        <v>2.4305555555555556E-3</v>
      </c>
      <c r="M1422" t="s">
        <v>117</v>
      </c>
      <c r="N1422" t="s">
        <v>1082</v>
      </c>
      <c r="O1422" s="24">
        <v>46133</v>
      </c>
      <c r="P1422">
        <v>606</v>
      </c>
      <c r="Q1422" t="s">
        <v>34</v>
      </c>
      <c r="R1422">
        <v>46135</v>
      </c>
      <c r="S1422" s="51">
        <v>0.36388888888888887</v>
      </c>
      <c r="T1422" s="51">
        <v>0.41458333333333336</v>
      </c>
      <c r="X1422" t="s">
        <v>3360</v>
      </c>
      <c r="Y1422" t="s">
        <v>3035</v>
      </c>
      <c r="Z1422">
        <v>2777656</v>
      </c>
    </row>
    <row r="1423" spans="1:26" x14ac:dyDescent="0.25">
      <c r="A1423">
        <v>1419</v>
      </c>
      <c r="B1423" t="s">
        <v>26</v>
      </c>
      <c r="C1423" t="s">
        <v>27</v>
      </c>
      <c r="D1423">
        <v>15</v>
      </c>
      <c r="E1423" t="s">
        <v>1665</v>
      </c>
      <c r="F1423" t="s">
        <v>115</v>
      </c>
      <c r="G1423">
        <v>4189</v>
      </c>
      <c r="H1423" t="s">
        <v>1663</v>
      </c>
      <c r="I1423" t="s">
        <v>1664</v>
      </c>
      <c r="J1423">
        <v>16</v>
      </c>
      <c r="K1423">
        <v>1</v>
      </c>
      <c r="L1423">
        <v>1.5277777777777776E-3</v>
      </c>
      <c r="M1423" t="s">
        <v>117</v>
      </c>
      <c r="N1423" t="s">
        <v>1082</v>
      </c>
      <c r="O1423" s="24">
        <v>46133</v>
      </c>
      <c r="P1423">
        <v>606</v>
      </c>
      <c r="Q1423" t="s">
        <v>34</v>
      </c>
      <c r="R1423">
        <v>46135</v>
      </c>
      <c r="S1423" s="51">
        <v>0.36388888888888887</v>
      </c>
      <c r="T1423" s="51">
        <v>0.41458333333333336</v>
      </c>
      <c r="X1423" t="s">
        <v>3360</v>
      </c>
      <c r="Y1423" t="s">
        <v>3035</v>
      </c>
      <c r="Z1423">
        <v>2777656</v>
      </c>
    </row>
    <row r="1424" spans="1:26" x14ac:dyDescent="0.25">
      <c r="A1424">
        <v>1420</v>
      </c>
      <c r="B1424" t="s">
        <v>26</v>
      </c>
      <c r="C1424" t="s">
        <v>27</v>
      </c>
      <c r="D1424">
        <v>15</v>
      </c>
      <c r="E1424" t="s">
        <v>1672</v>
      </c>
      <c r="F1424" t="s">
        <v>115</v>
      </c>
      <c r="G1424">
        <v>4189</v>
      </c>
      <c r="H1424" t="s">
        <v>1671</v>
      </c>
      <c r="I1424" t="s">
        <v>1664</v>
      </c>
      <c r="J1424">
        <v>16</v>
      </c>
      <c r="K1424">
        <v>1</v>
      </c>
      <c r="L1424">
        <v>1.5277777777777776E-3</v>
      </c>
      <c r="M1424" t="s">
        <v>117</v>
      </c>
      <c r="N1424" t="s">
        <v>1082</v>
      </c>
      <c r="O1424" s="24">
        <v>46133</v>
      </c>
      <c r="P1424">
        <v>606</v>
      </c>
      <c r="Q1424" t="s">
        <v>34</v>
      </c>
      <c r="R1424">
        <v>46135</v>
      </c>
      <c r="S1424" s="51">
        <v>0.36388888888888887</v>
      </c>
      <c r="T1424" s="51">
        <v>0.41458333333333336</v>
      </c>
      <c r="X1424" t="s">
        <v>3360</v>
      </c>
      <c r="Y1424" t="s">
        <v>3035</v>
      </c>
      <c r="Z1424">
        <v>2777656</v>
      </c>
    </row>
    <row r="1425" spans="1:26" x14ac:dyDescent="0.25">
      <c r="A1425">
        <v>1421</v>
      </c>
      <c r="B1425" t="s">
        <v>26</v>
      </c>
      <c r="C1425" t="s">
        <v>27</v>
      </c>
      <c r="D1425">
        <v>15</v>
      </c>
      <c r="E1425" t="s">
        <v>2763</v>
      </c>
      <c r="F1425" t="s">
        <v>512</v>
      </c>
      <c r="G1425">
        <v>4189</v>
      </c>
      <c r="H1425" t="s">
        <v>2847</v>
      </c>
      <c r="I1425" t="s">
        <v>2628</v>
      </c>
      <c r="J1425">
        <v>16</v>
      </c>
      <c r="K1425">
        <v>1</v>
      </c>
      <c r="L1425">
        <v>1.2152777777777778E-3</v>
      </c>
      <c r="M1425" t="s">
        <v>117</v>
      </c>
      <c r="N1425" t="s">
        <v>1082</v>
      </c>
      <c r="O1425" s="24">
        <v>46133</v>
      </c>
      <c r="P1425">
        <v>606</v>
      </c>
      <c r="Q1425" t="s">
        <v>34</v>
      </c>
      <c r="R1425">
        <v>46135</v>
      </c>
      <c r="S1425" s="51">
        <v>0.36388888888888887</v>
      </c>
      <c r="T1425" s="51">
        <v>0.41458333333333336</v>
      </c>
      <c r="X1425" t="s">
        <v>3360</v>
      </c>
      <c r="Y1425" t="s">
        <v>3035</v>
      </c>
      <c r="Z1425">
        <v>2777656</v>
      </c>
    </row>
    <row r="1426" spans="1:26" x14ac:dyDescent="0.25">
      <c r="A1426">
        <v>1422</v>
      </c>
      <c r="B1426" t="s">
        <v>26</v>
      </c>
      <c r="C1426" t="s">
        <v>27</v>
      </c>
      <c r="D1426">
        <v>15</v>
      </c>
      <c r="E1426" t="s">
        <v>2763</v>
      </c>
      <c r="F1426" t="s">
        <v>512</v>
      </c>
      <c r="G1426">
        <v>4189</v>
      </c>
      <c r="H1426" t="s">
        <v>2848</v>
      </c>
      <c r="I1426" t="s">
        <v>2628</v>
      </c>
      <c r="J1426">
        <v>16</v>
      </c>
      <c r="K1426">
        <v>1</v>
      </c>
      <c r="L1426">
        <v>1.2152777777777778E-3</v>
      </c>
      <c r="M1426" t="s">
        <v>117</v>
      </c>
      <c r="N1426" t="s">
        <v>1082</v>
      </c>
      <c r="O1426" s="24">
        <v>46133</v>
      </c>
      <c r="P1426">
        <v>606</v>
      </c>
      <c r="Q1426" t="s">
        <v>34</v>
      </c>
      <c r="R1426">
        <v>46135</v>
      </c>
      <c r="S1426" s="51">
        <v>0.36388888888888887</v>
      </c>
      <c r="T1426" s="51">
        <v>0.41458333333333336</v>
      </c>
      <c r="X1426" t="s">
        <v>3360</v>
      </c>
      <c r="Y1426" t="s">
        <v>3035</v>
      </c>
      <c r="Z1426">
        <v>2777656</v>
      </c>
    </row>
    <row r="1427" spans="1:26" x14ac:dyDescent="0.25">
      <c r="A1427">
        <v>1423</v>
      </c>
      <c r="B1427" t="s">
        <v>26</v>
      </c>
      <c r="C1427" t="s">
        <v>27</v>
      </c>
      <c r="D1427">
        <v>15</v>
      </c>
      <c r="E1427" t="s">
        <v>2763</v>
      </c>
      <c r="F1427" t="s">
        <v>512</v>
      </c>
      <c r="G1427">
        <v>4189</v>
      </c>
      <c r="H1427" t="s">
        <v>2849</v>
      </c>
      <c r="I1427" t="s">
        <v>1722</v>
      </c>
      <c r="J1427">
        <v>16</v>
      </c>
      <c r="K1427">
        <v>2</v>
      </c>
      <c r="L1427">
        <v>1.3078703703703703E-3</v>
      </c>
      <c r="M1427" t="s">
        <v>117</v>
      </c>
      <c r="N1427" t="s">
        <v>1082</v>
      </c>
      <c r="O1427" s="24">
        <v>46133</v>
      </c>
      <c r="P1427">
        <v>606</v>
      </c>
      <c r="Q1427" t="s">
        <v>34</v>
      </c>
      <c r="R1427">
        <v>46135</v>
      </c>
      <c r="S1427" s="51">
        <v>0.36388888888888887</v>
      </c>
      <c r="T1427" s="51">
        <v>0.41458333333333336</v>
      </c>
      <c r="X1427" t="s">
        <v>3360</v>
      </c>
      <c r="Y1427" t="s">
        <v>3035</v>
      </c>
      <c r="Z1427">
        <v>2777656</v>
      </c>
    </row>
    <row r="1428" spans="1:26" x14ac:dyDescent="0.25">
      <c r="A1428">
        <v>1424</v>
      </c>
      <c r="B1428" t="s">
        <v>26</v>
      </c>
      <c r="C1428" t="s">
        <v>27</v>
      </c>
      <c r="D1428">
        <v>15</v>
      </c>
      <c r="E1428" t="s">
        <v>2763</v>
      </c>
      <c r="F1428" t="s">
        <v>512</v>
      </c>
      <c r="G1428">
        <v>4189</v>
      </c>
      <c r="H1428" t="s">
        <v>2850</v>
      </c>
      <c r="I1428" t="s">
        <v>2851</v>
      </c>
      <c r="J1428">
        <v>16</v>
      </c>
      <c r="K1428">
        <v>2</v>
      </c>
      <c r="L1428">
        <v>1.3657407407407407E-3</v>
      </c>
      <c r="M1428" t="s">
        <v>117</v>
      </c>
      <c r="N1428" t="s">
        <v>1082</v>
      </c>
      <c r="O1428" s="24">
        <v>46133</v>
      </c>
      <c r="P1428">
        <v>606</v>
      </c>
      <c r="Q1428" t="s">
        <v>34</v>
      </c>
      <c r="R1428">
        <v>46135</v>
      </c>
      <c r="S1428" s="51">
        <v>0.36388888888888887</v>
      </c>
      <c r="T1428" s="51">
        <v>0.41458333333333336</v>
      </c>
      <c r="X1428" t="s">
        <v>3360</v>
      </c>
      <c r="Y1428" t="s">
        <v>3035</v>
      </c>
      <c r="Z1428">
        <v>2777656</v>
      </c>
    </row>
    <row r="1429" spans="1:26" x14ac:dyDescent="0.25">
      <c r="A1429">
        <v>1425</v>
      </c>
      <c r="B1429" t="s">
        <v>26</v>
      </c>
      <c r="C1429" t="s">
        <v>27</v>
      </c>
      <c r="D1429">
        <v>15</v>
      </c>
      <c r="E1429" t="s">
        <v>2763</v>
      </c>
      <c r="F1429" t="s">
        <v>512</v>
      </c>
      <c r="G1429">
        <v>4189</v>
      </c>
      <c r="H1429" t="s">
        <v>2852</v>
      </c>
      <c r="I1429" t="s">
        <v>2853</v>
      </c>
      <c r="J1429">
        <v>16</v>
      </c>
      <c r="K1429">
        <v>2</v>
      </c>
      <c r="L1429">
        <v>1.3773148148148147E-3</v>
      </c>
      <c r="M1429" t="s">
        <v>117</v>
      </c>
      <c r="N1429" t="s">
        <v>1082</v>
      </c>
      <c r="O1429" s="24">
        <v>46133</v>
      </c>
      <c r="P1429">
        <v>606</v>
      </c>
      <c r="Q1429" t="s">
        <v>34</v>
      </c>
      <c r="R1429">
        <v>46135</v>
      </c>
      <c r="S1429" s="51">
        <v>0.36388888888888887</v>
      </c>
      <c r="T1429" s="51">
        <v>0.41458333333333336</v>
      </c>
      <c r="X1429" t="s">
        <v>3360</v>
      </c>
      <c r="Y1429" t="s">
        <v>3035</v>
      </c>
      <c r="Z1429">
        <v>2777656</v>
      </c>
    </row>
    <row r="1430" spans="1:26" x14ac:dyDescent="0.25">
      <c r="A1430">
        <v>1426</v>
      </c>
      <c r="B1430" t="s">
        <v>26</v>
      </c>
      <c r="C1430" t="s">
        <v>27</v>
      </c>
      <c r="D1430">
        <v>15</v>
      </c>
      <c r="E1430" t="s">
        <v>2763</v>
      </c>
      <c r="F1430" t="s">
        <v>512</v>
      </c>
      <c r="G1430">
        <v>4189</v>
      </c>
      <c r="H1430" t="s">
        <v>2854</v>
      </c>
      <c r="I1430" t="s">
        <v>1714</v>
      </c>
      <c r="J1430">
        <v>16</v>
      </c>
      <c r="K1430">
        <v>1</v>
      </c>
      <c r="L1430">
        <v>6.0185185185185179E-4</v>
      </c>
      <c r="M1430" t="s">
        <v>117</v>
      </c>
      <c r="N1430" t="s">
        <v>1082</v>
      </c>
      <c r="O1430" s="24">
        <v>46133</v>
      </c>
      <c r="P1430">
        <v>606</v>
      </c>
      <c r="Q1430" t="s">
        <v>34</v>
      </c>
      <c r="R1430">
        <v>46135</v>
      </c>
      <c r="S1430" s="51">
        <v>0.36388888888888887</v>
      </c>
      <c r="T1430" s="51">
        <v>0.41458333333333336</v>
      </c>
      <c r="X1430" t="s">
        <v>3360</v>
      </c>
      <c r="Y1430" t="s">
        <v>3035</v>
      </c>
      <c r="Z1430">
        <v>2777656</v>
      </c>
    </row>
    <row r="1431" spans="1:26" x14ac:dyDescent="0.25">
      <c r="A1431">
        <v>1427</v>
      </c>
      <c r="B1431" t="s">
        <v>26</v>
      </c>
      <c r="C1431" t="s">
        <v>27</v>
      </c>
      <c r="D1431">
        <v>15</v>
      </c>
      <c r="E1431" t="s">
        <v>2763</v>
      </c>
      <c r="F1431" t="s">
        <v>512</v>
      </c>
      <c r="G1431">
        <v>4189</v>
      </c>
      <c r="H1431" t="s">
        <v>2855</v>
      </c>
      <c r="I1431" t="s">
        <v>1716</v>
      </c>
      <c r="J1431">
        <v>16</v>
      </c>
      <c r="K1431">
        <v>1</v>
      </c>
      <c r="L1431">
        <v>6.8287037037037036E-4</v>
      </c>
      <c r="M1431" t="s">
        <v>117</v>
      </c>
      <c r="N1431" t="s">
        <v>1082</v>
      </c>
      <c r="O1431" s="24">
        <v>46133</v>
      </c>
      <c r="P1431">
        <v>606</v>
      </c>
      <c r="Q1431" t="s">
        <v>34</v>
      </c>
      <c r="R1431">
        <v>46135</v>
      </c>
      <c r="S1431" s="51">
        <v>0.36388888888888887</v>
      </c>
      <c r="T1431" s="51">
        <v>0.41458333333333336</v>
      </c>
      <c r="X1431" t="s">
        <v>3360</v>
      </c>
      <c r="Y1431" t="s">
        <v>3035</v>
      </c>
      <c r="Z1431">
        <v>2777656</v>
      </c>
    </row>
    <row r="1432" spans="1:26" x14ac:dyDescent="0.25">
      <c r="A1432">
        <v>1428</v>
      </c>
      <c r="B1432" t="s">
        <v>26</v>
      </c>
      <c r="C1432" t="s">
        <v>27</v>
      </c>
      <c r="D1432">
        <v>15</v>
      </c>
      <c r="E1432" t="s">
        <v>1588</v>
      </c>
      <c r="F1432" t="s">
        <v>512</v>
      </c>
      <c r="G1432">
        <v>4189</v>
      </c>
      <c r="H1432" t="s">
        <v>1715</v>
      </c>
      <c r="I1432" t="s">
        <v>1716</v>
      </c>
      <c r="J1432">
        <v>16</v>
      </c>
      <c r="K1432">
        <v>1</v>
      </c>
      <c r="L1432">
        <v>6.8287037037037036E-4</v>
      </c>
      <c r="M1432" t="s">
        <v>117</v>
      </c>
      <c r="N1432" t="s">
        <v>1082</v>
      </c>
      <c r="O1432" s="24">
        <v>46133</v>
      </c>
      <c r="P1432">
        <v>606</v>
      </c>
      <c r="Q1432" t="s">
        <v>34</v>
      </c>
      <c r="R1432">
        <v>46135</v>
      </c>
      <c r="S1432" s="51">
        <v>0.36388888888888887</v>
      </c>
      <c r="T1432" s="51">
        <v>0.41458333333333336</v>
      </c>
      <c r="X1432" t="s">
        <v>3360</v>
      </c>
      <c r="Y1432" t="s">
        <v>3035</v>
      </c>
      <c r="Z1432">
        <v>2777656</v>
      </c>
    </row>
    <row r="1433" spans="1:26" x14ac:dyDescent="0.25">
      <c r="A1433">
        <v>1429</v>
      </c>
      <c r="B1433" t="s">
        <v>26</v>
      </c>
      <c r="C1433" t="s">
        <v>27</v>
      </c>
      <c r="D1433">
        <v>15</v>
      </c>
      <c r="E1433" t="s">
        <v>2729</v>
      </c>
      <c r="F1433" t="s">
        <v>115</v>
      </c>
      <c r="G1433">
        <v>4189</v>
      </c>
      <c r="H1433" t="s">
        <v>2856</v>
      </c>
      <c r="I1433" t="s">
        <v>2857</v>
      </c>
      <c r="J1433">
        <v>16</v>
      </c>
      <c r="K1433">
        <v>1</v>
      </c>
      <c r="L1433">
        <v>1.5277777777777776E-3</v>
      </c>
      <c r="M1433" t="s">
        <v>117</v>
      </c>
      <c r="N1433" t="s">
        <v>1082</v>
      </c>
      <c r="O1433" s="24">
        <v>46133</v>
      </c>
      <c r="P1433">
        <v>606</v>
      </c>
      <c r="Q1433" t="s">
        <v>34</v>
      </c>
      <c r="R1433">
        <v>46135</v>
      </c>
      <c r="S1433" s="51">
        <v>0.36388888888888887</v>
      </c>
      <c r="T1433" s="51">
        <v>0.41458333333333336</v>
      </c>
      <c r="X1433" t="s">
        <v>3360</v>
      </c>
      <c r="Y1433" t="s">
        <v>3035</v>
      </c>
      <c r="Z1433">
        <v>2777656</v>
      </c>
    </row>
    <row r="1434" spans="1:26" x14ac:dyDescent="0.25">
      <c r="A1434">
        <v>1430</v>
      </c>
      <c r="B1434" t="s">
        <v>26</v>
      </c>
      <c r="C1434" t="s">
        <v>27</v>
      </c>
      <c r="D1434">
        <v>15</v>
      </c>
      <c r="E1434" t="s">
        <v>2742</v>
      </c>
      <c r="F1434" t="s">
        <v>115</v>
      </c>
      <c r="G1434">
        <v>4189</v>
      </c>
      <c r="H1434" t="s">
        <v>2858</v>
      </c>
      <c r="I1434" t="s">
        <v>2857</v>
      </c>
      <c r="J1434">
        <v>16</v>
      </c>
      <c r="K1434">
        <v>1</v>
      </c>
      <c r="L1434">
        <v>1.7592592592592592E-3</v>
      </c>
      <c r="M1434" t="s">
        <v>117</v>
      </c>
      <c r="N1434" t="s">
        <v>1082</v>
      </c>
      <c r="O1434" s="24">
        <v>46133</v>
      </c>
      <c r="P1434">
        <v>606</v>
      </c>
      <c r="Q1434" t="s">
        <v>34</v>
      </c>
      <c r="R1434">
        <v>46135</v>
      </c>
      <c r="S1434" s="51">
        <v>0.36388888888888887</v>
      </c>
      <c r="T1434" s="51">
        <v>0.41458333333333336</v>
      </c>
      <c r="X1434" t="s">
        <v>3360</v>
      </c>
      <c r="Y1434" t="s">
        <v>3035</v>
      </c>
      <c r="Z1434">
        <v>2777656</v>
      </c>
    </row>
    <row r="1435" spans="1:26" x14ac:dyDescent="0.25">
      <c r="A1435">
        <v>1431</v>
      </c>
      <c r="B1435" t="s">
        <v>26</v>
      </c>
      <c r="C1435" t="s">
        <v>27</v>
      </c>
      <c r="D1435">
        <v>15</v>
      </c>
      <c r="E1435" t="s">
        <v>1588</v>
      </c>
      <c r="F1435" t="s">
        <v>1588</v>
      </c>
      <c r="G1435">
        <v>4189</v>
      </c>
      <c r="H1435" t="s">
        <v>1713</v>
      </c>
      <c r="I1435" t="s">
        <v>1714</v>
      </c>
      <c r="J1435">
        <v>16</v>
      </c>
      <c r="K1435">
        <v>1</v>
      </c>
      <c r="L1435">
        <v>6.0185185185185179E-4</v>
      </c>
      <c r="M1435" t="s">
        <v>117</v>
      </c>
      <c r="N1435" t="s">
        <v>1082</v>
      </c>
      <c r="O1435" s="24">
        <v>46133</v>
      </c>
      <c r="P1435">
        <v>606</v>
      </c>
      <c r="Q1435" t="s">
        <v>34</v>
      </c>
      <c r="R1435">
        <v>46135</v>
      </c>
      <c r="S1435" s="51">
        <v>0.36388888888888887</v>
      </c>
      <c r="T1435" s="51">
        <v>0.41458333333333336</v>
      </c>
      <c r="X1435" t="s">
        <v>3360</v>
      </c>
      <c r="Y1435" t="s">
        <v>3035</v>
      </c>
      <c r="Z1435">
        <v>2777656</v>
      </c>
    </row>
    <row r="1436" spans="1:26" x14ac:dyDescent="0.25">
      <c r="A1436">
        <v>1432</v>
      </c>
      <c r="B1436" t="s">
        <v>26</v>
      </c>
      <c r="C1436" t="s">
        <v>27</v>
      </c>
      <c r="D1436">
        <v>15</v>
      </c>
      <c r="E1436" t="s">
        <v>367</v>
      </c>
      <c r="F1436" t="s">
        <v>512</v>
      </c>
      <c r="G1436">
        <v>4189</v>
      </c>
      <c r="H1436" t="s">
        <v>2638</v>
      </c>
      <c r="I1436" t="s">
        <v>1780</v>
      </c>
      <c r="J1436">
        <v>16</v>
      </c>
      <c r="K1436">
        <v>4</v>
      </c>
      <c r="L1436">
        <v>3.4143518518518516E-3</v>
      </c>
      <c r="M1436" t="s">
        <v>117</v>
      </c>
      <c r="N1436" t="s">
        <v>1082</v>
      </c>
      <c r="O1436" s="24">
        <v>46133</v>
      </c>
      <c r="P1436">
        <v>606</v>
      </c>
      <c r="Q1436" t="s">
        <v>34</v>
      </c>
      <c r="R1436">
        <v>46135</v>
      </c>
      <c r="S1436" s="51">
        <v>0.36388888888888887</v>
      </c>
      <c r="T1436" s="51">
        <v>0.41458333333333336</v>
      </c>
      <c r="X1436" t="s">
        <v>3360</v>
      </c>
      <c r="Y1436" t="s">
        <v>3035</v>
      </c>
      <c r="Z1436">
        <v>2777656</v>
      </c>
    </row>
    <row r="1437" spans="1:26" x14ac:dyDescent="0.25">
      <c r="A1437">
        <v>1433</v>
      </c>
      <c r="B1437" t="s">
        <v>26</v>
      </c>
      <c r="C1437" t="s">
        <v>27</v>
      </c>
      <c r="D1437">
        <v>15</v>
      </c>
      <c r="E1437" t="s">
        <v>367</v>
      </c>
      <c r="F1437" t="s">
        <v>512</v>
      </c>
      <c r="G1437">
        <v>4189</v>
      </c>
      <c r="H1437" t="s">
        <v>1779</v>
      </c>
      <c r="I1437" t="s">
        <v>1780</v>
      </c>
      <c r="J1437">
        <v>16</v>
      </c>
      <c r="K1437">
        <v>1</v>
      </c>
      <c r="L1437">
        <v>8.4490740740740739E-4</v>
      </c>
      <c r="M1437" t="s">
        <v>117</v>
      </c>
      <c r="N1437" t="s">
        <v>1082</v>
      </c>
      <c r="O1437" s="24">
        <v>46133</v>
      </c>
      <c r="P1437">
        <v>606</v>
      </c>
      <c r="Q1437" t="s">
        <v>34</v>
      </c>
      <c r="R1437">
        <v>46135</v>
      </c>
      <c r="S1437" s="51">
        <v>0.36388888888888887</v>
      </c>
      <c r="T1437" s="51">
        <v>0.41458333333333336</v>
      </c>
      <c r="X1437" t="s">
        <v>3360</v>
      </c>
      <c r="Y1437" t="s">
        <v>3035</v>
      </c>
      <c r="Z1437">
        <v>2777656</v>
      </c>
    </row>
    <row r="1438" spans="1:26" x14ac:dyDescent="0.25">
      <c r="A1438">
        <v>1434</v>
      </c>
      <c r="B1438" t="s">
        <v>26</v>
      </c>
      <c r="C1438" t="s">
        <v>27</v>
      </c>
      <c r="D1438">
        <v>15</v>
      </c>
      <c r="E1438" t="s">
        <v>367</v>
      </c>
      <c r="F1438" t="s">
        <v>368</v>
      </c>
      <c r="G1438">
        <v>3761</v>
      </c>
      <c r="H1438" t="s">
        <v>1786</v>
      </c>
      <c r="I1438" t="s">
        <v>1679</v>
      </c>
      <c r="J1438">
        <v>16</v>
      </c>
      <c r="K1438">
        <v>1</v>
      </c>
      <c r="L1438">
        <v>6.3657407407407402E-4</v>
      </c>
      <c r="M1438" t="s">
        <v>117</v>
      </c>
      <c r="N1438" t="s">
        <v>1082</v>
      </c>
      <c r="O1438" s="24">
        <v>46133</v>
      </c>
      <c r="P1438">
        <v>606</v>
      </c>
      <c r="Q1438" t="s">
        <v>34</v>
      </c>
      <c r="R1438">
        <v>46135</v>
      </c>
      <c r="S1438" s="51">
        <v>0.77777777777777779</v>
      </c>
      <c r="T1438" s="51">
        <v>0.84722222222222221</v>
      </c>
      <c r="X1438" t="s">
        <v>3361</v>
      </c>
      <c r="Y1438" t="s">
        <v>3035</v>
      </c>
      <c r="Z1438">
        <v>2777656</v>
      </c>
    </row>
    <row r="1439" spans="1:26" x14ac:dyDescent="0.25">
      <c r="A1439">
        <v>1435</v>
      </c>
      <c r="B1439" t="s">
        <v>26</v>
      </c>
      <c r="C1439" t="s">
        <v>27</v>
      </c>
      <c r="D1439">
        <v>15</v>
      </c>
      <c r="E1439" t="s">
        <v>367</v>
      </c>
      <c r="F1439" t="s">
        <v>368</v>
      </c>
      <c r="G1439">
        <v>3761</v>
      </c>
      <c r="H1439" t="s">
        <v>1678</v>
      </c>
      <c r="I1439" t="s">
        <v>1679</v>
      </c>
      <c r="J1439">
        <v>16</v>
      </c>
      <c r="K1439">
        <v>2</v>
      </c>
      <c r="L1439">
        <v>1.273148148148148E-3</v>
      </c>
      <c r="M1439" t="s">
        <v>117</v>
      </c>
      <c r="N1439" t="s">
        <v>1082</v>
      </c>
      <c r="O1439" s="24">
        <v>46133</v>
      </c>
      <c r="P1439">
        <v>606</v>
      </c>
      <c r="Q1439" t="s">
        <v>34</v>
      </c>
      <c r="R1439">
        <v>46135</v>
      </c>
      <c r="S1439" s="51">
        <v>0.77777777777777779</v>
      </c>
      <c r="T1439" s="51">
        <v>0.84722222222222221</v>
      </c>
      <c r="X1439" t="s">
        <v>3361</v>
      </c>
      <c r="Y1439" t="s">
        <v>3035</v>
      </c>
      <c r="Z1439">
        <v>2777656</v>
      </c>
    </row>
    <row r="1440" spans="1:26" x14ac:dyDescent="0.25">
      <c r="A1440">
        <v>1436</v>
      </c>
      <c r="B1440" t="s">
        <v>26</v>
      </c>
      <c r="C1440" t="s">
        <v>27</v>
      </c>
      <c r="D1440">
        <v>15</v>
      </c>
      <c r="E1440" t="s">
        <v>367</v>
      </c>
      <c r="F1440" t="s">
        <v>368</v>
      </c>
      <c r="G1440">
        <v>3761</v>
      </c>
      <c r="H1440" t="s">
        <v>1783</v>
      </c>
      <c r="I1440" t="s">
        <v>1679</v>
      </c>
      <c r="J1440">
        <v>16</v>
      </c>
      <c r="K1440">
        <v>1</v>
      </c>
      <c r="L1440">
        <v>6.3657407407407402E-4</v>
      </c>
      <c r="M1440" t="s">
        <v>117</v>
      </c>
      <c r="N1440" t="s">
        <v>1082</v>
      </c>
      <c r="O1440" s="24">
        <v>46133</v>
      </c>
      <c r="P1440">
        <v>606</v>
      </c>
      <c r="Q1440" t="s">
        <v>34</v>
      </c>
      <c r="R1440">
        <v>46135</v>
      </c>
      <c r="S1440" s="51">
        <v>0.77777777777777779</v>
      </c>
      <c r="T1440" s="51">
        <v>0.84722222222222221</v>
      </c>
      <c r="X1440" t="s">
        <v>3361</v>
      </c>
      <c r="Y1440" t="s">
        <v>3035</v>
      </c>
      <c r="Z1440">
        <v>2777656</v>
      </c>
    </row>
    <row r="1441" spans="1:26" x14ac:dyDescent="0.25">
      <c r="A1441">
        <v>1437</v>
      </c>
      <c r="B1441" t="s">
        <v>26</v>
      </c>
      <c r="C1441" t="s">
        <v>27</v>
      </c>
      <c r="D1441">
        <v>15</v>
      </c>
      <c r="E1441" t="s">
        <v>367</v>
      </c>
      <c r="F1441" t="s">
        <v>1595</v>
      </c>
      <c r="G1441">
        <v>3761</v>
      </c>
      <c r="H1441" t="s">
        <v>2631</v>
      </c>
      <c r="I1441" t="s">
        <v>2632</v>
      </c>
      <c r="J1441">
        <v>16</v>
      </c>
      <c r="K1441">
        <v>1</v>
      </c>
      <c r="L1441">
        <v>9.837962962962962E-4</v>
      </c>
      <c r="M1441" t="s">
        <v>117</v>
      </c>
      <c r="N1441" t="s">
        <v>1082</v>
      </c>
      <c r="O1441" s="24">
        <v>46133</v>
      </c>
      <c r="P1441">
        <v>606</v>
      </c>
      <c r="Q1441" t="s">
        <v>34</v>
      </c>
      <c r="R1441">
        <v>46135</v>
      </c>
      <c r="S1441" s="51">
        <v>0.77777777777777779</v>
      </c>
      <c r="T1441" s="51">
        <v>0.84722222222222221</v>
      </c>
      <c r="X1441" t="s">
        <v>3361</v>
      </c>
      <c r="Y1441" t="s">
        <v>3035</v>
      </c>
      <c r="Z1441">
        <v>2777656</v>
      </c>
    </row>
    <row r="1442" spans="1:26" x14ac:dyDescent="0.25">
      <c r="A1442">
        <v>1438</v>
      </c>
      <c r="B1442" t="s">
        <v>26</v>
      </c>
      <c r="C1442" t="s">
        <v>27</v>
      </c>
      <c r="D1442">
        <v>15</v>
      </c>
      <c r="E1442" t="s">
        <v>1585</v>
      </c>
      <c r="F1442" t="s">
        <v>1585</v>
      </c>
      <c r="G1442">
        <v>3761</v>
      </c>
      <c r="H1442" t="s">
        <v>1635</v>
      </c>
      <c r="I1442" t="s">
        <v>1636</v>
      </c>
      <c r="J1442">
        <v>16</v>
      </c>
      <c r="K1442">
        <v>5</v>
      </c>
      <c r="L1442">
        <v>4.8263888888888887E-3</v>
      </c>
      <c r="M1442" t="s">
        <v>117</v>
      </c>
      <c r="N1442" t="s">
        <v>1082</v>
      </c>
      <c r="O1442" s="24">
        <v>46133</v>
      </c>
      <c r="P1442">
        <v>606</v>
      </c>
      <c r="Q1442" t="s">
        <v>34</v>
      </c>
      <c r="R1442">
        <v>46135</v>
      </c>
      <c r="S1442" s="51">
        <v>0.77777777777777779</v>
      </c>
      <c r="T1442" s="51">
        <v>0.84722222222222221</v>
      </c>
      <c r="X1442" t="s">
        <v>3361</v>
      </c>
      <c r="Y1442" t="s">
        <v>3035</v>
      </c>
      <c r="Z1442">
        <v>2777656</v>
      </c>
    </row>
    <row r="1443" spans="1:26" x14ac:dyDescent="0.25">
      <c r="A1443">
        <v>1439</v>
      </c>
      <c r="B1443" t="s">
        <v>26</v>
      </c>
      <c r="C1443" t="s">
        <v>27</v>
      </c>
      <c r="D1443">
        <v>15</v>
      </c>
      <c r="E1443" t="s">
        <v>367</v>
      </c>
      <c r="F1443" t="s">
        <v>512</v>
      </c>
      <c r="G1443">
        <v>3761</v>
      </c>
      <c r="H1443" t="s">
        <v>1753</v>
      </c>
      <c r="I1443" t="s">
        <v>1752</v>
      </c>
      <c r="J1443">
        <v>16</v>
      </c>
      <c r="K1443">
        <v>2</v>
      </c>
      <c r="L1443">
        <v>1.4814814814814814E-3</v>
      </c>
      <c r="M1443" t="s">
        <v>117</v>
      </c>
      <c r="N1443" t="s">
        <v>1082</v>
      </c>
      <c r="O1443" s="24">
        <v>46133</v>
      </c>
      <c r="P1443">
        <v>606</v>
      </c>
      <c r="Q1443" t="s">
        <v>34</v>
      </c>
      <c r="R1443">
        <v>46135</v>
      </c>
      <c r="S1443" s="51">
        <v>0.77777777777777779</v>
      </c>
      <c r="T1443" s="51">
        <v>0.84722222222222221</v>
      </c>
      <c r="X1443" t="s">
        <v>3361</v>
      </c>
      <c r="Y1443" t="s">
        <v>3035</v>
      </c>
      <c r="Z1443">
        <v>2777656</v>
      </c>
    </row>
    <row r="1444" spans="1:26" x14ac:dyDescent="0.25">
      <c r="A1444">
        <v>1440</v>
      </c>
      <c r="B1444" t="s">
        <v>26</v>
      </c>
      <c r="C1444" t="s">
        <v>27</v>
      </c>
      <c r="D1444">
        <v>15</v>
      </c>
      <c r="E1444" t="s">
        <v>367</v>
      </c>
      <c r="F1444" t="s">
        <v>512</v>
      </c>
      <c r="G1444">
        <v>3761</v>
      </c>
      <c r="H1444" t="s">
        <v>2081</v>
      </c>
      <c r="I1444" t="s">
        <v>2082</v>
      </c>
      <c r="J1444">
        <v>16</v>
      </c>
      <c r="K1444">
        <v>1</v>
      </c>
      <c r="L1444">
        <v>9.4907407407407408E-4</v>
      </c>
      <c r="M1444" t="s">
        <v>117</v>
      </c>
      <c r="N1444" t="s">
        <v>1082</v>
      </c>
      <c r="O1444" s="24">
        <v>46133</v>
      </c>
      <c r="P1444">
        <v>606</v>
      </c>
      <c r="Q1444" t="s">
        <v>34</v>
      </c>
      <c r="R1444">
        <v>46135</v>
      </c>
      <c r="S1444" s="51">
        <v>0.77777777777777779</v>
      </c>
      <c r="T1444" s="51">
        <v>0.84722222222222221</v>
      </c>
      <c r="X1444" t="s">
        <v>3361</v>
      </c>
      <c r="Y1444" t="s">
        <v>3035</v>
      </c>
      <c r="Z1444">
        <v>2777656</v>
      </c>
    </row>
    <row r="1445" spans="1:26" x14ac:dyDescent="0.25">
      <c r="A1445">
        <v>1441</v>
      </c>
      <c r="B1445" t="s">
        <v>26</v>
      </c>
      <c r="C1445" t="s">
        <v>27</v>
      </c>
      <c r="D1445">
        <v>15</v>
      </c>
      <c r="E1445" t="s">
        <v>367</v>
      </c>
      <c r="F1445" t="s">
        <v>512</v>
      </c>
      <c r="G1445">
        <v>3761</v>
      </c>
      <c r="H1445" t="s">
        <v>2499</v>
      </c>
      <c r="I1445" t="s">
        <v>2500</v>
      </c>
      <c r="J1445">
        <v>16</v>
      </c>
      <c r="K1445">
        <v>1</v>
      </c>
      <c r="L1445">
        <v>9.4907407407407408E-4</v>
      </c>
      <c r="M1445" t="s">
        <v>117</v>
      </c>
      <c r="N1445" t="s">
        <v>1082</v>
      </c>
      <c r="O1445" s="24">
        <v>46133</v>
      </c>
      <c r="P1445">
        <v>606</v>
      </c>
      <c r="Q1445" t="s">
        <v>34</v>
      </c>
      <c r="R1445">
        <v>46135</v>
      </c>
      <c r="S1445" s="51">
        <v>0.77777777777777779</v>
      </c>
      <c r="T1445" s="51">
        <v>0.84722222222222221</v>
      </c>
      <c r="X1445" t="s">
        <v>3361</v>
      </c>
      <c r="Y1445" t="s">
        <v>3035</v>
      </c>
      <c r="Z1445">
        <v>2777656</v>
      </c>
    </row>
    <row r="1446" spans="1:26" x14ac:dyDescent="0.25">
      <c r="A1446">
        <v>1442</v>
      </c>
      <c r="B1446" t="s">
        <v>26</v>
      </c>
      <c r="C1446" t="s">
        <v>27</v>
      </c>
      <c r="D1446">
        <v>15</v>
      </c>
      <c r="E1446" t="s">
        <v>367</v>
      </c>
      <c r="F1446" t="s">
        <v>512</v>
      </c>
      <c r="G1446">
        <v>3761</v>
      </c>
      <c r="H1446" t="s">
        <v>1688</v>
      </c>
      <c r="I1446" t="s">
        <v>2779</v>
      </c>
      <c r="J1446">
        <v>16</v>
      </c>
      <c r="K1446">
        <v>2</v>
      </c>
      <c r="L1446">
        <v>1.5624999999999999E-3</v>
      </c>
      <c r="M1446" t="s">
        <v>117</v>
      </c>
      <c r="N1446" t="s">
        <v>1082</v>
      </c>
      <c r="O1446" s="24">
        <v>46133</v>
      </c>
      <c r="P1446">
        <v>606</v>
      </c>
      <c r="Q1446" t="s">
        <v>34</v>
      </c>
      <c r="R1446">
        <v>46135</v>
      </c>
      <c r="S1446" s="51">
        <v>0.77777777777777779</v>
      </c>
      <c r="T1446" s="51">
        <v>0.84722222222222221</v>
      </c>
      <c r="X1446" t="s">
        <v>3361</v>
      </c>
      <c r="Y1446" t="s">
        <v>3035</v>
      </c>
      <c r="Z1446">
        <v>2777656</v>
      </c>
    </row>
    <row r="1447" spans="1:26" x14ac:dyDescent="0.25">
      <c r="A1447">
        <v>1443</v>
      </c>
      <c r="B1447" t="s">
        <v>26</v>
      </c>
      <c r="C1447" t="s">
        <v>27</v>
      </c>
      <c r="D1447">
        <v>15</v>
      </c>
      <c r="E1447" t="s">
        <v>367</v>
      </c>
      <c r="F1447" t="s">
        <v>512</v>
      </c>
      <c r="G1447">
        <v>3761</v>
      </c>
      <c r="H1447" t="s">
        <v>1773</v>
      </c>
      <c r="I1447" t="s">
        <v>1774</v>
      </c>
      <c r="J1447">
        <v>16</v>
      </c>
      <c r="K1447">
        <v>1</v>
      </c>
      <c r="L1447">
        <v>1.3773148148148147E-3</v>
      </c>
      <c r="M1447" t="s">
        <v>117</v>
      </c>
      <c r="N1447" t="s">
        <v>1082</v>
      </c>
      <c r="O1447" s="24">
        <v>46133</v>
      </c>
      <c r="P1447">
        <v>606</v>
      </c>
      <c r="Q1447" t="s">
        <v>34</v>
      </c>
      <c r="R1447">
        <v>46135</v>
      </c>
      <c r="S1447" s="51">
        <v>0.77777777777777779</v>
      </c>
      <c r="T1447" s="51">
        <v>0.84722222222222221</v>
      </c>
      <c r="X1447" t="s">
        <v>3361</v>
      </c>
      <c r="Y1447" t="s">
        <v>3035</v>
      </c>
      <c r="Z1447">
        <v>2777656</v>
      </c>
    </row>
    <row r="1448" spans="1:26" x14ac:dyDescent="0.25">
      <c r="A1448">
        <v>1444</v>
      </c>
      <c r="B1448" t="s">
        <v>26</v>
      </c>
      <c r="C1448" t="s">
        <v>27</v>
      </c>
      <c r="D1448">
        <v>15</v>
      </c>
      <c r="E1448" t="s">
        <v>367</v>
      </c>
      <c r="F1448" t="s">
        <v>512</v>
      </c>
      <c r="G1448">
        <v>3761</v>
      </c>
      <c r="H1448" t="s">
        <v>1775</v>
      </c>
      <c r="I1448" t="s">
        <v>1776</v>
      </c>
      <c r="J1448">
        <v>16</v>
      </c>
      <c r="K1448">
        <v>1</v>
      </c>
      <c r="L1448">
        <v>1.3425925925925925E-3</v>
      </c>
      <c r="M1448" t="s">
        <v>117</v>
      </c>
      <c r="N1448" t="s">
        <v>1082</v>
      </c>
      <c r="O1448" s="24">
        <v>46133</v>
      </c>
      <c r="P1448">
        <v>606</v>
      </c>
      <c r="Q1448" t="s">
        <v>34</v>
      </c>
      <c r="R1448">
        <v>46135</v>
      </c>
      <c r="S1448" s="51">
        <v>0.77777777777777779</v>
      </c>
      <c r="T1448" s="51">
        <v>0.84722222222222221</v>
      </c>
      <c r="X1448" t="s">
        <v>3361</v>
      </c>
      <c r="Y1448" t="s">
        <v>3035</v>
      </c>
      <c r="Z1448">
        <v>2777656</v>
      </c>
    </row>
    <row r="1449" spans="1:26" x14ac:dyDescent="0.25">
      <c r="A1449">
        <v>1445</v>
      </c>
      <c r="B1449" t="s">
        <v>26</v>
      </c>
      <c r="C1449" t="s">
        <v>27</v>
      </c>
      <c r="D1449">
        <v>15</v>
      </c>
      <c r="E1449" t="s">
        <v>367</v>
      </c>
      <c r="F1449" t="s">
        <v>1594</v>
      </c>
      <c r="G1449">
        <v>3761</v>
      </c>
      <c r="H1449" t="s">
        <v>1793</v>
      </c>
      <c r="I1449" t="s">
        <v>1642</v>
      </c>
      <c r="J1449">
        <v>16</v>
      </c>
      <c r="K1449">
        <v>1</v>
      </c>
      <c r="L1449">
        <v>6.0185185185185179E-4</v>
      </c>
      <c r="M1449" t="s">
        <v>117</v>
      </c>
      <c r="N1449" t="s">
        <v>1082</v>
      </c>
      <c r="O1449" s="24">
        <v>46133</v>
      </c>
      <c r="P1449">
        <v>606</v>
      </c>
      <c r="Q1449" t="s">
        <v>34</v>
      </c>
      <c r="R1449">
        <v>46135</v>
      </c>
      <c r="S1449" s="51">
        <v>0.77777777777777779</v>
      </c>
      <c r="T1449" s="51">
        <v>0.84722222222222221</v>
      </c>
      <c r="X1449" t="s">
        <v>3361</v>
      </c>
      <c r="Y1449" t="s">
        <v>3035</v>
      </c>
      <c r="Z1449">
        <v>2777656</v>
      </c>
    </row>
    <row r="1450" spans="1:26" x14ac:dyDescent="0.25">
      <c r="A1450">
        <v>1446</v>
      </c>
      <c r="B1450" t="s">
        <v>26</v>
      </c>
      <c r="C1450" t="s">
        <v>27</v>
      </c>
      <c r="D1450">
        <v>15</v>
      </c>
      <c r="E1450" t="s">
        <v>2763</v>
      </c>
      <c r="F1450" t="s">
        <v>512</v>
      </c>
      <c r="G1450">
        <v>3761</v>
      </c>
      <c r="H1450" t="s">
        <v>2774</v>
      </c>
      <c r="I1450" t="s">
        <v>1714</v>
      </c>
      <c r="J1450">
        <v>16</v>
      </c>
      <c r="K1450">
        <v>1</v>
      </c>
      <c r="L1450">
        <v>5.5555555555555556E-4</v>
      </c>
      <c r="M1450" t="s">
        <v>117</v>
      </c>
      <c r="N1450" t="s">
        <v>1082</v>
      </c>
      <c r="O1450" s="24">
        <v>46133</v>
      </c>
      <c r="P1450">
        <v>606</v>
      </c>
      <c r="Q1450" t="s">
        <v>34</v>
      </c>
      <c r="R1450">
        <v>46135</v>
      </c>
      <c r="S1450" s="51">
        <v>0.77777777777777779</v>
      </c>
      <c r="T1450" s="51">
        <v>0.84722222222222221</v>
      </c>
      <c r="X1450" t="s">
        <v>3361</v>
      </c>
      <c r="Y1450" t="s">
        <v>3035</v>
      </c>
      <c r="Z1450">
        <v>2777656</v>
      </c>
    </row>
    <row r="1451" spans="1:26" x14ac:dyDescent="0.25">
      <c r="A1451">
        <v>1447</v>
      </c>
      <c r="B1451" t="s">
        <v>26</v>
      </c>
      <c r="C1451" t="s">
        <v>27</v>
      </c>
      <c r="D1451">
        <v>15</v>
      </c>
      <c r="E1451" t="s">
        <v>2763</v>
      </c>
      <c r="F1451" t="s">
        <v>512</v>
      </c>
      <c r="G1451">
        <v>3761</v>
      </c>
      <c r="H1451" t="s">
        <v>2849</v>
      </c>
      <c r="I1451" t="s">
        <v>1722</v>
      </c>
      <c r="J1451">
        <v>16</v>
      </c>
      <c r="K1451">
        <v>2</v>
      </c>
      <c r="L1451">
        <v>1.2152777777777778E-3</v>
      </c>
      <c r="M1451" t="s">
        <v>117</v>
      </c>
      <c r="N1451" t="s">
        <v>1082</v>
      </c>
      <c r="O1451" s="24">
        <v>46133</v>
      </c>
      <c r="P1451">
        <v>606</v>
      </c>
      <c r="Q1451" t="s">
        <v>34</v>
      </c>
      <c r="R1451">
        <v>46135</v>
      </c>
      <c r="S1451" s="51">
        <v>0.77777777777777779</v>
      </c>
      <c r="T1451" s="51">
        <v>0.84722222222222221</v>
      </c>
      <c r="X1451" t="s">
        <v>3361</v>
      </c>
      <c r="Y1451" t="s">
        <v>3035</v>
      </c>
      <c r="Z1451">
        <v>2777656</v>
      </c>
    </row>
    <row r="1452" spans="1:26" x14ac:dyDescent="0.25">
      <c r="A1452">
        <v>1448</v>
      </c>
      <c r="B1452" t="s">
        <v>26</v>
      </c>
      <c r="C1452" t="s">
        <v>27</v>
      </c>
      <c r="D1452">
        <v>15</v>
      </c>
      <c r="E1452" t="s">
        <v>2763</v>
      </c>
      <c r="F1452" t="s">
        <v>512</v>
      </c>
      <c r="G1452">
        <v>3761</v>
      </c>
      <c r="H1452" t="s">
        <v>2855</v>
      </c>
      <c r="I1452" t="s">
        <v>1716</v>
      </c>
      <c r="J1452">
        <v>16</v>
      </c>
      <c r="K1452">
        <v>1</v>
      </c>
      <c r="L1452">
        <v>6.3657407407407402E-4</v>
      </c>
      <c r="M1452" t="s">
        <v>117</v>
      </c>
      <c r="N1452" t="s">
        <v>1082</v>
      </c>
      <c r="O1452" s="24">
        <v>46133</v>
      </c>
      <c r="P1452">
        <v>606</v>
      </c>
      <c r="Q1452" t="s">
        <v>34</v>
      </c>
      <c r="R1452">
        <v>46135</v>
      </c>
      <c r="S1452" s="51">
        <v>0.77777777777777779</v>
      </c>
      <c r="T1452" s="51">
        <v>0.84722222222222221</v>
      </c>
      <c r="X1452" t="s">
        <v>3361</v>
      </c>
      <c r="Y1452" t="s">
        <v>3035</v>
      </c>
      <c r="Z1452">
        <v>2777656</v>
      </c>
    </row>
    <row r="1453" spans="1:26" x14ac:dyDescent="0.25">
      <c r="A1453">
        <v>1449</v>
      </c>
      <c r="B1453" t="s">
        <v>26</v>
      </c>
      <c r="C1453" t="s">
        <v>27</v>
      </c>
      <c r="D1453">
        <v>15</v>
      </c>
      <c r="E1453" t="s">
        <v>1588</v>
      </c>
      <c r="F1453" t="s">
        <v>1588</v>
      </c>
      <c r="G1453">
        <v>3761</v>
      </c>
      <c r="H1453" t="s">
        <v>1667</v>
      </c>
      <c r="I1453" t="s">
        <v>1668</v>
      </c>
      <c r="J1453">
        <v>16</v>
      </c>
      <c r="K1453">
        <v>2</v>
      </c>
      <c r="L1453">
        <v>1.261574074074074E-3</v>
      </c>
      <c r="M1453" t="s">
        <v>117</v>
      </c>
      <c r="N1453" t="s">
        <v>1082</v>
      </c>
      <c r="O1453" s="24">
        <v>46133</v>
      </c>
      <c r="P1453">
        <v>606</v>
      </c>
      <c r="Q1453" t="s">
        <v>34</v>
      </c>
      <c r="R1453">
        <v>46135</v>
      </c>
      <c r="S1453" s="51">
        <v>0.77777777777777779</v>
      </c>
      <c r="T1453" s="51">
        <v>0.84722222222222221</v>
      </c>
      <c r="X1453" t="s">
        <v>3361</v>
      </c>
      <c r="Y1453" t="s">
        <v>3035</v>
      </c>
      <c r="Z1453">
        <v>2777656</v>
      </c>
    </row>
    <row r="1454" spans="1:26" x14ac:dyDescent="0.25">
      <c r="A1454">
        <v>1450</v>
      </c>
      <c r="B1454" t="s">
        <v>26</v>
      </c>
      <c r="C1454" t="s">
        <v>27</v>
      </c>
      <c r="D1454">
        <v>15</v>
      </c>
      <c r="E1454" t="s">
        <v>1588</v>
      </c>
      <c r="F1454" t="s">
        <v>1588</v>
      </c>
      <c r="G1454">
        <v>3761</v>
      </c>
      <c r="H1454" t="s">
        <v>1717</v>
      </c>
      <c r="I1454" t="s">
        <v>1718</v>
      </c>
      <c r="J1454">
        <v>16</v>
      </c>
      <c r="K1454">
        <v>4</v>
      </c>
      <c r="L1454">
        <v>2.4305555555555556E-3</v>
      </c>
      <c r="M1454" t="s">
        <v>117</v>
      </c>
      <c r="N1454" t="s">
        <v>1082</v>
      </c>
      <c r="O1454" s="24">
        <v>46133</v>
      </c>
      <c r="P1454">
        <v>606</v>
      </c>
      <c r="Q1454" t="s">
        <v>34</v>
      </c>
      <c r="R1454">
        <v>46135</v>
      </c>
      <c r="S1454" s="51">
        <v>0.77777777777777779</v>
      </c>
      <c r="T1454" s="51">
        <v>0.84722222222222221</v>
      </c>
      <c r="X1454" t="s">
        <v>3361</v>
      </c>
      <c r="Y1454" t="s">
        <v>3035</v>
      </c>
      <c r="Z1454">
        <v>2777656</v>
      </c>
    </row>
    <row r="1455" spans="1:26" x14ac:dyDescent="0.25">
      <c r="A1455">
        <v>1451</v>
      </c>
      <c r="B1455" t="s">
        <v>26</v>
      </c>
      <c r="C1455" t="s">
        <v>27</v>
      </c>
      <c r="D1455">
        <v>15</v>
      </c>
      <c r="E1455" t="s">
        <v>1588</v>
      </c>
      <c r="F1455" t="s">
        <v>1588</v>
      </c>
      <c r="G1455">
        <v>3761</v>
      </c>
      <c r="H1455" t="s">
        <v>1669</v>
      </c>
      <c r="I1455" t="s">
        <v>1670</v>
      </c>
      <c r="J1455">
        <v>16</v>
      </c>
      <c r="K1455">
        <v>2</v>
      </c>
      <c r="L1455">
        <v>1.261574074074074E-3</v>
      </c>
      <c r="M1455" t="s">
        <v>117</v>
      </c>
      <c r="N1455" t="s">
        <v>1082</v>
      </c>
      <c r="O1455" s="24">
        <v>46133</v>
      </c>
      <c r="P1455">
        <v>606</v>
      </c>
      <c r="Q1455" t="s">
        <v>34</v>
      </c>
      <c r="R1455">
        <v>46135</v>
      </c>
      <c r="S1455" s="51">
        <v>0.77777777777777779</v>
      </c>
      <c r="T1455" s="51">
        <v>0.84722222222222221</v>
      </c>
      <c r="X1455" t="s">
        <v>3361</v>
      </c>
      <c r="Y1455" t="s">
        <v>3035</v>
      </c>
      <c r="Z1455">
        <v>2777656</v>
      </c>
    </row>
    <row r="1456" spans="1:26" x14ac:dyDescent="0.25">
      <c r="A1456">
        <v>1452</v>
      </c>
      <c r="B1456" t="s">
        <v>26</v>
      </c>
      <c r="C1456" t="s">
        <v>27</v>
      </c>
      <c r="D1456">
        <v>15</v>
      </c>
      <c r="E1456" t="s">
        <v>1588</v>
      </c>
      <c r="F1456" t="s">
        <v>512</v>
      </c>
      <c r="G1456">
        <v>3761</v>
      </c>
      <c r="H1456" t="s">
        <v>1715</v>
      </c>
      <c r="I1456" t="s">
        <v>1716</v>
      </c>
      <c r="J1456">
        <v>16</v>
      </c>
      <c r="K1456">
        <v>1</v>
      </c>
      <c r="L1456">
        <v>6.3657407407407402E-4</v>
      </c>
      <c r="M1456" t="s">
        <v>117</v>
      </c>
      <c r="N1456" t="s">
        <v>1082</v>
      </c>
      <c r="O1456" s="24">
        <v>46133</v>
      </c>
      <c r="P1456">
        <v>606</v>
      </c>
      <c r="Q1456" t="s">
        <v>34</v>
      </c>
      <c r="R1456">
        <v>46135</v>
      </c>
      <c r="S1456" s="51">
        <v>0.77777777777777779</v>
      </c>
      <c r="T1456" s="51">
        <v>0.84722222222222221</v>
      </c>
      <c r="X1456" t="s">
        <v>3361</v>
      </c>
      <c r="Y1456" t="s">
        <v>3035</v>
      </c>
      <c r="Z1456">
        <v>2777656</v>
      </c>
    </row>
    <row r="1457" spans="1:26" x14ac:dyDescent="0.25">
      <c r="A1457">
        <v>1453</v>
      </c>
      <c r="B1457" t="s">
        <v>26</v>
      </c>
      <c r="C1457" t="s">
        <v>27</v>
      </c>
      <c r="D1457">
        <v>15</v>
      </c>
      <c r="E1457" t="s">
        <v>367</v>
      </c>
      <c r="F1457" t="s">
        <v>512</v>
      </c>
      <c r="G1457">
        <v>3761</v>
      </c>
      <c r="H1457" t="s">
        <v>2639</v>
      </c>
      <c r="I1457" t="s">
        <v>1752</v>
      </c>
      <c r="J1457">
        <v>16</v>
      </c>
      <c r="K1457">
        <v>2</v>
      </c>
      <c r="L1457">
        <v>1.6550925925925926E-3</v>
      </c>
      <c r="M1457" t="s">
        <v>117</v>
      </c>
      <c r="N1457" t="s">
        <v>1082</v>
      </c>
      <c r="O1457" s="24">
        <v>46133</v>
      </c>
      <c r="P1457">
        <v>606</v>
      </c>
      <c r="Q1457" t="s">
        <v>34</v>
      </c>
      <c r="R1457">
        <v>46135</v>
      </c>
      <c r="S1457" s="51">
        <v>0.77777777777777779</v>
      </c>
      <c r="T1457" s="51">
        <v>0.84722222222222221</v>
      </c>
      <c r="X1457" t="s">
        <v>3361</v>
      </c>
      <c r="Y1457" t="s">
        <v>3035</v>
      </c>
      <c r="Z1457">
        <v>2777656</v>
      </c>
    </row>
    <row r="1458" spans="1:26" x14ac:dyDescent="0.25">
      <c r="A1458">
        <v>1454</v>
      </c>
      <c r="B1458" t="s">
        <v>26</v>
      </c>
      <c r="C1458" t="s">
        <v>27</v>
      </c>
      <c r="D1458">
        <v>15</v>
      </c>
      <c r="E1458" t="s">
        <v>367</v>
      </c>
      <c r="F1458" t="s">
        <v>368</v>
      </c>
      <c r="G1458">
        <v>3762</v>
      </c>
      <c r="H1458" t="s">
        <v>1675</v>
      </c>
      <c r="I1458" t="s">
        <v>1676</v>
      </c>
      <c r="J1458">
        <v>16</v>
      </c>
      <c r="K1458">
        <v>1</v>
      </c>
      <c r="L1458">
        <v>7.2916666666666659E-4</v>
      </c>
      <c r="M1458" t="s">
        <v>117</v>
      </c>
      <c r="N1458" t="s">
        <v>1082</v>
      </c>
      <c r="O1458" s="24">
        <v>46133</v>
      </c>
      <c r="P1458">
        <v>606</v>
      </c>
      <c r="Q1458" t="s">
        <v>34</v>
      </c>
      <c r="R1458">
        <v>46135</v>
      </c>
      <c r="S1458" s="51">
        <v>0.74652777777777779</v>
      </c>
      <c r="T1458" s="51">
        <v>0.69097222222222221</v>
      </c>
      <c r="X1458" t="s">
        <v>3362</v>
      </c>
      <c r="Y1458" t="s">
        <v>3035</v>
      </c>
      <c r="Z1458">
        <v>2777656</v>
      </c>
    </row>
    <row r="1459" spans="1:26" x14ac:dyDescent="0.25">
      <c r="A1459">
        <v>1455</v>
      </c>
      <c r="B1459" t="s">
        <v>26</v>
      </c>
      <c r="C1459" t="s">
        <v>27</v>
      </c>
      <c r="D1459">
        <v>15</v>
      </c>
      <c r="E1459" t="s">
        <v>367</v>
      </c>
      <c r="F1459" t="s">
        <v>368</v>
      </c>
      <c r="G1459">
        <v>3762</v>
      </c>
      <c r="H1459" t="s">
        <v>1681</v>
      </c>
      <c r="I1459" t="s">
        <v>1676</v>
      </c>
      <c r="J1459">
        <v>16</v>
      </c>
      <c r="K1459">
        <v>1</v>
      </c>
      <c r="L1459">
        <v>8.1018518518518516E-4</v>
      </c>
      <c r="M1459" t="s">
        <v>117</v>
      </c>
      <c r="N1459" t="s">
        <v>1082</v>
      </c>
      <c r="O1459" s="24">
        <v>46133</v>
      </c>
      <c r="P1459">
        <v>606</v>
      </c>
      <c r="Q1459" t="s">
        <v>34</v>
      </c>
      <c r="R1459">
        <v>46135</v>
      </c>
      <c r="S1459" s="51">
        <v>0.74652777777777779</v>
      </c>
      <c r="T1459" s="51">
        <v>0.69097222222222221</v>
      </c>
      <c r="X1459" t="s">
        <v>3362</v>
      </c>
      <c r="Y1459" t="s">
        <v>3035</v>
      </c>
      <c r="Z1459">
        <v>2777656</v>
      </c>
    </row>
    <row r="1460" spans="1:26" x14ac:dyDescent="0.25">
      <c r="A1460">
        <v>1456</v>
      </c>
      <c r="B1460" t="s">
        <v>26</v>
      </c>
      <c r="C1460" t="s">
        <v>27</v>
      </c>
      <c r="D1460">
        <v>15</v>
      </c>
      <c r="E1460" t="s">
        <v>829</v>
      </c>
      <c r="F1460" t="s">
        <v>367</v>
      </c>
      <c r="G1460">
        <v>3762</v>
      </c>
      <c r="H1460" t="s">
        <v>2072</v>
      </c>
      <c r="I1460" t="s">
        <v>2772</v>
      </c>
      <c r="J1460">
        <v>16</v>
      </c>
      <c r="K1460">
        <v>1</v>
      </c>
      <c r="L1460">
        <v>1.8981481481481482E-3</v>
      </c>
      <c r="M1460" t="s">
        <v>117</v>
      </c>
      <c r="N1460" t="s">
        <v>1082</v>
      </c>
      <c r="O1460" s="24">
        <v>46133</v>
      </c>
      <c r="P1460">
        <v>606</v>
      </c>
      <c r="Q1460" t="s">
        <v>34</v>
      </c>
      <c r="R1460">
        <v>46135</v>
      </c>
      <c r="S1460" s="51">
        <v>0.74652777777777779</v>
      </c>
      <c r="T1460" s="51">
        <v>0.69097222222222221</v>
      </c>
      <c r="X1460" t="s">
        <v>3362</v>
      </c>
      <c r="Y1460" t="s">
        <v>3035</v>
      </c>
      <c r="Z1460">
        <v>2777656</v>
      </c>
    </row>
    <row r="1461" spans="1:26" x14ac:dyDescent="0.25">
      <c r="A1461">
        <v>1457</v>
      </c>
      <c r="B1461" t="s">
        <v>26</v>
      </c>
      <c r="C1461" t="s">
        <v>27</v>
      </c>
      <c r="D1461">
        <v>15</v>
      </c>
      <c r="E1461" t="s">
        <v>829</v>
      </c>
      <c r="F1461" t="s">
        <v>367</v>
      </c>
      <c r="G1461">
        <v>3762</v>
      </c>
      <c r="H1461" t="s">
        <v>2074</v>
      </c>
      <c r="I1461" t="s">
        <v>2772</v>
      </c>
      <c r="J1461">
        <v>16</v>
      </c>
      <c r="K1461">
        <v>1</v>
      </c>
      <c r="L1461">
        <v>2.3495370370370371E-3</v>
      </c>
      <c r="M1461" t="s">
        <v>117</v>
      </c>
      <c r="N1461" t="s">
        <v>1082</v>
      </c>
      <c r="O1461" s="24">
        <v>46133</v>
      </c>
      <c r="P1461">
        <v>606</v>
      </c>
      <c r="Q1461" t="s">
        <v>34</v>
      </c>
      <c r="R1461">
        <v>46135</v>
      </c>
      <c r="S1461" s="51">
        <v>0.74652777777777779</v>
      </c>
      <c r="T1461" s="51">
        <v>0.69097222222222221</v>
      </c>
      <c r="X1461" t="s">
        <v>3362</v>
      </c>
      <c r="Y1461" t="s">
        <v>3035</v>
      </c>
      <c r="Z1461">
        <v>2777656</v>
      </c>
    </row>
    <row r="1462" spans="1:26" x14ac:dyDescent="0.25">
      <c r="A1462">
        <v>1458</v>
      </c>
      <c r="B1462" t="s">
        <v>26</v>
      </c>
      <c r="C1462" t="s">
        <v>27</v>
      </c>
      <c r="D1462">
        <v>15</v>
      </c>
      <c r="E1462" t="s">
        <v>1585</v>
      </c>
      <c r="F1462" t="s">
        <v>1585</v>
      </c>
      <c r="G1462">
        <v>3762</v>
      </c>
      <c r="H1462" t="s">
        <v>1635</v>
      </c>
      <c r="I1462" t="s">
        <v>1636</v>
      </c>
      <c r="J1462">
        <v>16</v>
      </c>
      <c r="K1462">
        <v>1</v>
      </c>
      <c r="L1462">
        <v>1.1342592592592591E-3</v>
      </c>
      <c r="M1462" t="s">
        <v>117</v>
      </c>
      <c r="N1462" t="s">
        <v>1082</v>
      </c>
      <c r="O1462" s="24">
        <v>46133</v>
      </c>
      <c r="P1462">
        <v>606</v>
      </c>
      <c r="Q1462" t="s">
        <v>34</v>
      </c>
      <c r="R1462">
        <v>46135</v>
      </c>
      <c r="S1462" s="51">
        <v>0.74652777777777779</v>
      </c>
      <c r="T1462" s="51">
        <v>0.69097222222222221</v>
      </c>
      <c r="X1462" t="s">
        <v>3362</v>
      </c>
      <c r="Y1462" t="s">
        <v>3035</v>
      </c>
      <c r="Z1462">
        <v>2777656</v>
      </c>
    </row>
    <row r="1463" spans="1:26" x14ac:dyDescent="0.25">
      <c r="A1463">
        <v>1459</v>
      </c>
      <c r="B1463" t="s">
        <v>26</v>
      </c>
      <c r="C1463" t="s">
        <v>27</v>
      </c>
      <c r="D1463">
        <v>15</v>
      </c>
      <c r="E1463" t="s">
        <v>367</v>
      </c>
      <c r="F1463" t="s">
        <v>512</v>
      </c>
      <c r="G1463">
        <v>3762</v>
      </c>
      <c r="H1463" t="s">
        <v>1725</v>
      </c>
      <c r="I1463" t="s">
        <v>1726</v>
      </c>
      <c r="J1463">
        <v>16</v>
      </c>
      <c r="K1463">
        <v>1</v>
      </c>
      <c r="L1463">
        <v>9.7222222222222219E-4</v>
      </c>
      <c r="M1463" t="s">
        <v>117</v>
      </c>
      <c r="N1463" t="s">
        <v>1082</v>
      </c>
      <c r="O1463" s="24">
        <v>46133</v>
      </c>
      <c r="P1463">
        <v>606</v>
      </c>
      <c r="Q1463" t="s">
        <v>34</v>
      </c>
      <c r="R1463">
        <v>46135</v>
      </c>
      <c r="S1463" s="51">
        <v>0.74652777777777779</v>
      </c>
      <c r="T1463" s="51">
        <v>0.69097222222222221</v>
      </c>
      <c r="X1463" t="s">
        <v>3362</v>
      </c>
      <c r="Y1463" t="s">
        <v>3035</v>
      </c>
      <c r="Z1463">
        <v>2777656</v>
      </c>
    </row>
    <row r="1464" spans="1:26" x14ac:dyDescent="0.25">
      <c r="A1464">
        <v>1460</v>
      </c>
      <c r="B1464" t="s">
        <v>26</v>
      </c>
      <c r="C1464" t="s">
        <v>27</v>
      </c>
      <c r="D1464">
        <v>15</v>
      </c>
      <c r="E1464" t="s">
        <v>367</v>
      </c>
      <c r="F1464" t="s">
        <v>512</v>
      </c>
      <c r="G1464">
        <v>3762</v>
      </c>
      <c r="H1464" t="s">
        <v>1773</v>
      </c>
      <c r="I1464" t="s">
        <v>1774</v>
      </c>
      <c r="J1464">
        <v>16</v>
      </c>
      <c r="K1464">
        <v>1</v>
      </c>
      <c r="L1464">
        <v>1.6319444444444443E-3</v>
      </c>
      <c r="M1464" t="s">
        <v>117</v>
      </c>
      <c r="N1464" t="s">
        <v>1082</v>
      </c>
      <c r="O1464" s="24">
        <v>46133</v>
      </c>
      <c r="P1464">
        <v>606</v>
      </c>
      <c r="Q1464" t="s">
        <v>34</v>
      </c>
      <c r="R1464">
        <v>46135</v>
      </c>
      <c r="S1464" s="51">
        <v>0.74652777777777779</v>
      </c>
      <c r="T1464" s="51">
        <v>0.69097222222222221</v>
      </c>
      <c r="X1464" t="s">
        <v>3362</v>
      </c>
      <c r="Y1464" t="s">
        <v>3035</v>
      </c>
      <c r="Z1464">
        <v>2777656</v>
      </c>
    </row>
    <row r="1465" spans="1:26" x14ac:dyDescent="0.25">
      <c r="A1465">
        <v>1461</v>
      </c>
      <c r="B1465" t="s">
        <v>26</v>
      </c>
      <c r="C1465" t="s">
        <v>27</v>
      </c>
      <c r="D1465">
        <v>15</v>
      </c>
      <c r="E1465" t="s">
        <v>367</v>
      </c>
      <c r="F1465" t="s">
        <v>1594</v>
      </c>
      <c r="G1465">
        <v>3762</v>
      </c>
      <c r="H1465" t="s">
        <v>1641</v>
      </c>
      <c r="I1465" t="s">
        <v>1642</v>
      </c>
      <c r="J1465">
        <v>16</v>
      </c>
      <c r="K1465">
        <v>2</v>
      </c>
      <c r="L1465">
        <v>1.423611111111111E-3</v>
      </c>
      <c r="M1465" t="s">
        <v>117</v>
      </c>
      <c r="N1465" t="s">
        <v>1082</v>
      </c>
      <c r="O1465" s="24">
        <v>46133</v>
      </c>
      <c r="P1465">
        <v>606</v>
      </c>
      <c r="Q1465" t="s">
        <v>34</v>
      </c>
      <c r="R1465">
        <v>46135</v>
      </c>
      <c r="S1465" s="51">
        <v>0.74652777777777779</v>
      </c>
      <c r="T1465" s="51">
        <v>0.69097222222222221</v>
      </c>
      <c r="X1465" t="s">
        <v>3362</v>
      </c>
      <c r="Y1465" t="s">
        <v>3035</v>
      </c>
      <c r="Z1465">
        <v>2777656</v>
      </c>
    </row>
    <row r="1466" spans="1:26" x14ac:dyDescent="0.25">
      <c r="A1466">
        <v>1462</v>
      </c>
      <c r="B1466" t="s">
        <v>26</v>
      </c>
      <c r="C1466" t="s">
        <v>27</v>
      </c>
      <c r="D1466">
        <v>15</v>
      </c>
      <c r="E1466" t="s">
        <v>367</v>
      </c>
      <c r="F1466" t="s">
        <v>367</v>
      </c>
      <c r="G1466">
        <v>3754</v>
      </c>
      <c r="H1466" t="s">
        <v>1941</v>
      </c>
      <c r="I1466" t="s">
        <v>1942</v>
      </c>
      <c r="J1466">
        <v>12</v>
      </c>
      <c r="K1466">
        <v>3</v>
      </c>
      <c r="L1466">
        <v>1.1921296296296296E-3</v>
      </c>
      <c r="M1466" t="s">
        <v>117</v>
      </c>
      <c r="N1466" t="s">
        <v>1367</v>
      </c>
      <c r="O1466" s="24">
        <v>46133</v>
      </c>
      <c r="P1466">
        <v>605</v>
      </c>
      <c r="Q1466" t="s">
        <v>34</v>
      </c>
      <c r="R1466">
        <v>46137</v>
      </c>
      <c r="S1466" s="51">
        <v>0.36388888888888887</v>
      </c>
      <c r="T1466" s="51">
        <v>0.38472222222222224</v>
      </c>
      <c r="X1466" t="s">
        <v>3363</v>
      </c>
      <c r="Y1466" t="s">
        <v>3029</v>
      </c>
      <c r="Z1466">
        <v>2778424</v>
      </c>
    </row>
    <row r="1467" spans="1:26" x14ac:dyDescent="0.25">
      <c r="A1467">
        <v>1463</v>
      </c>
      <c r="B1467" t="s">
        <v>26</v>
      </c>
      <c r="C1467" t="s">
        <v>27</v>
      </c>
      <c r="D1467">
        <v>15</v>
      </c>
      <c r="E1467" t="s">
        <v>367</v>
      </c>
      <c r="F1467" t="s">
        <v>512</v>
      </c>
      <c r="G1467">
        <v>3754</v>
      </c>
      <c r="H1467" t="s">
        <v>2035</v>
      </c>
      <c r="I1467" t="s">
        <v>2036</v>
      </c>
      <c r="J1467">
        <v>12</v>
      </c>
      <c r="K1467">
        <v>1</v>
      </c>
      <c r="L1467">
        <v>5.7870370370370367E-4</v>
      </c>
      <c r="M1467" t="s">
        <v>117</v>
      </c>
      <c r="N1467" t="s">
        <v>1367</v>
      </c>
      <c r="O1467" s="24">
        <v>46133</v>
      </c>
      <c r="P1467">
        <v>605</v>
      </c>
      <c r="Q1467" t="s">
        <v>34</v>
      </c>
      <c r="R1467">
        <v>46137</v>
      </c>
      <c r="S1467" s="51">
        <v>0.36388888888888887</v>
      </c>
      <c r="T1467" s="51">
        <v>0.38472222222222224</v>
      </c>
      <c r="X1467" t="s">
        <v>3363</v>
      </c>
      <c r="Y1467" t="s">
        <v>3029</v>
      </c>
      <c r="Z1467">
        <v>2778424</v>
      </c>
    </row>
    <row r="1468" spans="1:26" x14ac:dyDescent="0.25">
      <c r="A1468">
        <v>1464</v>
      </c>
      <c r="B1468" t="s">
        <v>26</v>
      </c>
      <c r="C1468" t="s">
        <v>27</v>
      </c>
      <c r="D1468">
        <v>15</v>
      </c>
      <c r="E1468" t="s">
        <v>367</v>
      </c>
      <c r="F1468" t="s">
        <v>512</v>
      </c>
      <c r="G1468">
        <v>3754</v>
      </c>
      <c r="H1468" t="s">
        <v>1842</v>
      </c>
      <c r="I1468" t="s">
        <v>1843</v>
      </c>
      <c r="J1468">
        <v>12</v>
      </c>
      <c r="K1468">
        <v>1</v>
      </c>
      <c r="L1468">
        <v>5.7870370370370367E-4</v>
      </c>
      <c r="M1468" t="s">
        <v>117</v>
      </c>
      <c r="N1468" t="s">
        <v>1367</v>
      </c>
      <c r="O1468" s="24">
        <v>46133</v>
      </c>
      <c r="P1468">
        <v>605</v>
      </c>
      <c r="Q1468" t="s">
        <v>34</v>
      </c>
      <c r="R1468">
        <v>46137</v>
      </c>
      <c r="S1468" s="51">
        <v>0.36388888888888887</v>
      </c>
      <c r="T1468" s="51">
        <v>0.38472222222222224</v>
      </c>
      <c r="X1468" t="s">
        <v>3363</v>
      </c>
      <c r="Y1468" t="s">
        <v>3029</v>
      </c>
      <c r="Z1468">
        <v>2778424</v>
      </c>
    </row>
    <row r="1469" spans="1:26" x14ac:dyDescent="0.25">
      <c r="A1469">
        <v>1465</v>
      </c>
      <c r="B1469" t="s">
        <v>26</v>
      </c>
      <c r="C1469" t="s">
        <v>27</v>
      </c>
      <c r="D1469">
        <v>15</v>
      </c>
      <c r="E1469" t="s">
        <v>2742</v>
      </c>
      <c r="F1469" t="s">
        <v>115</v>
      </c>
      <c r="G1469">
        <v>3754</v>
      </c>
      <c r="H1469" t="s">
        <v>2830</v>
      </c>
      <c r="I1469" t="s">
        <v>2831</v>
      </c>
      <c r="J1469">
        <v>12</v>
      </c>
      <c r="K1469">
        <v>2</v>
      </c>
      <c r="L1469">
        <v>1.5740740740740741E-3</v>
      </c>
      <c r="M1469" t="s">
        <v>117</v>
      </c>
      <c r="N1469" t="s">
        <v>1367</v>
      </c>
      <c r="O1469" s="24">
        <v>46133</v>
      </c>
      <c r="P1469">
        <v>605</v>
      </c>
      <c r="Q1469" t="s">
        <v>34</v>
      </c>
      <c r="R1469">
        <v>46137</v>
      </c>
      <c r="S1469" s="51">
        <v>0.36388888888888887</v>
      </c>
      <c r="T1469" s="51">
        <v>0.38472222222222224</v>
      </c>
      <c r="X1469" t="s">
        <v>3363</v>
      </c>
      <c r="Y1469" t="s">
        <v>3029</v>
      </c>
      <c r="Z1469">
        <v>2778424</v>
      </c>
    </row>
    <row r="1470" spans="1:26" x14ac:dyDescent="0.25">
      <c r="A1470">
        <v>1466</v>
      </c>
      <c r="B1470" t="s">
        <v>26</v>
      </c>
      <c r="C1470" t="s">
        <v>27</v>
      </c>
      <c r="D1470">
        <v>15</v>
      </c>
      <c r="E1470" t="s">
        <v>2729</v>
      </c>
      <c r="F1470" t="s">
        <v>115</v>
      </c>
      <c r="G1470">
        <v>3754</v>
      </c>
      <c r="H1470" t="s">
        <v>2862</v>
      </c>
      <c r="I1470" t="s">
        <v>2831</v>
      </c>
      <c r="J1470">
        <v>12</v>
      </c>
      <c r="K1470">
        <v>6</v>
      </c>
      <c r="L1470">
        <v>5.9490740740740736E-3</v>
      </c>
      <c r="M1470" t="s">
        <v>117</v>
      </c>
      <c r="N1470" t="s">
        <v>1367</v>
      </c>
      <c r="O1470" s="24">
        <v>46133</v>
      </c>
      <c r="P1470">
        <v>605</v>
      </c>
      <c r="Q1470" t="s">
        <v>34</v>
      </c>
      <c r="R1470">
        <v>46137</v>
      </c>
      <c r="S1470" s="51">
        <v>0.36388888888888887</v>
      </c>
      <c r="T1470" s="51">
        <v>0.38472222222222224</v>
      </c>
      <c r="X1470" t="s">
        <v>3363</v>
      </c>
      <c r="Y1470" t="s">
        <v>3029</v>
      </c>
      <c r="Z1470">
        <v>2778424</v>
      </c>
    </row>
    <row r="1471" spans="1:26" x14ac:dyDescent="0.25">
      <c r="A1471">
        <v>1467</v>
      </c>
      <c r="B1471" t="s">
        <v>26</v>
      </c>
      <c r="C1471" t="s">
        <v>27</v>
      </c>
      <c r="D1471">
        <v>15</v>
      </c>
      <c r="E1471" t="s">
        <v>2763</v>
      </c>
      <c r="F1471" t="s">
        <v>512</v>
      </c>
      <c r="G1471">
        <v>3754</v>
      </c>
      <c r="H1471" t="s">
        <v>2863</v>
      </c>
      <c r="I1471" t="s">
        <v>1813</v>
      </c>
      <c r="J1471">
        <v>12</v>
      </c>
      <c r="K1471">
        <v>1</v>
      </c>
      <c r="L1471">
        <v>1.230324074074074E-2</v>
      </c>
      <c r="M1471" t="s">
        <v>117</v>
      </c>
      <c r="N1471" t="s">
        <v>1367</v>
      </c>
      <c r="O1471" s="24">
        <v>46133</v>
      </c>
      <c r="P1471">
        <v>605</v>
      </c>
      <c r="Q1471" t="s">
        <v>34</v>
      </c>
      <c r="R1471">
        <v>46137</v>
      </c>
      <c r="S1471" s="51">
        <v>0.36388888888888887</v>
      </c>
      <c r="T1471" s="51">
        <v>0.38472222222222224</v>
      </c>
      <c r="X1471" t="s">
        <v>3363</v>
      </c>
      <c r="Y1471" t="s">
        <v>3029</v>
      </c>
      <c r="Z1471">
        <v>2778424</v>
      </c>
    </row>
    <row r="1472" spans="1:26" x14ac:dyDescent="0.25">
      <c r="A1472">
        <v>1468</v>
      </c>
      <c r="B1472" t="s">
        <v>26</v>
      </c>
      <c r="C1472" t="s">
        <v>27</v>
      </c>
      <c r="D1472">
        <v>15</v>
      </c>
      <c r="E1472" t="s">
        <v>367</v>
      </c>
      <c r="F1472" t="s">
        <v>367</v>
      </c>
      <c r="G1472">
        <v>3763</v>
      </c>
      <c r="H1472" t="s">
        <v>1608</v>
      </c>
      <c r="I1472" t="s">
        <v>1609</v>
      </c>
      <c r="J1472">
        <v>19</v>
      </c>
      <c r="K1472">
        <v>16</v>
      </c>
      <c r="L1472">
        <v>1.3506944444444445E-2</v>
      </c>
      <c r="M1472" t="s">
        <v>3079</v>
      </c>
      <c r="X1472" t="s">
        <v>3364</v>
      </c>
    </row>
    <row r="1473" spans="1:26" x14ac:dyDescent="0.25">
      <c r="A1473">
        <v>1469</v>
      </c>
      <c r="B1473" t="s">
        <v>26</v>
      </c>
      <c r="C1473" t="s">
        <v>27</v>
      </c>
      <c r="D1473">
        <v>15</v>
      </c>
      <c r="E1473" t="s">
        <v>367</v>
      </c>
      <c r="F1473" t="s">
        <v>367</v>
      </c>
      <c r="G1473">
        <v>3763</v>
      </c>
      <c r="H1473" t="s">
        <v>1613</v>
      </c>
      <c r="I1473" t="s">
        <v>1614</v>
      </c>
      <c r="J1473">
        <v>19</v>
      </c>
      <c r="K1473">
        <v>24</v>
      </c>
      <c r="L1473">
        <v>3.09375E-2</v>
      </c>
      <c r="M1473" t="s">
        <v>3079</v>
      </c>
      <c r="X1473" t="s">
        <v>3364</v>
      </c>
    </row>
    <row r="1474" spans="1:26" x14ac:dyDescent="0.25">
      <c r="A1474">
        <v>1470</v>
      </c>
      <c r="B1474" t="s">
        <v>26</v>
      </c>
      <c r="C1474" t="s">
        <v>27</v>
      </c>
      <c r="D1474">
        <v>15</v>
      </c>
      <c r="E1474" t="s">
        <v>2823</v>
      </c>
      <c r="F1474" t="s">
        <v>2823</v>
      </c>
      <c r="G1474">
        <v>3763</v>
      </c>
      <c r="H1474" t="s">
        <v>2865</v>
      </c>
      <c r="I1474" t="s">
        <v>1614</v>
      </c>
      <c r="J1474">
        <v>19</v>
      </c>
      <c r="K1474">
        <v>31</v>
      </c>
      <c r="L1474">
        <v>3.99537037037037E-2</v>
      </c>
      <c r="M1474" t="s">
        <v>3079</v>
      </c>
      <c r="X1474" t="s">
        <v>3364</v>
      </c>
    </row>
    <row r="1475" spans="1:26" x14ac:dyDescent="0.25">
      <c r="A1475">
        <v>1471</v>
      </c>
      <c r="B1475" t="s">
        <v>26</v>
      </c>
      <c r="C1475" t="s">
        <v>27</v>
      </c>
      <c r="D1475">
        <v>15</v>
      </c>
      <c r="E1475" t="s">
        <v>2823</v>
      </c>
      <c r="F1475" t="s">
        <v>2823</v>
      </c>
      <c r="G1475">
        <v>3763</v>
      </c>
      <c r="H1475" t="s">
        <v>2866</v>
      </c>
      <c r="I1475" t="s">
        <v>1609</v>
      </c>
      <c r="J1475">
        <v>19</v>
      </c>
      <c r="K1475">
        <v>48</v>
      </c>
      <c r="L1475">
        <v>4.0543981481481479E-2</v>
      </c>
      <c r="M1475" t="s">
        <v>3079</v>
      </c>
      <c r="X1475" t="s">
        <v>3364</v>
      </c>
    </row>
    <row r="1476" spans="1:26" x14ac:dyDescent="0.25">
      <c r="A1476">
        <v>1472</v>
      </c>
      <c r="B1476" t="s">
        <v>26</v>
      </c>
      <c r="C1476" t="s">
        <v>27</v>
      </c>
      <c r="D1476">
        <v>15</v>
      </c>
      <c r="E1476" t="s">
        <v>1583</v>
      </c>
      <c r="F1476" t="s">
        <v>1583</v>
      </c>
      <c r="G1476">
        <v>3756</v>
      </c>
      <c r="H1476" t="s">
        <v>1888</v>
      </c>
      <c r="I1476" t="s">
        <v>1889</v>
      </c>
      <c r="J1476">
        <v>12</v>
      </c>
      <c r="K1476">
        <v>5</v>
      </c>
      <c r="L1476">
        <v>3.8078703703703703E-3</v>
      </c>
      <c r="M1476" t="s">
        <v>3079</v>
      </c>
      <c r="X1476" t="s">
        <v>3365</v>
      </c>
    </row>
    <row r="1477" spans="1:26" x14ac:dyDescent="0.25">
      <c r="A1477">
        <v>1473</v>
      </c>
      <c r="B1477" t="s">
        <v>26</v>
      </c>
      <c r="C1477" t="s">
        <v>27</v>
      </c>
      <c r="D1477">
        <v>15</v>
      </c>
      <c r="E1477" t="s">
        <v>1665</v>
      </c>
      <c r="F1477" t="s">
        <v>115</v>
      </c>
      <c r="G1477">
        <v>3756</v>
      </c>
      <c r="H1477" t="s">
        <v>1940</v>
      </c>
      <c r="I1477" t="s">
        <v>1886</v>
      </c>
      <c r="J1477">
        <v>12</v>
      </c>
      <c r="K1477">
        <v>11</v>
      </c>
      <c r="L1477">
        <v>7.8472222222222224E-3</v>
      </c>
      <c r="M1477" t="s">
        <v>3079</v>
      </c>
      <c r="X1477" t="s">
        <v>3365</v>
      </c>
    </row>
    <row r="1478" spans="1:26" x14ac:dyDescent="0.25">
      <c r="A1478">
        <v>1474</v>
      </c>
      <c r="B1478" t="s">
        <v>26</v>
      </c>
      <c r="C1478" t="s">
        <v>27</v>
      </c>
      <c r="D1478">
        <v>15</v>
      </c>
      <c r="E1478" t="s">
        <v>367</v>
      </c>
      <c r="F1478" t="s">
        <v>512</v>
      </c>
      <c r="G1478">
        <v>3756</v>
      </c>
      <c r="H1478" t="s">
        <v>1871</v>
      </c>
      <c r="I1478" t="s">
        <v>1845</v>
      </c>
      <c r="J1478">
        <v>12</v>
      </c>
      <c r="K1478">
        <v>1</v>
      </c>
      <c r="L1478">
        <v>4.5138888888888887E-4</v>
      </c>
      <c r="M1478" t="s">
        <v>3079</v>
      </c>
      <c r="X1478" t="s">
        <v>3365</v>
      </c>
    </row>
    <row r="1479" spans="1:26" x14ac:dyDescent="0.25">
      <c r="A1479">
        <v>1475</v>
      </c>
      <c r="B1479" t="s">
        <v>26</v>
      </c>
      <c r="C1479" t="s">
        <v>27</v>
      </c>
      <c r="D1479">
        <v>15</v>
      </c>
      <c r="E1479" t="s">
        <v>367</v>
      </c>
      <c r="F1479" t="s">
        <v>512</v>
      </c>
      <c r="G1479">
        <v>3756</v>
      </c>
      <c r="H1479" t="s">
        <v>1844</v>
      </c>
      <c r="I1479" t="s">
        <v>1845</v>
      </c>
      <c r="J1479">
        <v>12</v>
      </c>
      <c r="K1479">
        <v>1</v>
      </c>
      <c r="L1479">
        <v>4.5138888888888887E-4</v>
      </c>
      <c r="M1479" t="s">
        <v>3079</v>
      </c>
      <c r="X1479" t="s">
        <v>3365</v>
      </c>
    </row>
    <row r="1480" spans="1:26" x14ac:dyDescent="0.25">
      <c r="A1480">
        <v>1476</v>
      </c>
      <c r="B1480" t="s">
        <v>26</v>
      </c>
      <c r="C1480" t="s">
        <v>27</v>
      </c>
      <c r="D1480">
        <v>15</v>
      </c>
      <c r="E1480" t="s">
        <v>367</v>
      </c>
      <c r="F1480" t="s">
        <v>1594</v>
      </c>
      <c r="G1480">
        <v>3756</v>
      </c>
      <c r="H1480" t="s">
        <v>1876</v>
      </c>
      <c r="I1480" t="s">
        <v>1877</v>
      </c>
      <c r="J1480">
        <v>12</v>
      </c>
      <c r="K1480">
        <v>2</v>
      </c>
      <c r="L1480">
        <v>1.2268518518518518E-3</v>
      </c>
      <c r="M1480" t="s">
        <v>3079</v>
      </c>
      <c r="X1480" t="s">
        <v>3365</v>
      </c>
    </row>
    <row r="1481" spans="1:26" x14ac:dyDescent="0.25">
      <c r="A1481">
        <v>1477</v>
      </c>
      <c r="B1481" t="s">
        <v>26</v>
      </c>
      <c r="C1481" t="s">
        <v>27</v>
      </c>
      <c r="D1481">
        <v>15</v>
      </c>
      <c r="E1481" t="s">
        <v>2763</v>
      </c>
      <c r="F1481" t="s">
        <v>512</v>
      </c>
      <c r="G1481">
        <v>3756</v>
      </c>
      <c r="H1481" t="s">
        <v>2868</v>
      </c>
      <c r="I1481" t="s">
        <v>2869</v>
      </c>
      <c r="J1481">
        <v>12</v>
      </c>
      <c r="K1481">
        <v>1</v>
      </c>
      <c r="L1481">
        <v>7.0254629629629625E-3</v>
      </c>
      <c r="M1481" t="s">
        <v>3079</v>
      </c>
      <c r="X1481" t="s">
        <v>3365</v>
      </c>
    </row>
    <row r="1482" spans="1:26" x14ac:dyDescent="0.25">
      <c r="A1482">
        <v>1478</v>
      </c>
      <c r="B1482" t="s">
        <v>26</v>
      </c>
      <c r="C1482" t="s">
        <v>27</v>
      </c>
      <c r="D1482">
        <v>15</v>
      </c>
      <c r="E1482" t="s">
        <v>152</v>
      </c>
      <c r="F1482" t="s">
        <v>152</v>
      </c>
      <c r="G1482">
        <v>3756</v>
      </c>
      <c r="H1482" t="s">
        <v>2870</v>
      </c>
      <c r="I1482" t="s">
        <v>2797</v>
      </c>
      <c r="J1482">
        <v>12</v>
      </c>
      <c r="K1482">
        <v>1</v>
      </c>
      <c r="L1482">
        <v>1.2268518518518518E-3</v>
      </c>
      <c r="M1482" t="s">
        <v>3079</v>
      </c>
      <c r="X1482" t="s">
        <v>3365</v>
      </c>
    </row>
    <row r="1483" spans="1:26" x14ac:dyDescent="0.25">
      <c r="A1483">
        <v>1479</v>
      </c>
      <c r="B1483" t="s">
        <v>26</v>
      </c>
      <c r="C1483" t="s">
        <v>27</v>
      </c>
      <c r="D1483">
        <v>15</v>
      </c>
      <c r="E1483" t="s">
        <v>1665</v>
      </c>
      <c r="F1483" t="s">
        <v>115</v>
      </c>
      <c r="G1483">
        <v>3755</v>
      </c>
      <c r="H1483" t="s">
        <v>1940</v>
      </c>
      <c r="I1483" t="s">
        <v>1886</v>
      </c>
      <c r="J1483">
        <v>12</v>
      </c>
      <c r="K1483">
        <v>11</v>
      </c>
      <c r="L1483">
        <v>8.9699074074074073E-3</v>
      </c>
      <c r="M1483" t="s">
        <v>3079</v>
      </c>
      <c r="X1483" t="s">
        <v>3366</v>
      </c>
    </row>
    <row r="1484" spans="1:26" x14ac:dyDescent="0.25">
      <c r="A1484">
        <v>1480</v>
      </c>
      <c r="B1484" t="s">
        <v>26</v>
      </c>
      <c r="C1484" t="s">
        <v>27</v>
      </c>
      <c r="D1484">
        <v>15</v>
      </c>
      <c r="E1484" t="s">
        <v>367</v>
      </c>
      <c r="F1484" t="s">
        <v>1594</v>
      </c>
      <c r="G1484">
        <v>3755</v>
      </c>
      <c r="H1484" t="s">
        <v>1853</v>
      </c>
      <c r="I1484" t="s">
        <v>1854</v>
      </c>
      <c r="J1484">
        <v>12</v>
      </c>
      <c r="K1484">
        <v>2</v>
      </c>
      <c r="L1484">
        <v>1.0763888888888889E-3</v>
      </c>
      <c r="M1484" t="s">
        <v>3079</v>
      </c>
      <c r="X1484" t="s">
        <v>3366</v>
      </c>
    </row>
    <row r="1485" spans="1:26" x14ac:dyDescent="0.25">
      <c r="A1485">
        <v>1481</v>
      </c>
      <c r="B1485" t="s">
        <v>26</v>
      </c>
      <c r="C1485" t="s">
        <v>27</v>
      </c>
      <c r="D1485">
        <v>15</v>
      </c>
      <c r="E1485" t="s">
        <v>2763</v>
      </c>
      <c r="F1485" t="s">
        <v>512</v>
      </c>
      <c r="G1485">
        <v>3755</v>
      </c>
      <c r="H1485" t="s">
        <v>2863</v>
      </c>
      <c r="I1485" t="s">
        <v>1813</v>
      </c>
      <c r="J1485">
        <v>12</v>
      </c>
      <c r="K1485">
        <v>1</v>
      </c>
      <c r="L1485">
        <v>1.2731481481481481E-2</v>
      </c>
      <c r="M1485" t="s">
        <v>3079</v>
      </c>
      <c r="X1485" t="s">
        <v>3366</v>
      </c>
    </row>
    <row r="1486" spans="1:26" x14ac:dyDescent="0.25">
      <c r="A1486">
        <v>1482</v>
      </c>
      <c r="B1486" t="s">
        <v>26</v>
      </c>
      <c r="C1486" t="s">
        <v>27</v>
      </c>
      <c r="D1486">
        <v>15</v>
      </c>
      <c r="E1486" t="s">
        <v>2763</v>
      </c>
      <c r="F1486" t="s">
        <v>512</v>
      </c>
      <c r="G1486">
        <v>3757</v>
      </c>
      <c r="H1486" t="s">
        <v>2872</v>
      </c>
      <c r="I1486" t="s">
        <v>2873</v>
      </c>
      <c r="J1486">
        <v>12</v>
      </c>
      <c r="K1486">
        <v>1</v>
      </c>
      <c r="L1486">
        <v>1.4953703703703703E-2</v>
      </c>
      <c r="M1486" t="s">
        <v>117</v>
      </c>
      <c r="N1486" t="s">
        <v>1367</v>
      </c>
      <c r="O1486" s="24">
        <v>46133</v>
      </c>
      <c r="P1486">
        <v>605</v>
      </c>
      <c r="Q1486" t="s">
        <v>34</v>
      </c>
      <c r="R1486">
        <v>46137</v>
      </c>
      <c r="S1486" s="51">
        <v>0.3347222222222222</v>
      </c>
      <c r="T1486" s="51">
        <v>0.35625000000000001</v>
      </c>
      <c r="X1486" t="s">
        <v>3367</v>
      </c>
      <c r="Y1486" t="s">
        <v>3029</v>
      </c>
      <c r="Z1486">
        <v>2778424</v>
      </c>
    </row>
    <row r="1487" spans="1:26" x14ac:dyDescent="0.25">
      <c r="A1487">
        <v>1483</v>
      </c>
      <c r="B1487" t="s">
        <v>26</v>
      </c>
      <c r="C1487" t="s">
        <v>27</v>
      </c>
      <c r="D1487">
        <v>15</v>
      </c>
      <c r="E1487" t="s">
        <v>152</v>
      </c>
      <c r="F1487" t="s">
        <v>152</v>
      </c>
      <c r="G1487">
        <v>3757</v>
      </c>
      <c r="H1487" t="s">
        <v>2875</v>
      </c>
      <c r="I1487" t="s">
        <v>2797</v>
      </c>
      <c r="J1487">
        <v>12</v>
      </c>
      <c r="K1487">
        <v>1</v>
      </c>
      <c r="L1487">
        <v>1.5972222222222221E-3</v>
      </c>
      <c r="M1487" t="s">
        <v>117</v>
      </c>
      <c r="N1487" t="s">
        <v>1367</v>
      </c>
      <c r="O1487" s="24">
        <v>46133</v>
      </c>
      <c r="P1487">
        <v>605</v>
      </c>
      <c r="Q1487" t="s">
        <v>34</v>
      </c>
      <c r="R1487">
        <v>46137</v>
      </c>
      <c r="S1487" s="51">
        <v>0.3347222222222222</v>
      </c>
      <c r="T1487" s="51">
        <v>0.35625000000000001</v>
      </c>
      <c r="X1487" t="s">
        <v>3367</v>
      </c>
      <c r="Y1487" t="s">
        <v>3029</v>
      </c>
      <c r="Z1487">
        <v>2778424</v>
      </c>
    </row>
    <row r="1488" spans="1:26" x14ac:dyDescent="0.25">
      <c r="A1488">
        <v>1484</v>
      </c>
      <c r="B1488" t="s">
        <v>26</v>
      </c>
      <c r="C1488" t="s">
        <v>27</v>
      </c>
      <c r="D1488">
        <v>15</v>
      </c>
      <c r="E1488" t="s">
        <v>152</v>
      </c>
      <c r="F1488" t="s">
        <v>152</v>
      </c>
      <c r="G1488">
        <v>3757</v>
      </c>
      <c r="H1488" t="s">
        <v>2876</v>
      </c>
      <c r="I1488" t="s">
        <v>2797</v>
      </c>
      <c r="J1488">
        <v>12</v>
      </c>
      <c r="K1488">
        <v>1</v>
      </c>
      <c r="L1488">
        <v>1.5972222222222221E-3</v>
      </c>
      <c r="M1488" t="s">
        <v>117</v>
      </c>
      <c r="N1488" t="s">
        <v>1367</v>
      </c>
      <c r="O1488" s="24">
        <v>46133</v>
      </c>
      <c r="P1488">
        <v>605</v>
      </c>
      <c r="Q1488" t="s">
        <v>34</v>
      </c>
      <c r="R1488">
        <v>46137</v>
      </c>
      <c r="S1488" s="51">
        <v>0.3347222222222222</v>
      </c>
      <c r="T1488" s="51">
        <v>0.35625000000000001</v>
      </c>
      <c r="X1488" t="s">
        <v>3367</v>
      </c>
      <c r="Y1488" t="s">
        <v>3029</v>
      </c>
      <c r="Z1488">
        <v>2778424</v>
      </c>
    </row>
    <row r="1489" spans="1:26" x14ac:dyDescent="0.25">
      <c r="A1489">
        <v>1485</v>
      </c>
      <c r="B1489" t="s">
        <v>26</v>
      </c>
      <c r="C1489" t="s">
        <v>27</v>
      </c>
      <c r="D1489">
        <v>15</v>
      </c>
      <c r="E1489" t="s">
        <v>152</v>
      </c>
      <c r="F1489" t="s">
        <v>152</v>
      </c>
      <c r="G1489">
        <v>3757</v>
      </c>
      <c r="H1489" t="s">
        <v>2877</v>
      </c>
      <c r="I1489" t="s">
        <v>2797</v>
      </c>
      <c r="J1489">
        <v>12</v>
      </c>
      <c r="K1489">
        <v>1</v>
      </c>
      <c r="L1489">
        <v>1.5972222222222221E-3</v>
      </c>
      <c r="M1489" t="s">
        <v>117</v>
      </c>
      <c r="N1489" t="s">
        <v>1367</v>
      </c>
      <c r="O1489" s="24">
        <v>46133</v>
      </c>
      <c r="P1489">
        <v>605</v>
      </c>
      <c r="Q1489" t="s">
        <v>34</v>
      </c>
      <c r="R1489">
        <v>46137</v>
      </c>
      <c r="S1489" s="51">
        <v>0.3347222222222222</v>
      </c>
      <c r="T1489" s="51">
        <v>0.35625000000000001</v>
      </c>
      <c r="X1489" t="s">
        <v>3367</v>
      </c>
      <c r="Y1489" t="s">
        <v>3029</v>
      </c>
      <c r="Z1489">
        <v>2778424</v>
      </c>
    </row>
    <row r="1490" spans="1:26" x14ac:dyDescent="0.25">
      <c r="A1490">
        <v>1486</v>
      </c>
      <c r="B1490" t="s">
        <v>26</v>
      </c>
      <c r="C1490" t="s">
        <v>27</v>
      </c>
      <c r="D1490">
        <v>15</v>
      </c>
      <c r="E1490" t="s">
        <v>147</v>
      </c>
      <c r="F1490" t="s">
        <v>512</v>
      </c>
      <c r="G1490">
        <v>4283</v>
      </c>
      <c r="H1490" t="s">
        <v>2352</v>
      </c>
      <c r="I1490" t="s">
        <v>2161</v>
      </c>
      <c r="J1490">
        <v>8</v>
      </c>
      <c r="K1490">
        <v>2</v>
      </c>
      <c r="L1490">
        <v>3.3101851851851851E-3</v>
      </c>
      <c r="M1490" t="s">
        <v>117</v>
      </c>
      <c r="N1490" t="s">
        <v>991</v>
      </c>
      <c r="O1490" s="24">
        <v>46120</v>
      </c>
      <c r="P1490">
        <v>606</v>
      </c>
      <c r="Q1490" t="s">
        <v>34</v>
      </c>
      <c r="R1490">
        <v>46135</v>
      </c>
      <c r="S1490" s="51">
        <v>4.7222222222222221E-2</v>
      </c>
      <c r="T1490" s="51">
        <v>7.4305555555555555E-2</v>
      </c>
      <c r="X1490" t="s">
        <v>3368</v>
      </c>
      <c r="Y1490" t="s">
        <v>3035</v>
      </c>
      <c r="Z1490">
        <v>1742402</v>
      </c>
    </row>
    <row r="1491" spans="1:26" x14ac:dyDescent="0.25">
      <c r="A1491">
        <v>1487</v>
      </c>
      <c r="B1491" t="s">
        <v>26</v>
      </c>
      <c r="C1491" t="s">
        <v>27</v>
      </c>
      <c r="D1491">
        <v>15</v>
      </c>
      <c r="E1491" t="s">
        <v>1588</v>
      </c>
      <c r="F1491" t="s">
        <v>44</v>
      </c>
      <c r="G1491">
        <v>4283</v>
      </c>
      <c r="H1491" t="s">
        <v>2057</v>
      </c>
      <c r="I1491" t="s">
        <v>2049</v>
      </c>
      <c r="J1491">
        <v>8</v>
      </c>
      <c r="K1491">
        <v>1</v>
      </c>
      <c r="L1491">
        <v>1.261574074074074E-3</v>
      </c>
      <c r="M1491" t="s">
        <v>117</v>
      </c>
      <c r="N1491" t="s">
        <v>991</v>
      </c>
      <c r="O1491" s="24">
        <v>46120</v>
      </c>
      <c r="P1491">
        <v>606</v>
      </c>
      <c r="Q1491" t="s">
        <v>34</v>
      </c>
      <c r="R1491">
        <v>46135</v>
      </c>
      <c r="S1491" s="51">
        <v>4.7222222222222221E-2</v>
      </c>
      <c r="T1491" s="51">
        <v>7.4305555555555555E-2</v>
      </c>
      <c r="X1491" t="s">
        <v>3368</v>
      </c>
      <c r="Y1491" t="s">
        <v>3035</v>
      </c>
      <c r="Z1491">
        <v>1742402</v>
      </c>
    </row>
    <row r="1492" spans="1:26" x14ac:dyDescent="0.25">
      <c r="A1492">
        <v>1488</v>
      </c>
      <c r="B1492" t="s">
        <v>26</v>
      </c>
      <c r="C1492" t="s">
        <v>27</v>
      </c>
      <c r="D1492">
        <v>15</v>
      </c>
      <c r="E1492" t="s">
        <v>1588</v>
      </c>
      <c r="F1492" t="s">
        <v>44</v>
      </c>
      <c r="G1492">
        <v>4283</v>
      </c>
      <c r="H1492" t="s">
        <v>2217</v>
      </c>
      <c r="I1492" t="s">
        <v>2049</v>
      </c>
      <c r="J1492">
        <v>8</v>
      </c>
      <c r="K1492">
        <v>1</v>
      </c>
      <c r="L1492">
        <v>1.261574074074074E-3</v>
      </c>
      <c r="M1492" t="s">
        <v>117</v>
      </c>
      <c r="N1492" t="s">
        <v>991</v>
      </c>
      <c r="O1492" s="24">
        <v>46120</v>
      </c>
      <c r="P1492">
        <v>606</v>
      </c>
      <c r="Q1492" t="s">
        <v>34</v>
      </c>
      <c r="R1492">
        <v>46135</v>
      </c>
      <c r="S1492" s="51">
        <v>4.7222222222222221E-2</v>
      </c>
      <c r="T1492" s="51">
        <v>7.4305555555555555E-2</v>
      </c>
      <c r="X1492" t="s">
        <v>3368</v>
      </c>
      <c r="Y1492" t="s">
        <v>3035</v>
      </c>
      <c r="Z1492">
        <v>1742402</v>
      </c>
    </row>
    <row r="1493" spans="1:26" x14ac:dyDescent="0.25">
      <c r="A1493">
        <v>1489</v>
      </c>
      <c r="B1493" t="s">
        <v>26</v>
      </c>
      <c r="C1493" t="s">
        <v>27</v>
      </c>
      <c r="D1493">
        <v>15</v>
      </c>
      <c r="E1493" t="s">
        <v>367</v>
      </c>
      <c r="F1493" t="s">
        <v>368</v>
      </c>
      <c r="G1493">
        <v>4283</v>
      </c>
      <c r="H1493" t="s">
        <v>2114</v>
      </c>
      <c r="I1493" t="s">
        <v>2097</v>
      </c>
      <c r="J1493">
        <v>8</v>
      </c>
      <c r="K1493">
        <v>2</v>
      </c>
      <c r="L1493">
        <v>1.2962962962962963E-3</v>
      </c>
      <c r="M1493" t="s">
        <v>117</v>
      </c>
      <c r="N1493" t="s">
        <v>991</v>
      </c>
      <c r="O1493" s="24">
        <v>46120</v>
      </c>
      <c r="P1493">
        <v>606</v>
      </c>
      <c r="Q1493" t="s">
        <v>34</v>
      </c>
      <c r="R1493">
        <v>46135</v>
      </c>
      <c r="S1493" s="51">
        <v>4.7222222222222221E-2</v>
      </c>
      <c r="T1493" s="51">
        <v>7.4305555555555555E-2</v>
      </c>
      <c r="X1493" t="s">
        <v>3368</v>
      </c>
      <c r="Y1493" t="s">
        <v>3035</v>
      </c>
      <c r="Z1493">
        <v>1742402</v>
      </c>
    </row>
    <row r="1494" spans="1:26" x14ac:dyDescent="0.25">
      <c r="A1494">
        <v>1490</v>
      </c>
      <c r="B1494" t="s">
        <v>26</v>
      </c>
      <c r="C1494" t="s">
        <v>27</v>
      </c>
      <c r="D1494">
        <v>15</v>
      </c>
      <c r="E1494" t="s">
        <v>367</v>
      </c>
      <c r="F1494" t="s">
        <v>512</v>
      </c>
      <c r="G1494">
        <v>4283</v>
      </c>
      <c r="H1494" t="s">
        <v>2713</v>
      </c>
      <c r="I1494" t="s">
        <v>2599</v>
      </c>
      <c r="J1494">
        <v>8</v>
      </c>
      <c r="K1494">
        <v>1</v>
      </c>
      <c r="L1494">
        <v>8.9120370370370362E-4</v>
      </c>
      <c r="M1494" t="s">
        <v>117</v>
      </c>
      <c r="N1494" t="s">
        <v>991</v>
      </c>
      <c r="O1494" s="24">
        <v>46120</v>
      </c>
      <c r="P1494">
        <v>606</v>
      </c>
      <c r="Q1494" t="s">
        <v>34</v>
      </c>
      <c r="R1494">
        <v>46135</v>
      </c>
      <c r="S1494" s="51">
        <v>4.7222222222222221E-2</v>
      </c>
      <c r="T1494" s="51">
        <v>7.4305555555555555E-2</v>
      </c>
      <c r="X1494" t="s">
        <v>3368</v>
      </c>
      <c r="Y1494" t="s">
        <v>3035</v>
      </c>
      <c r="Z1494">
        <v>1742402</v>
      </c>
    </row>
    <row r="1495" spans="1:26" x14ac:dyDescent="0.25">
      <c r="A1495">
        <v>1491</v>
      </c>
      <c r="B1495" t="s">
        <v>26</v>
      </c>
      <c r="C1495" t="s">
        <v>27</v>
      </c>
      <c r="D1495">
        <v>15</v>
      </c>
      <c r="E1495" t="s">
        <v>367</v>
      </c>
      <c r="F1495" t="s">
        <v>512</v>
      </c>
      <c r="G1495">
        <v>4283</v>
      </c>
      <c r="H1495" t="s">
        <v>2598</v>
      </c>
      <c r="I1495" t="s">
        <v>2599</v>
      </c>
      <c r="J1495">
        <v>8</v>
      </c>
      <c r="K1495">
        <v>2</v>
      </c>
      <c r="L1495">
        <v>1.7824074074074072E-3</v>
      </c>
      <c r="M1495" t="s">
        <v>117</v>
      </c>
      <c r="N1495" t="s">
        <v>991</v>
      </c>
      <c r="O1495" s="24">
        <v>46120</v>
      </c>
      <c r="P1495">
        <v>606</v>
      </c>
      <c r="Q1495" t="s">
        <v>34</v>
      </c>
      <c r="R1495">
        <v>46135</v>
      </c>
      <c r="S1495" s="51">
        <v>4.7222222222222221E-2</v>
      </c>
      <c r="T1495" s="51">
        <v>7.4305555555555555E-2</v>
      </c>
      <c r="X1495" t="s">
        <v>3368</v>
      </c>
      <c r="Y1495" t="s">
        <v>3035</v>
      </c>
      <c r="Z1495">
        <v>1742402</v>
      </c>
    </row>
    <row r="1496" spans="1:26" x14ac:dyDescent="0.25">
      <c r="A1496">
        <v>1492</v>
      </c>
      <c r="B1496" t="s">
        <v>26</v>
      </c>
      <c r="C1496" t="s">
        <v>27</v>
      </c>
      <c r="D1496">
        <v>15</v>
      </c>
      <c r="E1496" t="s">
        <v>367</v>
      </c>
      <c r="F1496" t="s">
        <v>427</v>
      </c>
      <c r="G1496">
        <v>4283</v>
      </c>
      <c r="H1496" t="s">
        <v>2269</v>
      </c>
      <c r="I1496" t="s">
        <v>2270</v>
      </c>
      <c r="J1496">
        <v>8</v>
      </c>
      <c r="K1496">
        <v>1</v>
      </c>
      <c r="L1496">
        <v>1.7013888888888888E-3</v>
      </c>
      <c r="M1496" t="s">
        <v>117</v>
      </c>
      <c r="N1496" t="s">
        <v>991</v>
      </c>
      <c r="O1496" s="24">
        <v>46120</v>
      </c>
      <c r="P1496">
        <v>606</v>
      </c>
      <c r="Q1496" t="s">
        <v>34</v>
      </c>
      <c r="R1496">
        <v>46135</v>
      </c>
      <c r="S1496" s="51">
        <v>4.7222222222222221E-2</v>
      </c>
      <c r="T1496" s="51">
        <v>7.4305555555555555E-2</v>
      </c>
      <c r="X1496" t="s">
        <v>3368</v>
      </c>
      <c r="Y1496" t="s">
        <v>3035</v>
      </c>
      <c r="Z1496">
        <v>1742402</v>
      </c>
    </row>
    <row r="1497" spans="1:26" x14ac:dyDescent="0.25">
      <c r="A1497">
        <v>1493</v>
      </c>
      <c r="B1497" t="s">
        <v>26</v>
      </c>
      <c r="C1497" t="s">
        <v>27</v>
      </c>
      <c r="D1497">
        <v>15</v>
      </c>
      <c r="E1497" t="s">
        <v>2763</v>
      </c>
      <c r="F1497" t="s">
        <v>44</v>
      </c>
      <c r="G1497">
        <v>4283</v>
      </c>
      <c r="H1497" t="s">
        <v>2383</v>
      </c>
      <c r="I1497" t="s">
        <v>2384</v>
      </c>
      <c r="J1497">
        <v>8</v>
      </c>
      <c r="K1497">
        <v>2</v>
      </c>
      <c r="L1497">
        <v>2.9745370370370368E-3</v>
      </c>
      <c r="M1497" t="s">
        <v>117</v>
      </c>
      <c r="N1497" t="s">
        <v>991</v>
      </c>
      <c r="O1497" s="24">
        <v>46120</v>
      </c>
      <c r="P1497">
        <v>606</v>
      </c>
      <c r="Q1497" t="s">
        <v>34</v>
      </c>
      <c r="R1497">
        <v>46135</v>
      </c>
      <c r="S1497" s="51">
        <v>4.7222222222222221E-2</v>
      </c>
      <c r="T1497" s="51">
        <v>7.4305555555555555E-2</v>
      </c>
      <c r="X1497" t="s">
        <v>3368</v>
      </c>
      <c r="Y1497" t="s">
        <v>3035</v>
      </c>
      <c r="Z1497">
        <v>1742402</v>
      </c>
    </row>
    <row r="1498" spans="1:26" x14ac:dyDescent="0.25">
      <c r="A1498">
        <v>1494</v>
      </c>
      <c r="B1498" t="s">
        <v>26</v>
      </c>
      <c r="C1498" t="s">
        <v>27</v>
      </c>
      <c r="D1498">
        <v>15</v>
      </c>
      <c r="E1498" t="s">
        <v>2729</v>
      </c>
      <c r="F1498" t="s">
        <v>512</v>
      </c>
      <c r="G1498">
        <v>4283</v>
      </c>
      <c r="H1498" t="s">
        <v>2879</v>
      </c>
      <c r="I1498" t="s">
        <v>2880</v>
      </c>
      <c r="J1498">
        <v>8</v>
      </c>
      <c r="K1498">
        <v>1</v>
      </c>
      <c r="L1498">
        <v>3.5416666666666665E-3</v>
      </c>
      <c r="M1498" t="s">
        <v>117</v>
      </c>
      <c r="N1498" t="s">
        <v>991</v>
      </c>
      <c r="O1498" s="24">
        <v>46120</v>
      </c>
      <c r="P1498">
        <v>606</v>
      </c>
      <c r="Q1498" t="s">
        <v>34</v>
      </c>
      <c r="R1498">
        <v>46135</v>
      </c>
      <c r="S1498" s="51">
        <v>4.7222222222222221E-2</v>
      </c>
      <c r="T1498" s="51">
        <v>7.4305555555555555E-2</v>
      </c>
      <c r="X1498" t="s">
        <v>3368</v>
      </c>
      <c r="Y1498" t="s">
        <v>3035</v>
      </c>
      <c r="Z1498">
        <v>1742402</v>
      </c>
    </row>
    <row r="1499" spans="1:26" x14ac:dyDescent="0.25">
      <c r="A1499">
        <v>1495</v>
      </c>
      <c r="B1499" t="s">
        <v>26</v>
      </c>
      <c r="C1499" t="s">
        <v>27</v>
      </c>
      <c r="D1499">
        <v>15</v>
      </c>
      <c r="E1499" t="s">
        <v>2094</v>
      </c>
      <c r="F1499" t="s">
        <v>44</v>
      </c>
      <c r="G1499">
        <v>4283</v>
      </c>
      <c r="H1499" t="s">
        <v>48</v>
      </c>
      <c r="I1499" t="s">
        <v>1119</v>
      </c>
      <c r="J1499">
        <v>8</v>
      </c>
      <c r="K1499">
        <v>3</v>
      </c>
      <c r="L1499">
        <v>4.0393518518518513E-3</v>
      </c>
      <c r="M1499" t="s">
        <v>117</v>
      </c>
      <c r="N1499" t="s">
        <v>991</v>
      </c>
      <c r="O1499" s="24">
        <v>46120</v>
      </c>
      <c r="P1499">
        <v>606</v>
      </c>
      <c r="Q1499" t="s">
        <v>34</v>
      </c>
      <c r="R1499">
        <v>46135</v>
      </c>
      <c r="S1499" s="51">
        <v>4.7222222222222221E-2</v>
      </c>
      <c r="T1499" s="51">
        <v>7.4305555555555555E-2</v>
      </c>
      <c r="X1499" t="s">
        <v>3368</v>
      </c>
      <c r="Y1499" t="s">
        <v>3035</v>
      </c>
      <c r="Z1499">
        <v>1742402</v>
      </c>
    </row>
    <row r="1500" spans="1:26" x14ac:dyDescent="0.25">
      <c r="A1500">
        <v>1496</v>
      </c>
      <c r="B1500" t="s">
        <v>26</v>
      </c>
      <c r="C1500" t="s">
        <v>27</v>
      </c>
      <c r="D1500">
        <v>15</v>
      </c>
      <c r="E1500" t="s">
        <v>147</v>
      </c>
      <c r="F1500" t="s">
        <v>512</v>
      </c>
      <c r="G1500">
        <v>3943</v>
      </c>
      <c r="H1500" t="s">
        <v>2352</v>
      </c>
      <c r="I1500" t="s">
        <v>2161</v>
      </c>
      <c r="J1500">
        <v>8</v>
      </c>
      <c r="K1500">
        <v>1</v>
      </c>
      <c r="L1500">
        <v>1.747685185185185E-3</v>
      </c>
      <c r="M1500" t="s">
        <v>117</v>
      </c>
      <c r="N1500" t="s">
        <v>991</v>
      </c>
      <c r="O1500" s="24">
        <v>46120</v>
      </c>
      <c r="P1500">
        <v>606</v>
      </c>
      <c r="Q1500" t="s">
        <v>34</v>
      </c>
      <c r="R1500">
        <v>46135</v>
      </c>
      <c r="S1500" s="51">
        <v>2.5000000000000001E-2</v>
      </c>
      <c r="T1500" s="51">
        <v>4.2361111111111113E-2</v>
      </c>
      <c r="X1500" t="s">
        <v>3369</v>
      </c>
      <c r="Y1500" t="s">
        <v>3035</v>
      </c>
      <c r="Z1500">
        <v>2742255</v>
      </c>
    </row>
    <row r="1501" spans="1:26" x14ac:dyDescent="0.25">
      <c r="A1501">
        <v>1497</v>
      </c>
      <c r="B1501" t="s">
        <v>26</v>
      </c>
      <c r="C1501" t="s">
        <v>27</v>
      </c>
      <c r="D1501">
        <v>15</v>
      </c>
      <c r="E1501" t="s">
        <v>1672</v>
      </c>
      <c r="F1501" t="s">
        <v>115</v>
      </c>
      <c r="G1501">
        <v>3943</v>
      </c>
      <c r="H1501" t="s">
        <v>2087</v>
      </c>
      <c r="I1501" t="s">
        <v>2088</v>
      </c>
      <c r="J1501">
        <v>8</v>
      </c>
      <c r="K1501">
        <v>1</v>
      </c>
      <c r="L1501">
        <v>8.7962962962962962E-4</v>
      </c>
      <c r="M1501" t="s">
        <v>117</v>
      </c>
      <c r="N1501" t="s">
        <v>991</v>
      </c>
      <c r="O1501" s="24">
        <v>46120</v>
      </c>
      <c r="P1501">
        <v>606</v>
      </c>
      <c r="Q1501" t="s">
        <v>34</v>
      </c>
      <c r="R1501">
        <v>46135</v>
      </c>
      <c r="S1501" s="51">
        <v>2.5000000000000001E-2</v>
      </c>
      <c r="T1501" s="51">
        <v>4.2361111111111113E-2</v>
      </c>
      <c r="X1501" t="s">
        <v>3369</v>
      </c>
      <c r="Y1501" t="s">
        <v>3035</v>
      </c>
      <c r="Z1501">
        <v>2742255</v>
      </c>
    </row>
    <row r="1502" spans="1:26" x14ac:dyDescent="0.25">
      <c r="A1502">
        <v>1498</v>
      </c>
      <c r="B1502" t="s">
        <v>26</v>
      </c>
      <c r="C1502" t="s">
        <v>27</v>
      </c>
      <c r="D1502">
        <v>15</v>
      </c>
      <c r="E1502" t="s">
        <v>1672</v>
      </c>
      <c r="F1502" t="s">
        <v>498</v>
      </c>
      <c r="G1502">
        <v>3943</v>
      </c>
      <c r="H1502" t="s">
        <v>2055</v>
      </c>
      <c r="I1502" t="s">
        <v>2056</v>
      </c>
      <c r="J1502">
        <v>8</v>
      </c>
      <c r="K1502">
        <v>1</v>
      </c>
      <c r="L1502">
        <v>8.7962962962962962E-4</v>
      </c>
      <c r="M1502" t="s">
        <v>117</v>
      </c>
      <c r="N1502" t="s">
        <v>991</v>
      </c>
      <c r="O1502" s="24">
        <v>46120</v>
      </c>
      <c r="P1502">
        <v>606</v>
      </c>
      <c r="Q1502" t="s">
        <v>34</v>
      </c>
      <c r="R1502">
        <v>46135</v>
      </c>
      <c r="S1502" s="51">
        <v>2.5000000000000001E-2</v>
      </c>
      <c r="T1502" s="51">
        <v>4.2361111111111113E-2</v>
      </c>
      <c r="X1502" t="s">
        <v>3369</v>
      </c>
      <c r="Y1502" t="s">
        <v>3035</v>
      </c>
      <c r="Z1502">
        <v>2742255</v>
      </c>
    </row>
    <row r="1503" spans="1:26" x14ac:dyDescent="0.25">
      <c r="A1503">
        <v>1499</v>
      </c>
      <c r="B1503" t="s">
        <v>26</v>
      </c>
      <c r="C1503" t="s">
        <v>27</v>
      </c>
      <c r="D1503">
        <v>15</v>
      </c>
      <c r="E1503" t="s">
        <v>367</v>
      </c>
      <c r="F1503" t="s">
        <v>512</v>
      </c>
      <c r="G1503">
        <v>3943</v>
      </c>
      <c r="H1503" t="s">
        <v>2229</v>
      </c>
      <c r="I1503" t="s">
        <v>2230</v>
      </c>
      <c r="J1503">
        <v>8</v>
      </c>
      <c r="K1503">
        <v>1</v>
      </c>
      <c r="L1503">
        <v>1.6550925925925926E-3</v>
      </c>
      <c r="M1503" t="s">
        <v>117</v>
      </c>
      <c r="N1503" t="s">
        <v>991</v>
      </c>
      <c r="O1503" s="24">
        <v>46120</v>
      </c>
      <c r="P1503">
        <v>606</v>
      </c>
      <c r="Q1503" t="s">
        <v>34</v>
      </c>
      <c r="R1503">
        <v>46135</v>
      </c>
      <c r="S1503" s="51">
        <v>2.5000000000000001E-2</v>
      </c>
      <c r="T1503" s="51">
        <v>4.2361111111111113E-2</v>
      </c>
      <c r="X1503" t="s">
        <v>3369</v>
      </c>
      <c r="Y1503" t="s">
        <v>3035</v>
      </c>
      <c r="Z1503">
        <v>2742255</v>
      </c>
    </row>
    <row r="1504" spans="1:26" x14ac:dyDescent="0.25">
      <c r="A1504">
        <v>1500</v>
      </c>
      <c r="B1504" t="s">
        <v>26</v>
      </c>
      <c r="C1504" t="s">
        <v>27</v>
      </c>
      <c r="D1504">
        <v>15</v>
      </c>
      <c r="E1504" t="s">
        <v>367</v>
      </c>
      <c r="F1504" t="s">
        <v>512</v>
      </c>
      <c r="G1504">
        <v>3943</v>
      </c>
      <c r="H1504" t="s">
        <v>2231</v>
      </c>
      <c r="I1504" t="s">
        <v>2232</v>
      </c>
      <c r="J1504">
        <v>8</v>
      </c>
      <c r="K1504">
        <v>2</v>
      </c>
      <c r="L1504">
        <v>3.3217592592592591E-3</v>
      </c>
      <c r="M1504" t="s">
        <v>117</v>
      </c>
      <c r="N1504" t="s">
        <v>991</v>
      </c>
      <c r="O1504" s="24">
        <v>46120</v>
      </c>
      <c r="P1504">
        <v>606</v>
      </c>
      <c r="Q1504" t="s">
        <v>34</v>
      </c>
      <c r="R1504">
        <v>46135</v>
      </c>
      <c r="S1504" s="51">
        <v>2.5000000000000001E-2</v>
      </c>
      <c r="T1504" s="51">
        <v>4.2361111111111113E-2</v>
      </c>
      <c r="X1504" t="s">
        <v>3369</v>
      </c>
      <c r="Y1504" t="s">
        <v>3035</v>
      </c>
      <c r="Z1504">
        <v>2742255</v>
      </c>
    </row>
    <row r="1505" spans="1:26" x14ac:dyDescent="0.25">
      <c r="A1505">
        <v>1501</v>
      </c>
      <c r="B1505" t="s">
        <v>26</v>
      </c>
      <c r="C1505" t="s">
        <v>27</v>
      </c>
      <c r="D1505">
        <v>15</v>
      </c>
      <c r="E1505" t="s">
        <v>367</v>
      </c>
      <c r="F1505" t="s">
        <v>512</v>
      </c>
      <c r="G1505">
        <v>3943</v>
      </c>
      <c r="H1505" t="s">
        <v>2200</v>
      </c>
      <c r="I1505" t="s">
        <v>2201</v>
      </c>
      <c r="J1505">
        <v>8</v>
      </c>
      <c r="K1505">
        <v>3</v>
      </c>
      <c r="L1505">
        <v>3.5300925925925925E-3</v>
      </c>
      <c r="M1505" t="s">
        <v>117</v>
      </c>
      <c r="N1505" t="s">
        <v>991</v>
      </c>
      <c r="O1505" s="24">
        <v>46120</v>
      </c>
      <c r="P1505">
        <v>606</v>
      </c>
      <c r="Q1505" t="s">
        <v>34</v>
      </c>
      <c r="R1505">
        <v>46135</v>
      </c>
      <c r="S1505" s="51">
        <v>2.5000000000000001E-2</v>
      </c>
      <c r="T1505" s="51">
        <v>4.2361111111111113E-2</v>
      </c>
      <c r="X1505" t="s">
        <v>3369</v>
      </c>
      <c r="Y1505" t="s">
        <v>3035</v>
      </c>
      <c r="Z1505">
        <v>2742255</v>
      </c>
    </row>
    <row r="1506" spans="1:26" x14ac:dyDescent="0.25">
      <c r="A1506">
        <v>1502</v>
      </c>
      <c r="B1506" t="s">
        <v>26</v>
      </c>
      <c r="C1506" t="s">
        <v>27</v>
      </c>
      <c r="D1506">
        <v>15</v>
      </c>
      <c r="E1506" t="s">
        <v>2729</v>
      </c>
      <c r="F1506" t="s">
        <v>512</v>
      </c>
      <c r="G1506">
        <v>3943</v>
      </c>
      <c r="H1506" t="s">
        <v>2882</v>
      </c>
      <c r="I1506" t="s">
        <v>2883</v>
      </c>
      <c r="J1506">
        <v>8</v>
      </c>
      <c r="K1506">
        <v>1</v>
      </c>
      <c r="L1506">
        <v>4.9074074074074072E-3</v>
      </c>
      <c r="M1506" t="s">
        <v>117</v>
      </c>
      <c r="N1506" t="s">
        <v>991</v>
      </c>
      <c r="O1506" s="24">
        <v>46120</v>
      </c>
      <c r="P1506">
        <v>606</v>
      </c>
      <c r="Q1506" t="s">
        <v>34</v>
      </c>
      <c r="R1506">
        <v>46135</v>
      </c>
      <c r="S1506" s="51">
        <v>2.5000000000000001E-2</v>
      </c>
      <c r="T1506" s="51">
        <v>4.2361111111111113E-2</v>
      </c>
      <c r="X1506" t="s">
        <v>3369</v>
      </c>
      <c r="Y1506" t="s">
        <v>3035</v>
      </c>
      <c r="Z1506">
        <v>2742255</v>
      </c>
    </row>
    <row r="1507" spans="1:26" x14ac:dyDescent="0.25">
      <c r="A1507">
        <v>1503</v>
      </c>
      <c r="B1507" t="s">
        <v>26</v>
      </c>
      <c r="C1507" t="s">
        <v>27</v>
      </c>
      <c r="D1507">
        <v>15</v>
      </c>
      <c r="E1507" t="s">
        <v>367</v>
      </c>
      <c r="F1507" t="s">
        <v>1594</v>
      </c>
      <c r="G1507">
        <v>3943</v>
      </c>
      <c r="H1507" t="s">
        <v>2272</v>
      </c>
      <c r="I1507" t="s">
        <v>2273</v>
      </c>
      <c r="J1507">
        <v>8</v>
      </c>
      <c r="K1507">
        <v>1</v>
      </c>
      <c r="L1507">
        <v>2.0370370370370369E-3</v>
      </c>
      <c r="M1507" t="s">
        <v>117</v>
      </c>
      <c r="N1507" t="s">
        <v>991</v>
      </c>
      <c r="O1507" s="24">
        <v>46120</v>
      </c>
      <c r="P1507">
        <v>606</v>
      </c>
      <c r="Q1507" t="s">
        <v>34</v>
      </c>
      <c r="R1507">
        <v>46135</v>
      </c>
      <c r="S1507" s="51">
        <v>2.5000000000000001E-2</v>
      </c>
      <c r="T1507" s="51">
        <v>4.2361111111111113E-2</v>
      </c>
      <c r="X1507" t="s">
        <v>3369</v>
      </c>
      <c r="Y1507" t="s">
        <v>3035</v>
      </c>
      <c r="Z1507">
        <v>2742255</v>
      </c>
    </row>
    <row r="1508" spans="1:26" x14ac:dyDescent="0.25">
      <c r="A1508">
        <v>1504</v>
      </c>
      <c r="B1508" t="s">
        <v>26</v>
      </c>
      <c r="C1508" t="s">
        <v>27</v>
      </c>
      <c r="D1508">
        <v>15</v>
      </c>
      <c r="E1508" t="s">
        <v>129</v>
      </c>
      <c r="F1508" t="s">
        <v>498</v>
      </c>
      <c r="G1508">
        <v>3944</v>
      </c>
      <c r="H1508" t="s">
        <v>504</v>
      </c>
      <c r="I1508" t="s">
        <v>505</v>
      </c>
      <c r="J1508">
        <v>8</v>
      </c>
      <c r="K1508">
        <v>1</v>
      </c>
      <c r="L1508">
        <v>6.8402777777777776E-3</v>
      </c>
      <c r="M1508" t="s">
        <v>778</v>
      </c>
      <c r="N1508" t="s">
        <v>777</v>
      </c>
      <c r="O1508" s="24">
        <v>46128</v>
      </c>
      <c r="P1508">
        <v>603</v>
      </c>
      <c r="Q1508" t="s">
        <v>34</v>
      </c>
      <c r="X1508" t="s">
        <v>3370</v>
      </c>
    </row>
    <row r="1509" spans="1:26" x14ac:dyDescent="0.25">
      <c r="A1509">
        <v>1505</v>
      </c>
      <c r="B1509" t="s">
        <v>26</v>
      </c>
      <c r="C1509" t="s">
        <v>27</v>
      </c>
      <c r="D1509">
        <v>15</v>
      </c>
      <c r="E1509" t="s">
        <v>1665</v>
      </c>
      <c r="F1509" t="s">
        <v>115</v>
      </c>
      <c r="G1509">
        <v>4362</v>
      </c>
      <c r="H1509" t="s">
        <v>2356</v>
      </c>
      <c r="I1509" t="s">
        <v>2310</v>
      </c>
      <c r="J1509">
        <v>8</v>
      </c>
      <c r="K1509">
        <v>2</v>
      </c>
      <c r="L1509">
        <v>3.7152777777777774E-3</v>
      </c>
      <c r="M1509" t="s">
        <v>117</v>
      </c>
      <c r="N1509" t="s">
        <v>991</v>
      </c>
      <c r="O1509" s="24">
        <v>46120</v>
      </c>
      <c r="P1509">
        <v>606</v>
      </c>
      <c r="Q1509" t="s">
        <v>34</v>
      </c>
      <c r="R1509">
        <v>46135</v>
      </c>
      <c r="S1509" s="51">
        <v>0.3611111111111111</v>
      </c>
      <c r="T1509" s="51">
        <v>0.38541666666666669</v>
      </c>
      <c r="X1509" t="s">
        <v>3371</v>
      </c>
      <c r="Y1509" t="s">
        <v>3035</v>
      </c>
      <c r="Z1509">
        <v>1742402</v>
      </c>
    </row>
    <row r="1510" spans="1:26" x14ac:dyDescent="0.25">
      <c r="A1510">
        <v>1506</v>
      </c>
      <c r="B1510" t="s">
        <v>26</v>
      </c>
      <c r="C1510" t="s">
        <v>27</v>
      </c>
      <c r="D1510">
        <v>15</v>
      </c>
      <c r="E1510" t="s">
        <v>367</v>
      </c>
      <c r="F1510" t="s">
        <v>367</v>
      </c>
      <c r="G1510">
        <v>4362</v>
      </c>
      <c r="H1510" t="s">
        <v>2328</v>
      </c>
      <c r="I1510" t="s">
        <v>2329</v>
      </c>
      <c r="J1510">
        <v>8</v>
      </c>
      <c r="K1510">
        <v>1</v>
      </c>
      <c r="L1510">
        <v>7.0601851851851847E-4</v>
      </c>
      <c r="M1510" t="s">
        <v>117</v>
      </c>
      <c r="N1510" t="s">
        <v>991</v>
      </c>
      <c r="O1510" s="24">
        <v>46120</v>
      </c>
      <c r="P1510">
        <v>606</v>
      </c>
      <c r="Q1510" t="s">
        <v>34</v>
      </c>
      <c r="R1510">
        <v>46135</v>
      </c>
      <c r="S1510" s="51">
        <v>0.3611111111111111</v>
      </c>
      <c r="T1510" s="51">
        <v>0.38541666666666669</v>
      </c>
      <c r="X1510" t="s">
        <v>3371</v>
      </c>
      <c r="Y1510" t="s">
        <v>3035</v>
      </c>
      <c r="Z1510">
        <v>1742402</v>
      </c>
    </row>
    <row r="1511" spans="1:26" x14ac:dyDescent="0.25">
      <c r="A1511">
        <v>1507</v>
      </c>
      <c r="B1511" t="s">
        <v>26</v>
      </c>
      <c r="C1511" t="s">
        <v>27</v>
      </c>
      <c r="D1511">
        <v>15</v>
      </c>
      <c r="E1511" t="s">
        <v>2886</v>
      </c>
      <c r="F1511" t="s">
        <v>44</v>
      </c>
      <c r="G1511">
        <v>4362</v>
      </c>
      <c r="H1511" t="s">
        <v>48</v>
      </c>
      <c r="I1511" t="s">
        <v>1119</v>
      </c>
      <c r="J1511">
        <v>8</v>
      </c>
      <c r="K1511">
        <v>7</v>
      </c>
      <c r="L1511">
        <v>9.8032407407407408E-3</v>
      </c>
      <c r="M1511" t="s">
        <v>117</v>
      </c>
      <c r="N1511" t="s">
        <v>991</v>
      </c>
      <c r="O1511" s="24">
        <v>46120</v>
      </c>
      <c r="P1511">
        <v>606</v>
      </c>
      <c r="Q1511" t="s">
        <v>34</v>
      </c>
      <c r="R1511">
        <v>46135</v>
      </c>
      <c r="S1511" s="51">
        <v>0.3611111111111111</v>
      </c>
      <c r="T1511" s="51">
        <v>0.38541666666666669</v>
      </c>
      <c r="X1511" t="s">
        <v>3371</v>
      </c>
      <c r="Y1511" t="s">
        <v>3035</v>
      </c>
      <c r="Z1511">
        <v>1742402</v>
      </c>
    </row>
    <row r="1512" spans="1:26" x14ac:dyDescent="0.25">
      <c r="A1512">
        <v>1508</v>
      </c>
      <c r="B1512" t="s">
        <v>26</v>
      </c>
      <c r="C1512" t="s">
        <v>27</v>
      </c>
      <c r="D1512">
        <v>15</v>
      </c>
      <c r="E1512" t="s">
        <v>2729</v>
      </c>
      <c r="F1512" t="s">
        <v>115</v>
      </c>
      <c r="G1512">
        <v>4362</v>
      </c>
      <c r="H1512" t="s">
        <v>2887</v>
      </c>
      <c r="I1512" t="s">
        <v>2888</v>
      </c>
      <c r="J1512">
        <v>8</v>
      </c>
      <c r="K1512">
        <v>1</v>
      </c>
      <c r="L1512">
        <v>4.7800925925925927E-3</v>
      </c>
      <c r="M1512" t="s">
        <v>117</v>
      </c>
      <c r="N1512" t="s">
        <v>991</v>
      </c>
      <c r="O1512" s="24">
        <v>46120</v>
      </c>
      <c r="P1512">
        <v>606</v>
      </c>
      <c r="Q1512" t="s">
        <v>34</v>
      </c>
      <c r="R1512">
        <v>46135</v>
      </c>
      <c r="S1512" s="51">
        <v>0.3611111111111111</v>
      </c>
      <c r="T1512" s="51">
        <v>0.38541666666666669</v>
      </c>
      <c r="X1512" t="s">
        <v>3371</v>
      </c>
      <c r="Y1512" t="s">
        <v>3035</v>
      </c>
      <c r="Z1512">
        <v>1742402</v>
      </c>
    </row>
    <row r="1513" spans="1:26" x14ac:dyDescent="0.25">
      <c r="A1513">
        <v>1509</v>
      </c>
      <c r="B1513" t="s">
        <v>26</v>
      </c>
      <c r="C1513" t="s">
        <v>27</v>
      </c>
      <c r="D1513">
        <v>15</v>
      </c>
      <c r="E1513" t="s">
        <v>2729</v>
      </c>
      <c r="F1513" t="s">
        <v>498</v>
      </c>
      <c r="G1513">
        <v>4238</v>
      </c>
      <c r="H1513" t="s">
        <v>2889</v>
      </c>
      <c r="I1513" t="s">
        <v>2890</v>
      </c>
      <c r="J1513">
        <v>8</v>
      </c>
      <c r="K1513">
        <v>1</v>
      </c>
      <c r="L1513">
        <v>3.8888888888888888E-3</v>
      </c>
      <c r="M1513" t="s">
        <v>117</v>
      </c>
      <c r="N1513" t="s">
        <v>991</v>
      </c>
      <c r="O1513" s="24">
        <v>46120</v>
      </c>
      <c r="P1513">
        <v>606</v>
      </c>
      <c r="Q1513" t="s">
        <v>34</v>
      </c>
      <c r="R1513">
        <v>46135</v>
      </c>
      <c r="S1513" s="51">
        <v>0.38819444444444445</v>
      </c>
      <c r="T1513" s="51">
        <v>0.40208333333333335</v>
      </c>
      <c r="X1513" t="s">
        <v>3372</v>
      </c>
      <c r="Y1513" t="s">
        <v>3035</v>
      </c>
      <c r="Z1513">
        <v>1742402</v>
      </c>
    </row>
    <row r="1514" spans="1:26" x14ac:dyDescent="0.25">
      <c r="A1514">
        <v>1510</v>
      </c>
      <c r="B1514" t="s">
        <v>26</v>
      </c>
      <c r="C1514" t="s">
        <v>27</v>
      </c>
      <c r="D1514">
        <v>15</v>
      </c>
      <c r="E1514" t="s">
        <v>2892</v>
      </c>
      <c r="F1514" t="s">
        <v>44</v>
      </c>
      <c r="G1514">
        <v>4238</v>
      </c>
      <c r="H1514" t="s">
        <v>48</v>
      </c>
      <c r="I1514" t="s">
        <v>1119</v>
      </c>
      <c r="J1514">
        <v>8</v>
      </c>
      <c r="K1514">
        <v>9</v>
      </c>
      <c r="L1514">
        <v>1.2268518518518519E-2</v>
      </c>
      <c r="M1514" t="s">
        <v>117</v>
      </c>
      <c r="N1514" t="s">
        <v>991</v>
      </c>
      <c r="O1514" s="24">
        <v>46120</v>
      </c>
      <c r="P1514">
        <v>606</v>
      </c>
      <c r="Q1514" t="s">
        <v>34</v>
      </c>
      <c r="R1514">
        <v>46135</v>
      </c>
      <c r="S1514" s="51">
        <v>0.38819444444444445</v>
      </c>
      <c r="T1514" s="51">
        <v>0.40208333333333335</v>
      </c>
      <c r="X1514" t="s">
        <v>3372</v>
      </c>
      <c r="Y1514" t="s">
        <v>3035</v>
      </c>
      <c r="Z1514">
        <v>1742402</v>
      </c>
    </row>
    <row r="1515" spans="1:26" x14ac:dyDescent="0.25">
      <c r="A1515">
        <v>1511</v>
      </c>
      <c r="B1515" t="s">
        <v>26</v>
      </c>
      <c r="C1515" t="s">
        <v>27</v>
      </c>
      <c r="D1515">
        <v>15</v>
      </c>
      <c r="E1515" t="s">
        <v>829</v>
      </c>
      <c r="F1515" t="s">
        <v>1594</v>
      </c>
      <c r="G1515">
        <v>4363</v>
      </c>
      <c r="H1515" t="s">
        <v>2581</v>
      </c>
      <c r="I1515" t="s">
        <v>2582</v>
      </c>
      <c r="J1515">
        <v>8</v>
      </c>
      <c r="K1515">
        <v>1</v>
      </c>
      <c r="L1515">
        <v>2.4421296296296296E-3</v>
      </c>
      <c r="M1515" t="s">
        <v>117</v>
      </c>
      <c r="N1515" t="s">
        <v>991</v>
      </c>
      <c r="O1515" s="24">
        <v>46120</v>
      </c>
      <c r="P1515">
        <v>606</v>
      </c>
      <c r="Q1515" t="s">
        <v>34</v>
      </c>
      <c r="R1515">
        <v>46135</v>
      </c>
      <c r="S1515" s="51">
        <v>7.9861111111111105E-2</v>
      </c>
      <c r="T1515" s="51">
        <v>8.8888888888888892E-2</v>
      </c>
      <c r="X1515" t="s">
        <v>3373</v>
      </c>
      <c r="Y1515" t="s">
        <v>3035</v>
      </c>
      <c r="Z1515">
        <v>1742402</v>
      </c>
    </row>
    <row r="1516" spans="1:26" x14ac:dyDescent="0.25">
      <c r="A1516">
        <v>1512</v>
      </c>
      <c r="B1516" t="s">
        <v>26</v>
      </c>
      <c r="C1516" t="s">
        <v>27</v>
      </c>
      <c r="D1516">
        <v>15</v>
      </c>
      <c r="E1516" t="s">
        <v>2729</v>
      </c>
      <c r="F1516" t="s">
        <v>498</v>
      </c>
      <c r="G1516">
        <v>4363</v>
      </c>
      <c r="H1516" t="s">
        <v>2894</v>
      </c>
      <c r="I1516" t="s">
        <v>2895</v>
      </c>
      <c r="J1516">
        <v>8</v>
      </c>
      <c r="K1516">
        <v>1</v>
      </c>
      <c r="L1516">
        <v>4.1435185185185186E-3</v>
      </c>
      <c r="M1516" t="s">
        <v>117</v>
      </c>
      <c r="N1516" t="s">
        <v>991</v>
      </c>
      <c r="O1516" s="24">
        <v>46120</v>
      </c>
      <c r="P1516">
        <v>606</v>
      </c>
      <c r="Q1516" t="s">
        <v>34</v>
      </c>
      <c r="R1516">
        <v>46135</v>
      </c>
      <c r="S1516" s="51">
        <v>7.9861111111111105E-2</v>
      </c>
      <c r="T1516" s="51">
        <v>8.8888888888888892E-2</v>
      </c>
      <c r="X1516" t="s">
        <v>3373</v>
      </c>
      <c r="Y1516" t="s">
        <v>3035</v>
      </c>
      <c r="Z1516">
        <v>1742402</v>
      </c>
    </row>
    <row r="1517" spans="1:26" x14ac:dyDescent="0.25">
      <c r="A1517">
        <v>1513</v>
      </c>
      <c r="B1517" t="s">
        <v>26</v>
      </c>
      <c r="C1517" t="s">
        <v>27</v>
      </c>
      <c r="D1517">
        <v>15</v>
      </c>
      <c r="E1517" t="s">
        <v>2896</v>
      </c>
      <c r="F1517" t="s">
        <v>44</v>
      </c>
      <c r="G1517">
        <v>4363</v>
      </c>
      <c r="H1517" t="s">
        <v>48</v>
      </c>
      <c r="I1517" t="s">
        <v>1119</v>
      </c>
      <c r="J1517">
        <v>8</v>
      </c>
      <c r="K1517">
        <v>3</v>
      </c>
      <c r="L1517">
        <v>4.386574074074074E-3</v>
      </c>
      <c r="M1517" t="s">
        <v>117</v>
      </c>
      <c r="N1517" t="s">
        <v>991</v>
      </c>
      <c r="O1517" s="24">
        <v>46120</v>
      </c>
      <c r="P1517">
        <v>606</v>
      </c>
      <c r="Q1517" t="s">
        <v>34</v>
      </c>
      <c r="R1517">
        <v>46135</v>
      </c>
      <c r="S1517" s="51">
        <v>7.9861111111111105E-2</v>
      </c>
      <c r="T1517" s="51">
        <v>8.8888888888888892E-2</v>
      </c>
      <c r="X1517" t="s">
        <v>3373</v>
      </c>
      <c r="Y1517" t="s">
        <v>3035</v>
      </c>
      <c r="Z1517">
        <v>1742402</v>
      </c>
    </row>
    <row r="1518" spans="1:26" x14ac:dyDescent="0.25">
      <c r="A1518">
        <v>1514</v>
      </c>
      <c r="B1518" t="s">
        <v>26</v>
      </c>
      <c r="C1518" t="s">
        <v>27</v>
      </c>
      <c r="D1518">
        <v>15</v>
      </c>
      <c r="E1518" t="s">
        <v>367</v>
      </c>
      <c r="F1518" t="s">
        <v>427</v>
      </c>
      <c r="G1518">
        <v>3947</v>
      </c>
      <c r="H1518" t="s">
        <v>2246</v>
      </c>
      <c r="I1518" t="s">
        <v>2247</v>
      </c>
      <c r="J1518">
        <v>8</v>
      </c>
      <c r="K1518">
        <v>1</v>
      </c>
      <c r="L1518">
        <v>1.5162037037037036E-3</v>
      </c>
      <c r="M1518" t="s">
        <v>117</v>
      </c>
      <c r="N1518" t="s">
        <v>991</v>
      </c>
      <c r="O1518" s="24">
        <v>46120</v>
      </c>
      <c r="P1518">
        <v>606</v>
      </c>
      <c r="Q1518" t="s">
        <v>34</v>
      </c>
      <c r="R1518">
        <v>46135</v>
      </c>
      <c r="S1518" s="51">
        <v>0.96250000000000002</v>
      </c>
      <c r="T1518" s="51">
        <v>0.97222222222222221</v>
      </c>
      <c r="X1518" t="s">
        <v>3374</v>
      </c>
      <c r="Y1518" t="s">
        <v>3035</v>
      </c>
      <c r="Z1518">
        <v>1742255</v>
      </c>
    </row>
    <row r="1519" spans="1:26" x14ac:dyDescent="0.25">
      <c r="A1519">
        <v>1515</v>
      </c>
      <c r="B1519" t="s">
        <v>26</v>
      </c>
      <c r="C1519" t="s">
        <v>27</v>
      </c>
      <c r="D1519">
        <v>15</v>
      </c>
      <c r="E1519" t="s">
        <v>829</v>
      </c>
      <c r="F1519" t="s">
        <v>1599</v>
      </c>
      <c r="G1519">
        <v>3947</v>
      </c>
      <c r="H1519" t="s">
        <v>2239</v>
      </c>
      <c r="I1519" t="s">
        <v>2240</v>
      </c>
      <c r="J1519">
        <v>8</v>
      </c>
      <c r="K1519">
        <v>1</v>
      </c>
      <c r="L1519">
        <v>2.8356481481481479E-3</v>
      </c>
      <c r="M1519" t="s">
        <v>117</v>
      </c>
      <c r="N1519" t="s">
        <v>991</v>
      </c>
      <c r="O1519" s="24">
        <v>46120</v>
      </c>
      <c r="P1519">
        <v>606</v>
      </c>
      <c r="Q1519" t="s">
        <v>34</v>
      </c>
      <c r="R1519">
        <v>46135</v>
      </c>
      <c r="S1519" s="51">
        <v>0.96250000000000002</v>
      </c>
      <c r="T1519" s="51">
        <v>0.97222222222222221</v>
      </c>
      <c r="X1519" t="s">
        <v>3374</v>
      </c>
      <c r="Y1519" t="s">
        <v>3035</v>
      </c>
      <c r="Z1519">
        <v>1742255</v>
      </c>
    </row>
    <row r="1520" spans="1:26" x14ac:dyDescent="0.25">
      <c r="A1520">
        <v>1516</v>
      </c>
      <c r="B1520" t="s">
        <v>26</v>
      </c>
      <c r="C1520" t="s">
        <v>27</v>
      </c>
      <c r="D1520">
        <v>15</v>
      </c>
      <c r="E1520" t="s">
        <v>2729</v>
      </c>
      <c r="F1520" t="s">
        <v>115</v>
      </c>
      <c r="G1520">
        <v>3947</v>
      </c>
      <c r="H1520" t="s">
        <v>2898</v>
      </c>
      <c r="I1520" t="s">
        <v>2899</v>
      </c>
      <c r="J1520">
        <v>8</v>
      </c>
      <c r="K1520">
        <v>1</v>
      </c>
      <c r="L1520">
        <v>4.8032407407407407E-3</v>
      </c>
      <c r="M1520" t="s">
        <v>117</v>
      </c>
      <c r="N1520" t="s">
        <v>991</v>
      </c>
      <c r="O1520" s="24">
        <v>46120</v>
      </c>
      <c r="P1520">
        <v>606</v>
      </c>
      <c r="Q1520" t="s">
        <v>34</v>
      </c>
      <c r="R1520">
        <v>46135</v>
      </c>
      <c r="S1520" s="51">
        <v>0.96250000000000002</v>
      </c>
      <c r="T1520" s="51">
        <v>0.97222222222222221</v>
      </c>
      <c r="X1520" t="s">
        <v>3374</v>
      </c>
      <c r="Y1520" t="s">
        <v>3035</v>
      </c>
      <c r="Z1520">
        <v>1742255</v>
      </c>
    </row>
    <row r="1521" spans="1:26" x14ac:dyDescent="0.25">
      <c r="A1521">
        <v>1517</v>
      </c>
      <c r="B1521" t="s">
        <v>26</v>
      </c>
      <c r="C1521" t="s">
        <v>27</v>
      </c>
      <c r="D1521">
        <v>15</v>
      </c>
      <c r="E1521" t="s">
        <v>367</v>
      </c>
      <c r="F1521" t="s">
        <v>367</v>
      </c>
      <c r="G1521">
        <v>4359</v>
      </c>
      <c r="H1521" t="s">
        <v>2483</v>
      </c>
      <c r="I1521" t="s">
        <v>2484</v>
      </c>
      <c r="J1521">
        <v>8</v>
      </c>
      <c r="K1521">
        <v>1</v>
      </c>
      <c r="L1521">
        <v>6.134259259259259E-4</v>
      </c>
      <c r="M1521" t="s">
        <v>117</v>
      </c>
      <c r="N1521" t="s">
        <v>991</v>
      </c>
      <c r="O1521" s="24">
        <v>46120</v>
      </c>
      <c r="P1521">
        <v>606</v>
      </c>
      <c r="Q1521" t="s">
        <v>34</v>
      </c>
      <c r="R1521">
        <v>46135</v>
      </c>
      <c r="S1521" s="51">
        <v>0.89513888888888893</v>
      </c>
      <c r="T1521" s="51">
        <v>0.83333333333333337</v>
      </c>
      <c r="X1521" t="s">
        <v>3375</v>
      </c>
      <c r="Y1521" t="s">
        <v>3035</v>
      </c>
      <c r="Z1521">
        <v>1742402</v>
      </c>
    </row>
    <row r="1522" spans="1:26" x14ac:dyDescent="0.25">
      <c r="A1522">
        <v>1518</v>
      </c>
      <c r="B1522" t="s">
        <v>26</v>
      </c>
      <c r="C1522" t="s">
        <v>27</v>
      </c>
      <c r="D1522">
        <v>15</v>
      </c>
      <c r="E1522" t="s">
        <v>829</v>
      </c>
      <c r="F1522" t="s">
        <v>1598</v>
      </c>
      <c r="G1522">
        <v>4359</v>
      </c>
      <c r="H1522" t="s">
        <v>2249</v>
      </c>
      <c r="I1522" t="s">
        <v>2240</v>
      </c>
      <c r="J1522">
        <v>8</v>
      </c>
      <c r="K1522">
        <v>1</v>
      </c>
      <c r="L1522">
        <v>2.5925925925925925E-3</v>
      </c>
      <c r="M1522" t="s">
        <v>117</v>
      </c>
      <c r="N1522" t="s">
        <v>991</v>
      </c>
      <c r="O1522" s="24">
        <v>46120</v>
      </c>
      <c r="P1522">
        <v>606</v>
      </c>
      <c r="Q1522" t="s">
        <v>34</v>
      </c>
      <c r="R1522">
        <v>46135</v>
      </c>
      <c r="S1522" s="51">
        <v>0.89513888888888893</v>
      </c>
      <c r="T1522" s="51">
        <v>0.83333333333333337</v>
      </c>
      <c r="X1522" t="s">
        <v>3375</v>
      </c>
      <c r="Y1522" t="s">
        <v>3035</v>
      </c>
      <c r="Z1522">
        <v>1742402</v>
      </c>
    </row>
    <row r="1523" spans="1:26" x14ac:dyDescent="0.25">
      <c r="A1523">
        <v>1519</v>
      </c>
      <c r="B1523" t="s">
        <v>26</v>
      </c>
      <c r="C1523" t="s">
        <v>27</v>
      </c>
      <c r="D1523">
        <v>15</v>
      </c>
      <c r="E1523" t="s">
        <v>367</v>
      </c>
      <c r="F1523" t="s">
        <v>512</v>
      </c>
      <c r="G1523">
        <v>4359</v>
      </c>
      <c r="H1523" t="s">
        <v>2203</v>
      </c>
      <c r="I1523" t="s">
        <v>2204</v>
      </c>
      <c r="J1523">
        <v>8</v>
      </c>
      <c r="K1523">
        <v>1</v>
      </c>
      <c r="L1523">
        <v>1.1921296296296296E-3</v>
      </c>
      <c r="M1523" t="s">
        <v>117</v>
      </c>
      <c r="N1523" t="s">
        <v>991</v>
      </c>
      <c r="O1523" s="24">
        <v>46120</v>
      </c>
      <c r="P1523">
        <v>606</v>
      </c>
      <c r="Q1523" t="s">
        <v>34</v>
      </c>
      <c r="R1523">
        <v>46135</v>
      </c>
      <c r="S1523" s="51">
        <v>0.89513888888888893</v>
      </c>
      <c r="T1523" s="51">
        <v>0.83333333333333337</v>
      </c>
      <c r="X1523" t="s">
        <v>3375</v>
      </c>
      <c r="Y1523" t="s">
        <v>3035</v>
      </c>
      <c r="Z1523">
        <v>1742402</v>
      </c>
    </row>
    <row r="1524" spans="1:26" x14ac:dyDescent="0.25">
      <c r="A1524">
        <v>1520</v>
      </c>
      <c r="B1524" t="s">
        <v>26</v>
      </c>
      <c r="C1524" t="s">
        <v>27</v>
      </c>
      <c r="D1524">
        <v>15</v>
      </c>
      <c r="E1524" t="s">
        <v>2729</v>
      </c>
      <c r="F1524" t="s">
        <v>512</v>
      </c>
      <c r="G1524">
        <v>4359</v>
      </c>
      <c r="H1524" t="s">
        <v>2727</v>
      </c>
      <c r="I1524" t="s">
        <v>2728</v>
      </c>
      <c r="J1524">
        <v>8</v>
      </c>
      <c r="K1524">
        <v>1</v>
      </c>
      <c r="L1524">
        <v>1.4930555555555554E-3</v>
      </c>
      <c r="M1524" t="s">
        <v>117</v>
      </c>
      <c r="N1524" t="s">
        <v>991</v>
      </c>
      <c r="O1524" s="24">
        <v>46120</v>
      </c>
      <c r="P1524">
        <v>606</v>
      </c>
      <c r="Q1524" t="s">
        <v>34</v>
      </c>
      <c r="R1524">
        <v>46135</v>
      </c>
      <c r="S1524" s="51">
        <v>0.89513888888888893</v>
      </c>
      <c r="T1524" s="51">
        <v>0.83333333333333337</v>
      </c>
      <c r="X1524" t="s">
        <v>3375</v>
      </c>
      <c r="Y1524" t="s">
        <v>3035</v>
      </c>
      <c r="Z1524">
        <v>1742402</v>
      </c>
    </row>
    <row r="1525" spans="1:26" x14ac:dyDescent="0.25">
      <c r="A1525">
        <v>1521</v>
      </c>
      <c r="B1525" t="s">
        <v>26</v>
      </c>
      <c r="C1525" t="s">
        <v>27</v>
      </c>
      <c r="D1525">
        <v>15</v>
      </c>
      <c r="E1525" t="s">
        <v>2742</v>
      </c>
      <c r="F1525" t="s">
        <v>512</v>
      </c>
      <c r="G1525">
        <v>4359</v>
      </c>
      <c r="H1525" t="s">
        <v>2741</v>
      </c>
      <c r="I1525" t="s">
        <v>2728</v>
      </c>
      <c r="J1525">
        <v>8</v>
      </c>
      <c r="K1525">
        <v>2</v>
      </c>
      <c r="L1525">
        <v>2.9976851851851853E-3</v>
      </c>
      <c r="M1525" t="s">
        <v>117</v>
      </c>
      <c r="N1525" t="s">
        <v>991</v>
      </c>
      <c r="O1525" s="24">
        <v>46120</v>
      </c>
      <c r="P1525">
        <v>606</v>
      </c>
      <c r="Q1525" t="s">
        <v>34</v>
      </c>
      <c r="R1525">
        <v>46135</v>
      </c>
      <c r="S1525" s="51">
        <v>0.89513888888888893</v>
      </c>
      <c r="T1525" s="51">
        <v>0.83333333333333337</v>
      </c>
      <c r="X1525" t="s">
        <v>3375</v>
      </c>
      <c r="Y1525" t="s">
        <v>3035</v>
      </c>
      <c r="Z1525">
        <v>1742402</v>
      </c>
    </row>
    <row r="1526" spans="1:26" x14ac:dyDescent="0.25">
      <c r="A1526">
        <v>1522</v>
      </c>
      <c r="B1526" t="s">
        <v>26</v>
      </c>
      <c r="C1526" t="s">
        <v>27</v>
      </c>
      <c r="D1526">
        <v>15</v>
      </c>
      <c r="E1526" t="s">
        <v>2729</v>
      </c>
      <c r="F1526" t="s">
        <v>115</v>
      </c>
      <c r="G1526">
        <v>4359</v>
      </c>
      <c r="H1526" t="s">
        <v>2901</v>
      </c>
      <c r="I1526" t="s">
        <v>2902</v>
      </c>
      <c r="J1526">
        <v>8</v>
      </c>
      <c r="K1526">
        <v>1</v>
      </c>
      <c r="L1526">
        <v>4.1782407407407402E-3</v>
      </c>
      <c r="M1526" t="s">
        <v>117</v>
      </c>
      <c r="N1526" t="s">
        <v>991</v>
      </c>
      <c r="O1526" s="24">
        <v>46120</v>
      </c>
      <c r="P1526">
        <v>606</v>
      </c>
      <c r="Q1526" t="s">
        <v>34</v>
      </c>
      <c r="R1526">
        <v>46135</v>
      </c>
      <c r="S1526" s="51">
        <v>0.89513888888888893</v>
      </c>
      <c r="T1526" s="51">
        <v>0.83333333333333337</v>
      </c>
      <c r="X1526" t="s">
        <v>3375</v>
      </c>
      <c r="Y1526" t="s">
        <v>3035</v>
      </c>
      <c r="Z1526">
        <v>1742402</v>
      </c>
    </row>
    <row r="1527" spans="1:26" x14ac:dyDescent="0.25">
      <c r="A1527">
        <v>1523</v>
      </c>
      <c r="B1527" t="s">
        <v>26</v>
      </c>
      <c r="C1527" t="s">
        <v>27</v>
      </c>
      <c r="D1527">
        <v>15</v>
      </c>
      <c r="E1527" t="s">
        <v>2430</v>
      </c>
      <c r="F1527" t="s">
        <v>44</v>
      </c>
      <c r="G1527">
        <v>4359</v>
      </c>
      <c r="H1527" t="s">
        <v>48</v>
      </c>
      <c r="I1527" t="s">
        <v>1119</v>
      </c>
      <c r="J1527">
        <v>8</v>
      </c>
      <c r="K1527">
        <v>1</v>
      </c>
      <c r="L1527">
        <v>1.4351851851851852E-3</v>
      </c>
      <c r="M1527" t="s">
        <v>117</v>
      </c>
      <c r="N1527" t="s">
        <v>991</v>
      </c>
      <c r="O1527" s="24">
        <v>46120</v>
      </c>
      <c r="P1527">
        <v>606</v>
      </c>
      <c r="Q1527" t="s">
        <v>34</v>
      </c>
      <c r="R1527">
        <v>46135</v>
      </c>
      <c r="S1527" s="51">
        <v>0.89513888888888893</v>
      </c>
      <c r="T1527" s="51">
        <v>0.83333333333333337</v>
      </c>
      <c r="X1527" t="s">
        <v>3375</v>
      </c>
      <c r="Y1527" t="s">
        <v>3035</v>
      </c>
      <c r="Z1527">
        <v>1742402</v>
      </c>
    </row>
    <row r="1528" spans="1:26" x14ac:dyDescent="0.25">
      <c r="A1528">
        <v>1524</v>
      </c>
      <c r="B1528" t="s">
        <v>26</v>
      </c>
      <c r="C1528" t="s">
        <v>27</v>
      </c>
      <c r="D1528">
        <v>15</v>
      </c>
      <c r="E1528" t="s">
        <v>147</v>
      </c>
      <c r="F1528" t="s">
        <v>512</v>
      </c>
      <c r="G1528">
        <v>4360</v>
      </c>
      <c r="H1528" t="s">
        <v>2352</v>
      </c>
      <c r="I1528" t="s">
        <v>2161</v>
      </c>
      <c r="J1528">
        <v>8</v>
      </c>
      <c r="K1528">
        <v>2</v>
      </c>
      <c r="L1528">
        <v>3.2870370370370371E-3</v>
      </c>
      <c r="M1528" t="s">
        <v>117</v>
      </c>
      <c r="N1528" t="s">
        <v>991</v>
      </c>
      <c r="O1528" s="24">
        <v>46120</v>
      </c>
      <c r="P1528">
        <v>606</v>
      </c>
      <c r="Q1528" t="s">
        <v>34</v>
      </c>
      <c r="R1528">
        <v>46135</v>
      </c>
      <c r="S1528" s="51">
        <v>0.47916666666666669</v>
      </c>
      <c r="T1528" s="51">
        <v>0.55555555555555558</v>
      </c>
      <c r="X1528" t="s">
        <v>3376</v>
      </c>
      <c r="Y1528" t="s">
        <v>3035</v>
      </c>
      <c r="Z1528">
        <v>2733750</v>
      </c>
    </row>
    <row r="1529" spans="1:26" x14ac:dyDescent="0.25">
      <c r="A1529">
        <v>1525</v>
      </c>
      <c r="B1529" t="s">
        <v>26</v>
      </c>
      <c r="C1529" t="s">
        <v>27</v>
      </c>
      <c r="D1529">
        <v>15</v>
      </c>
      <c r="E1529" t="s">
        <v>367</v>
      </c>
      <c r="F1529" t="s">
        <v>368</v>
      </c>
      <c r="G1529">
        <v>4360</v>
      </c>
      <c r="H1529" t="s">
        <v>2114</v>
      </c>
      <c r="I1529" t="s">
        <v>2097</v>
      </c>
      <c r="J1529">
        <v>8</v>
      </c>
      <c r="K1529">
        <v>3</v>
      </c>
      <c r="L1529">
        <v>1.9328703703703704E-3</v>
      </c>
      <c r="M1529" t="s">
        <v>117</v>
      </c>
      <c r="N1529" t="s">
        <v>991</v>
      </c>
      <c r="O1529" s="24">
        <v>46120</v>
      </c>
      <c r="P1529">
        <v>606</v>
      </c>
      <c r="Q1529" t="s">
        <v>34</v>
      </c>
      <c r="R1529">
        <v>46135</v>
      </c>
      <c r="S1529" s="51">
        <v>0.47916666666666669</v>
      </c>
      <c r="T1529" s="51">
        <v>0.55555555555555558</v>
      </c>
      <c r="X1529" t="s">
        <v>3376</v>
      </c>
      <c r="Y1529" t="s">
        <v>3035</v>
      </c>
      <c r="Z1529">
        <v>2733750</v>
      </c>
    </row>
    <row r="1530" spans="1:26" x14ac:dyDescent="0.25">
      <c r="A1530">
        <v>1526</v>
      </c>
      <c r="B1530" t="s">
        <v>26</v>
      </c>
      <c r="C1530" t="s">
        <v>27</v>
      </c>
      <c r="D1530">
        <v>15</v>
      </c>
      <c r="E1530" t="s">
        <v>367</v>
      </c>
      <c r="F1530" t="s">
        <v>1594</v>
      </c>
      <c r="G1530">
        <v>4360</v>
      </c>
      <c r="H1530" t="s">
        <v>2600</v>
      </c>
      <c r="I1530" t="s">
        <v>2226</v>
      </c>
      <c r="J1530">
        <v>8</v>
      </c>
      <c r="K1530">
        <v>2</v>
      </c>
      <c r="L1530">
        <v>3.2060185185185182E-3</v>
      </c>
      <c r="M1530" t="s">
        <v>117</v>
      </c>
      <c r="N1530" t="s">
        <v>991</v>
      </c>
      <c r="O1530" s="24">
        <v>46120</v>
      </c>
      <c r="P1530">
        <v>606</v>
      </c>
      <c r="Q1530" t="s">
        <v>34</v>
      </c>
      <c r="R1530">
        <v>46135</v>
      </c>
      <c r="S1530" s="51">
        <v>0.47916666666666669</v>
      </c>
      <c r="T1530" s="51">
        <v>0.55555555555555558</v>
      </c>
      <c r="X1530" t="s">
        <v>3376</v>
      </c>
      <c r="Y1530" t="s">
        <v>3035</v>
      </c>
      <c r="Z1530">
        <v>2733750</v>
      </c>
    </row>
    <row r="1531" spans="1:26" x14ac:dyDescent="0.25">
      <c r="A1531">
        <v>1527</v>
      </c>
      <c r="B1531" t="s">
        <v>26</v>
      </c>
      <c r="C1531" t="s">
        <v>27</v>
      </c>
      <c r="D1531">
        <v>15</v>
      </c>
      <c r="E1531" t="s">
        <v>2742</v>
      </c>
      <c r="F1531" t="s">
        <v>512</v>
      </c>
      <c r="G1531">
        <v>4360</v>
      </c>
      <c r="H1531" t="s">
        <v>2904</v>
      </c>
      <c r="I1531" t="s">
        <v>2880</v>
      </c>
      <c r="J1531">
        <v>8</v>
      </c>
      <c r="K1531">
        <v>1</v>
      </c>
      <c r="L1531">
        <v>3.5185185185185185E-3</v>
      </c>
      <c r="M1531" t="s">
        <v>117</v>
      </c>
      <c r="N1531" t="s">
        <v>991</v>
      </c>
      <c r="O1531" s="24">
        <v>46120</v>
      </c>
      <c r="P1531">
        <v>606</v>
      </c>
      <c r="Q1531" t="s">
        <v>34</v>
      </c>
      <c r="R1531">
        <v>46135</v>
      </c>
      <c r="S1531" s="51">
        <v>0.47916666666666669</v>
      </c>
      <c r="T1531" s="51">
        <v>0.55555555555555558</v>
      </c>
      <c r="X1531" t="s">
        <v>3376</v>
      </c>
      <c r="Y1531" t="s">
        <v>3035</v>
      </c>
      <c r="Z1531">
        <v>2733750</v>
      </c>
    </row>
    <row r="1532" spans="1:26" x14ac:dyDescent="0.25">
      <c r="A1532">
        <v>1528</v>
      </c>
      <c r="B1532" t="s">
        <v>26</v>
      </c>
      <c r="C1532" t="s">
        <v>27</v>
      </c>
      <c r="D1532">
        <v>15</v>
      </c>
      <c r="E1532" t="s">
        <v>2892</v>
      </c>
      <c r="F1532" t="s">
        <v>44</v>
      </c>
      <c r="G1532">
        <v>4360</v>
      </c>
      <c r="H1532" t="s">
        <v>48</v>
      </c>
      <c r="I1532" t="s">
        <v>1119</v>
      </c>
      <c r="J1532">
        <v>8</v>
      </c>
      <c r="K1532">
        <v>9</v>
      </c>
      <c r="L1532">
        <v>1.2048611111111111E-2</v>
      </c>
      <c r="M1532" t="s">
        <v>117</v>
      </c>
      <c r="N1532" t="s">
        <v>991</v>
      </c>
      <c r="O1532" s="24">
        <v>46120</v>
      </c>
      <c r="P1532">
        <v>606</v>
      </c>
      <c r="Q1532" t="s">
        <v>34</v>
      </c>
      <c r="R1532">
        <v>46135</v>
      </c>
      <c r="S1532" s="51">
        <v>0.47916666666666669</v>
      </c>
      <c r="T1532" s="51">
        <v>0.55555555555555558</v>
      </c>
      <c r="X1532" t="s">
        <v>3376</v>
      </c>
      <c r="Y1532" t="s">
        <v>3035</v>
      </c>
      <c r="Z1532">
        <v>2733750</v>
      </c>
    </row>
    <row r="1533" spans="1:26" x14ac:dyDescent="0.25">
      <c r="A1533">
        <v>1529</v>
      </c>
      <c r="B1533" t="s">
        <v>26</v>
      </c>
      <c r="C1533" t="s">
        <v>27</v>
      </c>
      <c r="D1533">
        <v>15</v>
      </c>
      <c r="E1533" t="s">
        <v>1665</v>
      </c>
      <c r="F1533" t="s">
        <v>115</v>
      </c>
      <c r="G1533">
        <v>4236</v>
      </c>
      <c r="H1533" t="s">
        <v>2113</v>
      </c>
      <c r="I1533" t="s">
        <v>2111</v>
      </c>
      <c r="J1533">
        <v>8</v>
      </c>
      <c r="K1533">
        <v>1</v>
      </c>
      <c r="L1533">
        <v>5.0925925925925921E-4</v>
      </c>
      <c r="M1533" t="s">
        <v>117</v>
      </c>
      <c r="N1533" t="s">
        <v>991</v>
      </c>
      <c r="O1533" s="24">
        <v>46120</v>
      </c>
      <c r="P1533">
        <v>606</v>
      </c>
      <c r="Q1533" t="s">
        <v>34</v>
      </c>
      <c r="R1533">
        <v>46135</v>
      </c>
      <c r="S1533" s="51">
        <v>0.8618055555555556</v>
      </c>
      <c r="T1533" s="51">
        <v>0.88194444444444442</v>
      </c>
      <c r="X1533" t="s">
        <v>3377</v>
      </c>
      <c r="Y1533" t="s">
        <v>3035</v>
      </c>
      <c r="Z1533">
        <v>1742402</v>
      </c>
    </row>
    <row r="1534" spans="1:26" x14ac:dyDescent="0.25">
      <c r="A1534">
        <v>1530</v>
      </c>
      <c r="B1534" t="s">
        <v>26</v>
      </c>
      <c r="C1534" t="s">
        <v>27</v>
      </c>
      <c r="D1534">
        <v>15</v>
      </c>
      <c r="E1534" t="s">
        <v>1672</v>
      </c>
      <c r="F1534" t="s">
        <v>115</v>
      </c>
      <c r="G1534">
        <v>4236</v>
      </c>
      <c r="H1534" t="s">
        <v>2087</v>
      </c>
      <c r="I1534" t="s">
        <v>2088</v>
      </c>
      <c r="J1534">
        <v>8</v>
      </c>
      <c r="K1534">
        <v>2</v>
      </c>
      <c r="L1534">
        <v>1.5046296296296296E-3</v>
      </c>
      <c r="M1534" t="s">
        <v>117</v>
      </c>
      <c r="N1534" t="s">
        <v>991</v>
      </c>
      <c r="O1534" s="24">
        <v>46120</v>
      </c>
      <c r="P1534">
        <v>606</v>
      </c>
      <c r="Q1534" t="s">
        <v>34</v>
      </c>
      <c r="R1534">
        <v>46135</v>
      </c>
      <c r="S1534" s="51">
        <v>0.8618055555555556</v>
      </c>
      <c r="T1534" s="51">
        <v>0.88194444444444442</v>
      </c>
      <c r="X1534" t="s">
        <v>3377</v>
      </c>
      <c r="Y1534" t="s">
        <v>3035</v>
      </c>
      <c r="Z1534">
        <v>1742402</v>
      </c>
    </row>
    <row r="1535" spans="1:26" x14ac:dyDescent="0.25">
      <c r="A1535">
        <v>1531</v>
      </c>
      <c r="B1535" t="s">
        <v>26</v>
      </c>
      <c r="C1535" t="s">
        <v>27</v>
      </c>
      <c r="D1535">
        <v>15</v>
      </c>
      <c r="E1535" t="s">
        <v>131</v>
      </c>
      <c r="F1535" t="s">
        <v>115</v>
      </c>
      <c r="G1535">
        <v>4236</v>
      </c>
      <c r="H1535" t="s">
        <v>2744</v>
      </c>
      <c r="I1535" t="s">
        <v>2088</v>
      </c>
      <c r="J1535">
        <v>8</v>
      </c>
      <c r="K1535">
        <v>1</v>
      </c>
      <c r="L1535">
        <v>7.5231481481481482E-4</v>
      </c>
      <c r="M1535" t="s">
        <v>117</v>
      </c>
      <c r="N1535" t="s">
        <v>991</v>
      </c>
      <c r="O1535" s="24">
        <v>46120</v>
      </c>
      <c r="P1535">
        <v>606</v>
      </c>
      <c r="Q1535" t="s">
        <v>34</v>
      </c>
      <c r="R1535">
        <v>46135</v>
      </c>
      <c r="S1535" s="51">
        <v>0.8618055555555556</v>
      </c>
      <c r="T1535" s="51">
        <v>0.88194444444444442</v>
      </c>
      <c r="X1535" t="s">
        <v>3377</v>
      </c>
      <c r="Y1535" t="s">
        <v>3035</v>
      </c>
      <c r="Z1535">
        <v>1742402</v>
      </c>
    </row>
    <row r="1536" spans="1:26" x14ac:dyDescent="0.25">
      <c r="A1536">
        <v>1532</v>
      </c>
      <c r="B1536" t="s">
        <v>26</v>
      </c>
      <c r="C1536" t="s">
        <v>27</v>
      </c>
      <c r="D1536">
        <v>15</v>
      </c>
      <c r="E1536" t="s">
        <v>1588</v>
      </c>
      <c r="F1536" t="s">
        <v>512</v>
      </c>
      <c r="G1536">
        <v>4236</v>
      </c>
      <c r="H1536" t="s">
        <v>2413</v>
      </c>
      <c r="I1536" t="s">
        <v>2414</v>
      </c>
      <c r="J1536">
        <v>8</v>
      </c>
      <c r="K1536">
        <v>2</v>
      </c>
      <c r="L1536">
        <v>9.4907407407407408E-4</v>
      </c>
      <c r="M1536" t="s">
        <v>117</v>
      </c>
      <c r="N1536" t="s">
        <v>991</v>
      </c>
      <c r="O1536" s="24">
        <v>46120</v>
      </c>
      <c r="P1536">
        <v>606</v>
      </c>
      <c r="Q1536" t="s">
        <v>34</v>
      </c>
      <c r="R1536">
        <v>46135</v>
      </c>
      <c r="S1536" s="51">
        <v>0.8618055555555556</v>
      </c>
      <c r="T1536" s="51">
        <v>0.88194444444444442</v>
      </c>
      <c r="X1536" t="s">
        <v>3377</v>
      </c>
      <c r="Y1536" t="s">
        <v>3035</v>
      </c>
      <c r="Z1536">
        <v>1742402</v>
      </c>
    </row>
    <row r="1537" spans="1:26" x14ac:dyDescent="0.25">
      <c r="A1537">
        <v>1533</v>
      </c>
      <c r="B1537" t="s">
        <v>26</v>
      </c>
      <c r="C1537" t="s">
        <v>27</v>
      </c>
      <c r="D1537">
        <v>15</v>
      </c>
      <c r="E1537" t="s">
        <v>367</v>
      </c>
      <c r="F1537" t="s">
        <v>368</v>
      </c>
      <c r="G1537">
        <v>4236</v>
      </c>
      <c r="H1537" t="s">
        <v>2096</v>
      </c>
      <c r="I1537" t="s">
        <v>2097</v>
      </c>
      <c r="J1537">
        <v>8</v>
      </c>
      <c r="K1537">
        <v>2</v>
      </c>
      <c r="L1537">
        <v>1.1574074074074073E-3</v>
      </c>
      <c r="M1537" t="s">
        <v>117</v>
      </c>
      <c r="N1537" t="s">
        <v>991</v>
      </c>
      <c r="O1537" s="24">
        <v>46120</v>
      </c>
      <c r="P1537">
        <v>606</v>
      </c>
      <c r="Q1537" t="s">
        <v>34</v>
      </c>
      <c r="R1537">
        <v>46135</v>
      </c>
      <c r="S1537" s="51">
        <v>0.8618055555555556</v>
      </c>
      <c r="T1537" s="51">
        <v>0.88194444444444442</v>
      </c>
      <c r="X1537" t="s">
        <v>3377</v>
      </c>
      <c r="Y1537" t="s">
        <v>3035</v>
      </c>
      <c r="Z1537">
        <v>1742402</v>
      </c>
    </row>
    <row r="1538" spans="1:26" x14ac:dyDescent="0.25">
      <c r="A1538">
        <v>1534</v>
      </c>
      <c r="B1538" t="s">
        <v>26</v>
      </c>
      <c r="C1538" t="s">
        <v>27</v>
      </c>
      <c r="D1538">
        <v>15</v>
      </c>
      <c r="E1538" t="s">
        <v>367</v>
      </c>
      <c r="F1538" t="s">
        <v>1592</v>
      </c>
      <c r="G1538">
        <v>4236</v>
      </c>
      <c r="H1538" t="s">
        <v>2455</v>
      </c>
      <c r="I1538" t="s">
        <v>2456</v>
      </c>
      <c r="J1538">
        <v>8</v>
      </c>
      <c r="K1538">
        <v>8</v>
      </c>
      <c r="L1538">
        <v>3.0324074074074073E-3</v>
      </c>
      <c r="M1538" t="s">
        <v>117</v>
      </c>
      <c r="N1538" t="s">
        <v>991</v>
      </c>
      <c r="O1538" s="24">
        <v>46120</v>
      </c>
      <c r="P1538">
        <v>606</v>
      </c>
      <c r="Q1538" t="s">
        <v>34</v>
      </c>
      <c r="R1538">
        <v>46135</v>
      </c>
      <c r="S1538" s="51">
        <v>0.8618055555555556</v>
      </c>
      <c r="T1538" s="51">
        <v>0.88194444444444442</v>
      </c>
      <c r="X1538" t="s">
        <v>3377</v>
      </c>
      <c r="Y1538" t="s">
        <v>3035</v>
      </c>
      <c r="Z1538">
        <v>1742402</v>
      </c>
    </row>
    <row r="1539" spans="1:26" x14ac:dyDescent="0.25">
      <c r="A1539">
        <v>1535</v>
      </c>
      <c r="B1539" t="s">
        <v>26</v>
      </c>
      <c r="C1539" t="s">
        <v>27</v>
      </c>
      <c r="D1539">
        <v>15</v>
      </c>
      <c r="E1539" t="s">
        <v>367</v>
      </c>
      <c r="F1539" t="s">
        <v>368</v>
      </c>
      <c r="G1539">
        <v>4236</v>
      </c>
      <c r="H1539" t="s">
        <v>2169</v>
      </c>
      <c r="I1539" t="s">
        <v>2170</v>
      </c>
      <c r="J1539">
        <v>8</v>
      </c>
      <c r="K1539">
        <v>2</v>
      </c>
      <c r="L1539">
        <v>9.9537037037037042E-4</v>
      </c>
      <c r="M1539" t="s">
        <v>117</v>
      </c>
      <c r="N1539" t="s">
        <v>991</v>
      </c>
      <c r="O1539" s="24">
        <v>46120</v>
      </c>
      <c r="P1539">
        <v>606</v>
      </c>
      <c r="Q1539" t="s">
        <v>34</v>
      </c>
      <c r="R1539">
        <v>46135</v>
      </c>
      <c r="S1539" s="51">
        <v>0.8618055555555556</v>
      </c>
      <c r="T1539" s="51">
        <v>0.88194444444444442</v>
      </c>
      <c r="X1539" t="s">
        <v>3377</v>
      </c>
      <c r="Y1539" t="s">
        <v>3035</v>
      </c>
      <c r="Z1539">
        <v>1742402</v>
      </c>
    </row>
    <row r="1540" spans="1:26" x14ac:dyDescent="0.25">
      <c r="A1540">
        <v>1536</v>
      </c>
      <c r="B1540" t="s">
        <v>26</v>
      </c>
      <c r="C1540" t="s">
        <v>27</v>
      </c>
      <c r="D1540">
        <v>15</v>
      </c>
      <c r="E1540" t="s">
        <v>1141</v>
      </c>
      <c r="F1540" t="s">
        <v>368</v>
      </c>
      <c r="G1540">
        <v>4236</v>
      </c>
      <c r="H1540" t="s">
        <v>2322</v>
      </c>
      <c r="I1540" t="s">
        <v>2666</v>
      </c>
      <c r="J1540">
        <v>8</v>
      </c>
      <c r="K1540">
        <v>1</v>
      </c>
      <c r="L1540">
        <v>1.3541666666666667E-3</v>
      </c>
      <c r="M1540" t="s">
        <v>117</v>
      </c>
      <c r="N1540" t="s">
        <v>991</v>
      </c>
      <c r="O1540" s="24">
        <v>46120</v>
      </c>
      <c r="P1540">
        <v>606</v>
      </c>
      <c r="Q1540" t="s">
        <v>34</v>
      </c>
      <c r="R1540">
        <v>46135</v>
      </c>
      <c r="S1540" s="51">
        <v>0.8618055555555556</v>
      </c>
      <c r="T1540" s="51">
        <v>0.88194444444444442</v>
      </c>
      <c r="X1540" t="s">
        <v>3377</v>
      </c>
      <c r="Y1540" t="s">
        <v>3035</v>
      </c>
      <c r="Z1540">
        <v>1742402</v>
      </c>
    </row>
    <row r="1541" spans="1:26" x14ac:dyDescent="0.25">
      <c r="A1541">
        <v>1537</v>
      </c>
      <c r="B1541" t="s">
        <v>26</v>
      </c>
      <c r="C1541" t="s">
        <v>27</v>
      </c>
      <c r="D1541">
        <v>15</v>
      </c>
      <c r="E1541" t="s">
        <v>367</v>
      </c>
      <c r="F1541" t="s">
        <v>367</v>
      </c>
      <c r="G1541">
        <v>4236</v>
      </c>
      <c r="H1541" t="s">
        <v>2324</v>
      </c>
      <c r="I1541" t="s">
        <v>2325</v>
      </c>
      <c r="J1541">
        <v>8</v>
      </c>
      <c r="K1541">
        <v>1</v>
      </c>
      <c r="L1541">
        <v>1.1574074074074073E-3</v>
      </c>
      <c r="M1541" t="s">
        <v>117</v>
      </c>
      <c r="N1541" t="s">
        <v>991</v>
      </c>
      <c r="O1541" s="24">
        <v>46120</v>
      </c>
      <c r="P1541">
        <v>606</v>
      </c>
      <c r="Q1541" t="s">
        <v>34</v>
      </c>
      <c r="R1541">
        <v>46135</v>
      </c>
      <c r="S1541" s="51">
        <v>0.8618055555555556</v>
      </c>
      <c r="T1541" s="51">
        <v>0.88194444444444442</v>
      </c>
      <c r="X1541" t="s">
        <v>3377</v>
      </c>
      <c r="Y1541" t="s">
        <v>3035</v>
      </c>
      <c r="Z1541">
        <v>1742402</v>
      </c>
    </row>
    <row r="1542" spans="1:26" x14ac:dyDescent="0.25">
      <c r="A1542">
        <v>1538</v>
      </c>
      <c r="B1542" t="s">
        <v>26</v>
      </c>
      <c r="C1542" t="s">
        <v>27</v>
      </c>
      <c r="D1542">
        <v>15</v>
      </c>
      <c r="E1542" t="s">
        <v>367</v>
      </c>
      <c r="F1542" t="s">
        <v>367</v>
      </c>
      <c r="G1542">
        <v>4236</v>
      </c>
      <c r="H1542" t="s">
        <v>2162</v>
      </c>
      <c r="I1542" t="s">
        <v>2163</v>
      </c>
      <c r="J1542">
        <v>8</v>
      </c>
      <c r="K1542">
        <v>1</v>
      </c>
      <c r="L1542">
        <v>1.9791666666666664E-3</v>
      </c>
      <c r="M1542" t="s">
        <v>117</v>
      </c>
      <c r="N1542" t="s">
        <v>991</v>
      </c>
      <c r="O1542" s="24">
        <v>46120</v>
      </c>
      <c r="P1542">
        <v>606</v>
      </c>
      <c r="Q1542" t="s">
        <v>34</v>
      </c>
      <c r="R1542">
        <v>46135</v>
      </c>
      <c r="S1542" s="51">
        <v>0.8618055555555556</v>
      </c>
      <c r="T1542" s="51">
        <v>0.88194444444444442</v>
      </c>
      <c r="X1542" t="s">
        <v>3377</v>
      </c>
      <c r="Y1542" t="s">
        <v>3035</v>
      </c>
      <c r="Z1542">
        <v>1742402</v>
      </c>
    </row>
    <row r="1543" spans="1:26" x14ac:dyDescent="0.25">
      <c r="A1543">
        <v>1539</v>
      </c>
      <c r="B1543" t="s">
        <v>26</v>
      </c>
      <c r="C1543" t="s">
        <v>27</v>
      </c>
      <c r="D1543">
        <v>15</v>
      </c>
      <c r="E1543" t="s">
        <v>367</v>
      </c>
      <c r="F1543" t="s">
        <v>512</v>
      </c>
      <c r="G1543">
        <v>4236</v>
      </c>
      <c r="H1543" t="s">
        <v>2713</v>
      </c>
      <c r="I1543" t="s">
        <v>2599</v>
      </c>
      <c r="J1543">
        <v>8</v>
      </c>
      <c r="K1543">
        <v>1</v>
      </c>
      <c r="L1543">
        <v>7.9861111111111105E-4</v>
      </c>
      <c r="M1543" t="s">
        <v>117</v>
      </c>
      <c r="N1543" t="s">
        <v>991</v>
      </c>
      <c r="O1543" s="24">
        <v>46120</v>
      </c>
      <c r="P1543">
        <v>606</v>
      </c>
      <c r="Q1543" t="s">
        <v>34</v>
      </c>
      <c r="R1543">
        <v>46135</v>
      </c>
      <c r="S1543" s="51">
        <v>0.8618055555555556</v>
      </c>
      <c r="T1543" s="51">
        <v>0.88194444444444442</v>
      </c>
      <c r="X1543" t="s">
        <v>3377</v>
      </c>
      <c r="Y1543" t="s">
        <v>3035</v>
      </c>
      <c r="Z1543">
        <v>1742402</v>
      </c>
    </row>
    <row r="1544" spans="1:26" x14ac:dyDescent="0.25">
      <c r="A1544">
        <v>1540</v>
      </c>
      <c r="B1544" t="s">
        <v>26</v>
      </c>
      <c r="C1544" t="s">
        <v>27</v>
      </c>
      <c r="D1544">
        <v>15</v>
      </c>
      <c r="E1544" t="s">
        <v>2763</v>
      </c>
      <c r="F1544" t="s">
        <v>44</v>
      </c>
      <c r="G1544">
        <v>4236</v>
      </c>
      <c r="H1544" t="s">
        <v>2463</v>
      </c>
      <c r="I1544" t="s">
        <v>2049</v>
      </c>
      <c r="J1544">
        <v>8</v>
      </c>
      <c r="K1544">
        <v>1</v>
      </c>
      <c r="L1544">
        <v>1.1342592592592591E-3</v>
      </c>
      <c r="M1544" t="s">
        <v>117</v>
      </c>
      <c r="N1544" t="s">
        <v>991</v>
      </c>
      <c r="O1544" s="24">
        <v>46120</v>
      </c>
      <c r="P1544">
        <v>606</v>
      </c>
      <c r="Q1544" t="s">
        <v>34</v>
      </c>
      <c r="R1544">
        <v>46135</v>
      </c>
      <c r="S1544" s="51">
        <v>0.8618055555555556</v>
      </c>
      <c r="T1544" s="51">
        <v>0.88194444444444442</v>
      </c>
      <c r="X1544" t="s">
        <v>3377</v>
      </c>
      <c r="Y1544" t="s">
        <v>3035</v>
      </c>
      <c r="Z1544">
        <v>1742402</v>
      </c>
    </row>
    <row r="1545" spans="1:26" x14ac:dyDescent="0.25">
      <c r="A1545">
        <v>1541</v>
      </c>
      <c r="B1545" t="s">
        <v>26</v>
      </c>
      <c r="C1545" t="s">
        <v>27</v>
      </c>
      <c r="D1545">
        <v>15</v>
      </c>
      <c r="E1545" t="s">
        <v>2763</v>
      </c>
      <c r="F1545" t="s">
        <v>44</v>
      </c>
      <c r="G1545">
        <v>4236</v>
      </c>
      <c r="H1545" t="s">
        <v>2448</v>
      </c>
      <c r="I1545" t="s">
        <v>2049</v>
      </c>
      <c r="J1545">
        <v>8</v>
      </c>
      <c r="K1545">
        <v>1</v>
      </c>
      <c r="L1545">
        <v>1.1342592592592591E-3</v>
      </c>
      <c r="M1545" t="s">
        <v>117</v>
      </c>
      <c r="N1545" t="s">
        <v>991</v>
      </c>
      <c r="O1545" s="24">
        <v>46120</v>
      </c>
      <c r="P1545">
        <v>606</v>
      </c>
      <c r="Q1545" t="s">
        <v>34</v>
      </c>
      <c r="R1545">
        <v>46135</v>
      </c>
      <c r="S1545" s="51">
        <v>0.8618055555555556</v>
      </c>
      <c r="T1545" s="51">
        <v>0.88194444444444442</v>
      </c>
      <c r="X1545" t="s">
        <v>3377</v>
      </c>
      <c r="Y1545" t="s">
        <v>3035</v>
      </c>
      <c r="Z1545">
        <v>1742402</v>
      </c>
    </row>
    <row r="1546" spans="1:26" x14ac:dyDescent="0.25">
      <c r="A1546">
        <v>1542</v>
      </c>
      <c r="B1546" t="s">
        <v>26</v>
      </c>
      <c r="C1546" t="s">
        <v>27</v>
      </c>
      <c r="D1546">
        <v>15</v>
      </c>
      <c r="E1546" t="s">
        <v>2763</v>
      </c>
      <c r="F1546" t="s">
        <v>512</v>
      </c>
      <c r="G1546">
        <v>4236</v>
      </c>
      <c r="H1546" t="s">
        <v>2906</v>
      </c>
      <c r="I1546" t="s">
        <v>2414</v>
      </c>
      <c r="J1546">
        <v>8</v>
      </c>
      <c r="K1546">
        <v>2</v>
      </c>
      <c r="L1546">
        <v>9.4907407407407408E-4</v>
      </c>
      <c r="M1546" t="s">
        <v>117</v>
      </c>
      <c r="N1546" t="s">
        <v>991</v>
      </c>
      <c r="O1546" s="24">
        <v>46120</v>
      </c>
      <c r="P1546">
        <v>606</v>
      </c>
      <c r="Q1546" t="s">
        <v>34</v>
      </c>
      <c r="R1546">
        <v>46135</v>
      </c>
      <c r="S1546" s="51">
        <v>0.8618055555555556</v>
      </c>
      <c r="T1546" s="51">
        <v>0.88194444444444442</v>
      </c>
      <c r="X1546" t="s">
        <v>3377</v>
      </c>
      <c r="Y1546" t="s">
        <v>3035</v>
      </c>
      <c r="Z1546">
        <v>1742402</v>
      </c>
    </row>
    <row r="1547" spans="1:26" x14ac:dyDescent="0.25">
      <c r="A1547">
        <v>1543</v>
      </c>
      <c r="B1547" t="s">
        <v>26</v>
      </c>
      <c r="C1547" t="s">
        <v>27</v>
      </c>
      <c r="D1547">
        <v>15</v>
      </c>
      <c r="E1547" t="s">
        <v>2742</v>
      </c>
      <c r="F1547" t="s">
        <v>115</v>
      </c>
      <c r="G1547">
        <v>4236</v>
      </c>
      <c r="H1547" t="s">
        <v>2907</v>
      </c>
      <c r="I1547" t="s">
        <v>2902</v>
      </c>
      <c r="J1547">
        <v>8</v>
      </c>
      <c r="K1547">
        <v>1</v>
      </c>
      <c r="L1547">
        <v>3.49537037037037E-3</v>
      </c>
      <c r="M1547" t="s">
        <v>117</v>
      </c>
      <c r="N1547" t="s">
        <v>991</v>
      </c>
      <c r="O1547" s="24">
        <v>46120</v>
      </c>
      <c r="P1547">
        <v>606</v>
      </c>
      <c r="Q1547" t="s">
        <v>34</v>
      </c>
      <c r="R1547">
        <v>46135</v>
      </c>
      <c r="S1547" s="51">
        <v>0.8618055555555556</v>
      </c>
      <c r="T1547" s="51">
        <v>0.88194444444444442</v>
      </c>
      <c r="X1547" t="s">
        <v>3377</v>
      </c>
      <c r="Y1547" t="s">
        <v>3035</v>
      </c>
      <c r="Z1547">
        <v>1742402</v>
      </c>
    </row>
    <row r="1548" spans="1:26" x14ac:dyDescent="0.25">
      <c r="A1548">
        <v>1544</v>
      </c>
      <c r="B1548" t="s">
        <v>26</v>
      </c>
      <c r="C1548" t="s">
        <v>27</v>
      </c>
      <c r="D1548">
        <v>15</v>
      </c>
      <c r="E1548" t="s">
        <v>2430</v>
      </c>
      <c r="F1548" t="s">
        <v>44</v>
      </c>
      <c r="G1548">
        <v>4236</v>
      </c>
      <c r="H1548" t="s">
        <v>48</v>
      </c>
      <c r="I1548" t="s">
        <v>1119</v>
      </c>
      <c r="J1548">
        <v>8</v>
      </c>
      <c r="K1548">
        <v>1</v>
      </c>
      <c r="L1548">
        <v>1.2037037037037036E-3</v>
      </c>
      <c r="M1548" t="s">
        <v>117</v>
      </c>
      <c r="N1548" t="s">
        <v>991</v>
      </c>
      <c r="O1548" s="24">
        <v>46120</v>
      </c>
      <c r="P1548">
        <v>606</v>
      </c>
      <c r="Q1548" t="s">
        <v>34</v>
      </c>
      <c r="R1548">
        <v>46135</v>
      </c>
      <c r="S1548" s="51">
        <v>0.8618055555555556</v>
      </c>
      <c r="T1548" s="51">
        <v>0.88194444444444442</v>
      </c>
      <c r="X1548" t="s">
        <v>3377</v>
      </c>
      <c r="Y1548" t="s">
        <v>3035</v>
      </c>
      <c r="Z1548">
        <v>1742402</v>
      </c>
    </row>
    <row r="1549" spans="1:26" x14ac:dyDescent="0.25">
      <c r="A1549">
        <v>1545</v>
      </c>
      <c r="B1549" t="s">
        <v>26</v>
      </c>
      <c r="C1549" t="s">
        <v>27</v>
      </c>
      <c r="D1549">
        <v>15</v>
      </c>
      <c r="E1549" t="s">
        <v>367</v>
      </c>
      <c r="F1549" t="s">
        <v>367</v>
      </c>
      <c r="G1549">
        <v>3950</v>
      </c>
      <c r="H1549" t="s">
        <v>2483</v>
      </c>
      <c r="I1549" t="s">
        <v>2484</v>
      </c>
      <c r="J1549">
        <v>8</v>
      </c>
      <c r="K1549">
        <v>1</v>
      </c>
      <c r="L1549">
        <v>6.0185185185185179E-4</v>
      </c>
      <c r="M1549" t="s">
        <v>117</v>
      </c>
      <c r="N1549" t="s">
        <v>991</v>
      </c>
      <c r="O1549" s="24">
        <v>46120</v>
      </c>
      <c r="P1549">
        <v>606</v>
      </c>
      <c r="Q1549" t="s">
        <v>34</v>
      </c>
      <c r="R1549">
        <v>46135</v>
      </c>
      <c r="S1549" s="51">
        <v>0.83819444444444446</v>
      </c>
      <c r="T1549" s="51">
        <v>0.85138888888888886</v>
      </c>
      <c r="X1549" t="s">
        <v>3378</v>
      </c>
      <c r="Y1549" t="s">
        <v>3035</v>
      </c>
      <c r="Z1549">
        <v>1742255</v>
      </c>
    </row>
    <row r="1550" spans="1:26" x14ac:dyDescent="0.25">
      <c r="A1550">
        <v>1546</v>
      </c>
      <c r="B1550" t="s">
        <v>26</v>
      </c>
      <c r="C1550" t="s">
        <v>27</v>
      </c>
      <c r="D1550">
        <v>15</v>
      </c>
      <c r="E1550" t="s">
        <v>829</v>
      </c>
      <c r="F1550" t="s">
        <v>1598</v>
      </c>
      <c r="G1550">
        <v>3950</v>
      </c>
      <c r="H1550" t="s">
        <v>2249</v>
      </c>
      <c r="I1550" t="s">
        <v>2240</v>
      </c>
      <c r="J1550">
        <v>8</v>
      </c>
      <c r="K1550">
        <v>1</v>
      </c>
      <c r="L1550">
        <v>2.5694444444444445E-3</v>
      </c>
      <c r="M1550" t="s">
        <v>117</v>
      </c>
      <c r="N1550" t="s">
        <v>991</v>
      </c>
      <c r="O1550" s="24">
        <v>46120</v>
      </c>
      <c r="P1550">
        <v>606</v>
      </c>
      <c r="Q1550" t="s">
        <v>34</v>
      </c>
      <c r="R1550">
        <v>46135</v>
      </c>
      <c r="S1550" s="51">
        <v>0.83819444444444446</v>
      </c>
      <c r="T1550" s="51">
        <v>0.85138888888888886</v>
      </c>
      <c r="X1550" t="s">
        <v>3378</v>
      </c>
      <c r="Y1550" t="s">
        <v>3035</v>
      </c>
      <c r="Z1550">
        <v>1742255</v>
      </c>
    </row>
    <row r="1551" spans="1:26" x14ac:dyDescent="0.25">
      <c r="A1551">
        <v>1547</v>
      </c>
      <c r="B1551" t="s">
        <v>26</v>
      </c>
      <c r="C1551" t="s">
        <v>27</v>
      </c>
      <c r="D1551">
        <v>15</v>
      </c>
      <c r="E1551" t="s">
        <v>367</v>
      </c>
      <c r="F1551" t="s">
        <v>1594</v>
      </c>
      <c r="G1551">
        <v>3950</v>
      </c>
      <c r="H1551" t="s">
        <v>2486</v>
      </c>
      <c r="I1551" t="s">
        <v>2487</v>
      </c>
      <c r="J1551">
        <v>8</v>
      </c>
      <c r="K1551">
        <v>1</v>
      </c>
      <c r="L1551">
        <v>9.4907407407407408E-4</v>
      </c>
      <c r="M1551" t="s">
        <v>117</v>
      </c>
      <c r="N1551" t="s">
        <v>991</v>
      </c>
      <c r="O1551" s="24">
        <v>46120</v>
      </c>
      <c r="P1551">
        <v>606</v>
      </c>
      <c r="Q1551" t="s">
        <v>34</v>
      </c>
      <c r="R1551">
        <v>46135</v>
      </c>
      <c r="S1551" s="51">
        <v>0.83819444444444446</v>
      </c>
      <c r="T1551" s="51">
        <v>0.85138888888888886</v>
      </c>
      <c r="X1551" t="s">
        <v>3378</v>
      </c>
      <c r="Y1551" t="s">
        <v>3035</v>
      </c>
      <c r="Z1551">
        <v>1742255</v>
      </c>
    </row>
    <row r="1552" spans="1:26" x14ac:dyDescent="0.25">
      <c r="A1552">
        <v>1548</v>
      </c>
      <c r="B1552" t="s">
        <v>26</v>
      </c>
      <c r="C1552" t="s">
        <v>27</v>
      </c>
      <c r="D1552">
        <v>15</v>
      </c>
      <c r="E1552" t="s">
        <v>2742</v>
      </c>
      <c r="F1552" t="s">
        <v>498</v>
      </c>
      <c r="G1552">
        <v>3950</v>
      </c>
      <c r="H1552" t="s">
        <v>2909</v>
      </c>
      <c r="I1552" t="s">
        <v>2910</v>
      </c>
      <c r="J1552">
        <v>8</v>
      </c>
      <c r="K1552">
        <v>1</v>
      </c>
      <c r="L1552">
        <v>4.0625000000000001E-3</v>
      </c>
      <c r="M1552" t="s">
        <v>117</v>
      </c>
      <c r="N1552" t="s">
        <v>991</v>
      </c>
      <c r="O1552" s="24">
        <v>46120</v>
      </c>
      <c r="P1552">
        <v>606</v>
      </c>
      <c r="Q1552" t="s">
        <v>34</v>
      </c>
      <c r="R1552">
        <v>46135</v>
      </c>
      <c r="S1552" s="51">
        <v>0.83819444444444446</v>
      </c>
      <c r="T1552" s="51">
        <v>0.85138888888888886</v>
      </c>
      <c r="X1552" t="s">
        <v>3378</v>
      </c>
      <c r="Y1552" t="s">
        <v>3035</v>
      </c>
      <c r="Z1552">
        <v>1742255</v>
      </c>
    </row>
    <row r="1553" spans="1:26" x14ac:dyDescent="0.25">
      <c r="A1553">
        <v>1549</v>
      </c>
      <c r="B1553" t="s">
        <v>26</v>
      </c>
      <c r="C1553" t="s">
        <v>27</v>
      </c>
      <c r="D1553">
        <v>15</v>
      </c>
      <c r="E1553" t="s">
        <v>2911</v>
      </c>
      <c r="F1553" t="s">
        <v>44</v>
      </c>
      <c r="G1553">
        <v>3950</v>
      </c>
      <c r="H1553" t="s">
        <v>48</v>
      </c>
      <c r="I1553" t="s">
        <v>1119</v>
      </c>
      <c r="J1553">
        <v>8</v>
      </c>
      <c r="K1553">
        <v>2</v>
      </c>
      <c r="L1553">
        <v>2.8587962962962963E-3</v>
      </c>
      <c r="M1553" t="s">
        <v>117</v>
      </c>
      <c r="N1553" t="s">
        <v>991</v>
      </c>
      <c r="O1553" s="24">
        <v>46120</v>
      </c>
      <c r="P1553">
        <v>606</v>
      </c>
      <c r="Q1553" t="s">
        <v>34</v>
      </c>
      <c r="R1553">
        <v>46135</v>
      </c>
      <c r="S1553" s="51">
        <v>0.83819444444444446</v>
      </c>
      <c r="T1553" s="51">
        <v>0.85138888888888886</v>
      </c>
      <c r="X1553" t="s">
        <v>3378</v>
      </c>
      <c r="Y1553" t="s">
        <v>3035</v>
      </c>
      <c r="Z1553">
        <v>1742255</v>
      </c>
    </row>
    <row r="1554" spans="1:26" x14ac:dyDescent="0.25">
      <c r="A1554">
        <v>1550</v>
      </c>
      <c r="B1554" t="s">
        <v>26</v>
      </c>
      <c r="C1554" t="s">
        <v>27</v>
      </c>
      <c r="D1554">
        <v>15</v>
      </c>
      <c r="E1554" t="s">
        <v>367</v>
      </c>
      <c r="F1554" t="s">
        <v>1593</v>
      </c>
      <c r="G1554">
        <v>4235</v>
      </c>
      <c r="H1554" t="s">
        <v>2060</v>
      </c>
      <c r="I1554" t="s">
        <v>2061</v>
      </c>
      <c r="J1554">
        <v>8</v>
      </c>
      <c r="K1554">
        <v>1</v>
      </c>
      <c r="L1554">
        <v>4.1666666666666664E-4</v>
      </c>
      <c r="M1554" t="s">
        <v>117</v>
      </c>
      <c r="N1554" t="s">
        <v>991</v>
      </c>
      <c r="O1554" s="24">
        <v>46120</v>
      </c>
      <c r="P1554">
        <v>606</v>
      </c>
      <c r="Q1554" t="s">
        <v>34</v>
      </c>
      <c r="R1554">
        <v>46135</v>
      </c>
      <c r="S1554" s="51">
        <v>0.88472222222222219</v>
      </c>
      <c r="T1554" s="51">
        <v>0.8930555555555556</v>
      </c>
      <c r="X1554" t="s">
        <v>3379</v>
      </c>
      <c r="Y1554" t="s">
        <v>3035</v>
      </c>
      <c r="Z1554">
        <v>1742255</v>
      </c>
    </row>
    <row r="1555" spans="1:26" x14ac:dyDescent="0.25">
      <c r="A1555">
        <v>1551</v>
      </c>
      <c r="B1555" t="s">
        <v>26</v>
      </c>
      <c r="C1555" t="s">
        <v>27</v>
      </c>
      <c r="D1555">
        <v>15</v>
      </c>
      <c r="E1555" t="s">
        <v>367</v>
      </c>
      <c r="F1555" t="s">
        <v>368</v>
      </c>
      <c r="G1555">
        <v>4235</v>
      </c>
      <c r="H1555" t="s">
        <v>2096</v>
      </c>
      <c r="I1555" t="s">
        <v>2097</v>
      </c>
      <c r="J1555">
        <v>8</v>
      </c>
      <c r="K1555">
        <v>1</v>
      </c>
      <c r="L1555">
        <v>6.8287037037037036E-4</v>
      </c>
      <c r="M1555" t="s">
        <v>117</v>
      </c>
      <c r="N1555" t="s">
        <v>991</v>
      </c>
      <c r="O1555" s="24">
        <v>46120</v>
      </c>
      <c r="P1555">
        <v>606</v>
      </c>
      <c r="Q1555" t="s">
        <v>34</v>
      </c>
      <c r="R1555">
        <v>46135</v>
      </c>
      <c r="S1555" s="51">
        <v>0.88472222222222219</v>
      </c>
      <c r="T1555" s="51">
        <v>0.8930555555555556</v>
      </c>
      <c r="X1555" t="s">
        <v>3379</v>
      </c>
      <c r="Y1555" t="s">
        <v>3035</v>
      </c>
      <c r="Z1555">
        <v>1742255</v>
      </c>
    </row>
    <row r="1556" spans="1:26" x14ac:dyDescent="0.25">
      <c r="A1556">
        <v>1552</v>
      </c>
      <c r="B1556" t="s">
        <v>26</v>
      </c>
      <c r="C1556" t="s">
        <v>27</v>
      </c>
      <c r="D1556">
        <v>15</v>
      </c>
      <c r="E1556" t="s">
        <v>367</v>
      </c>
      <c r="F1556" t="s">
        <v>427</v>
      </c>
      <c r="G1556">
        <v>4235</v>
      </c>
      <c r="H1556" t="s">
        <v>2246</v>
      </c>
      <c r="I1556" t="s">
        <v>2247</v>
      </c>
      <c r="J1556">
        <v>8</v>
      </c>
      <c r="K1556">
        <v>1</v>
      </c>
      <c r="L1556">
        <v>1.3541666666666667E-3</v>
      </c>
      <c r="M1556" t="s">
        <v>117</v>
      </c>
      <c r="N1556" t="s">
        <v>991</v>
      </c>
      <c r="O1556" s="24">
        <v>46120</v>
      </c>
      <c r="P1556">
        <v>606</v>
      </c>
      <c r="Q1556" t="s">
        <v>34</v>
      </c>
      <c r="R1556">
        <v>46135</v>
      </c>
      <c r="S1556" s="51">
        <v>0.88472222222222219</v>
      </c>
      <c r="T1556" s="51">
        <v>0.8930555555555556</v>
      </c>
      <c r="X1556" t="s">
        <v>3379</v>
      </c>
      <c r="Y1556" t="s">
        <v>3035</v>
      </c>
      <c r="Z1556">
        <v>1742255</v>
      </c>
    </row>
    <row r="1557" spans="1:26" x14ac:dyDescent="0.25">
      <c r="A1557">
        <v>1553</v>
      </c>
      <c r="B1557" t="s">
        <v>26</v>
      </c>
      <c r="C1557" t="s">
        <v>27</v>
      </c>
      <c r="D1557">
        <v>15</v>
      </c>
      <c r="E1557" t="s">
        <v>829</v>
      </c>
      <c r="F1557" t="s">
        <v>1598</v>
      </c>
      <c r="G1557">
        <v>4235</v>
      </c>
      <c r="H1557" t="s">
        <v>2340</v>
      </c>
      <c r="I1557" t="s">
        <v>2913</v>
      </c>
      <c r="J1557">
        <v>8</v>
      </c>
      <c r="K1557">
        <v>1</v>
      </c>
      <c r="L1557">
        <v>2.1527777777777778E-3</v>
      </c>
      <c r="M1557" t="s">
        <v>117</v>
      </c>
      <c r="N1557" t="s">
        <v>991</v>
      </c>
      <c r="O1557" s="24">
        <v>46120</v>
      </c>
      <c r="P1557">
        <v>606</v>
      </c>
      <c r="Q1557" t="s">
        <v>34</v>
      </c>
      <c r="R1557">
        <v>46135</v>
      </c>
      <c r="S1557" s="51">
        <v>0.88472222222222219</v>
      </c>
      <c r="T1557" s="51">
        <v>0.8930555555555556</v>
      </c>
      <c r="X1557" t="s">
        <v>3379</v>
      </c>
      <c r="Y1557" t="s">
        <v>3035</v>
      </c>
      <c r="Z1557">
        <v>1742255</v>
      </c>
    </row>
    <row r="1558" spans="1:26" x14ac:dyDescent="0.25">
      <c r="A1558">
        <v>1554</v>
      </c>
      <c r="B1558" t="s">
        <v>26</v>
      </c>
      <c r="C1558" t="s">
        <v>27</v>
      </c>
      <c r="D1558">
        <v>15</v>
      </c>
      <c r="E1558" t="s">
        <v>367</v>
      </c>
      <c r="F1558" t="s">
        <v>512</v>
      </c>
      <c r="G1558">
        <v>4235</v>
      </c>
      <c r="H1558" t="s">
        <v>2229</v>
      </c>
      <c r="I1558" t="s">
        <v>2230</v>
      </c>
      <c r="J1558">
        <v>8</v>
      </c>
      <c r="K1558">
        <v>1</v>
      </c>
      <c r="L1558">
        <v>1.6550925925925926E-3</v>
      </c>
      <c r="M1558" t="s">
        <v>117</v>
      </c>
      <c r="N1558" t="s">
        <v>991</v>
      </c>
      <c r="O1558" s="24">
        <v>46120</v>
      </c>
      <c r="P1558">
        <v>606</v>
      </c>
      <c r="Q1558" t="s">
        <v>34</v>
      </c>
      <c r="R1558">
        <v>46135</v>
      </c>
      <c r="S1558" s="51">
        <v>0.88472222222222219</v>
      </c>
      <c r="T1558" s="51">
        <v>0.8930555555555556</v>
      </c>
      <c r="X1558" t="s">
        <v>3379</v>
      </c>
      <c r="Y1558" t="s">
        <v>3035</v>
      </c>
      <c r="Z1558">
        <v>1742255</v>
      </c>
    </row>
    <row r="1559" spans="1:26" x14ac:dyDescent="0.25">
      <c r="A1559">
        <v>1555</v>
      </c>
      <c r="B1559" t="s">
        <v>26</v>
      </c>
      <c r="C1559" t="s">
        <v>27</v>
      </c>
      <c r="D1559">
        <v>15</v>
      </c>
      <c r="E1559" t="s">
        <v>2742</v>
      </c>
      <c r="F1559" t="s">
        <v>498</v>
      </c>
      <c r="G1559">
        <v>4235</v>
      </c>
      <c r="H1559" t="s">
        <v>2914</v>
      </c>
      <c r="I1559" t="s">
        <v>2890</v>
      </c>
      <c r="J1559">
        <v>8</v>
      </c>
      <c r="K1559">
        <v>1</v>
      </c>
      <c r="L1559">
        <v>4.0509259259259257E-3</v>
      </c>
      <c r="M1559" t="s">
        <v>117</v>
      </c>
      <c r="N1559" t="s">
        <v>991</v>
      </c>
      <c r="O1559" s="24">
        <v>46120</v>
      </c>
      <c r="P1559">
        <v>606</v>
      </c>
      <c r="Q1559" t="s">
        <v>34</v>
      </c>
      <c r="R1559">
        <v>46135</v>
      </c>
      <c r="S1559" s="51">
        <v>0.88472222222222219</v>
      </c>
      <c r="T1559" s="51">
        <v>0.8930555555555556</v>
      </c>
      <c r="X1559" t="s">
        <v>3379</v>
      </c>
      <c r="Y1559" t="s">
        <v>3035</v>
      </c>
      <c r="Z1559">
        <v>1742255</v>
      </c>
    </row>
    <row r="1560" spans="1:26" x14ac:dyDescent="0.25">
      <c r="A1560">
        <v>1556</v>
      </c>
      <c r="B1560" t="s">
        <v>26</v>
      </c>
      <c r="C1560" t="s">
        <v>27</v>
      </c>
      <c r="D1560">
        <v>15</v>
      </c>
      <c r="E1560" t="s">
        <v>2911</v>
      </c>
      <c r="F1560" t="s">
        <v>44</v>
      </c>
      <c r="G1560">
        <v>4235</v>
      </c>
      <c r="H1560" t="s">
        <v>48</v>
      </c>
      <c r="I1560" t="s">
        <v>1119</v>
      </c>
      <c r="J1560">
        <v>8</v>
      </c>
      <c r="K1560">
        <v>2</v>
      </c>
      <c r="L1560">
        <v>2.8356481481481479E-3</v>
      </c>
      <c r="M1560" t="s">
        <v>117</v>
      </c>
      <c r="N1560" t="s">
        <v>991</v>
      </c>
      <c r="O1560" s="24">
        <v>46120</v>
      </c>
      <c r="P1560">
        <v>606</v>
      </c>
      <c r="Q1560" t="s">
        <v>34</v>
      </c>
      <c r="R1560">
        <v>46135</v>
      </c>
      <c r="S1560" s="51">
        <v>0.88472222222222219</v>
      </c>
      <c r="T1560" s="51">
        <v>0.8930555555555556</v>
      </c>
      <c r="X1560" t="s">
        <v>3379</v>
      </c>
      <c r="Y1560" t="s">
        <v>3035</v>
      </c>
      <c r="Z1560">
        <v>1742255</v>
      </c>
    </row>
    <row r="1561" spans="1:26" x14ac:dyDescent="0.25">
      <c r="A1561">
        <v>1557</v>
      </c>
      <c r="B1561" t="s">
        <v>26</v>
      </c>
      <c r="C1561" t="s">
        <v>27</v>
      </c>
      <c r="D1561">
        <v>15</v>
      </c>
      <c r="E1561" t="s">
        <v>2742</v>
      </c>
      <c r="F1561" t="s">
        <v>115</v>
      </c>
      <c r="G1561">
        <v>3952</v>
      </c>
      <c r="H1561" t="s">
        <v>2915</v>
      </c>
      <c r="I1561" t="s">
        <v>2899</v>
      </c>
      <c r="J1561">
        <v>8</v>
      </c>
      <c r="K1561">
        <v>1</v>
      </c>
      <c r="L1561">
        <v>4.2013888888888891E-3</v>
      </c>
      <c r="M1561" t="s">
        <v>117</v>
      </c>
      <c r="N1561" t="s">
        <v>991</v>
      </c>
      <c r="O1561" s="24">
        <v>46120</v>
      </c>
      <c r="P1561">
        <v>606</v>
      </c>
      <c r="Q1561" t="s">
        <v>34</v>
      </c>
      <c r="R1561">
        <v>46135</v>
      </c>
      <c r="S1561" s="51">
        <v>0.40625</v>
      </c>
      <c r="T1561" s="51">
        <v>0.4201388888888889</v>
      </c>
      <c r="X1561" t="s">
        <v>3380</v>
      </c>
      <c r="Y1561" t="s">
        <v>3035</v>
      </c>
      <c r="Z1561">
        <v>1742402</v>
      </c>
    </row>
    <row r="1562" spans="1:26" x14ac:dyDescent="0.25">
      <c r="A1562">
        <v>1558</v>
      </c>
      <c r="B1562" t="s">
        <v>26</v>
      </c>
      <c r="C1562" t="s">
        <v>27</v>
      </c>
      <c r="D1562">
        <v>15</v>
      </c>
      <c r="E1562" t="s">
        <v>2917</v>
      </c>
      <c r="F1562" t="s">
        <v>44</v>
      </c>
      <c r="G1562">
        <v>3952</v>
      </c>
      <c r="H1562" t="s">
        <v>48</v>
      </c>
      <c r="I1562" t="s">
        <v>1119</v>
      </c>
      <c r="J1562">
        <v>8</v>
      </c>
      <c r="K1562">
        <v>8</v>
      </c>
      <c r="L1562">
        <v>1.1064814814814814E-2</v>
      </c>
      <c r="M1562" t="s">
        <v>117</v>
      </c>
      <c r="N1562" t="s">
        <v>991</v>
      </c>
      <c r="O1562" s="24">
        <v>46120</v>
      </c>
      <c r="P1562">
        <v>606</v>
      </c>
      <c r="Q1562" t="s">
        <v>34</v>
      </c>
      <c r="R1562">
        <v>46135</v>
      </c>
      <c r="S1562" s="51">
        <v>0.40625</v>
      </c>
      <c r="T1562" s="51">
        <v>0.4201388888888889</v>
      </c>
      <c r="X1562" t="s">
        <v>3380</v>
      </c>
      <c r="Y1562" t="s">
        <v>3035</v>
      </c>
      <c r="Z1562">
        <v>1742402</v>
      </c>
    </row>
    <row r="1563" spans="1:26" x14ac:dyDescent="0.25">
      <c r="A1563">
        <v>1559</v>
      </c>
      <c r="B1563" t="s">
        <v>26</v>
      </c>
      <c r="C1563" t="s">
        <v>27</v>
      </c>
      <c r="D1563">
        <v>15</v>
      </c>
      <c r="E1563" t="s">
        <v>367</v>
      </c>
      <c r="F1563" t="s">
        <v>1599</v>
      </c>
      <c r="G1563">
        <v>4325</v>
      </c>
      <c r="H1563" t="s">
        <v>1633</v>
      </c>
      <c r="I1563" t="s">
        <v>1634</v>
      </c>
      <c r="J1563">
        <v>8</v>
      </c>
      <c r="K1563">
        <v>1</v>
      </c>
      <c r="L1563">
        <v>7.2916666666666659E-4</v>
      </c>
      <c r="M1563" t="s">
        <v>117</v>
      </c>
      <c r="N1563" t="s">
        <v>991</v>
      </c>
      <c r="O1563" s="24">
        <v>46120</v>
      </c>
      <c r="P1563">
        <v>606</v>
      </c>
      <c r="Q1563" t="s">
        <v>34</v>
      </c>
      <c r="R1563">
        <v>46135</v>
      </c>
      <c r="S1563" s="51">
        <v>0.44097222222222221</v>
      </c>
      <c r="T1563" s="51">
        <v>0.45833333333333331</v>
      </c>
      <c r="X1563" t="s">
        <v>3381</v>
      </c>
      <c r="Y1563" t="s">
        <v>3035</v>
      </c>
      <c r="Z1563">
        <v>1742402</v>
      </c>
    </row>
    <row r="1564" spans="1:26" x14ac:dyDescent="0.25">
      <c r="A1564">
        <v>1560</v>
      </c>
      <c r="B1564" t="s">
        <v>26</v>
      </c>
      <c r="C1564" t="s">
        <v>27</v>
      </c>
      <c r="D1564">
        <v>15</v>
      </c>
      <c r="E1564" t="s">
        <v>2892</v>
      </c>
      <c r="F1564" t="s">
        <v>44</v>
      </c>
      <c r="G1564">
        <v>4325</v>
      </c>
      <c r="H1564" t="s">
        <v>48</v>
      </c>
      <c r="I1564" t="s">
        <v>1119</v>
      </c>
      <c r="J1564">
        <v>8</v>
      </c>
      <c r="K1564">
        <v>9</v>
      </c>
      <c r="L1564">
        <v>1.2326388888888888E-2</v>
      </c>
      <c r="M1564" t="s">
        <v>117</v>
      </c>
      <c r="N1564" t="s">
        <v>991</v>
      </c>
      <c r="O1564" s="24">
        <v>46120</v>
      </c>
      <c r="P1564">
        <v>606</v>
      </c>
      <c r="Q1564" t="s">
        <v>34</v>
      </c>
      <c r="R1564">
        <v>46135</v>
      </c>
      <c r="S1564" s="51">
        <v>0.44097222222222221</v>
      </c>
      <c r="T1564" s="51">
        <v>0.45833333333333331</v>
      </c>
      <c r="X1564" t="s">
        <v>3381</v>
      </c>
      <c r="Y1564" t="s">
        <v>3035</v>
      </c>
      <c r="Z1564">
        <v>1742402</v>
      </c>
    </row>
    <row r="1565" spans="1:26" x14ac:dyDescent="0.25">
      <c r="A1565">
        <v>1561</v>
      </c>
      <c r="B1565" t="s">
        <v>26</v>
      </c>
      <c r="C1565" t="s">
        <v>27</v>
      </c>
      <c r="D1565">
        <v>15</v>
      </c>
      <c r="E1565" t="s">
        <v>2742</v>
      </c>
      <c r="F1565" t="s">
        <v>115</v>
      </c>
      <c r="G1565">
        <v>4325</v>
      </c>
      <c r="H1565" t="s">
        <v>2919</v>
      </c>
      <c r="I1565" t="s">
        <v>2888</v>
      </c>
      <c r="J1565">
        <v>8</v>
      </c>
      <c r="K1565">
        <v>1</v>
      </c>
      <c r="L1565">
        <v>4.6759259259259254E-3</v>
      </c>
      <c r="M1565" t="s">
        <v>117</v>
      </c>
      <c r="N1565" t="s">
        <v>991</v>
      </c>
      <c r="O1565" s="24">
        <v>46120</v>
      </c>
      <c r="P1565">
        <v>606</v>
      </c>
      <c r="Q1565" t="s">
        <v>34</v>
      </c>
      <c r="R1565">
        <v>46135</v>
      </c>
      <c r="S1565" s="51">
        <v>0.44097222222222221</v>
      </c>
      <c r="T1565" s="51">
        <v>0.45833333333333331</v>
      </c>
      <c r="X1565" t="s">
        <v>3381</v>
      </c>
      <c r="Y1565" t="s">
        <v>3035</v>
      </c>
      <c r="Z1565">
        <v>1742402</v>
      </c>
    </row>
    <row r="1566" spans="1:26" x14ac:dyDescent="0.25">
      <c r="A1566">
        <v>1562</v>
      </c>
      <c r="B1566" t="s">
        <v>26</v>
      </c>
      <c r="C1566" t="s">
        <v>27</v>
      </c>
      <c r="D1566">
        <v>15</v>
      </c>
      <c r="E1566" t="s">
        <v>2763</v>
      </c>
      <c r="F1566" t="s">
        <v>512</v>
      </c>
      <c r="G1566">
        <v>4365</v>
      </c>
      <c r="H1566" t="s">
        <v>2920</v>
      </c>
      <c r="I1566" t="s">
        <v>2883</v>
      </c>
      <c r="J1566">
        <v>8</v>
      </c>
      <c r="K1566">
        <v>1</v>
      </c>
      <c r="L1566">
        <v>3.8888888888888888E-3</v>
      </c>
      <c r="M1566" t="s">
        <v>778</v>
      </c>
      <c r="N1566" t="s">
        <v>1388</v>
      </c>
      <c r="O1566" s="24">
        <v>46133</v>
      </c>
      <c r="P1566">
        <v>605</v>
      </c>
      <c r="Q1566" t="s">
        <v>34</v>
      </c>
      <c r="X1566" t="s">
        <v>3382</v>
      </c>
    </row>
    <row r="1567" spans="1:26" x14ac:dyDescent="0.25">
      <c r="A1567">
        <v>1563</v>
      </c>
      <c r="B1567" t="s">
        <v>26</v>
      </c>
      <c r="C1567" t="s">
        <v>27</v>
      </c>
      <c r="D1567">
        <v>15</v>
      </c>
      <c r="E1567" t="s">
        <v>2892</v>
      </c>
      <c r="F1567" t="s">
        <v>44</v>
      </c>
      <c r="G1567">
        <v>4365</v>
      </c>
      <c r="H1567" t="s">
        <v>48</v>
      </c>
      <c r="I1567" t="s">
        <v>1119</v>
      </c>
      <c r="J1567">
        <v>8</v>
      </c>
      <c r="K1567">
        <v>9</v>
      </c>
      <c r="L1567">
        <v>1.2129629629629629E-2</v>
      </c>
      <c r="M1567" t="s">
        <v>778</v>
      </c>
      <c r="N1567" t="s">
        <v>1388</v>
      </c>
      <c r="O1567" s="24">
        <v>46133</v>
      </c>
      <c r="P1567">
        <v>605</v>
      </c>
      <c r="Q1567" t="s">
        <v>34</v>
      </c>
      <c r="X1567" t="s">
        <v>3382</v>
      </c>
    </row>
    <row r="1568" spans="1:26" x14ac:dyDescent="0.25">
      <c r="A1568">
        <v>1564</v>
      </c>
      <c r="B1568" t="s">
        <v>26</v>
      </c>
      <c r="C1568" t="s">
        <v>27</v>
      </c>
      <c r="D1568">
        <v>15</v>
      </c>
      <c r="E1568" t="s">
        <v>367</v>
      </c>
      <c r="F1568" t="s">
        <v>1592</v>
      </c>
      <c r="G1568">
        <v>4324</v>
      </c>
      <c r="H1568" t="s">
        <v>2455</v>
      </c>
      <c r="I1568" t="s">
        <v>2456</v>
      </c>
      <c r="J1568">
        <v>8</v>
      </c>
      <c r="K1568">
        <v>6</v>
      </c>
      <c r="L1568">
        <v>2.3611111111111111E-3</v>
      </c>
      <c r="M1568" t="s">
        <v>117</v>
      </c>
      <c r="N1568" t="s">
        <v>1099</v>
      </c>
      <c r="O1568" s="24">
        <v>46137</v>
      </c>
      <c r="P1568">
        <v>605</v>
      </c>
      <c r="Q1568" t="s">
        <v>34</v>
      </c>
      <c r="R1568">
        <v>46135</v>
      </c>
      <c r="S1568" s="51">
        <v>0.55555555555555558</v>
      </c>
      <c r="T1568" s="51">
        <v>0.57638888888888884</v>
      </c>
      <c r="X1568" t="s">
        <v>3383</v>
      </c>
      <c r="Y1568" t="s">
        <v>3029</v>
      </c>
      <c r="Z1568">
        <v>1742079</v>
      </c>
    </row>
    <row r="1569" spans="1:26" x14ac:dyDescent="0.25">
      <c r="A1569">
        <v>1565</v>
      </c>
      <c r="B1569" t="s">
        <v>26</v>
      </c>
      <c r="C1569" t="s">
        <v>27</v>
      </c>
      <c r="D1569">
        <v>15</v>
      </c>
      <c r="E1569" t="s">
        <v>2763</v>
      </c>
      <c r="F1569" t="s">
        <v>512</v>
      </c>
      <c r="G1569">
        <v>4324</v>
      </c>
      <c r="H1569" t="s">
        <v>2923</v>
      </c>
      <c r="I1569" t="s">
        <v>2924</v>
      </c>
      <c r="J1569">
        <v>8</v>
      </c>
      <c r="K1569">
        <v>1</v>
      </c>
      <c r="L1569">
        <v>3.3217592592592591E-3</v>
      </c>
      <c r="M1569" t="s">
        <v>117</v>
      </c>
      <c r="N1569" t="s">
        <v>1099</v>
      </c>
      <c r="O1569" s="24">
        <v>46137</v>
      </c>
      <c r="P1569">
        <v>605</v>
      </c>
      <c r="Q1569" t="s">
        <v>34</v>
      </c>
      <c r="R1569">
        <v>46135</v>
      </c>
      <c r="S1569" s="51">
        <v>0.55555555555555558</v>
      </c>
      <c r="T1569" s="51">
        <v>0.57638888888888884</v>
      </c>
      <c r="X1569" t="s">
        <v>3383</v>
      </c>
      <c r="Y1569" t="s">
        <v>3029</v>
      </c>
      <c r="Z1569">
        <v>1742079</v>
      </c>
    </row>
    <row r="1570" spans="1:26" x14ac:dyDescent="0.25">
      <c r="A1570">
        <v>1566</v>
      </c>
      <c r="B1570" t="s">
        <v>26</v>
      </c>
      <c r="C1570" t="s">
        <v>27</v>
      </c>
      <c r="D1570">
        <v>15</v>
      </c>
      <c r="E1570" t="s">
        <v>2925</v>
      </c>
      <c r="F1570" t="s">
        <v>44</v>
      </c>
      <c r="G1570">
        <v>4324</v>
      </c>
      <c r="H1570" t="s">
        <v>48</v>
      </c>
      <c r="I1570" t="s">
        <v>1119</v>
      </c>
      <c r="J1570">
        <v>8</v>
      </c>
      <c r="K1570">
        <v>12</v>
      </c>
      <c r="L1570">
        <v>1.5081018518518518E-2</v>
      </c>
      <c r="M1570" t="s">
        <v>117</v>
      </c>
      <c r="N1570" t="s">
        <v>1099</v>
      </c>
      <c r="O1570" s="24">
        <v>46137</v>
      </c>
      <c r="P1570">
        <v>605</v>
      </c>
      <c r="Q1570" t="s">
        <v>34</v>
      </c>
      <c r="R1570">
        <v>46135</v>
      </c>
      <c r="S1570" s="51">
        <v>0.55555555555555558</v>
      </c>
      <c r="T1570" s="51">
        <v>0.57638888888888884</v>
      </c>
      <c r="X1570" t="s">
        <v>3383</v>
      </c>
      <c r="Y1570" t="s">
        <v>3029</v>
      </c>
      <c r="Z1570">
        <v>1742079</v>
      </c>
    </row>
    <row r="1571" spans="1:26" x14ac:dyDescent="0.25">
      <c r="A1571">
        <v>1567</v>
      </c>
      <c r="B1571" t="s">
        <v>26</v>
      </c>
      <c r="C1571" t="s">
        <v>27</v>
      </c>
      <c r="D1571">
        <v>15</v>
      </c>
      <c r="E1571" t="s">
        <v>2763</v>
      </c>
      <c r="F1571" t="s">
        <v>512</v>
      </c>
      <c r="G1571">
        <v>4366</v>
      </c>
      <c r="H1571" t="s">
        <v>2920</v>
      </c>
      <c r="I1571" t="s">
        <v>2883</v>
      </c>
      <c r="J1571">
        <v>8</v>
      </c>
      <c r="K1571">
        <v>1</v>
      </c>
      <c r="L1571">
        <v>3.8888888888888888E-3</v>
      </c>
      <c r="M1571" t="s">
        <v>117</v>
      </c>
      <c r="N1571" t="s">
        <v>1099</v>
      </c>
      <c r="O1571" s="24">
        <v>46137</v>
      </c>
      <c r="P1571">
        <v>605</v>
      </c>
      <c r="Q1571" t="s">
        <v>34</v>
      </c>
      <c r="R1571">
        <v>46135</v>
      </c>
      <c r="S1571" s="51">
        <v>0.59236111111111112</v>
      </c>
      <c r="T1571" s="51">
        <v>0.6069444444444444</v>
      </c>
      <c r="X1571" t="s">
        <v>3384</v>
      </c>
      <c r="Y1571" t="s">
        <v>3029</v>
      </c>
      <c r="Z1571">
        <v>1742079</v>
      </c>
    </row>
    <row r="1572" spans="1:26" x14ac:dyDescent="0.25">
      <c r="A1572">
        <v>1568</v>
      </c>
      <c r="B1572" t="s">
        <v>26</v>
      </c>
      <c r="C1572" t="s">
        <v>27</v>
      </c>
      <c r="D1572">
        <v>15</v>
      </c>
      <c r="E1572" t="s">
        <v>2892</v>
      </c>
      <c r="F1572" t="s">
        <v>44</v>
      </c>
      <c r="G1572">
        <v>4366</v>
      </c>
      <c r="H1572" t="s">
        <v>48</v>
      </c>
      <c r="I1572" t="s">
        <v>1119</v>
      </c>
      <c r="J1572">
        <v>8</v>
      </c>
      <c r="K1572">
        <v>9</v>
      </c>
      <c r="L1572">
        <v>1.2129629629629629E-2</v>
      </c>
      <c r="M1572" t="s">
        <v>117</v>
      </c>
      <c r="N1572" t="s">
        <v>1099</v>
      </c>
      <c r="O1572" s="24">
        <v>46137</v>
      </c>
      <c r="P1572">
        <v>605</v>
      </c>
      <c r="Q1572" t="s">
        <v>34</v>
      </c>
      <c r="R1572">
        <v>46135</v>
      </c>
      <c r="S1572" s="51">
        <v>0.59236111111111112</v>
      </c>
      <c r="T1572" s="51">
        <v>0.6069444444444444</v>
      </c>
      <c r="X1572" t="s">
        <v>3384</v>
      </c>
      <c r="Y1572" t="s">
        <v>3029</v>
      </c>
      <c r="Z1572">
        <v>1742079</v>
      </c>
    </row>
    <row r="1573" spans="1:26" x14ac:dyDescent="0.25">
      <c r="A1573">
        <v>1569</v>
      </c>
      <c r="B1573" t="s">
        <v>26</v>
      </c>
      <c r="C1573" t="s">
        <v>27</v>
      </c>
      <c r="D1573">
        <v>15</v>
      </c>
      <c r="E1573" t="s">
        <v>2763</v>
      </c>
      <c r="F1573" t="s">
        <v>512</v>
      </c>
      <c r="G1573">
        <v>4367</v>
      </c>
      <c r="H1573" t="s">
        <v>2920</v>
      </c>
      <c r="I1573" t="s">
        <v>2883</v>
      </c>
      <c r="J1573">
        <v>8</v>
      </c>
      <c r="K1573">
        <v>1</v>
      </c>
      <c r="L1573">
        <v>3.8888888888888888E-3</v>
      </c>
      <c r="M1573" t="s">
        <v>117</v>
      </c>
      <c r="N1573" t="s">
        <v>1099</v>
      </c>
      <c r="O1573" s="24">
        <v>46137</v>
      </c>
      <c r="P1573">
        <v>605</v>
      </c>
      <c r="Q1573" t="s">
        <v>34</v>
      </c>
      <c r="R1573">
        <v>46135</v>
      </c>
      <c r="S1573" s="51">
        <v>0.60902777777777772</v>
      </c>
      <c r="T1573" s="51">
        <v>0.63472222222222219</v>
      </c>
      <c r="X1573" t="s">
        <v>3385</v>
      </c>
      <c r="Y1573" t="s">
        <v>3029</v>
      </c>
      <c r="Z1573">
        <v>3219209</v>
      </c>
    </row>
    <row r="1574" spans="1:26" x14ac:dyDescent="0.25">
      <c r="A1574">
        <v>1570</v>
      </c>
      <c r="B1574" t="s">
        <v>26</v>
      </c>
      <c r="C1574" t="s">
        <v>27</v>
      </c>
      <c r="D1574">
        <v>15</v>
      </c>
      <c r="E1574" t="s">
        <v>2892</v>
      </c>
      <c r="F1574" t="s">
        <v>44</v>
      </c>
      <c r="G1574">
        <v>4367</v>
      </c>
      <c r="H1574" t="s">
        <v>48</v>
      </c>
      <c r="I1574" t="s">
        <v>1119</v>
      </c>
      <c r="J1574">
        <v>8</v>
      </c>
      <c r="K1574">
        <v>9</v>
      </c>
      <c r="L1574">
        <v>1.2129629629629629E-2</v>
      </c>
      <c r="M1574" t="s">
        <v>117</v>
      </c>
      <c r="N1574" t="s">
        <v>1099</v>
      </c>
      <c r="O1574" s="24">
        <v>46137</v>
      </c>
      <c r="P1574">
        <v>605</v>
      </c>
      <c r="Q1574" t="s">
        <v>34</v>
      </c>
      <c r="R1574">
        <v>46135</v>
      </c>
      <c r="S1574" s="51">
        <v>0.60902777777777772</v>
      </c>
      <c r="T1574" s="51">
        <v>0.63472222222222219</v>
      </c>
      <c r="X1574" t="s">
        <v>3385</v>
      </c>
      <c r="Y1574" t="s">
        <v>3029</v>
      </c>
      <c r="Z1574">
        <v>3219209</v>
      </c>
    </row>
    <row r="1575" spans="1:26" x14ac:dyDescent="0.25">
      <c r="A1575">
        <v>1571</v>
      </c>
      <c r="B1575" t="s">
        <v>26</v>
      </c>
      <c r="C1575" t="s">
        <v>27</v>
      </c>
      <c r="D1575">
        <v>15</v>
      </c>
      <c r="E1575" t="s">
        <v>2763</v>
      </c>
      <c r="F1575" t="s">
        <v>512</v>
      </c>
      <c r="G1575">
        <v>3960</v>
      </c>
      <c r="H1575" t="s">
        <v>2920</v>
      </c>
      <c r="I1575" t="s">
        <v>2883</v>
      </c>
      <c r="J1575">
        <v>8</v>
      </c>
      <c r="K1575">
        <v>1</v>
      </c>
      <c r="L1575">
        <v>3.8888888888888888E-3</v>
      </c>
      <c r="M1575" t="s">
        <v>117</v>
      </c>
      <c r="N1575" t="s">
        <v>1099</v>
      </c>
      <c r="O1575" s="24">
        <v>46137</v>
      </c>
      <c r="P1575">
        <v>605</v>
      </c>
      <c r="Q1575" t="s">
        <v>34</v>
      </c>
      <c r="R1575">
        <v>46135</v>
      </c>
      <c r="S1575" s="51">
        <v>0.39861111111111114</v>
      </c>
      <c r="T1575" s="51">
        <v>0.40694444444444444</v>
      </c>
      <c r="X1575" t="s">
        <v>3386</v>
      </c>
      <c r="Y1575" t="s">
        <v>3029</v>
      </c>
      <c r="Z1575">
        <v>1742402</v>
      </c>
    </row>
    <row r="1576" spans="1:26" x14ac:dyDescent="0.25">
      <c r="A1576">
        <v>1572</v>
      </c>
      <c r="B1576" t="s">
        <v>26</v>
      </c>
      <c r="C1576" t="s">
        <v>27</v>
      </c>
      <c r="D1576">
        <v>15</v>
      </c>
      <c r="E1576" t="s">
        <v>2892</v>
      </c>
      <c r="F1576" t="s">
        <v>44</v>
      </c>
      <c r="G1576">
        <v>3960</v>
      </c>
      <c r="H1576" t="s">
        <v>48</v>
      </c>
      <c r="I1576" t="s">
        <v>1119</v>
      </c>
      <c r="J1576">
        <v>8</v>
      </c>
      <c r="K1576">
        <v>9</v>
      </c>
      <c r="L1576">
        <v>1.2129629629629629E-2</v>
      </c>
      <c r="M1576" t="s">
        <v>117</v>
      </c>
      <c r="N1576" t="s">
        <v>1099</v>
      </c>
      <c r="O1576" s="24">
        <v>46137</v>
      </c>
      <c r="P1576">
        <v>605</v>
      </c>
      <c r="Q1576" t="s">
        <v>34</v>
      </c>
      <c r="R1576">
        <v>46135</v>
      </c>
      <c r="S1576" s="51">
        <v>0.39861111111111114</v>
      </c>
      <c r="T1576" s="51">
        <v>0.40694444444444444</v>
      </c>
      <c r="X1576" t="s">
        <v>3386</v>
      </c>
      <c r="Y1576" t="s">
        <v>3029</v>
      </c>
      <c r="Z1576">
        <v>1742402</v>
      </c>
    </row>
    <row r="1577" spans="1:26" x14ac:dyDescent="0.25">
      <c r="A1577">
        <v>1573</v>
      </c>
      <c r="B1577" t="s">
        <v>26</v>
      </c>
      <c r="C1577" t="s">
        <v>27</v>
      </c>
      <c r="D1577">
        <v>15</v>
      </c>
      <c r="E1577" t="s">
        <v>2763</v>
      </c>
      <c r="F1577" t="s">
        <v>512</v>
      </c>
      <c r="G1577">
        <v>3961</v>
      </c>
      <c r="H1577" t="s">
        <v>2920</v>
      </c>
      <c r="I1577" t="s">
        <v>2883</v>
      </c>
      <c r="J1577">
        <v>8</v>
      </c>
      <c r="K1577">
        <v>1</v>
      </c>
      <c r="L1577">
        <v>3.8888888888888888E-3</v>
      </c>
      <c r="M1577" t="s">
        <v>117</v>
      </c>
      <c r="N1577" t="s">
        <v>1099</v>
      </c>
      <c r="O1577" s="24">
        <v>46137</v>
      </c>
      <c r="P1577">
        <v>605</v>
      </c>
      <c r="Q1577" t="s">
        <v>34</v>
      </c>
      <c r="R1577">
        <v>46135</v>
      </c>
      <c r="S1577" s="51">
        <v>0.41597222222222224</v>
      </c>
      <c r="T1577" s="51">
        <v>0.42708333333333331</v>
      </c>
      <c r="X1577" t="s">
        <v>3387</v>
      </c>
      <c r="Y1577" t="s">
        <v>3029</v>
      </c>
      <c r="Z1577">
        <v>1742398</v>
      </c>
    </row>
    <row r="1578" spans="1:26" x14ac:dyDescent="0.25">
      <c r="A1578">
        <v>1574</v>
      </c>
      <c r="B1578" t="s">
        <v>26</v>
      </c>
      <c r="C1578" t="s">
        <v>27</v>
      </c>
      <c r="D1578">
        <v>15</v>
      </c>
      <c r="E1578" t="s">
        <v>2892</v>
      </c>
      <c r="F1578" t="s">
        <v>44</v>
      </c>
      <c r="G1578">
        <v>3961</v>
      </c>
      <c r="H1578" t="s">
        <v>48</v>
      </c>
      <c r="I1578" t="s">
        <v>1119</v>
      </c>
      <c r="J1578">
        <v>8</v>
      </c>
      <c r="K1578">
        <v>9</v>
      </c>
      <c r="L1578">
        <v>1.2129629629629629E-2</v>
      </c>
      <c r="M1578" t="s">
        <v>117</v>
      </c>
      <c r="N1578" t="s">
        <v>1099</v>
      </c>
      <c r="O1578" s="24">
        <v>46137</v>
      </c>
      <c r="P1578">
        <v>605</v>
      </c>
      <c r="Q1578" t="s">
        <v>34</v>
      </c>
      <c r="R1578">
        <v>46135</v>
      </c>
      <c r="S1578" s="51">
        <v>0.41597222222222224</v>
      </c>
      <c r="T1578" s="51">
        <v>0.42708333333333331</v>
      </c>
      <c r="X1578" t="s">
        <v>3387</v>
      </c>
      <c r="Y1578" t="s">
        <v>3029</v>
      </c>
      <c r="Z1578">
        <v>1742398</v>
      </c>
    </row>
    <row r="1579" spans="1:26" x14ac:dyDescent="0.25">
      <c r="A1579">
        <v>1575</v>
      </c>
      <c r="B1579" t="s">
        <v>26</v>
      </c>
      <c r="C1579" t="s">
        <v>27</v>
      </c>
      <c r="D1579">
        <v>15</v>
      </c>
      <c r="E1579" t="s">
        <v>2763</v>
      </c>
      <c r="F1579" t="s">
        <v>512</v>
      </c>
      <c r="G1579">
        <v>3962</v>
      </c>
      <c r="H1579" t="s">
        <v>2920</v>
      </c>
      <c r="I1579" t="s">
        <v>2883</v>
      </c>
      <c r="J1579">
        <v>8</v>
      </c>
      <c r="K1579">
        <v>1</v>
      </c>
      <c r="L1579">
        <v>3.8888888888888888E-3</v>
      </c>
      <c r="M1579" t="s">
        <v>117</v>
      </c>
      <c r="N1579" t="s">
        <v>1099</v>
      </c>
      <c r="O1579" s="24">
        <v>46137</v>
      </c>
      <c r="P1579">
        <v>605</v>
      </c>
      <c r="Q1579" t="s">
        <v>34</v>
      </c>
      <c r="R1579">
        <v>46135</v>
      </c>
      <c r="S1579" s="51">
        <v>0.37847222222222221</v>
      </c>
      <c r="T1579" s="51">
        <v>0.38472222222222224</v>
      </c>
      <c r="X1579" t="s">
        <v>3388</v>
      </c>
      <c r="Y1579" t="s">
        <v>3029</v>
      </c>
      <c r="Z1579">
        <v>1742398</v>
      </c>
    </row>
    <row r="1580" spans="1:26" x14ac:dyDescent="0.25">
      <c r="A1580">
        <v>1576</v>
      </c>
      <c r="B1580" t="s">
        <v>26</v>
      </c>
      <c r="C1580" t="s">
        <v>27</v>
      </c>
      <c r="D1580">
        <v>15</v>
      </c>
      <c r="E1580" t="s">
        <v>2892</v>
      </c>
      <c r="F1580" t="s">
        <v>44</v>
      </c>
      <c r="G1580">
        <v>3962</v>
      </c>
      <c r="H1580" t="s">
        <v>48</v>
      </c>
      <c r="I1580" t="s">
        <v>1119</v>
      </c>
      <c r="J1580">
        <v>8</v>
      </c>
      <c r="K1580">
        <v>9</v>
      </c>
      <c r="L1580">
        <v>1.2129629629629629E-2</v>
      </c>
      <c r="M1580" t="s">
        <v>117</v>
      </c>
      <c r="N1580" t="s">
        <v>1099</v>
      </c>
      <c r="O1580" s="24">
        <v>46137</v>
      </c>
      <c r="P1580">
        <v>605</v>
      </c>
      <c r="Q1580" t="s">
        <v>34</v>
      </c>
      <c r="R1580">
        <v>46135</v>
      </c>
      <c r="S1580" s="51">
        <v>0.37847222222222221</v>
      </c>
      <c r="T1580" s="51">
        <v>0.38472222222222224</v>
      </c>
      <c r="X1580" t="s">
        <v>3388</v>
      </c>
      <c r="Y1580" t="s">
        <v>3029</v>
      </c>
      <c r="Z1580">
        <v>1742398</v>
      </c>
    </row>
    <row r="1581" spans="1:26" x14ac:dyDescent="0.25">
      <c r="A1581">
        <v>1577</v>
      </c>
      <c r="B1581" t="s">
        <v>26</v>
      </c>
      <c r="C1581" t="s">
        <v>27</v>
      </c>
      <c r="D1581">
        <v>15</v>
      </c>
      <c r="E1581" t="s">
        <v>2763</v>
      </c>
      <c r="F1581" t="s">
        <v>512</v>
      </c>
      <c r="G1581">
        <v>3963</v>
      </c>
      <c r="H1581" t="s">
        <v>2920</v>
      </c>
      <c r="I1581" t="s">
        <v>2883</v>
      </c>
      <c r="J1581">
        <v>8</v>
      </c>
      <c r="K1581">
        <v>1</v>
      </c>
      <c r="L1581">
        <v>3.8888888888888888E-3</v>
      </c>
      <c r="M1581" t="s">
        <v>117</v>
      </c>
      <c r="N1581" t="s">
        <v>1099</v>
      </c>
      <c r="O1581" s="24">
        <v>46137</v>
      </c>
      <c r="P1581">
        <v>605</v>
      </c>
      <c r="Q1581" t="s">
        <v>34</v>
      </c>
      <c r="R1581">
        <v>46135</v>
      </c>
      <c r="S1581" s="51">
        <v>0.5756944444444444</v>
      </c>
      <c r="T1581" s="51">
        <v>0.59305555555555556</v>
      </c>
      <c r="X1581" t="s">
        <v>3389</v>
      </c>
      <c r="Y1581" t="s">
        <v>3029</v>
      </c>
      <c r="Z1581">
        <v>2733737</v>
      </c>
    </row>
    <row r="1582" spans="1:26" x14ac:dyDescent="0.25">
      <c r="A1582">
        <v>1578</v>
      </c>
      <c r="B1582" t="s">
        <v>26</v>
      </c>
      <c r="C1582" t="s">
        <v>27</v>
      </c>
      <c r="D1582">
        <v>15</v>
      </c>
      <c r="E1582" t="s">
        <v>2932</v>
      </c>
      <c r="F1582" t="s">
        <v>44</v>
      </c>
      <c r="G1582">
        <v>3963</v>
      </c>
      <c r="H1582" t="s">
        <v>48</v>
      </c>
      <c r="I1582" t="s">
        <v>1119</v>
      </c>
      <c r="J1582">
        <v>8</v>
      </c>
      <c r="K1582">
        <v>9</v>
      </c>
      <c r="L1582">
        <v>1.2129629629629629E-2</v>
      </c>
      <c r="M1582" t="s">
        <v>117</v>
      </c>
      <c r="N1582" t="s">
        <v>1099</v>
      </c>
      <c r="O1582" s="24">
        <v>46137</v>
      </c>
      <c r="P1582">
        <v>605</v>
      </c>
      <c r="Q1582" t="s">
        <v>34</v>
      </c>
      <c r="R1582">
        <v>46135</v>
      </c>
      <c r="S1582" s="51">
        <v>0.5756944444444444</v>
      </c>
      <c r="T1582" s="51">
        <v>0.59305555555555556</v>
      </c>
      <c r="X1582" t="s">
        <v>3389</v>
      </c>
      <c r="Y1582" t="s">
        <v>3029</v>
      </c>
      <c r="Z1582">
        <v>2733737</v>
      </c>
    </row>
    <row r="1583" spans="1:26" x14ac:dyDescent="0.25">
      <c r="A1583">
        <v>1579</v>
      </c>
      <c r="B1583" t="s">
        <v>26</v>
      </c>
      <c r="C1583" t="s">
        <v>27</v>
      </c>
      <c r="D1583">
        <v>15</v>
      </c>
      <c r="E1583" t="s">
        <v>550</v>
      </c>
      <c r="F1583" t="s">
        <v>512</v>
      </c>
      <c r="G1583">
        <v>3964</v>
      </c>
      <c r="H1583" t="s">
        <v>551</v>
      </c>
      <c r="I1583" t="s">
        <v>119</v>
      </c>
      <c r="J1583">
        <v>8</v>
      </c>
      <c r="K1583">
        <v>1</v>
      </c>
      <c r="L1583">
        <v>6.9097222222222216E-3</v>
      </c>
      <c r="M1583" t="s">
        <v>778</v>
      </c>
      <c r="N1583" t="s">
        <v>916</v>
      </c>
      <c r="O1583" s="24">
        <v>46134</v>
      </c>
      <c r="P1583">
        <v>603</v>
      </c>
      <c r="Q1583" t="s">
        <v>34</v>
      </c>
      <c r="X1583" t="s">
        <v>3390</v>
      </c>
    </row>
    <row r="1584" spans="1:26" x14ac:dyDescent="0.25">
      <c r="A1584">
        <v>1580</v>
      </c>
      <c r="B1584" t="s">
        <v>26</v>
      </c>
      <c r="C1584" t="s">
        <v>27</v>
      </c>
      <c r="D1584">
        <v>15</v>
      </c>
      <c r="E1584" t="s">
        <v>133</v>
      </c>
      <c r="F1584" t="s">
        <v>512</v>
      </c>
      <c r="G1584">
        <v>3751</v>
      </c>
      <c r="H1584" t="s">
        <v>91</v>
      </c>
      <c r="I1584" t="s">
        <v>119</v>
      </c>
      <c r="J1584">
        <v>8</v>
      </c>
      <c r="K1584">
        <v>1</v>
      </c>
      <c r="L1584">
        <v>7.1759259259259259E-3</v>
      </c>
      <c r="M1584" t="s">
        <v>117</v>
      </c>
      <c r="N1584" t="s">
        <v>1161</v>
      </c>
      <c r="O1584" s="24">
        <v>46125</v>
      </c>
      <c r="P1584">
        <v>603</v>
      </c>
      <c r="Q1584" t="s">
        <v>34</v>
      </c>
      <c r="R1584">
        <v>46135</v>
      </c>
      <c r="S1584" s="51">
        <v>0.68888888888888888</v>
      </c>
      <c r="T1584" s="51">
        <v>0.69652777777777775</v>
      </c>
      <c r="X1584" t="s">
        <v>3391</v>
      </c>
      <c r="Y1584" t="s">
        <v>3072</v>
      </c>
      <c r="Z1584">
        <v>2778453</v>
      </c>
    </row>
    <row r="1585" spans="1:26" x14ac:dyDescent="0.25">
      <c r="A1585">
        <v>1581</v>
      </c>
      <c r="B1585" t="s">
        <v>26</v>
      </c>
      <c r="C1585" t="s">
        <v>27</v>
      </c>
      <c r="D1585">
        <v>15</v>
      </c>
      <c r="E1585" t="s">
        <v>1665</v>
      </c>
      <c r="F1585" t="s">
        <v>498</v>
      </c>
      <c r="G1585">
        <v>4288</v>
      </c>
      <c r="H1585" t="s">
        <v>2478</v>
      </c>
      <c r="I1585" t="s">
        <v>2472</v>
      </c>
      <c r="J1585">
        <v>8</v>
      </c>
      <c r="K1585">
        <v>1</v>
      </c>
      <c r="L1585">
        <v>6.145833333333333E-3</v>
      </c>
      <c r="M1585" t="s">
        <v>778</v>
      </c>
      <c r="N1585" t="s">
        <v>777</v>
      </c>
      <c r="O1585" s="24">
        <v>46128</v>
      </c>
      <c r="P1585">
        <v>603</v>
      </c>
      <c r="Q1585" t="s">
        <v>34</v>
      </c>
      <c r="X1585" t="s">
        <v>3392</v>
      </c>
    </row>
    <row r="1586" spans="1:26" x14ac:dyDescent="0.25">
      <c r="A1586">
        <v>1582</v>
      </c>
      <c r="B1586" t="s">
        <v>26</v>
      </c>
      <c r="C1586" t="s">
        <v>27</v>
      </c>
      <c r="D1586">
        <v>15</v>
      </c>
      <c r="E1586" t="s">
        <v>2936</v>
      </c>
      <c r="F1586" t="s">
        <v>44</v>
      </c>
      <c r="G1586">
        <v>4288</v>
      </c>
      <c r="H1586" t="s">
        <v>48</v>
      </c>
      <c r="I1586" t="s">
        <v>1119</v>
      </c>
      <c r="J1586">
        <v>8</v>
      </c>
      <c r="K1586">
        <v>1</v>
      </c>
      <c r="L1586">
        <v>1.5162037037037036E-3</v>
      </c>
      <c r="M1586" t="s">
        <v>778</v>
      </c>
      <c r="N1586" t="s">
        <v>777</v>
      </c>
      <c r="O1586" s="24">
        <v>46128</v>
      </c>
      <c r="P1586">
        <v>603</v>
      </c>
      <c r="Q1586" t="s">
        <v>34</v>
      </c>
      <c r="X1586" t="s">
        <v>3392</v>
      </c>
    </row>
    <row r="1587" spans="1:26" x14ac:dyDescent="0.25">
      <c r="A1587">
        <v>1583</v>
      </c>
      <c r="B1587" t="s">
        <v>26</v>
      </c>
      <c r="C1587" t="s">
        <v>27</v>
      </c>
      <c r="D1587">
        <v>15</v>
      </c>
      <c r="E1587" t="s">
        <v>53</v>
      </c>
      <c r="F1587" t="s">
        <v>44</v>
      </c>
      <c r="G1587">
        <v>3825</v>
      </c>
      <c r="H1587" t="s">
        <v>48</v>
      </c>
      <c r="I1587" t="s">
        <v>1119</v>
      </c>
      <c r="J1587">
        <v>8</v>
      </c>
      <c r="K1587">
        <v>23</v>
      </c>
      <c r="L1587">
        <v>2.9594907407407407E-2</v>
      </c>
      <c r="M1587" t="s">
        <v>3079</v>
      </c>
      <c r="X1587" t="s">
        <v>3393</v>
      </c>
    </row>
    <row r="1588" spans="1:26" x14ac:dyDescent="0.25">
      <c r="A1588">
        <v>1584</v>
      </c>
      <c r="B1588" t="s">
        <v>26</v>
      </c>
      <c r="C1588" t="s">
        <v>27</v>
      </c>
      <c r="D1588">
        <v>15</v>
      </c>
      <c r="E1588" t="s">
        <v>53</v>
      </c>
      <c r="F1588" t="s">
        <v>44</v>
      </c>
      <c r="G1588">
        <v>3826</v>
      </c>
      <c r="H1588" t="s">
        <v>48</v>
      </c>
      <c r="I1588" t="s">
        <v>1119</v>
      </c>
      <c r="J1588">
        <v>8</v>
      </c>
      <c r="K1588">
        <v>23</v>
      </c>
      <c r="L1588">
        <v>2.9594907407407407E-2</v>
      </c>
      <c r="M1588" t="s">
        <v>117</v>
      </c>
      <c r="N1588" t="s">
        <v>1200</v>
      </c>
      <c r="O1588" s="24">
        <v>46122</v>
      </c>
      <c r="P1588">
        <v>605</v>
      </c>
      <c r="Q1588" t="s">
        <v>34</v>
      </c>
      <c r="R1588">
        <v>46135</v>
      </c>
      <c r="S1588" s="51">
        <v>0.55972222222222223</v>
      </c>
      <c r="T1588" s="51">
        <v>0.57361111111111107</v>
      </c>
      <c r="X1588" t="s">
        <v>3394</v>
      </c>
      <c r="Y1588" t="s">
        <v>3029</v>
      </c>
      <c r="Z1588">
        <v>1742398</v>
      </c>
    </row>
    <row r="1589" spans="1:26" x14ac:dyDescent="0.25">
      <c r="A1589">
        <v>1585</v>
      </c>
      <c r="B1589" t="s">
        <v>26</v>
      </c>
      <c r="C1589" t="s">
        <v>27</v>
      </c>
      <c r="D1589">
        <v>15</v>
      </c>
      <c r="E1589" t="s">
        <v>53</v>
      </c>
      <c r="F1589" t="s">
        <v>44</v>
      </c>
      <c r="G1589">
        <v>3827</v>
      </c>
      <c r="H1589" t="s">
        <v>48</v>
      </c>
      <c r="I1589" t="s">
        <v>1119</v>
      </c>
      <c r="J1589">
        <v>8</v>
      </c>
      <c r="K1589">
        <v>23</v>
      </c>
      <c r="L1589">
        <v>2.9594907407407407E-2</v>
      </c>
      <c r="M1589" t="s">
        <v>3079</v>
      </c>
      <c r="X1589" t="s">
        <v>3395</v>
      </c>
    </row>
    <row r="1590" spans="1:26" x14ac:dyDescent="0.25">
      <c r="A1590">
        <v>1586</v>
      </c>
      <c r="B1590" t="s">
        <v>26</v>
      </c>
      <c r="C1590" t="s">
        <v>27</v>
      </c>
      <c r="D1590">
        <v>15</v>
      </c>
      <c r="E1590" t="s">
        <v>53</v>
      </c>
      <c r="F1590" t="s">
        <v>44</v>
      </c>
      <c r="G1590">
        <v>3828</v>
      </c>
      <c r="H1590" t="s">
        <v>48</v>
      </c>
      <c r="I1590" t="s">
        <v>1119</v>
      </c>
      <c r="J1590">
        <v>8</v>
      </c>
      <c r="K1590">
        <v>23</v>
      </c>
      <c r="L1590">
        <v>2.9594907407407407E-2</v>
      </c>
      <c r="M1590" t="s">
        <v>3079</v>
      </c>
      <c r="X1590" t="s">
        <v>3396</v>
      </c>
    </row>
    <row r="1591" spans="1:26" x14ac:dyDescent="0.25">
      <c r="A1591">
        <v>1587</v>
      </c>
      <c r="B1591" t="s">
        <v>26</v>
      </c>
      <c r="C1591" t="s">
        <v>27</v>
      </c>
      <c r="D1591">
        <v>15</v>
      </c>
      <c r="E1591" t="s">
        <v>2941</v>
      </c>
      <c r="F1591" t="s">
        <v>44</v>
      </c>
      <c r="G1591">
        <v>3829</v>
      </c>
      <c r="H1591" t="s">
        <v>48</v>
      </c>
      <c r="I1591" t="s">
        <v>1119</v>
      </c>
      <c r="J1591">
        <v>8</v>
      </c>
      <c r="K1591">
        <v>23</v>
      </c>
      <c r="L1591">
        <v>2.9594907407407407E-2</v>
      </c>
      <c r="M1591" t="s">
        <v>3079</v>
      </c>
      <c r="X1591" t="s">
        <v>3397</v>
      </c>
    </row>
    <row r="1592" spans="1:26" x14ac:dyDescent="0.25">
      <c r="A1592">
        <v>1588</v>
      </c>
      <c r="B1592" t="s">
        <v>26</v>
      </c>
      <c r="C1592" t="s">
        <v>27</v>
      </c>
      <c r="D1592">
        <v>15</v>
      </c>
      <c r="E1592" t="s">
        <v>58</v>
      </c>
      <c r="F1592" t="s">
        <v>44</v>
      </c>
      <c r="G1592">
        <v>3830</v>
      </c>
      <c r="H1592" t="s">
        <v>48</v>
      </c>
      <c r="I1592" t="s">
        <v>1119</v>
      </c>
      <c r="J1592">
        <v>8</v>
      </c>
      <c r="K1592">
        <v>23</v>
      </c>
      <c r="L1592">
        <v>2.9594907407407407E-2</v>
      </c>
      <c r="M1592" t="s">
        <v>3079</v>
      </c>
      <c r="X1592" t="s">
        <v>3398</v>
      </c>
    </row>
    <row r="1593" spans="1:26" x14ac:dyDescent="0.25">
      <c r="A1593">
        <v>1589</v>
      </c>
      <c r="B1593" t="s">
        <v>26</v>
      </c>
      <c r="C1593" t="s">
        <v>27</v>
      </c>
      <c r="D1593">
        <v>15</v>
      </c>
      <c r="E1593" t="s">
        <v>58</v>
      </c>
      <c r="F1593" t="s">
        <v>44</v>
      </c>
      <c r="G1593">
        <v>3831</v>
      </c>
      <c r="H1593" t="s">
        <v>48</v>
      </c>
      <c r="I1593" t="s">
        <v>1119</v>
      </c>
      <c r="J1593">
        <v>8</v>
      </c>
      <c r="K1593">
        <v>23</v>
      </c>
      <c r="L1593">
        <v>2.9594907407407407E-2</v>
      </c>
      <c r="M1593" t="s">
        <v>3079</v>
      </c>
      <c r="X1593" t="s">
        <v>3399</v>
      </c>
    </row>
    <row r="1594" spans="1:26" x14ac:dyDescent="0.25">
      <c r="A1594">
        <v>1590</v>
      </c>
      <c r="B1594" t="s">
        <v>26</v>
      </c>
      <c r="C1594" t="s">
        <v>27</v>
      </c>
      <c r="D1594">
        <v>15</v>
      </c>
      <c r="E1594" t="s">
        <v>58</v>
      </c>
      <c r="F1594" t="s">
        <v>44</v>
      </c>
      <c r="G1594">
        <v>3832</v>
      </c>
      <c r="H1594" t="s">
        <v>48</v>
      </c>
      <c r="I1594" t="s">
        <v>1119</v>
      </c>
      <c r="J1594">
        <v>8</v>
      </c>
      <c r="K1594">
        <v>23</v>
      </c>
      <c r="L1594">
        <v>2.9594907407407407E-2</v>
      </c>
      <c r="M1594" t="s">
        <v>3079</v>
      </c>
      <c r="X1594" t="s">
        <v>3400</v>
      </c>
    </row>
    <row r="1595" spans="1:26" x14ac:dyDescent="0.25">
      <c r="A1595">
        <v>1591</v>
      </c>
      <c r="B1595" t="s">
        <v>26</v>
      </c>
      <c r="C1595" t="s">
        <v>27</v>
      </c>
      <c r="D1595">
        <v>15</v>
      </c>
      <c r="E1595" t="s">
        <v>58</v>
      </c>
      <c r="F1595" t="s">
        <v>44</v>
      </c>
      <c r="G1595">
        <v>3833</v>
      </c>
      <c r="H1595" t="s">
        <v>48</v>
      </c>
      <c r="I1595" t="s">
        <v>1119</v>
      </c>
      <c r="J1595">
        <v>8</v>
      </c>
      <c r="K1595">
        <v>23</v>
      </c>
      <c r="L1595">
        <v>2.9652777777777778E-2</v>
      </c>
      <c r="M1595" t="s">
        <v>3079</v>
      </c>
      <c r="X1595" t="s">
        <v>3401</v>
      </c>
    </row>
    <row r="1596" spans="1:26" x14ac:dyDescent="0.25">
      <c r="A1596">
        <v>1592</v>
      </c>
      <c r="B1596" t="s">
        <v>26</v>
      </c>
      <c r="C1596" t="s">
        <v>27</v>
      </c>
      <c r="D1596">
        <v>15</v>
      </c>
      <c r="E1596" t="s">
        <v>2947</v>
      </c>
      <c r="F1596" t="s">
        <v>44</v>
      </c>
      <c r="G1596">
        <v>3834</v>
      </c>
      <c r="H1596" t="s">
        <v>48</v>
      </c>
      <c r="I1596" t="s">
        <v>1119</v>
      </c>
      <c r="J1596">
        <v>8</v>
      </c>
      <c r="K1596">
        <v>23</v>
      </c>
      <c r="L1596">
        <v>2.9594907407407407E-2</v>
      </c>
      <c r="M1596" t="s">
        <v>3079</v>
      </c>
      <c r="X1596" t="s">
        <v>3402</v>
      </c>
    </row>
    <row r="1597" spans="1:26" x14ac:dyDescent="0.25">
      <c r="A1597">
        <v>1593</v>
      </c>
      <c r="B1597" t="s">
        <v>26</v>
      </c>
      <c r="C1597" t="s">
        <v>27</v>
      </c>
      <c r="D1597">
        <v>15</v>
      </c>
      <c r="E1597" t="s">
        <v>2949</v>
      </c>
      <c r="F1597" t="s">
        <v>44</v>
      </c>
      <c r="G1597">
        <v>3835</v>
      </c>
      <c r="H1597" t="s">
        <v>48</v>
      </c>
      <c r="I1597" t="s">
        <v>1119</v>
      </c>
      <c r="J1597">
        <v>8</v>
      </c>
      <c r="K1597">
        <v>23</v>
      </c>
      <c r="L1597">
        <v>2.9652777777777778E-2</v>
      </c>
      <c r="M1597" t="s">
        <v>3079</v>
      </c>
      <c r="X1597" t="s">
        <v>3403</v>
      </c>
    </row>
    <row r="1598" spans="1:26" x14ac:dyDescent="0.25">
      <c r="A1598">
        <v>1594</v>
      </c>
      <c r="B1598" t="s">
        <v>26</v>
      </c>
      <c r="C1598" t="s">
        <v>27</v>
      </c>
      <c r="D1598">
        <v>15</v>
      </c>
      <c r="E1598" t="s">
        <v>1672</v>
      </c>
      <c r="F1598" t="s">
        <v>512</v>
      </c>
      <c r="G1598">
        <v>4368</v>
      </c>
      <c r="H1598" t="s">
        <v>2297</v>
      </c>
      <c r="I1598" t="s">
        <v>2226</v>
      </c>
      <c r="J1598">
        <v>8</v>
      </c>
      <c r="K1598">
        <v>3</v>
      </c>
      <c r="L1598">
        <v>5.4166666666666669E-3</v>
      </c>
      <c r="M1598" t="s">
        <v>117</v>
      </c>
      <c r="N1598" t="s">
        <v>1128</v>
      </c>
      <c r="O1598" s="24">
        <v>46126</v>
      </c>
      <c r="P1598">
        <v>605</v>
      </c>
      <c r="Q1598" t="s">
        <v>34</v>
      </c>
      <c r="R1598">
        <v>46137</v>
      </c>
      <c r="S1598" s="51">
        <v>0.54722222222222228</v>
      </c>
      <c r="T1598" s="51">
        <v>0.57013888888888886</v>
      </c>
      <c r="X1598" t="s">
        <v>3404</v>
      </c>
      <c r="Y1598" t="s">
        <v>3029</v>
      </c>
      <c r="Z1598">
        <v>1242255</v>
      </c>
    </row>
    <row r="1599" spans="1:26" x14ac:dyDescent="0.25">
      <c r="A1599">
        <v>1595</v>
      </c>
      <c r="B1599" t="s">
        <v>26</v>
      </c>
      <c r="C1599" t="s">
        <v>27</v>
      </c>
      <c r="D1599">
        <v>15</v>
      </c>
      <c r="E1599" t="s">
        <v>367</v>
      </c>
      <c r="F1599" t="s">
        <v>367</v>
      </c>
      <c r="G1599">
        <v>4368</v>
      </c>
      <c r="H1599" t="s">
        <v>2328</v>
      </c>
      <c r="I1599" t="s">
        <v>2329</v>
      </c>
      <c r="J1599">
        <v>8</v>
      </c>
      <c r="K1599">
        <v>1</v>
      </c>
      <c r="L1599">
        <v>6.8287037037037036E-4</v>
      </c>
      <c r="M1599" t="s">
        <v>117</v>
      </c>
      <c r="N1599" t="s">
        <v>1128</v>
      </c>
      <c r="O1599" s="24">
        <v>46126</v>
      </c>
      <c r="P1599">
        <v>605</v>
      </c>
      <c r="Q1599" t="s">
        <v>34</v>
      </c>
      <c r="R1599">
        <v>46137</v>
      </c>
      <c r="S1599" s="51">
        <v>0.54722222222222228</v>
      </c>
      <c r="T1599" s="51">
        <v>0.57013888888888886</v>
      </c>
      <c r="X1599" t="s">
        <v>3404</v>
      </c>
      <c r="Y1599" t="s">
        <v>3029</v>
      </c>
      <c r="Z1599">
        <v>1242255</v>
      </c>
    </row>
    <row r="1600" spans="1:26" x14ac:dyDescent="0.25">
      <c r="A1600">
        <v>1596</v>
      </c>
      <c r="B1600" t="s">
        <v>26</v>
      </c>
      <c r="C1600" t="s">
        <v>27</v>
      </c>
      <c r="D1600">
        <v>15</v>
      </c>
      <c r="E1600" t="s">
        <v>367</v>
      </c>
      <c r="F1600" t="s">
        <v>1599</v>
      </c>
      <c r="G1600">
        <v>4368</v>
      </c>
      <c r="H1600" t="s">
        <v>1633</v>
      </c>
      <c r="I1600" t="s">
        <v>1634</v>
      </c>
      <c r="J1600">
        <v>8</v>
      </c>
      <c r="K1600">
        <v>1</v>
      </c>
      <c r="L1600">
        <v>7.1759259259259259E-4</v>
      </c>
      <c r="M1600" t="s">
        <v>117</v>
      </c>
      <c r="N1600" t="s">
        <v>1128</v>
      </c>
      <c r="O1600" s="24">
        <v>46126</v>
      </c>
      <c r="P1600">
        <v>605</v>
      </c>
      <c r="Q1600" t="s">
        <v>34</v>
      </c>
      <c r="R1600">
        <v>46137</v>
      </c>
      <c r="S1600" s="51">
        <v>0.54722222222222228</v>
      </c>
      <c r="T1600" s="51">
        <v>0.57013888888888886</v>
      </c>
      <c r="X1600" t="s">
        <v>3404</v>
      </c>
      <c r="Y1600" t="s">
        <v>3029</v>
      </c>
      <c r="Z1600">
        <v>1242255</v>
      </c>
    </row>
    <row r="1601" spans="1:26" x14ac:dyDescent="0.25">
      <c r="A1601">
        <v>1597</v>
      </c>
      <c r="B1601" t="s">
        <v>26</v>
      </c>
      <c r="C1601" t="s">
        <v>27</v>
      </c>
      <c r="D1601">
        <v>15</v>
      </c>
      <c r="E1601" t="s">
        <v>1141</v>
      </c>
      <c r="F1601" t="s">
        <v>1598</v>
      </c>
      <c r="G1601">
        <v>4368</v>
      </c>
      <c r="H1601" t="s">
        <v>2340</v>
      </c>
      <c r="I1601" t="s">
        <v>2913</v>
      </c>
      <c r="J1601">
        <v>8</v>
      </c>
      <c r="K1601">
        <v>1</v>
      </c>
      <c r="L1601">
        <v>2.0601851851851853E-3</v>
      </c>
      <c r="M1601" t="s">
        <v>117</v>
      </c>
      <c r="N1601" t="s">
        <v>1128</v>
      </c>
      <c r="O1601" s="24">
        <v>46126</v>
      </c>
      <c r="P1601">
        <v>605</v>
      </c>
      <c r="Q1601" t="s">
        <v>34</v>
      </c>
      <c r="R1601">
        <v>46137</v>
      </c>
      <c r="S1601" s="51">
        <v>0.54722222222222228</v>
      </c>
      <c r="T1601" s="51">
        <v>0.57013888888888886</v>
      </c>
      <c r="X1601" t="s">
        <v>3404</v>
      </c>
      <c r="Y1601" t="s">
        <v>3029</v>
      </c>
      <c r="Z1601">
        <v>1242255</v>
      </c>
    </row>
    <row r="1602" spans="1:26" x14ac:dyDescent="0.25">
      <c r="A1602">
        <v>1598</v>
      </c>
      <c r="B1602" t="s">
        <v>26</v>
      </c>
      <c r="C1602" t="s">
        <v>27</v>
      </c>
      <c r="D1602">
        <v>15</v>
      </c>
      <c r="E1602" t="s">
        <v>2778</v>
      </c>
      <c r="F1602" t="s">
        <v>1599</v>
      </c>
      <c r="G1602">
        <v>4368</v>
      </c>
      <c r="H1602" t="s">
        <v>2342</v>
      </c>
      <c r="I1602" t="s">
        <v>2913</v>
      </c>
      <c r="J1602">
        <v>8</v>
      </c>
      <c r="K1602">
        <v>2</v>
      </c>
      <c r="L1602">
        <v>4.1319444444444442E-3</v>
      </c>
      <c r="M1602" t="s">
        <v>117</v>
      </c>
      <c r="N1602" t="s">
        <v>1128</v>
      </c>
      <c r="O1602" s="24">
        <v>46126</v>
      </c>
      <c r="P1602">
        <v>605</v>
      </c>
      <c r="Q1602" t="s">
        <v>34</v>
      </c>
      <c r="R1602">
        <v>46137</v>
      </c>
      <c r="S1602" s="51">
        <v>0.54722222222222228</v>
      </c>
      <c r="T1602" s="51">
        <v>0.57013888888888886</v>
      </c>
      <c r="X1602" t="s">
        <v>3404</v>
      </c>
      <c r="Y1602" t="s">
        <v>3029</v>
      </c>
      <c r="Z1602">
        <v>1242255</v>
      </c>
    </row>
    <row r="1603" spans="1:26" x14ac:dyDescent="0.25">
      <c r="A1603">
        <v>1599</v>
      </c>
      <c r="B1603" t="s">
        <v>26</v>
      </c>
      <c r="C1603" t="s">
        <v>27</v>
      </c>
      <c r="D1603">
        <v>15</v>
      </c>
      <c r="E1603" t="s">
        <v>2837</v>
      </c>
      <c r="F1603" t="s">
        <v>44</v>
      </c>
      <c r="G1603">
        <v>4368</v>
      </c>
      <c r="H1603" t="s">
        <v>48</v>
      </c>
      <c r="I1603" t="s">
        <v>1119</v>
      </c>
      <c r="J1603">
        <v>8</v>
      </c>
      <c r="K1603">
        <v>8</v>
      </c>
      <c r="L1603">
        <v>1.0891203703703703E-2</v>
      </c>
      <c r="M1603" t="s">
        <v>117</v>
      </c>
      <c r="N1603" t="s">
        <v>1128</v>
      </c>
      <c r="O1603" s="24">
        <v>46126</v>
      </c>
      <c r="P1603">
        <v>605</v>
      </c>
      <c r="Q1603" t="s">
        <v>34</v>
      </c>
      <c r="R1603">
        <v>46137</v>
      </c>
      <c r="S1603" s="51">
        <v>0.54722222222222228</v>
      </c>
      <c r="T1603" s="51">
        <v>0.57013888888888886</v>
      </c>
      <c r="X1603" t="s">
        <v>3404</v>
      </c>
      <c r="Y1603" t="s">
        <v>3029</v>
      </c>
      <c r="Z1603">
        <v>1242255</v>
      </c>
    </row>
    <row r="1604" spans="1:26" x14ac:dyDescent="0.25">
      <c r="A1604">
        <v>1600</v>
      </c>
      <c r="B1604" t="s">
        <v>26</v>
      </c>
      <c r="C1604" t="s">
        <v>27</v>
      </c>
      <c r="D1604">
        <v>15</v>
      </c>
      <c r="E1604" t="s">
        <v>129</v>
      </c>
      <c r="F1604" t="s">
        <v>115</v>
      </c>
      <c r="G1604">
        <v>3966</v>
      </c>
      <c r="H1604" t="s">
        <v>1193</v>
      </c>
      <c r="I1604" t="s">
        <v>1191</v>
      </c>
      <c r="J1604">
        <v>8</v>
      </c>
      <c r="K1604">
        <v>1</v>
      </c>
      <c r="L1604">
        <v>7.8819444444444449E-3</v>
      </c>
      <c r="M1604" t="s">
        <v>117</v>
      </c>
      <c r="N1604" t="s">
        <v>1161</v>
      </c>
      <c r="O1604" s="24">
        <v>46125</v>
      </c>
      <c r="P1604">
        <v>603</v>
      </c>
      <c r="Q1604" t="s">
        <v>34</v>
      </c>
      <c r="R1604">
        <v>46135</v>
      </c>
      <c r="S1604" s="51">
        <v>0.6</v>
      </c>
      <c r="T1604" s="51">
        <v>0.6069444444444444</v>
      </c>
      <c r="X1604" t="s">
        <v>3405</v>
      </c>
      <c r="Y1604" t="s">
        <v>3072</v>
      </c>
      <c r="Z1604">
        <v>2784148</v>
      </c>
    </row>
    <row r="1605" spans="1:26" x14ac:dyDescent="0.25">
      <c r="A1605">
        <v>1601</v>
      </c>
      <c r="B1605" t="s">
        <v>26</v>
      </c>
      <c r="C1605" t="s">
        <v>27</v>
      </c>
      <c r="D1605">
        <v>15</v>
      </c>
      <c r="E1605" t="s">
        <v>2742</v>
      </c>
      <c r="F1605" t="s">
        <v>512</v>
      </c>
      <c r="G1605">
        <v>4754</v>
      </c>
      <c r="H1605" t="s">
        <v>2953</v>
      </c>
      <c r="I1605" t="s">
        <v>2883</v>
      </c>
      <c r="J1605">
        <v>8</v>
      </c>
      <c r="K1605">
        <v>1</v>
      </c>
      <c r="L1605">
        <v>3.9467592592592592E-3</v>
      </c>
      <c r="M1605" t="s">
        <v>117</v>
      </c>
      <c r="N1605" t="s">
        <v>991</v>
      </c>
      <c r="O1605" s="24">
        <v>46120</v>
      </c>
      <c r="P1605">
        <v>606</v>
      </c>
      <c r="Q1605" t="s">
        <v>34</v>
      </c>
      <c r="R1605">
        <v>46135</v>
      </c>
      <c r="S1605" s="51">
        <v>0.46250000000000002</v>
      </c>
      <c r="T1605" s="51">
        <v>0.47291666666666665</v>
      </c>
      <c r="X1605" t="s">
        <v>3406</v>
      </c>
      <c r="Y1605" t="s">
        <v>3035</v>
      </c>
      <c r="Z1605">
        <v>1742402</v>
      </c>
    </row>
    <row r="1606" spans="1:26" x14ac:dyDescent="0.25">
      <c r="A1606">
        <v>1602</v>
      </c>
      <c r="B1606" t="s">
        <v>26</v>
      </c>
      <c r="C1606" t="s">
        <v>27</v>
      </c>
      <c r="D1606">
        <v>15</v>
      </c>
      <c r="E1606" t="s">
        <v>2955</v>
      </c>
      <c r="F1606" t="s">
        <v>44</v>
      </c>
      <c r="G1606">
        <v>4754</v>
      </c>
      <c r="H1606" t="s">
        <v>48</v>
      </c>
      <c r="I1606" t="s">
        <v>1119</v>
      </c>
      <c r="J1606">
        <v>8</v>
      </c>
      <c r="K1606">
        <v>9</v>
      </c>
      <c r="L1606">
        <v>1.2326388888888888E-2</v>
      </c>
      <c r="M1606" t="s">
        <v>117</v>
      </c>
      <c r="N1606" t="s">
        <v>991</v>
      </c>
      <c r="O1606" s="24">
        <v>46120</v>
      </c>
      <c r="P1606">
        <v>606</v>
      </c>
      <c r="Q1606" t="s">
        <v>34</v>
      </c>
      <c r="R1606">
        <v>46135</v>
      </c>
      <c r="S1606" s="51">
        <v>0.46250000000000002</v>
      </c>
      <c r="T1606" s="51">
        <v>0.47291666666666665</v>
      </c>
      <c r="X1606" t="s">
        <v>3406</v>
      </c>
      <c r="Y1606" t="s">
        <v>3035</v>
      </c>
      <c r="Z1606">
        <v>1742402</v>
      </c>
    </row>
    <row r="1607" spans="1:26" x14ac:dyDescent="0.25">
      <c r="A1607">
        <v>1603</v>
      </c>
      <c r="B1607" t="s">
        <v>26</v>
      </c>
      <c r="C1607" t="s">
        <v>27</v>
      </c>
      <c r="D1607">
        <v>15</v>
      </c>
      <c r="E1607" t="s">
        <v>367</v>
      </c>
      <c r="F1607" t="s">
        <v>368</v>
      </c>
      <c r="G1607">
        <v>4826</v>
      </c>
      <c r="H1607" t="s">
        <v>1721</v>
      </c>
      <c r="I1607" t="s">
        <v>1722</v>
      </c>
      <c r="J1607">
        <v>16</v>
      </c>
      <c r="K1607">
        <v>1</v>
      </c>
      <c r="L1607">
        <v>6.4814814814814813E-4</v>
      </c>
      <c r="M1607" t="s">
        <v>117</v>
      </c>
      <c r="N1607" t="s">
        <v>1082</v>
      </c>
      <c r="O1607" s="24">
        <v>46133</v>
      </c>
      <c r="P1607">
        <v>606</v>
      </c>
      <c r="Q1607" t="s">
        <v>34</v>
      </c>
      <c r="R1607">
        <v>46135</v>
      </c>
      <c r="S1607" s="51">
        <v>0.69444444444444442</v>
      </c>
      <c r="T1607" s="51">
        <v>0.75694444444444442</v>
      </c>
      <c r="X1607" t="s">
        <v>3407</v>
      </c>
      <c r="Y1607" t="s">
        <v>3035</v>
      </c>
      <c r="Z1607">
        <v>2777656</v>
      </c>
    </row>
    <row r="1608" spans="1:26" x14ac:dyDescent="0.25">
      <c r="A1608">
        <v>1604</v>
      </c>
      <c r="B1608" t="s">
        <v>26</v>
      </c>
      <c r="C1608" t="s">
        <v>27</v>
      </c>
      <c r="D1608">
        <v>15</v>
      </c>
      <c r="E1608" t="s">
        <v>367</v>
      </c>
      <c r="F1608" t="s">
        <v>367</v>
      </c>
      <c r="G1608">
        <v>4826</v>
      </c>
      <c r="H1608" t="s">
        <v>1772</v>
      </c>
      <c r="I1608" t="s">
        <v>1771</v>
      </c>
      <c r="J1608">
        <v>16</v>
      </c>
      <c r="K1608">
        <v>1</v>
      </c>
      <c r="L1608">
        <v>1.0300925925925926E-3</v>
      </c>
      <c r="M1608" t="s">
        <v>117</v>
      </c>
      <c r="N1608" t="s">
        <v>1082</v>
      </c>
      <c r="O1608" s="24">
        <v>46133</v>
      </c>
      <c r="P1608">
        <v>606</v>
      </c>
      <c r="Q1608" t="s">
        <v>34</v>
      </c>
      <c r="R1608">
        <v>46135</v>
      </c>
      <c r="S1608" s="51">
        <v>0.69444444444444442</v>
      </c>
      <c r="T1608" s="51">
        <v>0.75694444444444442</v>
      </c>
      <c r="X1608" t="s">
        <v>3407</v>
      </c>
      <c r="Y1608" t="s">
        <v>3035</v>
      </c>
      <c r="Z1608">
        <v>2777656</v>
      </c>
    </row>
    <row r="1609" spans="1:26" x14ac:dyDescent="0.25">
      <c r="A1609">
        <v>1605</v>
      </c>
      <c r="B1609" t="s">
        <v>26</v>
      </c>
      <c r="C1609" t="s">
        <v>27</v>
      </c>
      <c r="D1609">
        <v>15</v>
      </c>
      <c r="E1609" t="s">
        <v>367</v>
      </c>
      <c r="F1609" t="s">
        <v>367</v>
      </c>
      <c r="G1609">
        <v>4826</v>
      </c>
      <c r="H1609" t="s">
        <v>1770</v>
      </c>
      <c r="I1609" t="s">
        <v>1771</v>
      </c>
      <c r="J1609">
        <v>16</v>
      </c>
      <c r="K1609">
        <v>1</v>
      </c>
      <c r="L1609">
        <v>1.0763888888888889E-3</v>
      </c>
      <c r="M1609" t="s">
        <v>117</v>
      </c>
      <c r="N1609" t="s">
        <v>1082</v>
      </c>
      <c r="O1609" s="24">
        <v>46133</v>
      </c>
      <c r="P1609">
        <v>606</v>
      </c>
      <c r="Q1609" t="s">
        <v>34</v>
      </c>
      <c r="R1609">
        <v>46135</v>
      </c>
      <c r="S1609" s="51">
        <v>0.69444444444444442</v>
      </c>
      <c r="T1609" s="51">
        <v>0.75694444444444442</v>
      </c>
      <c r="X1609" t="s">
        <v>3407</v>
      </c>
      <c r="Y1609" t="s">
        <v>3035</v>
      </c>
      <c r="Z1609">
        <v>2777656</v>
      </c>
    </row>
    <row r="1610" spans="1:26" x14ac:dyDescent="0.25">
      <c r="A1610">
        <v>1606</v>
      </c>
      <c r="B1610" t="s">
        <v>26</v>
      </c>
      <c r="C1610" t="s">
        <v>27</v>
      </c>
      <c r="D1610">
        <v>15</v>
      </c>
      <c r="E1610" t="s">
        <v>1585</v>
      </c>
      <c r="F1610" t="s">
        <v>1585</v>
      </c>
      <c r="G1610">
        <v>4826</v>
      </c>
      <c r="H1610" t="s">
        <v>1635</v>
      </c>
      <c r="I1610" t="s">
        <v>1636</v>
      </c>
      <c r="J1610">
        <v>16</v>
      </c>
      <c r="K1610">
        <v>10</v>
      </c>
      <c r="L1610">
        <v>1.0381944444444444E-2</v>
      </c>
      <c r="M1610" t="s">
        <v>117</v>
      </c>
      <c r="N1610" t="s">
        <v>1082</v>
      </c>
      <c r="O1610" s="24">
        <v>46133</v>
      </c>
      <c r="P1610">
        <v>606</v>
      </c>
      <c r="Q1610" t="s">
        <v>34</v>
      </c>
      <c r="R1610">
        <v>46135</v>
      </c>
      <c r="S1610" s="51">
        <v>0.69444444444444442</v>
      </c>
      <c r="T1610" s="51">
        <v>0.75694444444444442</v>
      </c>
      <c r="X1610" t="s">
        <v>3407</v>
      </c>
      <c r="Y1610" t="s">
        <v>3035</v>
      </c>
      <c r="Z1610">
        <v>2777656</v>
      </c>
    </row>
    <row r="1611" spans="1:26" x14ac:dyDescent="0.25">
      <c r="A1611">
        <v>1607</v>
      </c>
      <c r="B1611" t="s">
        <v>26</v>
      </c>
      <c r="C1611" t="s">
        <v>27</v>
      </c>
      <c r="D1611">
        <v>15</v>
      </c>
      <c r="E1611" t="s">
        <v>367</v>
      </c>
      <c r="F1611" t="s">
        <v>512</v>
      </c>
      <c r="G1611">
        <v>4826</v>
      </c>
      <c r="H1611" t="s">
        <v>1753</v>
      </c>
      <c r="I1611" t="s">
        <v>1752</v>
      </c>
      <c r="J1611">
        <v>16</v>
      </c>
      <c r="K1611">
        <v>1</v>
      </c>
      <c r="L1611">
        <v>7.9861111111111105E-4</v>
      </c>
      <c r="M1611" t="s">
        <v>117</v>
      </c>
      <c r="N1611" t="s">
        <v>1082</v>
      </c>
      <c r="O1611" s="24">
        <v>46133</v>
      </c>
      <c r="P1611">
        <v>606</v>
      </c>
      <c r="Q1611" t="s">
        <v>34</v>
      </c>
      <c r="R1611">
        <v>46135</v>
      </c>
      <c r="S1611" s="51">
        <v>0.69444444444444442</v>
      </c>
      <c r="T1611" s="51">
        <v>0.75694444444444442</v>
      </c>
      <c r="X1611" t="s">
        <v>3407</v>
      </c>
      <c r="Y1611" t="s">
        <v>3035</v>
      </c>
      <c r="Z1611">
        <v>2777656</v>
      </c>
    </row>
    <row r="1612" spans="1:26" x14ac:dyDescent="0.25">
      <c r="A1612">
        <v>1608</v>
      </c>
      <c r="B1612" t="s">
        <v>26</v>
      </c>
      <c r="C1612" t="s">
        <v>27</v>
      </c>
      <c r="D1612">
        <v>15</v>
      </c>
      <c r="E1612" t="s">
        <v>367</v>
      </c>
      <c r="F1612" t="s">
        <v>512</v>
      </c>
      <c r="G1612">
        <v>4826</v>
      </c>
      <c r="H1612" t="s">
        <v>1779</v>
      </c>
      <c r="I1612" t="s">
        <v>1780</v>
      </c>
      <c r="J1612">
        <v>16</v>
      </c>
      <c r="K1612">
        <v>1</v>
      </c>
      <c r="L1612">
        <v>8.4490740740740739E-4</v>
      </c>
      <c r="M1612" t="s">
        <v>117</v>
      </c>
      <c r="N1612" t="s">
        <v>1082</v>
      </c>
      <c r="O1612" s="24">
        <v>46133</v>
      </c>
      <c r="P1612">
        <v>606</v>
      </c>
      <c r="Q1612" t="s">
        <v>34</v>
      </c>
      <c r="R1612">
        <v>46135</v>
      </c>
      <c r="S1612" s="51">
        <v>0.69444444444444442</v>
      </c>
      <c r="T1612" s="51">
        <v>0.75694444444444442</v>
      </c>
      <c r="X1612" t="s">
        <v>3407</v>
      </c>
      <c r="Y1612" t="s">
        <v>3035</v>
      </c>
      <c r="Z1612">
        <v>2777656</v>
      </c>
    </row>
    <row r="1613" spans="1:26" x14ac:dyDescent="0.25">
      <c r="A1613">
        <v>1609</v>
      </c>
      <c r="B1613" t="s">
        <v>26</v>
      </c>
      <c r="C1613" t="s">
        <v>27</v>
      </c>
      <c r="D1613">
        <v>15</v>
      </c>
      <c r="E1613" t="s">
        <v>2823</v>
      </c>
      <c r="F1613" t="s">
        <v>2823</v>
      </c>
      <c r="G1613">
        <v>4826</v>
      </c>
      <c r="H1613" t="s">
        <v>2957</v>
      </c>
      <c r="I1613" t="s">
        <v>1771</v>
      </c>
      <c r="J1613">
        <v>16</v>
      </c>
      <c r="K1613">
        <v>4</v>
      </c>
      <c r="L1613">
        <v>4.340277777777778E-3</v>
      </c>
      <c r="M1613" t="s">
        <v>117</v>
      </c>
      <c r="N1613" t="s">
        <v>1082</v>
      </c>
      <c r="O1613" s="24">
        <v>46133</v>
      </c>
      <c r="P1613">
        <v>606</v>
      </c>
      <c r="Q1613" t="s">
        <v>34</v>
      </c>
      <c r="R1613">
        <v>46135</v>
      </c>
      <c r="S1613" s="51">
        <v>0.69444444444444442</v>
      </c>
      <c r="T1613" s="51">
        <v>0.75694444444444442</v>
      </c>
      <c r="X1613" t="s">
        <v>3407</v>
      </c>
      <c r="Y1613" t="s">
        <v>3035</v>
      </c>
      <c r="Z1613">
        <v>2777656</v>
      </c>
    </row>
    <row r="1614" spans="1:26" x14ac:dyDescent="0.25">
      <c r="A1614">
        <v>1610</v>
      </c>
      <c r="B1614" t="s">
        <v>26</v>
      </c>
      <c r="C1614" t="s">
        <v>27</v>
      </c>
      <c r="D1614">
        <v>15</v>
      </c>
      <c r="E1614" t="s">
        <v>2823</v>
      </c>
      <c r="F1614" t="s">
        <v>2823</v>
      </c>
      <c r="G1614">
        <v>4826</v>
      </c>
      <c r="H1614" t="s">
        <v>2958</v>
      </c>
      <c r="I1614" t="s">
        <v>1771</v>
      </c>
      <c r="J1614">
        <v>16</v>
      </c>
      <c r="K1614">
        <v>4</v>
      </c>
      <c r="L1614">
        <v>4.1435185185185186E-3</v>
      </c>
      <c r="M1614" t="s">
        <v>117</v>
      </c>
      <c r="N1614" t="s">
        <v>1082</v>
      </c>
      <c r="O1614" s="24">
        <v>46133</v>
      </c>
      <c r="P1614">
        <v>606</v>
      </c>
      <c r="Q1614" t="s">
        <v>34</v>
      </c>
      <c r="R1614">
        <v>46135</v>
      </c>
      <c r="S1614" s="51">
        <v>0.69444444444444442</v>
      </c>
      <c r="T1614" s="51">
        <v>0.75694444444444442</v>
      </c>
      <c r="X1614" t="s">
        <v>3407</v>
      </c>
      <c r="Y1614" t="s">
        <v>3035</v>
      </c>
      <c r="Z1614">
        <v>2777656</v>
      </c>
    </row>
    <row r="1615" spans="1:26" x14ac:dyDescent="0.25">
      <c r="A1615">
        <v>1611</v>
      </c>
      <c r="B1615" t="s">
        <v>26</v>
      </c>
      <c r="C1615" t="s">
        <v>27</v>
      </c>
      <c r="D1615">
        <v>15</v>
      </c>
      <c r="E1615" t="s">
        <v>2823</v>
      </c>
      <c r="F1615" t="s">
        <v>2823</v>
      </c>
      <c r="G1615">
        <v>4826</v>
      </c>
      <c r="H1615" t="s">
        <v>2959</v>
      </c>
      <c r="I1615" t="s">
        <v>1722</v>
      </c>
      <c r="J1615">
        <v>16</v>
      </c>
      <c r="K1615">
        <v>4</v>
      </c>
      <c r="L1615">
        <v>2.6157407407407405E-3</v>
      </c>
      <c r="M1615" t="s">
        <v>117</v>
      </c>
      <c r="N1615" t="s">
        <v>1082</v>
      </c>
      <c r="O1615" s="24">
        <v>46133</v>
      </c>
      <c r="P1615">
        <v>606</v>
      </c>
      <c r="Q1615" t="s">
        <v>34</v>
      </c>
      <c r="R1615">
        <v>46135</v>
      </c>
      <c r="S1615" s="51">
        <v>0.69444444444444442</v>
      </c>
      <c r="T1615" s="51">
        <v>0.75694444444444442</v>
      </c>
      <c r="X1615" t="s">
        <v>3407</v>
      </c>
      <c r="Y1615" t="s">
        <v>3035</v>
      </c>
      <c r="Z1615">
        <v>2777656</v>
      </c>
    </row>
    <row r="1616" spans="1:26" x14ac:dyDescent="0.25">
      <c r="A1616">
        <v>1612</v>
      </c>
      <c r="B1616" t="s">
        <v>26</v>
      </c>
      <c r="C1616" t="s">
        <v>27</v>
      </c>
      <c r="D1616">
        <v>15</v>
      </c>
      <c r="E1616" t="s">
        <v>2823</v>
      </c>
      <c r="F1616" t="s">
        <v>2823</v>
      </c>
      <c r="G1616">
        <v>4826</v>
      </c>
      <c r="H1616" t="s">
        <v>2960</v>
      </c>
      <c r="I1616" t="s">
        <v>1752</v>
      </c>
      <c r="J1616">
        <v>16</v>
      </c>
      <c r="K1616">
        <v>4</v>
      </c>
      <c r="L1616">
        <v>3.1944444444444442E-3</v>
      </c>
      <c r="M1616" t="s">
        <v>117</v>
      </c>
      <c r="N1616" t="s">
        <v>1082</v>
      </c>
      <c r="O1616" s="24">
        <v>46133</v>
      </c>
      <c r="P1616">
        <v>606</v>
      </c>
      <c r="Q1616" t="s">
        <v>34</v>
      </c>
      <c r="R1616">
        <v>46135</v>
      </c>
      <c r="S1616" s="51">
        <v>0.69444444444444442</v>
      </c>
      <c r="T1616" s="51">
        <v>0.75694444444444442</v>
      </c>
      <c r="X1616" t="s">
        <v>3407</v>
      </c>
      <c r="Y1616" t="s">
        <v>3035</v>
      </c>
      <c r="Z1616">
        <v>2777656</v>
      </c>
    </row>
    <row r="1617" spans="1:26" x14ac:dyDescent="0.25">
      <c r="A1617">
        <v>1613</v>
      </c>
      <c r="B1617" t="s">
        <v>26</v>
      </c>
      <c r="C1617" t="s">
        <v>27</v>
      </c>
      <c r="D1617">
        <v>15</v>
      </c>
      <c r="E1617" t="s">
        <v>2823</v>
      </c>
      <c r="F1617" t="s">
        <v>2823</v>
      </c>
      <c r="G1617">
        <v>4826</v>
      </c>
      <c r="H1617" t="s">
        <v>2961</v>
      </c>
      <c r="I1617" t="s">
        <v>1780</v>
      </c>
      <c r="J1617">
        <v>16</v>
      </c>
      <c r="K1617">
        <v>4</v>
      </c>
      <c r="L1617">
        <v>3.3912037037037036E-3</v>
      </c>
      <c r="M1617" t="s">
        <v>117</v>
      </c>
      <c r="N1617" t="s">
        <v>1082</v>
      </c>
      <c r="O1617" s="24">
        <v>46133</v>
      </c>
      <c r="P1617">
        <v>606</v>
      </c>
      <c r="Q1617" t="s">
        <v>34</v>
      </c>
      <c r="R1617">
        <v>46135</v>
      </c>
      <c r="S1617" s="51">
        <v>0.69444444444444442</v>
      </c>
      <c r="T1617" s="51">
        <v>0.75694444444444442</v>
      </c>
      <c r="X1617" t="s">
        <v>3407</v>
      </c>
      <c r="Y1617" t="s">
        <v>3035</v>
      </c>
      <c r="Z1617">
        <v>2777656</v>
      </c>
    </row>
    <row r="1618" spans="1:26" x14ac:dyDescent="0.25">
      <c r="A1618">
        <v>1614</v>
      </c>
      <c r="B1618" t="s">
        <v>26</v>
      </c>
      <c r="C1618" t="s">
        <v>27</v>
      </c>
      <c r="D1618">
        <v>15</v>
      </c>
      <c r="E1618" t="s">
        <v>152</v>
      </c>
      <c r="F1618" t="s">
        <v>152</v>
      </c>
      <c r="G1618">
        <v>4830</v>
      </c>
      <c r="H1618" t="s">
        <v>2962</v>
      </c>
      <c r="I1618" t="s">
        <v>2963</v>
      </c>
      <c r="J1618">
        <v>12</v>
      </c>
      <c r="K1618">
        <v>1</v>
      </c>
      <c r="L1618">
        <v>1.3888888888888887E-3</v>
      </c>
      <c r="M1618" t="s">
        <v>3079</v>
      </c>
      <c r="X1618" t="s">
        <v>3408</v>
      </c>
    </row>
    <row r="1619" spans="1:26" x14ac:dyDescent="0.25">
      <c r="A1619">
        <v>1615</v>
      </c>
      <c r="B1619" t="s">
        <v>26</v>
      </c>
      <c r="C1619" t="s">
        <v>27</v>
      </c>
      <c r="D1619">
        <v>15</v>
      </c>
      <c r="E1619" t="s">
        <v>152</v>
      </c>
      <c r="F1619" t="s">
        <v>152</v>
      </c>
      <c r="G1619">
        <v>4830</v>
      </c>
      <c r="H1619" t="s">
        <v>2965</v>
      </c>
      <c r="I1619" t="s">
        <v>2963</v>
      </c>
      <c r="J1619">
        <v>12</v>
      </c>
      <c r="K1619">
        <v>1</v>
      </c>
      <c r="L1619">
        <v>1.3888888888888887E-3</v>
      </c>
      <c r="M1619" t="s">
        <v>3079</v>
      </c>
      <c r="X1619" t="s">
        <v>3408</v>
      </c>
    </row>
    <row r="1620" spans="1:26" x14ac:dyDescent="0.25">
      <c r="A1620">
        <v>1616</v>
      </c>
      <c r="B1620" t="s">
        <v>26</v>
      </c>
      <c r="C1620" t="s">
        <v>27</v>
      </c>
      <c r="D1620">
        <v>15</v>
      </c>
      <c r="E1620" t="s">
        <v>152</v>
      </c>
      <c r="F1620" t="s">
        <v>152</v>
      </c>
      <c r="G1620">
        <v>4830</v>
      </c>
      <c r="H1620" t="s">
        <v>2966</v>
      </c>
      <c r="I1620" t="s">
        <v>2963</v>
      </c>
      <c r="J1620">
        <v>12</v>
      </c>
      <c r="K1620">
        <v>1</v>
      </c>
      <c r="L1620">
        <v>1.3888888888888887E-3</v>
      </c>
      <c r="M1620" t="s">
        <v>3079</v>
      </c>
      <c r="X1620" t="s">
        <v>3408</v>
      </c>
    </row>
    <row r="1621" spans="1:26" x14ac:dyDescent="0.25">
      <c r="A1621">
        <v>1617</v>
      </c>
      <c r="B1621" t="s">
        <v>26</v>
      </c>
      <c r="C1621" t="s">
        <v>27</v>
      </c>
      <c r="D1621">
        <v>15</v>
      </c>
      <c r="E1621" t="s">
        <v>152</v>
      </c>
      <c r="F1621" t="s">
        <v>152</v>
      </c>
      <c r="G1621">
        <v>4831</v>
      </c>
      <c r="H1621" t="s">
        <v>2962</v>
      </c>
      <c r="I1621" t="s">
        <v>2963</v>
      </c>
      <c r="J1621">
        <v>12</v>
      </c>
      <c r="K1621">
        <v>1</v>
      </c>
      <c r="L1621">
        <v>1.2152777777777778E-3</v>
      </c>
      <c r="M1621" t="s">
        <v>3079</v>
      </c>
      <c r="X1621" t="s">
        <v>3409</v>
      </c>
    </row>
    <row r="1622" spans="1:26" x14ac:dyDescent="0.25">
      <c r="A1622">
        <v>1618</v>
      </c>
      <c r="B1622" t="s">
        <v>26</v>
      </c>
      <c r="C1622" t="s">
        <v>27</v>
      </c>
      <c r="D1622">
        <v>15</v>
      </c>
      <c r="E1622" t="s">
        <v>152</v>
      </c>
      <c r="F1622" t="s">
        <v>152</v>
      </c>
      <c r="G1622">
        <v>4831</v>
      </c>
      <c r="H1622" t="s">
        <v>2968</v>
      </c>
      <c r="I1622" t="s">
        <v>2969</v>
      </c>
      <c r="J1622">
        <v>12</v>
      </c>
      <c r="K1622">
        <v>3</v>
      </c>
      <c r="L1622">
        <v>1.6319444444444443E-3</v>
      </c>
      <c r="M1622" t="s">
        <v>3079</v>
      </c>
      <c r="X1622" t="s">
        <v>3409</v>
      </c>
    </row>
    <row r="1623" spans="1:26" x14ac:dyDescent="0.25">
      <c r="A1623">
        <v>1619</v>
      </c>
      <c r="B1623" t="s">
        <v>26</v>
      </c>
      <c r="C1623" t="s">
        <v>27</v>
      </c>
      <c r="D1623">
        <v>15</v>
      </c>
      <c r="E1623" t="s">
        <v>152</v>
      </c>
      <c r="F1623" t="s">
        <v>152</v>
      </c>
      <c r="G1623">
        <v>4831</v>
      </c>
      <c r="H1623" t="s">
        <v>2970</v>
      </c>
      <c r="I1623" t="s">
        <v>2971</v>
      </c>
      <c r="J1623">
        <v>12</v>
      </c>
      <c r="K1623">
        <v>1</v>
      </c>
      <c r="L1623">
        <v>1.2268518518518518E-3</v>
      </c>
      <c r="M1623" t="s">
        <v>3079</v>
      </c>
      <c r="X1623" t="s">
        <v>3409</v>
      </c>
    </row>
    <row r="1624" spans="1:26" x14ac:dyDescent="0.25">
      <c r="A1624">
        <v>1620</v>
      </c>
      <c r="B1624" t="s">
        <v>26</v>
      </c>
      <c r="C1624" t="s">
        <v>27</v>
      </c>
      <c r="D1624">
        <v>15</v>
      </c>
      <c r="E1624" t="s">
        <v>2823</v>
      </c>
      <c r="F1624" t="s">
        <v>2823</v>
      </c>
      <c r="G1624">
        <v>4831</v>
      </c>
      <c r="H1624" t="s">
        <v>2972</v>
      </c>
      <c r="I1624" t="s">
        <v>1809</v>
      </c>
      <c r="J1624">
        <v>12</v>
      </c>
      <c r="K1624">
        <v>1</v>
      </c>
      <c r="L1624">
        <v>7.407407407407407E-4</v>
      </c>
      <c r="M1624" t="s">
        <v>3079</v>
      </c>
      <c r="X1624" t="s">
        <v>3409</v>
      </c>
    </row>
    <row r="1625" spans="1:26" x14ac:dyDescent="0.25">
      <c r="A1625">
        <v>1621</v>
      </c>
      <c r="B1625" t="s">
        <v>26</v>
      </c>
      <c r="C1625" t="s">
        <v>27</v>
      </c>
      <c r="D1625">
        <v>15</v>
      </c>
      <c r="E1625" t="s">
        <v>152</v>
      </c>
      <c r="F1625" t="s">
        <v>152</v>
      </c>
      <c r="G1625">
        <v>4832</v>
      </c>
      <c r="H1625" t="s">
        <v>2962</v>
      </c>
      <c r="I1625" t="s">
        <v>2963</v>
      </c>
      <c r="J1625">
        <v>12</v>
      </c>
      <c r="K1625">
        <v>1</v>
      </c>
      <c r="L1625">
        <v>1.3310185185185185E-3</v>
      </c>
      <c r="M1625" t="s">
        <v>3079</v>
      </c>
      <c r="X1625" t="s">
        <v>3410</v>
      </c>
    </row>
    <row r="1626" spans="1:26" x14ac:dyDescent="0.25">
      <c r="A1626">
        <v>1622</v>
      </c>
      <c r="B1626" t="s">
        <v>26</v>
      </c>
      <c r="C1626" t="s">
        <v>27</v>
      </c>
      <c r="D1626">
        <v>15</v>
      </c>
      <c r="E1626" t="s">
        <v>152</v>
      </c>
      <c r="F1626" t="s">
        <v>152</v>
      </c>
      <c r="G1626">
        <v>4832</v>
      </c>
      <c r="H1626" t="s">
        <v>2965</v>
      </c>
      <c r="I1626" t="s">
        <v>2963</v>
      </c>
      <c r="J1626">
        <v>12</v>
      </c>
      <c r="K1626">
        <v>1</v>
      </c>
      <c r="L1626">
        <v>1.3310185185185185E-3</v>
      </c>
      <c r="M1626" t="s">
        <v>3079</v>
      </c>
      <c r="X1626" t="s">
        <v>3410</v>
      </c>
    </row>
    <row r="1627" spans="1:26" x14ac:dyDescent="0.25">
      <c r="A1627">
        <v>1623</v>
      </c>
      <c r="B1627" t="s">
        <v>26</v>
      </c>
      <c r="C1627" t="s">
        <v>27</v>
      </c>
      <c r="D1627">
        <v>15</v>
      </c>
      <c r="E1627" t="s">
        <v>152</v>
      </c>
      <c r="F1627" t="s">
        <v>152</v>
      </c>
      <c r="G1627">
        <v>4832</v>
      </c>
      <c r="H1627" t="s">
        <v>2974</v>
      </c>
      <c r="I1627" t="s">
        <v>2975</v>
      </c>
      <c r="J1627">
        <v>12</v>
      </c>
      <c r="K1627">
        <v>2</v>
      </c>
      <c r="L1627">
        <v>1.7939814814814815E-3</v>
      </c>
      <c r="M1627" t="s">
        <v>3079</v>
      </c>
      <c r="X1627" t="s">
        <v>3410</v>
      </c>
    </row>
    <row r="1628" spans="1:26" x14ac:dyDescent="0.25">
      <c r="A1628">
        <v>1624</v>
      </c>
      <c r="B1628" t="s">
        <v>26</v>
      </c>
      <c r="C1628" t="s">
        <v>27</v>
      </c>
      <c r="D1628">
        <v>15</v>
      </c>
      <c r="E1628" t="s">
        <v>147</v>
      </c>
      <c r="F1628" t="s">
        <v>115</v>
      </c>
      <c r="G1628">
        <v>4833</v>
      </c>
      <c r="H1628" t="s">
        <v>1840</v>
      </c>
      <c r="I1628" t="s">
        <v>1809</v>
      </c>
      <c r="J1628">
        <v>12</v>
      </c>
      <c r="K1628">
        <v>1</v>
      </c>
      <c r="L1628">
        <v>8.1018518518518516E-4</v>
      </c>
      <c r="M1628" t="s">
        <v>3079</v>
      </c>
      <c r="X1628" t="s">
        <v>3411</v>
      </c>
    </row>
    <row r="1629" spans="1:26" x14ac:dyDescent="0.25">
      <c r="A1629">
        <v>1625</v>
      </c>
      <c r="B1629" t="s">
        <v>26</v>
      </c>
      <c r="C1629" t="s">
        <v>27</v>
      </c>
      <c r="D1629">
        <v>15</v>
      </c>
      <c r="E1629" t="s">
        <v>2823</v>
      </c>
      <c r="F1629" t="s">
        <v>2823</v>
      </c>
      <c r="G1629">
        <v>4833</v>
      </c>
      <c r="H1629" t="s">
        <v>2972</v>
      </c>
      <c r="I1629" t="s">
        <v>1809</v>
      </c>
      <c r="J1629">
        <v>12</v>
      </c>
      <c r="K1629">
        <v>6</v>
      </c>
      <c r="L1629">
        <v>4.9189814814814816E-3</v>
      </c>
      <c r="M1629" t="s">
        <v>3079</v>
      </c>
      <c r="X1629" t="s">
        <v>3411</v>
      </c>
    </row>
    <row r="1630" spans="1:26" x14ac:dyDescent="0.25">
      <c r="A1630">
        <v>1626</v>
      </c>
      <c r="B1630" t="s">
        <v>26</v>
      </c>
      <c r="C1630" t="s">
        <v>27</v>
      </c>
      <c r="D1630">
        <v>15</v>
      </c>
      <c r="E1630" t="s">
        <v>152</v>
      </c>
      <c r="F1630" t="s">
        <v>152</v>
      </c>
      <c r="G1630">
        <v>4842</v>
      </c>
      <c r="H1630" t="s">
        <v>643</v>
      </c>
      <c r="I1630" t="s">
        <v>644</v>
      </c>
      <c r="J1630">
        <v>12</v>
      </c>
      <c r="K1630">
        <v>1</v>
      </c>
      <c r="L1630">
        <v>5.3819444444444444E-3</v>
      </c>
      <c r="M1630" t="s">
        <v>3079</v>
      </c>
      <c r="X1630" t="s">
        <v>3412</v>
      </c>
    </row>
    <row r="1631" spans="1:26" x14ac:dyDescent="0.25">
      <c r="A1631">
        <v>1627</v>
      </c>
      <c r="B1631" t="s">
        <v>26</v>
      </c>
      <c r="C1631" t="s">
        <v>27</v>
      </c>
      <c r="D1631">
        <v>15</v>
      </c>
      <c r="E1631" t="s">
        <v>152</v>
      </c>
      <c r="F1631" t="s">
        <v>152</v>
      </c>
      <c r="G1631">
        <v>4844</v>
      </c>
      <c r="H1631" t="s">
        <v>643</v>
      </c>
      <c r="I1631" t="s">
        <v>644</v>
      </c>
      <c r="J1631">
        <v>12</v>
      </c>
      <c r="K1631">
        <v>1</v>
      </c>
      <c r="L1631">
        <v>5.3819444444444444E-3</v>
      </c>
      <c r="M1631" t="s">
        <v>3079</v>
      </c>
      <c r="X1631" t="s">
        <v>3413</v>
      </c>
    </row>
    <row r="1632" spans="1:26" x14ac:dyDescent="0.25">
      <c r="A1632">
        <v>1628</v>
      </c>
      <c r="B1632" t="s">
        <v>26</v>
      </c>
      <c r="C1632" t="s">
        <v>27</v>
      </c>
      <c r="D1632">
        <v>15</v>
      </c>
      <c r="E1632" t="s">
        <v>152</v>
      </c>
      <c r="F1632" t="s">
        <v>152</v>
      </c>
      <c r="G1632">
        <v>4843</v>
      </c>
      <c r="H1632" t="s">
        <v>643</v>
      </c>
      <c r="I1632" t="s">
        <v>644</v>
      </c>
      <c r="J1632">
        <v>12</v>
      </c>
      <c r="K1632">
        <v>1</v>
      </c>
      <c r="L1632">
        <v>5.393518518518518E-3</v>
      </c>
      <c r="M1632" t="s">
        <v>3079</v>
      </c>
      <c r="X1632" t="s">
        <v>3414</v>
      </c>
    </row>
    <row r="1633" spans="1:24" x14ac:dyDescent="0.25">
      <c r="A1633">
        <v>1629</v>
      </c>
      <c r="B1633" t="s">
        <v>26</v>
      </c>
      <c r="C1633" t="s">
        <v>27</v>
      </c>
      <c r="D1633">
        <v>15</v>
      </c>
      <c r="E1633" t="s">
        <v>152</v>
      </c>
      <c r="F1633" t="s">
        <v>152</v>
      </c>
      <c r="G1633">
        <v>4845</v>
      </c>
      <c r="H1633" t="s">
        <v>643</v>
      </c>
      <c r="I1633" t="s">
        <v>644</v>
      </c>
      <c r="J1633">
        <v>12</v>
      </c>
      <c r="K1633">
        <v>1</v>
      </c>
      <c r="L1633">
        <v>5.3819444444444444E-3</v>
      </c>
      <c r="M1633" t="s">
        <v>3079</v>
      </c>
      <c r="X1633" t="s">
        <v>3415</v>
      </c>
    </row>
    <row r="1634" spans="1:24" x14ac:dyDescent="0.25">
      <c r="A1634">
        <v>1630</v>
      </c>
      <c r="B1634" t="s">
        <v>26</v>
      </c>
      <c r="C1634" t="s">
        <v>27</v>
      </c>
      <c r="D1634">
        <v>15</v>
      </c>
      <c r="E1634" t="s">
        <v>152</v>
      </c>
      <c r="F1634" t="s">
        <v>152</v>
      </c>
      <c r="G1634">
        <v>4846</v>
      </c>
      <c r="H1634" t="s">
        <v>643</v>
      </c>
      <c r="I1634" t="s">
        <v>644</v>
      </c>
      <c r="J1634">
        <v>12</v>
      </c>
      <c r="K1634">
        <v>1</v>
      </c>
      <c r="L1634">
        <v>5.3819444444444444E-3</v>
      </c>
      <c r="M1634" t="s">
        <v>3079</v>
      </c>
      <c r="X1634" t="s">
        <v>3416</v>
      </c>
    </row>
    <row r="1635" spans="1:24" x14ac:dyDescent="0.25">
      <c r="A1635">
        <v>1631</v>
      </c>
      <c r="B1635" t="s">
        <v>26</v>
      </c>
      <c r="C1635" t="s">
        <v>27</v>
      </c>
      <c r="D1635">
        <v>15</v>
      </c>
      <c r="E1635" t="s">
        <v>152</v>
      </c>
      <c r="F1635" t="s">
        <v>152</v>
      </c>
      <c r="G1635">
        <v>4847</v>
      </c>
      <c r="H1635" t="s">
        <v>634</v>
      </c>
      <c r="I1635" t="s">
        <v>630</v>
      </c>
      <c r="J1635">
        <v>12</v>
      </c>
      <c r="K1635">
        <v>1</v>
      </c>
      <c r="L1635">
        <v>5.4282407407407404E-3</v>
      </c>
      <c r="M1635" t="s">
        <v>3079</v>
      </c>
      <c r="X1635" t="s">
        <v>3417</v>
      </c>
    </row>
    <row r="1636" spans="1:24" x14ac:dyDescent="0.25">
      <c r="A1636">
        <v>1632</v>
      </c>
      <c r="B1636" t="s">
        <v>26</v>
      </c>
      <c r="C1636" t="s">
        <v>27</v>
      </c>
      <c r="D1636">
        <v>15</v>
      </c>
      <c r="E1636" t="s">
        <v>152</v>
      </c>
      <c r="F1636" t="s">
        <v>152</v>
      </c>
      <c r="G1636">
        <v>4848</v>
      </c>
      <c r="H1636" t="s">
        <v>634</v>
      </c>
      <c r="I1636" t="s">
        <v>630</v>
      </c>
      <c r="J1636">
        <v>12</v>
      </c>
      <c r="K1636">
        <v>1</v>
      </c>
      <c r="L1636">
        <v>5.4282407407407404E-3</v>
      </c>
      <c r="M1636" t="s">
        <v>3079</v>
      </c>
      <c r="X1636" t="s">
        <v>3418</v>
      </c>
    </row>
    <row r="1637" spans="1:24" x14ac:dyDescent="0.25">
      <c r="A1637">
        <v>1633</v>
      </c>
      <c r="B1637" t="s">
        <v>26</v>
      </c>
      <c r="C1637" t="s">
        <v>27</v>
      </c>
      <c r="D1637">
        <v>15</v>
      </c>
      <c r="E1637" t="s">
        <v>152</v>
      </c>
      <c r="F1637" t="s">
        <v>152</v>
      </c>
      <c r="G1637">
        <v>4849</v>
      </c>
      <c r="H1637" t="s">
        <v>634</v>
      </c>
      <c r="I1637" t="s">
        <v>630</v>
      </c>
      <c r="J1637">
        <v>12</v>
      </c>
      <c r="K1637">
        <v>1</v>
      </c>
      <c r="L1637">
        <v>5.4282407407407404E-3</v>
      </c>
      <c r="M1637" t="s">
        <v>3079</v>
      </c>
      <c r="X1637" t="s">
        <v>3419</v>
      </c>
    </row>
    <row r="1638" spans="1:24" x14ac:dyDescent="0.25">
      <c r="A1638">
        <v>1634</v>
      </c>
      <c r="B1638" t="s">
        <v>26</v>
      </c>
      <c r="C1638" t="s">
        <v>27</v>
      </c>
      <c r="D1638">
        <v>15</v>
      </c>
      <c r="E1638" t="s">
        <v>152</v>
      </c>
      <c r="F1638" t="s">
        <v>152</v>
      </c>
      <c r="G1638">
        <v>4850</v>
      </c>
      <c r="H1638" t="s">
        <v>634</v>
      </c>
      <c r="I1638" t="s">
        <v>630</v>
      </c>
      <c r="J1638">
        <v>12</v>
      </c>
      <c r="K1638">
        <v>1</v>
      </c>
      <c r="L1638">
        <v>5.4282407407407404E-3</v>
      </c>
      <c r="M1638" t="s">
        <v>3079</v>
      </c>
      <c r="X1638" t="s">
        <v>3420</v>
      </c>
    </row>
    <row r="1639" spans="1:24" x14ac:dyDescent="0.25">
      <c r="A1639">
        <v>1635</v>
      </c>
      <c r="B1639" t="s">
        <v>26</v>
      </c>
      <c r="C1639" t="s">
        <v>27</v>
      </c>
      <c r="D1639">
        <v>15</v>
      </c>
      <c r="E1639" t="s">
        <v>152</v>
      </c>
      <c r="F1639" t="s">
        <v>152</v>
      </c>
      <c r="G1639">
        <v>4851</v>
      </c>
      <c r="H1639" t="s">
        <v>634</v>
      </c>
      <c r="I1639" t="s">
        <v>630</v>
      </c>
      <c r="J1639">
        <v>12</v>
      </c>
      <c r="K1639">
        <v>1</v>
      </c>
      <c r="L1639">
        <v>5.4398148148148149E-3</v>
      </c>
      <c r="M1639" t="s">
        <v>3079</v>
      </c>
      <c r="X1639" t="s">
        <v>3421</v>
      </c>
    </row>
    <row r="1640" spans="1:24" x14ac:dyDescent="0.25">
      <c r="A1640">
        <v>1636</v>
      </c>
      <c r="B1640" t="s">
        <v>26</v>
      </c>
      <c r="C1640" t="s">
        <v>27</v>
      </c>
      <c r="D1640">
        <v>15</v>
      </c>
      <c r="E1640" t="s">
        <v>152</v>
      </c>
      <c r="F1640" t="s">
        <v>152</v>
      </c>
      <c r="G1640">
        <v>4852</v>
      </c>
      <c r="H1640" t="s">
        <v>629</v>
      </c>
      <c r="I1640" t="s">
        <v>630</v>
      </c>
      <c r="J1640">
        <v>12</v>
      </c>
      <c r="K1640">
        <v>1</v>
      </c>
      <c r="L1640">
        <v>5.4166666666666669E-3</v>
      </c>
      <c r="M1640" t="s">
        <v>3079</v>
      </c>
      <c r="X1640" t="s">
        <v>3422</v>
      </c>
    </row>
    <row r="1641" spans="1:24" x14ac:dyDescent="0.25">
      <c r="A1641">
        <v>1637</v>
      </c>
      <c r="B1641" t="s">
        <v>26</v>
      </c>
      <c r="C1641" t="s">
        <v>27</v>
      </c>
      <c r="D1641">
        <v>15</v>
      </c>
      <c r="E1641" t="s">
        <v>152</v>
      </c>
      <c r="F1641" t="s">
        <v>152</v>
      </c>
      <c r="G1641">
        <v>4854</v>
      </c>
      <c r="H1641" t="s">
        <v>629</v>
      </c>
      <c r="I1641" t="s">
        <v>630</v>
      </c>
      <c r="J1641">
        <v>12</v>
      </c>
      <c r="K1641">
        <v>1</v>
      </c>
      <c r="L1641">
        <v>5.4166666666666669E-3</v>
      </c>
      <c r="M1641" t="s">
        <v>3079</v>
      </c>
      <c r="X1641" t="s">
        <v>3423</v>
      </c>
    </row>
    <row r="1642" spans="1:24" x14ac:dyDescent="0.25">
      <c r="A1642">
        <v>1638</v>
      </c>
      <c r="B1642" t="s">
        <v>26</v>
      </c>
      <c r="C1642" t="s">
        <v>27</v>
      </c>
      <c r="D1642">
        <v>15</v>
      </c>
      <c r="E1642" t="s">
        <v>152</v>
      </c>
      <c r="F1642" t="s">
        <v>152</v>
      </c>
      <c r="G1642">
        <v>4855</v>
      </c>
      <c r="H1642" t="s">
        <v>629</v>
      </c>
      <c r="I1642" t="s">
        <v>630</v>
      </c>
      <c r="J1642">
        <v>12</v>
      </c>
      <c r="K1642">
        <v>1</v>
      </c>
      <c r="L1642">
        <v>5.4166666666666669E-3</v>
      </c>
      <c r="M1642" t="s">
        <v>3079</v>
      </c>
      <c r="X1642" t="s">
        <v>3424</v>
      </c>
    </row>
    <row r="1643" spans="1:24" x14ac:dyDescent="0.25">
      <c r="A1643">
        <v>1639</v>
      </c>
      <c r="B1643" t="s">
        <v>26</v>
      </c>
      <c r="C1643" t="s">
        <v>27</v>
      </c>
      <c r="D1643">
        <v>15</v>
      </c>
      <c r="E1643" t="s">
        <v>152</v>
      </c>
      <c r="F1643" t="s">
        <v>152</v>
      </c>
      <c r="G1643">
        <v>4856</v>
      </c>
      <c r="H1643" t="s">
        <v>629</v>
      </c>
      <c r="I1643" t="s">
        <v>630</v>
      </c>
      <c r="J1643">
        <v>12</v>
      </c>
      <c r="K1643">
        <v>1</v>
      </c>
      <c r="L1643">
        <v>5.4166666666666669E-3</v>
      </c>
      <c r="M1643" t="s">
        <v>3079</v>
      </c>
      <c r="X1643" t="s">
        <v>3425</v>
      </c>
    </row>
    <row r="1644" spans="1:24" x14ac:dyDescent="0.25">
      <c r="A1644">
        <v>1640</v>
      </c>
      <c r="B1644" t="s">
        <v>26</v>
      </c>
      <c r="C1644" t="s">
        <v>27</v>
      </c>
      <c r="D1644">
        <v>15</v>
      </c>
      <c r="E1644" t="s">
        <v>152</v>
      </c>
      <c r="F1644" t="s">
        <v>152</v>
      </c>
      <c r="G1644">
        <v>4857</v>
      </c>
      <c r="H1644" t="s">
        <v>2966</v>
      </c>
      <c r="I1644" t="s">
        <v>2963</v>
      </c>
      <c r="J1644">
        <v>12</v>
      </c>
      <c r="K1644">
        <v>2</v>
      </c>
      <c r="L1644">
        <v>2.7777777777777775E-3</v>
      </c>
      <c r="M1644" t="s">
        <v>3079</v>
      </c>
      <c r="X1644" t="s">
        <v>3426</v>
      </c>
    </row>
    <row r="1645" spans="1:24" x14ac:dyDescent="0.25">
      <c r="A1645">
        <v>1641</v>
      </c>
      <c r="B1645" t="s">
        <v>26</v>
      </c>
      <c r="C1645" t="s">
        <v>27</v>
      </c>
      <c r="D1645">
        <v>15</v>
      </c>
      <c r="E1645" t="s">
        <v>152</v>
      </c>
      <c r="F1645" t="s">
        <v>152</v>
      </c>
      <c r="G1645">
        <v>4857</v>
      </c>
      <c r="H1645" t="s">
        <v>2992</v>
      </c>
      <c r="I1645" t="s">
        <v>2971</v>
      </c>
      <c r="J1645">
        <v>12</v>
      </c>
      <c r="K1645">
        <v>1</v>
      </c>
      <c r="L1645">
        <v>1.4004629629629629E-3</v>
      </c>
      <c r="M1645" t="s">
        <v>3079</v>
      </c>
      <c r="X1645" t="s">
        <v>3426</v>
      </c>
    </row>
    <row r="1646" spans="1:24" x14ac:dyDescent="0.25">
      <c r="A1646">
        <v>1642</v>
      </c>
      <c r="B1646" t="s">
        <v>26</v>
      </c>
      <c r="C1646" t="s">
        <v>27</v>
      </c>
      <c r="D1646">
        <v>15</v>
      </c>
      <c r="E1646" t="s">
        <v>152</v>
      </c>
      <c r="F1646" t="s">
        <v>152</v>
      </c>
      <c r="G1646">
        <v>4858</v>
      </c>
      <c r="H1646" t="s">
        <v>2993</v>
      </c>
      <c r="I1646" t="s">
        <v>2797</v>
      </c>
      <c r="J1646">
        <v>12</v>
      </c>
      <c r="K1646">
        <v>1</v>
      </c>
      <c r="L1646">
        <v>1.1921296296296296E-3</v>
      </c>
      <c r="M1646" t="s">
        <v>3079</v>
      </c>
      <c r="X1646" t="s">
        <v>3427</v>
      </c>
    </row>
    <row r="1647" spans="1:24" x14ac:dyDescent="0.25">
      <c r="A1647">
        <v>1643</v>
      </c>
      <c r="B1647" t="s">
        <v>26</v>
      </c>
      <c r="C1647" t="s">
        <v>27</v>
      </c>
      <c r="D1647">
        <v>15</v>
      </c>
      <c r="E1647" t="s">
        <v>2823</v>
      </c>
      <c r="F1647" t="s">
        <v>2823</v>
      </c>
      <c r="G1647">
        <v>4858</v>
      </c>
      <c r="H1647" t="s">
        <v>2822</v>
      </c>
      <c r="I1647" t="s">
        <v>1886</v>
      </c>
      <c r="J1647">
        <v>12</v>
      </c>
      <c r="K1647">
        <v>7</v>
      </c>
      <c r="L1647">
        <v>4.8726851851851848E-3</v>
      </c>
      <c r="M1647" t="s">
        <v>3079</v>
      </c>
      <c r="X1647" t="s">
        <v>3427</v>
      </c>
    </row>
    <row r="1648" spans="1:24" x14ac:dyDescent="0.25">
      <c r="A1648">
        <v>1644</v>
      </c>
      <c r="B1648" t="s">
        <v>26</v>
      </c>
      <c r="C1648" t="s">
        <v>27</v>
      </c>
      <c r="D1648">
        <v>15</v>
      </c>
      <c r="E1648" t="s">
        <v>152</v>
      </c>
      <c r="F1648" t="s">
        <v>152</v>
      </c>
      <c r="G1648">
        <v>4859</v>
      </c>
      <c r="H1648" t="s">
        <v>2965</v>
      </c>
      <c r="I1648" t="s">
        <v>2963</v>
      </c>
      <c r="J1648">
        <v>12</v>
      </c>
      <c r="K1648">
        <v>1</v>
      </c>
      <c r="L1648">
        <v>1.3888888888888887E-3</v>
      </c>
      <c r="M1648" t="s">
        <v>3079</v>
      </c>
      <c r="X1648" t="s">
        <v>3428</v>
      </c>
    </row>
    <row r="1649" spans="1:24" x14ac:dyDescent="0.25">
      <c r="A1649">
        <v>1645</v>
      </c>
      <c r="B1649" t="s">
        <v>26</v>
      </c>
      <c r="C1649" t="s">
        <v>27</v>
      </c>
      <c r="D1649">
        <v>15</v>
      </c>
      <c r="E1649" t="s">
        <v>152</v>
      </c>
      <c r="F1649" t="s">
        <v>152</v>
      </c>
      <c r="G1649">
        <v>4859</v>
      </c>
      <c r="H1649" t="s">
        <v>2992</v>
      </c>
      <c r="I1649" t="s">
        <v>2971</v>
      </c>
      <c r="J1649">
        <v>12</v>
      </c>
      <c r="K1649">
        <v>1</v>
      </c>
      <c r="L1649">
        <v>1.4004629629629629E-3</v>
      </c>
      <c r="M1649" t="s">
        <v>3079</v>
      </c>
      <c r="X1649" t="s">
        <v>3428</v>
      </c>
    </row>
    <row r="1650" spans="1:24" x14ac:dyDescent="0.25">
      <c r="A1650">
        <v>1646</v>
      </c>
      <c r="B1650" t="s">
        <v>26</v>
      </c>
      <c r="C1650" t="s">
        <v>27</v>
      </c>
      <c r="D1650">
        <v>15</v>
      </c>
      <c r="E1650" t="s">
        <v>152</v>
      </c>
      <c r="F1650" t="s">
        <v>152</v>
      </c>
      <c r="G1650">
        <v>4859</v>
      </c>
      <c r="H1650" t="s">
        <v>2970</v>
      </c>
      <c r="I1650" t="s">
        <v>2971</v>
      </c>
      <c r="J1650">
        <v>12</v>
      </c>
      <c r="K1650">
        <v>1</v>
      </c>
      <c r="L1650">
        <v>1.4004629629629629E-3</v>
      </c>
      <c r="M1650" t="s">
        <v>3079</v>
      </c>
      <c r="X1650" t="s">
        <v>3428</v>
      </c>
    </row>
    <row r="1651" spans="1:24" x14ac:dyDescent="0.25">
      <c r="A1651">
        <v>1647</v>
      </c>
      <c r="B1651" t="s">
        <v>26</v>
      </c>
      <c r="C1651" t="s">
        <v>27</v>
      </c>
      <c r="D1651">
        <v>15</v>
      </c>
      <c r="E1651" t="s">
        <v>1588</v>
      </c>
      <c r="F1651" t="s">
        <v>512</v>
      </c>
      <c r="G1651">
        <v>4860</v>
      </c>
      <c r="H1651" t="s">
        <v>1953</v>
      </c>
      <c r="I1651" t="s">
        <v>1954</v>
      </c>
      <c r="J1651">
        <v>12</v>
      </c>
      <c r="K1651">
        <v>1</v>
      </c>
      <c r="L1651">
        <v>1.1921296296296296E-3</v>
      </c>
      <c r="M1651" t="s">
        <v>3079</v>
      </c>
      <c r="X1651" t="s">
        <v>3429</v>
      </c>
    </row>
    <row r="1652" spans="1:24" x14ac:dyDescent="0.25">
      <c r="A1652">
        <v>1648</v>
      </c>
      <c r="B1652" t="s">
        <v>26</v>
      </c>
      <c r="C1652" t="s">
        <v>27</v>
      </c>
      <c r="D1652">
        <v>15</v>
      </c>
      <c r="E1652" t="s">
        <v>367</v>
      </c>
      <c r="F1652" t="s">
        <v>367</v>
      </c>
      <c r="G1652">
        <v>4860</v>
      </c>
      <c r="H1652" t="s">
        <v>1941</v>
      </c>
      <c r="I1652" t="s">
        <v>1942</v>
      </c>
      <c r="J1652">
        <v>12</v>
      </c>
      <c r="K1652">
        <v>6</v>
      </c>
      <c r="L1652">
        <v>1.7592592592592592E-3</v>
      </c>
      <c r="M1652" t="s">
        <v>3079</v>
      </c>
      <c r="X1652" t="s">
        <v>3429</v>
      </c>
    </row>
    <row r="1653" spans="1:24" x14ac:dyDescent="0.25">
      <c r="A1653">
        <v>1649</v>
      </c>
      <c r="B1653" t="s">
        <v>26</v>
      </c>
      <c r="C1653" t="s">
        <v>27</v>
      </c>
      <c r="D1653">
        <v>15</v>
      </c>
      <c r="E1653" t="s">
        <v>367</v>
      </c>
      <c r="F1653" t="s">
        <v>512</v>
      </c>
      <c r="G1653">
        <v>4860</v>
      </c>
      <c r="H1653" t="s">
        <v>1871</v>
      </c>
      <c r="I1653" t="s">
        <v>1845</v>
      </c>
      <c r="J1653">
        <v>12</v>
      </c>
      <c r="K1653">
        <v>1</v>
      </c>
      <c r="L1653">
        <v>3.5879629629629629E-4</v>
      </c>
      <c r="M1653" t="s">
        <v>3079</v>
      </c>
      <c r="X1653" t="s">
        <v>3429</v>
      </c>
    </row>
    <row r="1654" spans="1:24" x14ac:dyDescent="0.25">
      <c r="A1654">
        <v>1650</v>
      </c>
      <c r="B1654" t="s">
        <v>26</v>
      </c>
      <c r="C1654" t="s">
        <v>27</v>
      </c>
      <c r="D1654">
        <v>15</v>
      </c>
      <c r="E1654" t="s">
        <v>367</v>
      </c>
      <c r="F1654" t="s">
        <v>1594</v>
      </c>
      <c r="G1654">
        <v>4860</v>
      </c>
      <c r="H1654" t="s">
        <v>1950</v>
      </c>
      <c r="I1654" t="s">
        <v>1951</v>
      </c>
      <c r="J1654">
        <v>12</v>
      </c>
      <c r="K1654">
        <v>2</v>
      </c>
      <c r="L1654">
        <v>1.1574074074074073E-3</v>
      </c>
      <c r="M1654" t="s">
        <v>3079</v>
      </c>
      <c r="X1654" t="s">
        <v>3429</v>
      </c>
    </row>
    <row r="1655" spans="1:24" x14ac:dyDescent="0.25">
      <c r="A1655">
        <v>1651</v>
      </c>
      <c r="B1655" t="s">
        <v>26</v>
      </c>
      <c r="C1655" t="s">
        <v>27</v>
      </c>
      <c r="D1655">
        <v>15</v>
      </c>
      <c r="E1655" t="s">
        <v>367</v>
      </c>
      <c r="F1655" t="s">
        <v>1594</v>
      </c>
      <c r="G1655">
        <v>4860</v>
      </c>
      <c r="H1655" t="s">
        <v>1914</v>
      </c>
      <c r="I1655" t="s">
        <v>1809</v>
      </c>
      <c r="J1655">
        <v>12</v>
      </c>
      <c r="K1655">
        <v>1</v>
      </c>
      <c r="L1655">
        <v>1.0300925925925926E-3</v>
      </c>
      <c r="M1655" t="s">
        <v>3079</v>
      </c>
      <c r="X1655" t="s">
        <v>3429</v>
      </c>
    </row>
    <row r="1656" spans="1:24" x14ac:dyDescent="0.25">
      <c r="A1656">
        <v>1652</v>
      </c>
      <c r="B1656" t="s">
        <v>26</v>
      </c>
      <c r="C1656" t="s">
        <v>27</v>
      </c>
      <c r="D1656">
        <v>15</v>
      </c>
      <c r="E1656" t="s">
        <v>367</v>
      </c>
      <c r="F1656" t="s">
        <v>1594</v>
      </c>
      <c r="G1656">
        <v>4860</v>
      </c>
      <c r="H1656" t="s">
        <v>1915</v>
      </c>
      <c r="I1656" t="s">
        <v>1916</v>
      </c>
      <c r="J1656">
        <v>12</v>
      </c>
      <c r="K1656">
        <v>1</v>
      </c>
      <c r="L1656">
        <v>8.2175925925925927E-4</v>
      </c>
      <c r="M1656" t="s">
        <v>3079</v>
      </c>
      <c r="X1656" t="s">
        <v>3429</v>
      </c>
    </row>
    <row r="1657" spans="1:24" x14ac:dyDescent="0.25">
      <c r="A1657">
        <v>1653</v>
      </c>
      <c r="B1657" t="s">
        <v>26</v>
      </c>
      <c r="C1657" t="s">
        <v>27</v>
      </c>
      <c r="D1657">
        <v>15</v>
      </c>
      <c r="E1657" t="s">
        <v>1665</v>
      </c>
      <c r="F1657" t="s">
        <v>512</v>
      </c>
      <c r="G1657">
        <v>4861</v>
      </c>
      <c r="H1657" t="s">
        <v>1908</v>
      </c>
      <c r="I1657" t="s">
        <v>2789</v>
      </c>
      <c r="J1657">
        <v>12</v>
      </c>
      <c r="K1657">
        <v>2</v>
      </c>
      <c r="L1657">
        <v>8.2175925925925927E-4</v>
      </c>
      <c r="M1657" t="s">
        <v>3079</v>
      </c>
      <c r="X1657" t="s">
        <v>3430</v>
      </c>
    </row>
    <row r="1658" spans="1:24" x14ac:dyDescent="0.25">
      <c r="A1658">
        <v>1654</v>
      </c>
      <c r="B1658" t="s">
        <v>26</v>
      </c>
      <c r="C1658" t="s">
        <v>27</v>
      </c>
      <c r="D1658">
        <v>15</v>
      </c>
      <c r="E1658" t="s">
        <v>1672</v>
      </c>
      <c r="F1658" t="s">
        <v>115</v>
      </c>
      <c r="G1658">
        <v>4861</v>
      </c>
      <c r="H1658" t="s">
        <v>1885</v>
      </c>
      <c r="I1658" t="s">
        <v>1886</v>
      </c>
      <c r="J1658">
        <v>12</v>
      </c>
      <c r="K1658">
        <v>11</v>
      </c>
      <c r="L1658">
        <v>6.5277777777777773E-3</v>
      </c>
      <c r="M1658" t="s">
        <v>3079</v>
      </c>
      <c r="X1658" t="s">
        <v>3430</v>
      </c>
    </row>
    <row r="1659" spans="1:24" x14ac:dyDescent="0.25">
      <c r="A1659">
        <v>1655</v>
      </c>
      <c r="B1659" t="s">
        <v>26</v>
      </c>
      <c r="C1659" t="s">
        <v>27</v>
      </c>
      <c r="D1659">
        <v>15</v>
      </c>
      <c r="E1659" t="s">
        <v>1672</v>
      </c>
      <c r="F1659" t="s">
        <v>115</v>
      </c>
      <c r="G1659">
        <v>4862</v>
      </c>
      <c r="H1659" t="s">
        <v>1885</v>
      </c>
      <c r="I1659" t="s">
        <v>1886</v>
      </c>
      <c r="J1659">
        <v>12</v>
      </c>
      <c r="K1659">
        <v>4</v>
      </c>
      <c r="L1659">
        <v>3.0324074074074073E-3</v>
      </c>
      <c r="M1659" t="s">
        <v>3079</v>
      </c>
      <c r="X1659" t="s">
        <v>3431</v>
      </c>
    </row>
    <row r="1660" spans="1:24" x14ac:dyDescent="0.25">
      <c r="A1660">
        <v>1656</v>
      </c>
      <c r="B1660" t="s">
        <v>26</v>
      </c>
      <c r="C1660" t="s">
        <v>27</v>
      </c>
      <c r="D1660">
        <v>15</v>
      </c>
      <c r="E1660" t="s">
        <v>152</v>
      </c>
      <c r="F1660" t="s">
        <v>152</v>
      </c>
      <c r="G1660">
        <v>4862</v>
      </c>
      <c r="H1660" t="s">
        <v>1965</v>
      </c>
      <c r="I1660" t="s">
        <v>2999</v>
      </c>
      <c r="J1660">
        <v>12</v>
      </c>
      <c r="K1660">
        <v>2</v>
      </c>
      <c r="L1660">
        <v>3.2638888888888887E-3</v>
      </c>
      <c r="M1660" t="s">
        <v>3079</v>
      </c>
      <c r="X1660" t="s">
        <v>3431</v>
      </c>
    </row>
    <row r="1661" spans="1:24" x14ac:dyDescent="0.25">
      <c r="A1661">
        <v>1657</v>
      </c>
      <c r="B1661" t="s">
        <v>26</v>
      </c>
      <c r="C1661" t="s">
        <v>27</v>
      </c>
      <c r="D1661">
        <v>15</v>
      </c>
      <c r="E1661" t="s">
        <v>2823</v>
      </c>
      <c r="F1661" t="s">
        <v>2823</v>
      </c>
      <c r="G1661">
        <v>4862</v>
      </c>
      <c r="H1661" t="s">
        <v>2822</v>
      </c>
      <c r="I1661" t="s">
        <v>1886</v>
      </c>
      <c r="J1661">
        <v>12</v>
      </c>
      <c r="K1661">
        <v>1</v>
      </c>
      <c r="L1661">
        <v>7.5231481481481482E-4</v>
      </c>
      <c r="M1661" t="s">
        <v>3079</v>
      </c>
      <c r="X1661" t="s">
        <v>3431</v>
      </c>
    </row>
    <row r="1662" spans="1:24" x14ac:dyDescent="0.25">
      <c r="A1662">
        <v>1658</v>
      </c>
      <c r="B1662" t="s">
        <v>26</v>
      </c>
      <c r="C1662" t="s">
        <v>27</v>
      </c>
      <c r="D1662">
        <v>15</v>
      </c>
      <c r="E1662" t="s">
        <v>152</v>
      </c>
      <c r="F1662" t="s">
        <v>152</v>
      </c>
      <c r="G1662">
        <v>4863</v>
      </c>
      <c r="H1662" t="s">
        <v>1965</v>
      </c>
      <c r="I1662" t="s">
        <v>2999</v>
      </c>
      <c r="J1662">
        <v>12</v>
      </c>
      <c r="K1662">
        <v>3</v>
      </c>
      <c r="L1662">
        <v>5.3009259259259259E-3</v>
      </c>
      <c r="M1662" t="s">
        <v>3079</v>
      </c>
      <c r="X1662" t="s">
        <v>3432</v>
      </c>
    </row>
    <row r="1663" spans="1:24" x14ac:dyDescent="0.25">
      <c r="A1663">
        <v>1659</v>
      </c>
      <c r="B1663" t="s">
        <v>26</v>
      </c>
      <c r="C1663" t="s">
        <v>27</v>
      </c>
      <c r="D1663">
        <v>15</v>
      </c>
      <c r="E1663" t="s">
        <v>2823</v>
      </c>
      <c r="F1663" t="s">
        <v>2823</v>
      </c>
      <c r="G1663">
        <v>4863</v>
      </c>
      <c r="H1663" t="s">
        <v>2822</v>
      </c>
      <c r="I1663" t="s">
        <v>1886</v>
      </c>
      <c r="J1663">
        <v>12</v>
      </c>
      <c r="K1663">
        <v>1</v>
      </c>
      <c r="L1663">
        <v>8.2175925925925927E-4</v>
      </c>
      <c r="M1663" t="s">
        <v>3079</v>
      </c>
      <c r="X1663" t="s">
        <v>3432</v>
      </c>
    </row>
    <row r="1664" spans="1:24" x14ac:dyDescent="0.25">
      <c r="A1664">
        <v>1660</v>
      </c>
      <c r="B1664" t="s">
        <v>26</v>
      </c>
      <c r="C1664" t="s">
        <v>27</v>
      </c>
      <c r="D1664">
        <v>15</v>
      </c>
      <c r="E1664" t="s">
        <v>2823</v>
      </c>
      <c r="F1664" t="s">
        <v>2823</v>
      </c>
      <c r="G1664">
        <v>4863</v>
      </c>
      <c r="H1664" t="s">
        <v>3001</v>
      </c>
      <c r="I1664" t="s">
        <v>2789</v>
      </c>
      <c r="J1664">
        <v>12</v>
      </c>
      <c r="K1664">
        <v>2</v>
      </c>
      <c r="L1664">
        <v>1.1342592592592591E-3</v>
      </c>
      <c r="M1664" t="s">
        <v>3079</v>
      </c>
      <c r="X1664" t="s">
        <v>3432</v>
      </c>
    </row>
    <row r="1665" spans="1:26" x14ac:dyDescent="0.25">
      <c r="A1665">
        <v>1661</v>
      </c>
      <c r="B1665" t="s">
        <v>26</v>
      </c>
      <c r="C1665" t="s">
        <v>27</v>
      </c>
      <c r="D1665">
        <v>15</v>
      </c>
      <c r="E1665" t="s">
        <v>152</v>
      </c>
      <c r="F1665" t="s">
        <v>152</v>
      </c>
      <c r="G1665">
        <v>4865</v>
      </c>
      <c r="H1665" t="s">
        <v>629</v>
      </c>
      <c r="I1665" t="s">
        <v>630</v>
      </c>
      <c r="J1665">
        <v>12</v>
      </c>
      <c r="K1665">
        <v>1</v>
      </c>
      <c r="L1665">
        <v>5.4166666666666669E-3</v>
      </c>
      <c r="M1665" t="s">
        <v>3079</v>
      </c>
      <c r="X1665" t="s">
        <v>3433</v>
      </c>
    </row>
    <row r="1666" spans="1:26" x14ac:dyDescent="0.25">
      <c r="A1666">
        <v>1662</v>
      </c>
      <c r="B1666" t="s">
        <v>26</v>
      </c>
      <c r="C1666" t="s">
        <v>27</v>
      </c>
      <c r="D1666">
        <v>15</v>
      </c>
      <c r="E1666" t="s">
        <v>129</v>
      </c>
      <c r="F1666" t="s">
        <v>512</v>
      </c>
      <c r="G1666">
        <v>4929</v>
      </c>
      <c r="H1666" t="s">
        <v>3003</v>
      </c>
      <c r="I1666" t="s">
        <v>119</v>
      </c>
      <c r="J1666">
        <v>8</v>
      </c>
      <c r="K1666">
        <v>1</v>
      </c>
      <c r="L1666">
        <v>8.5879629629629622E-3</v>
      </c>
      <c r="M1666" t="s">
        <v>3079</v>
      </c>
      <c r="X1666" t="s">
        <v>3434</v>
      </c>
    </row>
    <row r="1667" spans="1:26" x14ac:dyDescent="0.25">
      <c r="A1667">
        <v>1663</v>
      </c>
      <c r="B1667" t="s">
        <v>26</v>
      </c>
      <c r="C1667" t="s">
        <v>27</v>
      </c>
      <c r="D1667">
        <v>15</v>
      </c>
      <c r="E1667" t="s">
        <v>60</v>
      </c>
      <c r="F1667" t="s">
        <v>60</v>
      </c>
      <c r="G1667">
        <v>3122</v>
      </c>
      <c r="H1667" t="s">
        <v>939</v>
      </c>
      <c r="I1667" t="s">
        <v>940</v>
      </c>
      <c r="J1667">
        <v>6</v>
      </c>
      <c r="K1667">
        <v>3</v>
      </c>
      <c r="L1667">
        <v>9.3055555555555548E-3</v>
      </c>
      <c r="M1667" t="s">
        <v>117</v>
      </c>
      <c r="N1667" t="s">
        <v>938</v>
      </c>
      <c r="O1667" s="24">
        <v>46133</v>
      </c>
      <c r="P1667">
        <v>603</v>
      </c>
      <c r="Q1667" t="s">
        <v>34</v>
      </c>
      <c r="R1667">
        <v>46136</v>
      </c>
      <c r="S1667" s="51">
        <v>0.59444444444444444</v>
      </c>
      <c r="T1667" s="51">
        <v>0.6020833333333333</v>
      </c>
      <c r="X1667" t="s">
        <v>3435</v>
      </c>
      <c r="Y1667" t="s">
        <v>3072</v>
      </c>
      <c r="Z1667">
        <v>1736414</v>
      </c>
    </row>
    <row r="1668" spans="1:26" x14ac:dyDescent="0.25">
      <c r="A1668">
        <v>1664</v>
      </c>
      <c r="B1668" t="s">
        <v>26</v>
      </c>
      <c r="C1668" t="s">
        <v>27</v>
      </c>
      <c r="D1668">
        <v>15</v>
      </c>
      <c r="E1668" t="s">
        <v>60</v>
      </c>
      <c r="F1668" t="s">
        <v>60</v>
      </c>
      <c r="G1668">
        <v>3123</v>
      </c>
      <c r="H1668" t="s">
        <v>939</v>
      </c>
      <c r="I1668" t="s">
        <v>940</v>
      </c>
      <c r="J1668">
        <v>6</v>
      </c>
      <c r="K1668">
        <v>1</v>
      </c>
      <c r="L1668">
        <v>3.1018518518518517E-3</v>
      </c>
      <c r="M1668" t="s">
        <v>117</v>
      </c>
      <c r="N1668" t="s">
        <v>938</v>
      </c>
      <c r="O1668" s="24">
        <v>46133</v>
      </c>
      <c r="P1668">
        <v>603</v>
      </c>
      <c r="Q1668" t="s">
        <v>34</v>
      </c>
      <c r="R1668">
        <v>46136</v>
      </c>
      <c r="S1668" s="51">
        <v>0.60486111111111107</v>
      </c>
      <c r="T1668" s="51">
        <v>0.6166666666666667</v>
      </c>
      <c r="X1668" t="s">
        <v>3436</v>
      </c>
      <c r="Y1668" t="s">
        <v>3072</v>
      </c>
      <c r="Z1668">
        <v>2766735</v>
      </c>
    </row>
    <row r="1669" spans="1:26" x14ac:dyDescent="0.25">
      <c r="A1669">
        <v>1665</v>
      </c>
      <c r="B1669" t="s">
        <v>26</v>
      </c>
      <c r="C1669" t="s">
        <v>27</v>
      </c>
      <c r="D1669">
        <v>15</v>
      </c>
      <c r="E1669" t="s">
        <v>60</v>
      </c>
      <c r="F1669" t="s">
        <v>60</v>
      </c>
      <c r="G1669">
        <v>3123</v>
      </c>
      <c r="H1669" t="s">
        <v>2511</v>
      </c>
      <c r="I1669" t="s">
        <v>940</v>
      </c>
      <c r="J1669">
        <v>6</v>
      </c>
      <c r="K1669">
        <v>2</v>
      </c>
      <c r="L1669">
        <v>6.2037037037037035E-3</v>
      </c>
      <c r="M1669" t="s">
        <v>117</v>
      </c>
      <c r="N1669" t="s">
        <v>938</v>
      </c>
      <c r="O1669" s="24">
        <v>46133</v>
      </c>
      <c r="P1669">
        <v>603</v>
      </c>
      <c r="Q1669" t="s">
        <v>34</v>
      </c>
      <c r="R1669">
        <v>46136</v>
      </c>
      <c r="S1669" s="51">
        <v>0.60486111111111107</v>
      </c>
      <c r="T1669" s="51">
        <v>0.6166666666666667</v>
      </c>
      <c r="X1669" t="s">
        <v>3436</v>
      </c>
      <c r="Y1669" t="s">
        <v>3072</v>
      </c>
      <c r="Z1669">
        <v>2766735</v>
      </c>
    </row>
    <row r="1670" spans="1:26" x14ac:dyDescent="0.25">
      <c r="A1670">
        <v>1666</v>
      </c>
      <c r="B1670" t="s">
        <v>26</v>
      </c>
      <c r="C1670" t="s">
        <v>27</v>
      </c>
      <c r="D1670">
        <v>15</v>
      </c>
      <c r="E1670" t="s">
        <v>60</v>
      </c>
      <c r="F1670" t="s">
        <v>60</v>
      </c>
      <c r="G1670">
        <v>3124</v>
      </c>
      <c r="H1670" t="s">
        <v>2520</v>
      </c>
      <c r="I1670" t="s">
        <v>3007</v>
      </c>
      <c r="J1670">
        <v>6</v>
      </c>
      <c r="K1670">
        <v>2</v>
      </c>
      <c r="L1670">
        <v>4.2013888888888891E-3</v>
      </c>
      <c r="M1670" t="s">
        <v>117</v>
      </c>
      <c r="N1670" t="s">
        <v>938</v>
      </c>
      <c r="O1670" s="24">
        <v>46133</v>
      </c>
      <c r="P1670">
        <v>603</v>
      </c>
      <c r="Q1670" t="s">
        <v>34</v>
      </c>
      <c r="R1670">
        <v>46136</v>
      </c>
      <c r="S1670" s="51">
        <v>0.64027777777777772</v>
      </c>
      <c r="T1670" s="51">
        <v>0.61111111111111116</v>
      </c>
      <c r="X1670" t="s">
        <v>3437</v>
      </c>
      <c r="Y1670" t="s">
        <v>3072</v>
      </c>
      <c r="Z1670">
        <v>1736414</v>
      </c>
    </row>
    <row r="1671" spans="1:26" x14ac:dyDescent="0.25">
      <c r="A1671">
        <v>1667</v>
      </c>
      <c r="B1671" t="s">
        <v>26</v>
      </c>
      <c r="C1671" t="s">
        <v>27</v>
      </c>
      <c r="D1671">
        <v>15</v>
      </c>
      <c r="E1671" t="s">
        <v>60</v>
      </c>
      <c r="F1671" t="s">
        <v>60</v>
      </c>
      <c r="G1671">
        <v>3124</v>
      </c>
      <c r="H1671" t="s">
        <v>2513</v>
      </c>
      <c r="I1671" t="s">
        <v>2517</v>
      </c>
      <c r="J1671">
        <v>6</v>
      </c>
      <c r="K1671">
        <v>2</v>
      </c>
      <c r="L1671">
        <v>5.208333333333333E-3</v>
      </c>
      <c r="M1671" t="s">
        <v>117</v>
      </c>
      <c r="N1671" t="s">
        <v>938</v>
      </c>
      <c r="O1671" s="24">
        <v>46133</v>
      </c>
      <c r="P1671">
        <v>603</v>
      </c>
      <c r="Q1671" t="s">
        <v>34</v>
      </c>
      <c r="R1671">
        <v>46136</v>
      </c>
      <c r="S1671" s="51">
        <v>0.64027777777777772</v>
      </c>
      <c r="T1671" s="51">
        <v>0.61111111111111116</v>
      </c>
      <c r="X1671" t="s">
        <v>3437</v>
      </c>
      <c r="Y1671" t="s">
        <v>3072</v>
      </c>
      <c r="Z1671">
        <v>1736414</v>
      </c>
    </row>
    <row r="1672" spans="1:26" x14ac:dyDescent="0.25">
      <c r="A1672">
        <v>1668</v>
      </c>
      <c r="B1672" t="s">
        <v>26</v>
      </c>
      <c r="C1672" t="s">
        <v>27</v>
      </c>
      <c r="D1672">
        <v>15</v>
      </c>
      <c r="E1672" t="s">
        <v>60</v>
      </c>
      <c r="F1672" t="s">
        <v>60</v>
      </c>
      <c r="G1672">
        <v>3124</v>
      </c>
      <c r="H1672" t="s">
        <v>2516</v>
      </c>
      <c r="I1672" t="s">
        <v>2517</v>
      </c>
      <c r="J1672">
        <v>6</v>
      </c>
      <c r="K1672">
        <v>1</v>
      </c>
      <c r="L1672">
        <v>2.6041666666666665E-3</v>
      </c>
      <c r="M1672" t="s">
        <v>117</v>
      </c>
      <c r="N1672" t="s">
        <v>938</v>
      </c>
      <c r="O1672" s="24">
        <v>46133</v>
      </c>
      <c r="P1672">
        <v>603</v>
      </c>
      <c r="Q1672" t="s">
        <v>34</v>
      </c>
      <c r="R1672">
        <v>46136</v>
      </c>
      <c r="S1672" s="51">
        <v>0.64027777777777772</v>
      </c>
      <c r="T1672" s="51">
        <v>0.61111111111111116</v>
      </c>
      <c r="X1672" t="s">
        <v>3437</v>
      </c>
      <c r="Y1672" t="s">
        <v>3072</v>
      </c>
      <c r="Z1672">
        <v>1736414</v>
      </c>
    </row>
    <row r="1673" spans="1:26" x14ac:dyDescent="0.25">
      <c r="A1673">
        <v>1669</v>
      </c>
      <c r="B1673" t="s">
        <v>26</v>
      </c>
      <c r="C1673" t="s">
        <v>27</v>
      </c>
      <c r="D1673">
        <v>15</v>
      </c>
      <c r="E1673" t="s">
        <v>60</v>
      </c>
      <c r="F1673" t="s">
        <v>60</v>
      </c>
      <c r="G1673">
        <v>3124</v>
      </c>
      <c r="H1673" t="s">
        <v>3009</v>
      </c>
      <c r="I1673" t="s">
        <v>3010</v>
      </c>
      <c r="J1673">
        <v>6</v>
      </c>
      <c r="K1673">
        <v>1</v>
      </c>
      <c r="L1673">
        <v>2.3263888888888887E-3</v>
      </c>
      <c r="M1673" t="s">
        <v>117</v>
      </c>
      <c r="N1673" t="s">
        <v>938</v>
      </c>
      <c r="O1673" s="24">
        <v>46133</v>
      </c>
      <c r="P1673">
        <v>603</v>
      </c>
      <c r="Q1673" t="s">
        <v>34</v>
      </c>
      <c r="R1673">
        <v>46136</v>
      </c>
      <c r="S1673" s="51">
        <v>0.64027777777777772</v>
      </c>
      <c r="T1673" s="51">
        <v>0.61111111111111116</v>
      </c>
      <c r="X1673" t="s">
        <v>3437</v>
      </c>
      <c r="Y1673" t="s">
        <v>3072</v>
      </c>
      <c r="Z1673">
        <v>1736414</v>
      </c>
    </row>
    <row r="1674" spans="1:26" x14ac:dyDescent="0.25">
      <c r="A1674">
        <v>1670</v>
      </c>
      <c r="B1674" t="s">
        <v>26</v>
      </c>
      <c r="C1674" t="s">
        <v>27</v>
      </c>
      <c r="D1674">
        <v>15</v>
      </c>
      <c r="E1674" t="s">
        <v>60</v>
      </c>
      <c r="F1674" t="s">
        <v>60</v>
      </c>
      <c r="G1674">
        <v>3125</v>
      </c>
      <c r="H1674" t="s">
        <v>2516</v>
      </c>
      <c r="I1674" t="s">
        <v>2517</v>
      </c>
      <c r="J1674">
        <v>6</v>
      </c>
      <c r="K1674">
        <v>1</v>
      </c>
      <c r="L1674">
        <v>2.662037037037037E-3</v>
      </c>
      <c r="M1674" t="s">
        <v>117</v>
      </c>
      <c r="N1674" t="s">
        <v>938</v>
      </c>
      <c r="O1674" s="24">
        <v>46133</v>
      </c>
      <c r="P1674">
        <v>603</v>
      </c>
      <c r="Q1674" t="s">
        <v>34</v>
      </c>
      <c r="R1674">
        <v>46136</v>
      </c>
      <c r="S1674" s="51">
        <v>0.55972222222222223</v>
      </c>
      <c r="T1674" s="51">
        <v>0.56111111111111112</v>
      </c>
      <c r="X1674" t="s">
        <v>3438</v>
      </c>
      <c r="Y1674" t="s">
        <v>3072</v>
      </c>
      <c r="Z1674">
        <v>2766735</v>
      </c>
    </row>
    <row r="1675" spans="1:26" x14ac:dyDescent="0.25">
      <c r="A1675">
        <v>1671</v>
      </c>
      <c r="B1675" t="s">
        <v>26</v>
      </c>
      <c r="C1675" t="s">
        <v>27</v>
      </c>
      <c r="D1675">
        <v>15</v>
      </c>
      <c r="E1675" t="s">
        <v>60</v>
      </c>
      <c r="F1675" t="s">
        <v>60</v>
      </c>
      <c r="G1675">
        <v>3125</v>
      </c>
      <c r="H1675" t="s">
        <v>2511</v>
      </c>
      <c r="I1675" t="s">
        <v>940</v>
      </c>
      <c r="J1675">
        <v>6</v>
      </c>
      <c r="K1675">
        <v>2</v>
      </c>
      <c r="L1675">
        <v>6.1111111111111106E-3</v>
      </c>
      <c r="M1675" t="s">
        <v>117</v>
      </c>
      <c r="N1675" t="s">
        <v>938</v>
      </c>
      <c r="O1675" s="24">
        <v>46133</v>
      </c>
      <c r="P1675">
        <v>603</v>
      </c>
      <c r="Q1675" t="s">
        <v>34</v>
      </c>
      <c r="R1675">
        <v>46136</v>
      </c>
      <c r="S1675" s="51">
        <v>0.55972222222222223</v>
      </c>
      <c r="T1675" s="51">
        <v>0.56111111111111112</v>
      </c>
      <c r="X1675" t="s">
        <v>3438</v>
      </c>
      <c r="Y1675" t="s">
        <v>3072</v>
      </c>
      <c r="Z1675">
        <v>2766735</v>
      </c>
    </row>
    <row r="1676" spans="1:26" x14ac:dyDescent="0.25">
      <c r="A1676">
        <v>1672</v>
      </c>
      <c r="B1676" t="s">
        <v>26</v>
      </c>
      <c r="C1676" t="s">
        <v>27</v>
      </c>
      <c r="D1676">
        <v>15</v>
      </c>
      <c r="E1676" t="s">
        <v>60</v>
      </c>
      <c r="F1676" t="s">
        <v>60</v>
      </c>
      <c r="G1676">
        <v>3125</v>
      </c>
      <c r="H1676" t="s">
        <v>3009</v>
      </c>
      <c r="I1676" t="s">
        <v>3010</v>
      </c>
      <c r="J1676">
        <v>6</v>
      </c>
      <c r="K1676">
        <v>1</v>
      </c>
      <c r="L1676">
        <v>2.3842592592592591E-3</v>
      </c>
      <c r="M1676" t="s">
        <v>117</v>
      </c>
      <c r="N1676" t="s">
        <v>938</v>
      </c>
      <c r="O1676" s="24">
        <v>46133</v>
      </c>
      <c r="P1676">
        <v>603</v>
      </c>
      <c r="Q1676" t="s">
        <v>34</v>
      </c>
      <c r="R1676">
        <v>46136</v>
      </c>
      <c r="S1676" s="51">
        <v>0.55972222222222223</v>
      </c>
      <c r="T1676" s="51">
        <v>0.56111111111111112</v>
      </c>
      <c r="X1676" t="s">
        <v>3438</v>
      </c>
      <c r="Y1676" t="s">
        <v>3072</v>
      </c>
      <c r="Z1676">
        <v>2766735</v>
      </c>
    </row>
    <row r="1677" spans="1:26" x14ac:dyDescent="0.25">
      <c r="A1677">
        <v>1673</v>
      </c>
      <c r="B1677" t="s">
        <v>26</v>
      </c>
      <c r="C1677" t="s">
        <v>27</v>
      </c>
      <c r="D1677">
        <v>15</v>
      </c>
      <c r="E1677" t="s">
        <v>60</v>
      </c>
      <c r="F1677" t="s">
        <v>60</v>
      </c>
      <c r="G1677">
        <v>3126</v>
      </c>
      <c r="H1677" t="s">
        <v>2513</v>
      </c>
      <c r="I1677" t="s">
        <v>2517</v>
      </c>
      <c r="J1677">
        <v>6</v>
      </c>
      <c r="K1677">
        <v>1</v>
      </c>
      <c r="L1677">
        <v>2.6041666666666665E-3</v>
      </c>
      <c r="M1677" t="s">
        <v>117</v>
      </c>
      <c r="N1677" t="s">
        <v>938</v>
      </c>
      <c r="O1677" s="24">
        <v>46133</v>
      </c>
      <c r="P1677">
        <v>603</v>
      </c>
      <c r="Q1677" t="s">
        <v>34</v>
      </c>
      <c r="R1677">
        <v>46136</v>
      </c>
      <c r="S1677" s="51">
        <v>0.62569444444444444</v>
      </c>
      <c r="T1677" s="51">
        <v>0.63749999999999996</v>
      </c>
      <c r="X1677" t="s">
        <v>3439</v>
      </c>
      <c r="Y1677" t="s">
        <v>3072</v>
      </c>
      <c r="Z1677">
        <v>2757128</v>
      </c>
    </row>
    <row r="1678" spans="1:26" x14ac:dyDescent="0.25">
      <c r="A1678">
        <v>1674</v>
      </c>
      <c r="B1678" t="s">
        <v>26</v>
      </c>
      <c r="C1678" t="s">
        <v>27</v>
      </c>
      <c r="D1678">
        <v>15</v>
      </c>
      <c r="E1678" t="s">
        <v>2823</v>
      </c>
      <c r="F1678" t="s">
        <v>2823</v>
      </c>
      <c r="G1678">
        <v>3126</v>
      </c>
      <c r="H1678" t="s">
        <v>3013</v>
      </c>
      <c r="I1678" t="s">
        <v>3010</v>
      </c>
      <c r="J1678">
        <v>6</v>
      </c>
      <c r="K1678">
        <v>1</v>
      </c>
      <c r="L1678">
        <v>2.3263888888888887E-3</v>
      </c>
      <c r="M1678" t="s">
        <v>117</v>
      </c>
      <c r="N1678" t="s">
        <v>938</v>
      </c>
      <c r="O1678" s="24">
        <v>46133</v>
      </c>
      <c r="P1678">
        <v>603</v>
      </c>
      <c r="Q1678" t="s">
        <v>34</v>
      </c>
      <c r="R1678">
        <v>46136</v>
      </c>
      <c r="S1678" s="51">
        <v>0.62569444444444444</v>
      </c>
      <c r="T1678" s="51">
        <v>0.63749999999999996</v>
      </c>
      <c r="X1678" t="s">
        <v>3439</v>
      </c>
      <c r="Y1678" t="s">
        <v>3072</v>
      </c>
      <c r="Z1678">
        <v>2757128</v>
      </c>
    </row>
    <row r="1679" spans="1:26" x14ac:dyDescent="0.25">
      <c r="A1679">
        <v>1675</v>
      </c>
      <c r="B1679" t="s">
        <v>26</v>
      </c>
      <c r="C1679" t="s">
        <v>27</v>
      </c>
      <c r="D1679">
        <v>15</v>
      </c>
      <c r="E1679" t="s">
        <v>2823</v>
      </c>
      <c r="F1679" t="s">
        <v>2823</v>
      </c>
      <c r="G1679">
        <v>3126</v>
      </c>
      <c r="H1679" t="s">
        <v>3014</v>
      </c>
      <c r="I1679" t="s">
        <v>3007</v>
      </c>
      <c r="J1679">
        <v>6</v>
      </c>
      <c r="K1679">
        <v>2</v>
      </c>
      <c r="L1679">
        <v>4.2013888888888891E-3</v>
      </c>
      <c r="M1679" t="s">
        <v>117</v>
      </c>
      <c r="N1679" t="s">
        <v>938</v>
      </c>
      <c r="O1679" s="24">
        <v>46133</v>
      </c>
      <c r="P1679">
        <v>603</v>
      </c>
      <c r="Q1679" t="s">
        <v>34</v>
      </c>
      <c r="R1679">
        <v>46136</v>
      </c>
      <c r="S1679" s="51">
        <v>0.62569444444444444</v>
      </c>
      <c r="T1679" s="51">
        <v>0.63749999999999996</v>
      </c>
      <c r="X1679" t="s">
        <v>3439</v>
      </c>
      <c r="Y1679" t="s">
        <v>3072</v>
      </c>
      <c r="Z1679">
        <v>2757128</v>
      </c>
    </row>
    <row r="1680" spans="1:26" x14ac:dyDescent="0.25">
      <c r="A1680">
        <v>1676</v>
      </c>
      <c r="B1680" t="s">
        <v>26</v>
      </c>
      <c r="C1680" t="s">
        <v>27</v>
      </c>
      <c r="D1680">
        <v>15</v>
      </c>
      <c r="E1680" t="s">
        <v>60</v>
      </c>
      <c r="F1680" t="s">
        <v>60</v>
      </c>
      <c r="G1680">
        <v>3126</v>
      </c>
      <c r="H1680" t="s">
        <v>2516</v>
      </c>
      <c r="I1680" t="s">
        <v>2517</v>
      </c>
      <c r="J1680">
        <v>6</v>
      </c>
      <c r="K1680">
        <v>1</v>
      </c>
      <c r="L1680">
        <v>2.6041666666666665E-3</v>
      </c>
      <c r="M1680" t="s">
        <v>117</v>
      </c>
      <c r="N1680" t="s">
        <v>938</v>
      </c>
      <c r="O1680" s="24">
        <v>46133</v>
      </c>
      <c r="P1680">
        <v>603</v>
      </c>
      <c r="Q1680" t="s">
        <v>34</v>
      </c>
      <c r="R1680">
        <v>46136</v>
      </c>
      <c r="S1680" s="51">
        <v>0.62569444444444444</v>
      </c>
      <c r="T1680" s="51">
        <v>0.63749999999999996</v>
      </c>
      <c r="X1680" t="s">
        <v>3439</v>
      </c>
      <c r="Y1680" t="s">
        <v>3072</v>
      </c>
      <c r="Z1680">
        <v>2757128</v>
      </c>
    </row>
    <row r="1681" spans="1:26" x14ac:dyDescent="0.25">
      <c r="A1681">
        <v>1677</v>
      </c>
      <c r="B1681" t="s">
        <v>26</v>
      </c>
      <c r="C1681" t="s">
        <v>27</v>
      </c>
      <c r="D1681">
        <v>15</v>
      </c>
      <c r="E1681" t="s">
        <v>2823</v>
      </c>
      <c r="F1681" t="s">
        <v>2823</v>
      </c>
      <c r="G1681">
        <v>3126</v>
      </c>
      <c r="H1681" t="s">
        <v>3015</v>
      </c>
      <c r="I1681" t="s">
        <v>2517</v>
      </c>
      <c r="J1681">
        <v>6</v>
      </c>
      <c r="K1681">
        <v>1</v>
      </c>
      <c r="L1681">
        <v>2.6041666666666665E-3</v>
      </c>
      <c r="M1681" t="s">
        <v>117</v>
      </c>
      <c r="N1681" t="s">
        <v>938</v>
      </c>
      <c r="O1681" s="24">
        <v>46133</v>
      </c>
      <c r="P1681">
        <v>603</v>
      </c>
      <c r="Q1681" t="s">
        <v>34</v>
      </c>
      <c r="R1681">
        <v>46136</v>
      </c>
      <c r="S1681" s="51">
        <v>0.62569444444444444</v>
      </c>
      <c r="T1681" s="51">
        <v>0.63749999999999996</v>
      </c>
      <c r="X1681" t="s">
        <v>3439</v>
      </c>
      <c r="Y1681" t="s">
        <v>3072</v>
      </c>
      <c r="Z1681">
        <v>2757128</v>
      </c>
    </row>
    <row r="1682" spans="1:26" x14ac:dyDescent="0.25">
      <c r="A1682">
        <v>1678</v>
      </c>
      <c r="B1682" t="s">
        <v>28</v>
      </c>
      <c r="C1682" t="s">
        <v>25</v>
      </c>
      <c r="D1682">
        <v>14</v>
      </c>
      <c r="E1682" t="s">
        <v>367</v>
      </c>
      <c r="F1682" t="s">
        <v>367</v>
      </c>
      <c r="G1682">
        <v>4465</v>
      </c>
      <c r="H1682" t="s">
        <v>1608</v>
      </c>
      <c r="I1682" t="s">
        <v>1609</v>
      </c>
      <c r="J1682">
        <v>19</v>
      </c>
      <c r="K1682">
        <v>8</v>
      </c>
      <c r="L1682">
        <v>7.6388888888888886E-3</v>
      </c>
      <c r="M1682" t="s">
        <v>778</v>
      </c>
      <c r="N1682" t="s">
        <v>1316</v>
      </c>
      <c r="O1682" s="24">
        <v>46132</v>
      </c>
      <c r="P1682">
        <v>606</v>
      </c>
      <c r="Q1682" t="s">
        <v>34</v>
      </c>
      <c r="X1682" t="s">
        <v>3440</v>
      </c>
    </row>
    <row r="1683" spans="1:26" x14ac:dyDescent="0.25">
      <c r="A1683">
        <v>1679</v>
      </c>
      <c r="B1683" t="s">
        <v>28</v>
      </c>
      <c r="C1683" t="s">
        <v>25</v>
      </c>
      <c r="D1683">
        <v>14</v>
      </c>
      <c r="E1683" t="s">
        <v>367</v>
      </c>
      <c r="F1683" t="s">
        <v>367</v>
      </c>
      <c r="G1683">
        <v>4465</v>
      </c>
      <c r="H1683" t="s">
        <v>1613</v>
      </c>
      <c r="I1683" t="s">
        <v>1614</v>
      </c>
      <c r="J1683">
        <v>19</v>
      </c>
      <c r="K1683">
        <v>12</v>
      </c>
      <c r="L1683">
        <v>1.4340277777777776E-2</v>
      </c>
      <c r="M1683" t="s">
        <v>778</v>
      </c>
      <c r="N1683" t="s">
        <v>1316</v>
      </c>
      <c r="O1683" s="24">
        <v>46132</v>
      </c>
      <c r="P1683">
        <v>606</v>
      </c>
      <c r="Q1683" t="s">
        <v>34</v>
      </c>
      <c r="X1683" t="s">
        <v>3440</v>
      </c>
    </row>
    <row r="1684" spans="1:26" x14ac:dyDescent="0.25">
      <c r="A1684">
        <v>1680</v>
      </c>
      <c r="B1684" t="s">
        <v>28</v>
      </c>
      <c r="C1684" t="s">
        <v>25</v>
      </c>
      <c r="D1684">
        <v>14</v>
      </c>
      <c r="E1684" t="s">
        <v>65</v>
      </c>
      <c r="F1684" t="s">
        <v>1589</v>
      </c>
      <c r="G1684">
        <v>4465</v>
      </c>
      <c r="H1684" t="s">
        <v>1615</v>
      </c>
      <c r="I1684" t="s">
        <v>1616</v>
      </c>
      <c r="J1684">
        <v>19</v>
      </c>
      <c r="K1684">
        <v>5</v>
      </c>
      <c r="L1684">
        <v>3.5069444444444445E-3</v>
      </c>
      <c r="M1684" t="s">
        <v>778</v>
      </c>
      <c r="N1684" t="s">
        <v>1316</v>
      </c>
      <c r="O1684" s="24">
        <v>46132</v>
      </c>
      <c r="P1684">
        <v>606</v>
      </c>
      <c r="Q1684" t="s">
        <v>34</v>
      </c>
      <c r="X1684" t="s">
        <v>3440</v>
      </c>
    </row>
    <row r="1685" spans="1:26" x14ac:dyDescent="0.25">
      <c r="A1685">
        <v>1681</v>
      </c>
      <c r="B1685" t="s">
        <v>28</v>
      </c>
      <c r="C1685" t="s">
        <v>25</v>
      </c>
      <c r="D1685">
        <v>14</v>
      </c>
      <c r="E1685" t="s">
        <v>65</v>
      </c>
      <c r="F1685" t="s">
        <v>1589</v>
      </c>
      <c r="G1685">
        <v>4465</v>
      </c>
      <c r="H1685" t="s">
        <v>1617</v>
      </c>
      <c r="I1685" t="s">
        <v>1618</v>
      </c>
      <c r="J1685">
        <v>19</v>
      </c>
      <c r="K1685">
        <v>5</v>
      </c>
      <c r="L1685">
        <v>2.9513888888888888E-3</v>
      </c>
      <c r="M1685" t="s">
        <v>778</v>
      </c>
      <c r="N1685" t="s">
        <v>1316</v>
      </c>
      <c r="O1685" s="24">
        <v>46132</v>
      </c>
      <c r="P1685">
        <v>606</v>
      </c>
      <c r="Q1685" t="s">
        <v>34</v>
      </c>
      <c r="X1685" t="s">
        <v>3440</v>
      </c>
    </row>
    <row r="1686" spans="1:26" x14ac:dyDescent="0.25">
      <c r="A1686">
        <v>1682</v>
      </c>
      <c r="B1686" t="s">
        <v>28</v>
      </c>
      <c r="C1686" t="s">
        <v>25</v>
      </c>
      <c r="D1686">
        <v>14</v>
      </c>
      <c r="E1686" t="s">
        <v>150</v>
      </c>
      <c r="F1686" t="s">
        <v>512</v>
      </c>
      <c r="G1686">
        <v>3423</v>
      </c>
      <c r="H1686" t="s">
        <v>1619</v>
      </c>
      <c r="I1686" t="s">
        <v>1620</v>
      </c>
      <c r="J1686">
        <v>8</v>
      </c>
      <c r="K1686">
        <v>1</v>
      </c>
      <c r="L1686">
        <v>5.9143518518518512E-3</v>
      </c>
      <c r="M1686" t="s">
        <v>778</v>
      </c>
      <c r="N1686" t="s">
        <v>1422</v>
      </c>
      <c r="O1686" s="24">
        <v>46133</v>
      </c>
      <c r="P1686">
        <v>605</v>
      </c>
      <c r="Q1686" t="s">
        <v>34</v>
      </c>
      <c r="X1686" t="s">
        <v>3441</v>
      </c>
    </row>
    <row r="1687" spans="1:26" x14ac:dyDescent="0.25">
      <c r="A1687">
        <v>1683</v>
      </c>
      <c r="B1687" t="s">
        <v>28</v>
      </c>
      <c r="C1687" t="s">
        <v>25</v>
      </c>
      <c r="D1687">
        <v>14</v>
      </c>
      <c r="E1687" t="s">
        <v>1588</v>
      </c>
      <c r="F1687" t="s">
        <v>44</v>
      </c>
      <c r="G1687">
        <v>3423</v>
      </c>
      <c r="H1687" t="s">
        <v>1623</v>
      </c>
      <c r="I1687" t="s">
        <v>1624</v>
      </c>
      <c r="J1687">
        <v>8</v>
      </c>
      <c r="K1687">
        <v>1</v>
      </c>
      <c r="L1687">
        <v>1.6319444444444443E-3</v>
      </c>
      <c r="M1687" t="s">
        <v>778</v>
      </c>
      <c r="N1687" t="s">
        <v>1422</v>
      </c>
      <c r="O1687" s="24">
        <v>46133</v>
      </c>
      <c r="P1687">
        <v>605</v>
      </c>
      <c r="Q1687" t="s">
        <v>34</v>
      </c>
      <c r="X1687" t="s">
        <v>3441</v>
      </c>
    </row>
    <row r="1688" spans="1:26" x14ac:dyDescent="0.25">
      <c r="A1688">
        <v>1684</v>
      </c>
      <c r="B1688" t="s">
        <v>28</v>
      </c>
      <c r="C1688" t="s">
        <v>25</v>
      </c>
      <c r="D1688">
        <v>14</v>
      </c>
      <c r="E1688" t="s">
        <v>65</v>
      </c>
      <c r="F1688" t="s">
        <v>368</v>
      </c>
      <c r="G1688">
        <v>3423</v>
      </c>
      <c r="H1688" t="s">
        <v>1625</v>
      </c>
      <c r="I1688" t="s">
        <v>1626</v>
      </c>
      <c r="J1688">
        <v>8</v>
      </c>
      <c r="K1688">
        <v>4</v>
      </c>
      <c r="L1688">
        <v>3.3680555555555556E-3</v>
      </c>
      <c r="M1688" t="s">
        <v>778</v>
      </c>
      <c r="N1688" t="s">
        <v>1422</v>
      </c>
      <c r="O1688" s="24">
        <v>46133</v>
      </c>
      <c r="P1688">
        <v>605</v>
      </c>
      <c r="Q1688" t="s">
        <v>34</v>
      </c>
      <c r="X1688" t="s">
        <v>3441</v>
      </c>
    </row>
    <row r="1689" spans="1:26" x14ac:dyDescent="0.25">
      <c r="A1689">
        <v>1685</v>
      </c>
      <c r="B1689" t="s">
        <v>28</v>
      </c>
      <c r="C1689" t="s">
        <v>25</v>
      </c>
      <c r="D1689">
        <v>14</v>
      </c>
      <c r="E1689" t="s">
        <v>65</v>
      </c>
      <c r="F1689" t="s">
        <v>368</v>
      </c>
      <c r="G1689">
        <v>3423</v>
      </c>
      <c r="H1689" t="s">
        <v>1627</v>
      </c>
      <c r="I1689" t="s">
        <v>1628</v>
      </c>
      <c r="J1689">
        <v>8</v>
      </c>
      <c r="K1689">
        <v>2</v>
      </c>
      <c r="L1689">
        <v>1.5740740740740741E-3</v>
      </c>
      <c r="M1689" t="s">
        <v>778</v>
      </c>
      <c r="N1689" t="s">
        <v>1422</v>
      </c>
      <c r="O1689" s="24">
        <v>46133</v>
      </c>
      <c r="P1689">
        <v>605</v>
      </c>
      <c r="Q1689" t="s">
        <v>34</v>
      </c>
      <c r="X1689" t="s">
        <v>3441</v>
      </c>
    </row>
    <row r="1690" spans="1:26" x14ac:dyDescent="0.25">
      <c r="A1690">
        <v>1686</v>
      </c>
      <c r="B1690" t="s">
        <v>28</v>
      </c>
      <c r="C1690" t="s">
        <v>25</v>
      </c>
      <c r="D1690">
        <v>14</v>
      </c>
      <c r="E1690" t="s">
        <v>65</v>
      </c>
      <c r="F1690" t="s">
        <v>368</v>
      </c>
      <c r="G1690">
        <v>3423</v>
      </c>
      <c r="H1690" t="s">
        <v>1629</v>
      </c>
      <c r="I1690" t="s">
        <v>1630</v>
      </c>
      <c r="J1690">
        <v>8</v>
      </c>
      <c r="K1690">
        <v>1</v>
      </c>
      <c r="L1690">
        <v>9.1435185185185185E-4</v>
      </c>
      <c r="M1690" t="s">
        <v>778</v>
      </c>
      <c r="N1690" t="s">
        <v>1422</v>
      </c>
      <c r="O1690" s="24">
        <v>46133</v>
      </c>
      <c r="P1690">
        <v>605</v>
      </c>
      <c r="Q1690" t="s">
        <v>34</v>
      </c>
      <c r="X1690" t="s">
        <v>3441</v>
      </c>
    </row>
    <row r="1691" spans="1:26" x14ac:dyDescent="0.25">
      <c r="A1691">
        <v>1687</v>
      </c>
      <c r="B1691" t="s">
        <v>28</v>
      </c>
      <c r="C1691" t="s">
        <v>25</v>
      </c>
      <c r="D1691">
        <v>14</v>
      </c>
      <c r="E1691" t="s">
        <v>65</v>
      </c>
      <c r="F1691" t="s">
        <v>1590</v>
      </c>
      <c r="G1691">
        <v>3423</v>
      </c>
      <c r="H1691" t="s">
        <v>1631</v>
      </c>
      <c r="I1691" t="s">
        <v>1632</v>
      </c>
      <c r="J1691">
        <v>8</v>
      </c>
      <c r="K1691">
        <v>1</v>
      </c>
      <c r="L1691">
        <v>3.5763888888888889E-3</v>
      </c>
      <c r="M1691" t="s">
        <v>778</v>
      </c>
      <c r="N1691" t="s">
        <v>1422</v>
      </c>
      <c r="O1691" s="24">
        <v>46133</v>
      </c>
      <c r="P1691">
        <v>605</v>
      </c>
      <c r="Q1691" t="s">
        <v>34</v>
      </c>
      <c r="X1691" t="s">
        <v>3441</v>
      </c>
    </row>
    <row r="1692" spans="1:26" x14ac:dyDescent="0.25">
      <c r="A1692">
        <v>1688</v>
      </c>
      <c r="B1692" t="s">
        <v>28</v>
      </c>
      <c r="C1692" t="s">
        <v>25</v>
      </c>
      <c r="D1692">
        <v>14</v>
      </c>
      <c r="E1692" t="s">
        <v>367</v>
      </c>
      <c r="F1692" t="s">
        <v>1599</v>
      </c>
      <c r="G1692">
        <v>3423</v>
      </c>
      <c r="H1692" t="s">
        <v>1633</v>
      </c>
      <c r="I1692" t="s">
        <v>1634</v>
      </c>
      <c r="J1692">
        <v>8</v>
      </c>
      <c r="K1692">
        <v>1</v>
      </c>
      <c r="L1692">
        <v>6.9444444444444436E-4</v>
      </c>
      <c r="M1692" t="s">
        <v>778</v>
      </c>
      <c r="N1692" t="s">
        <v>1422</v>
      </c>
      <c r="O1692" s="24">
        <v>46133</v>
      </c>
      <c r="P1692">
        <v>605</v>
      </c>
      <c r="Q1692" t="s">
        <v>34</v>
      </c>
      <c r="X1692" t="s">
        <v>3441</v>
      </c>
    </row>
    <row r="1693" spans="1:26" x14ac:dyDescent="0.25">
      <c r="A1693">
        <v>1689</v>
      </c>
      <c r="B1693" t="s">
        <v>28</v>
      </c>
      <c r="C1693" t="s">
        <v>25</v>
      </c>
      <c r="D1693">
        <v>14</v>
      </c>
      <c r="E1693" t="s">
        <v>1585</v>
      </c>
      <c r="F1693" t="s">
        <v>1585</v>
      </c>
      <c r="G1693">
        <v>3350</v>
      </c>
      <c r="H1693" t="s">
        <v>1635</v>
      </c>
      <c r="I1693" t="s">
        <v>1636</v>
      </c>
      <c r="J1693">
        <v>16</v>
      </c>
      <c r="K1693">
        <v>4</v>
      </c>
      <c r="L1693">
        <v>3.9930555555555552E-3</v>
      </c>
      <c r="M1693" t="s">
        <v>778</v>
      </c>
      <c r="N1693" t="s">
        <v>1316</v>
      </c>
      <c r="O1693" s="24">
        <v>46132</v>
      </c>
      <c r="P1693">
        <v>606</v>
      </c>
      <c r="Q1693" t="s">
        <v>34</v>
      </c>
      <c r="X1693" t="s">
        <v>3442</v>
      </c>
    </row>
    <row r="1694" spans="1:26" x14ac:dyDescent="0.25">
      <c r="A1694">
        <v>1690</v>
      </c>
      <c r="B1694" t="s">
        <v>28</v>
      </c>
      <c r="C1694" t="s">
        <v>25</v>
      </c>
      <c r="D1694">
        <v>14</v>
      </c>
      <c r="E1694" t="s">
        <v>530</v>
      </c>
      <c r="F1694" t="s">
        <v>530</v>
      </c>
      <c r="G1694">
        <v>3350</v>
      </c>
      <c r="H1694" t="s">
        <v>1639</v>
      </c>
      <c r="I1694" t="s">
        <v>1640</v>
      </c>
      <c r="J1694">
        <v>16</v>
      </c>
      <c r="K1694">
        <v>12</v>
      </c>
      <c r="L1694">
        <v>6.6435185185185182E-3</v>
      </c>
      <c r="M1694" t="s">
        <v>778</v>
      </c>
      <c r="N1694" t="s">
        <v>1316</v>
      </c>
      <c r="O1694" s="24">
        <v>46132</v>
      </c>
      <c r="P1694">
        <v>606</v>
      </c>
      <c r="Q1694" t="s">
        <v>34</v>
      </c>
      <c r="X1694" t="s">
        <v>3442</v>
      </c>
    </row>
    <row r="1695" spans="1:26" x14ac:dyDescent="0.25">
      <c r="A1695">
        <v>1691</v>
      </c>
      <c r="B1695" t="s">
        <v>28</v>
      </c>
      <c r="C1695" t="s">
        <v>25</v>
      </c>
      <c r="D1695">
        <v>14</v>
      </c>
      <c r="E1695" t="s">
        <v>367</v>
      </c>
      <c r="F1695" t="s">
        <v>1594</v>
      </c>
      <c r="G1695">
        <v>3350</v>
      </c>
      <c r="H1695" t="s">
        <v>1641</v>
      </c>
      <c r="I1695" t="s">
        <v>1642</v>
      </c>
      <c r="J1695">
        <v>16</v>
      </c>
      <c r="K1695">
        <v>2</v>
      </c>
      <c r="L1695">
        <v>1.1805555555555556E-3</v>
      </c>
      <c r="M1695" t="s">
        <v>778</v>
      </c>
      <c r="N1695" t="s">
        <v>1316</v>
      </c>
      <c r="O1695" s="24">
        <v>46132</v>
      </c>
      <c r="P1695">
        <v>606</v>
      </c>
      <c r="Q1695" t="s">
        <v>34</v>
      </c>
      <c r="X1695" t="s">
        <v>3442</v>
      </c>
    </row>
    <row r="1696" spans="1:26" x14ac:dyDescent="0.25">
      <c r="A1696">
        <v>1692</v>
      </c>
      <c r="B1696" t="s">
        <v>28</v>
      </c>
      <c r="C1696" t="s">
        <v>25</v>
      </c>
      <c r="D1696">
        <v>14</v>
      </c>
      <c r="E1696" t="s">
        <v>65</v>
      </c>
      <c r="F1696" t="s">
        <v>65</v>
      </c>
      <c r="G1696">
        <v>3350</v>
      </c>
      <c r="H1696" t="s">
        <v>1643</v>
      </c>
      <c r="I1696" t="s">
        <v>1644</v>
      </c>
      <c r="J1696">
        <v>16</v>
      </c>
      <c r="K1696">
        <v>6</v>
      </c>
      <c r="L1696">
        <v>3.460648148148148E-3</v>
      </c>
      <c r="M1696" t="s">
        <v>778</v>
      </c>
      <c r="N1696" t="s">
        <v>1316</v>
      </c>
      <c r="O1696" s="24">
        <v>46132</v>
      </c>
      <c r="P1696">
        <v>606</v>
      </c>
      <c r="Q1696" t="s">
        <v>34</v>
      </c>
      <c r="X1696" t="s">
        <v>3442</v>
      </c>
    </row>
    <row r="1697" spans="1:24" x14ac:dyDescent="0.25">
      <c r="A1697">
        <v>1693</v>
      </c>
      <c r="B1697" t="s">
        <v>28</v>
      </c>
      <c r="C1697" t="s">
        <v>25</v>
      </c>
      <c r="D1697">
        <v>14</v>
      </c>
      <c r="E1697" t="s">
        <v>65</v>
      </c>
      <c r="F1697" t="s">
        <v>1589</v>
      </c>
      <c r="G1697">
        <v>3350</v>
      </c>
      <c r="H1697" t="s">
        <v>1645</v>
      </c>
      <c r="I1697" t="s">
        <v>1646</v>
      </c>
      <c r="J1697">
        <v>16</v>
      </c>
      <c r="K1697">
        <v>2</v>
      </c>
      <c r="L1697">
        <v>9.2592592592592585E-4</v>
      </c>
      <c r="M1697" t="s">
        <v>778</v>
      </c>
      <c r="N1697" t="s">
        <v>1316</v>
      </c>
      <c r="O1697" s="24">
        <v>46132</v>
      </c>
      <c r="P1697">
        <v>606</v>
      </c>
      <c r="Q1697" t="s">
        <v>34</v>
      </c>
      <c r="X1697" t="s">
        <v>3442</v>
      </c>
    </row>
    <row r="1698" spans="1:24" x14ac:dyDescent="0.25">
      <c r="A1698">
        <v>1694</v>
      </c>
      <c r="B1698" t="s">
        <v>28</v>
      </c>
      <c r="C1698" t="s">
        <v>25</v>
      </c>
      <c r="D1698">
        <v>14</v>
      </c>
      <c r="E1698" t="s">
        <v>65</v>
      </c>
      <c r="F1698" t="s">
        <v>1589</v>
      </c>
      <c r="G1698">
        <v>3350</v>
      </c>
      <c r="H1698" t="s">
        <v>1647</v>
      </c>
      <c r="I1698" t="s">
        <v>1648</v>
      </c>
      <c r="J1698">
        <v>16</v>
      </c>
      <c r="K1698">
        <v>1</v>
      </c>
      <c r="L1698">
        <v>7.8703703703703705E-4</v>
      </c>
      <c r="M1698" t="s">
        <v>778</v>
      </c>
      <c r="N1698" t="s">
        <v>1316</v>
      </c>
      <c r="O1698" s="24">
        <v>46132</v>
      </c>
      <c r="P1698">
        <v>606</v>
      </c>
      <c r="Q1698" t="s">
        <v>34</v>
      </c>
      <c r="X1698" t="s">
        <v>3442</v>
      </c>
    </row>
    <row r="1699" spans="1:24" x14ac:dyDescent="0.25">
      <c r="A1699">
        <v>1695</v>
      </c>
      <c r="B1699" t="s">
        <v>28</v>
      </c>
      <c r="C1699" t="s">
        <v>25</v>
      </c>
      <c r="D1699">
        <v>14</v>
      </c>
      <c r="E1699" t="s">
        <v>65</v>
      </c>
      <c r="F1699" t="s">
        <v>1590</v>
      </c>
      <c r="G1699">
        <v>3350</v>
      </c>
      <c r="H1699" t="s">
        <v>1649</v>
      </c>
      <c r="I1699" t="s">
        <v>1650</v>
      </c>
      <c r="J1699">
        <v>16</v>
      </c>
      <c r="K1699">
        <v>1</v>
      </c>
      <c r="L1699">
        <v>7.2916666666666659E-4</v>
      </c>
      <c r="M1699" t="s">
        <v>778</v>
      </c>
      <c r="N1699" t="s">
        <v>1316</v>
      </c>
      <c r="O1699" s="24">
        <v>46132</v>
      </c>
      <c r="P1699">
        <v>606</v>
      </c>
      <c r="Q1699" t="s">
        <v>34</v>
      </c>
      <c r="X1699" t="s">
        <v>3442</v>
      </c>
    </row>
    <row r="1700" spans="1:24" x14ac:dyDescent="0.25">
      <c r="A1700">
        <v>1696</v>
      </c>
      <c r="B1700" t="s">
        <v>28</v>
      </c>
      <c r="C1700" t="s">
        <v>25</v>
      </c>
      <c r="D1700">
        <v>14</v>
      </c>
      <c r="E1700" t="s">
        <v>65</v>
      </c>
      <c r="F1700" t="s">
        <v>1589</v>
      </c>
      <c r="G1700">
        <v>3350</v>
      </c>
      <c r="H1700" t="s">
        <v>1651</v>
      </c>
      <c r="I1700" t="s">
        <v>1652</v>
      </c>
      <c r="J1700">
        <v>16</v>
      </c>
      <c r="K1700">
        <v>1</v>
      </c>
      <c r="L1700">
        <v>7.407407407407407E-4</v>
      </c>
      <c r="M1700" t="s">
        <v>778</v>
      </c>
      <c r="N1700" t="s">
        <v>1316</v>
      </c>
      <c r="O1700" s="24">
        <v>46132</v>
      </c>
      <c r="P1700">
        <v>606</v>
      </c>
      <c r="Q1700" t="s">
        <v>34</v>
      </c>
      <c r="X1700" t="s">
        <v>3442</v>
      </c>
    </row>
    <row r="1701" spans="1:24" x14ac:dyDescent="0.25">
      <c r="A1701">
        <v>1697</v>
      </c>
      <c r="B1701" t="s">
        <v>28</v>
      </c>
      <c r="C1701" t="s">
        <v>25</v>
      </c>
      <c r="D1701">
        <v>14</v>
      </c>
      <c r="E1701" t="s">
        <v>65</v>
      </c>
      <c r="F1701" t="s">
        <v>1590</v>
      </c>
      <c r="G1701">
        <v>3350</v>
      </c>
      <c r="H1701" t="s">
        <v>1653</v>
      </c>
      <c r="I1701" t="s">
        <v>1650</v>
      </c>
      <c r="J1701">
        <v>16</v>
      </c>
      <c r="K1701">
        <v>1</v>
      </c>
      <c r="L1701">
        <v>7.407407407407407E-4</v>
      </c>
      <c r="M1701" t="s">
        <v>778</v>
      </c>
      <c r="N1701" t="s">
        <v>1316</v>
      </c>
      <c r="O1701" s="24">
        <v>46132</v>
      </c>
      <c r="P1701">
        <v>606</v>
      </c>
      <c r="Q1701" t="s">
        <v>34</v>
      </c>
      <c r="X1701" t="s">
        <v>3442</v>
      </c>
    </row>
    <row r="1702" spans="1:24" x14ac:dyDescent="0.25">
      <c r="A1702">
        <v>1698</v>
      </c>
      <c r="B1702" t="s">
        <v>28</v>
      </c>
      <c r="C1702" t="s">
        <v>25</v>
      </c>
      <c r="D1702">
        <v>14</v>
      </c>
      <c r="E1702" t="s">
        <v>65</v>
      </c>
      <c r="F1702" t="s">
        <v>1589</v>
      </c>
      <c r="G1702">
        <v>3350</v>
      </c>
      <c r="H1702" t="s">
        <v>1654</v>
      </c>
      <c r="I1702" t="s">
        <v>1655</v>
      </c>
      <c r="J1702">
        <v>16</v>
      </c>
      <c r="K1702">
        <v>1</v>
      </c>
      <c r="L1702">
        <v>7.407407407407407E-4</v>
      </c>
      <c r="M1702" t="s">
        <v>778</v>
      </c>
      <c r="N1702" t="s">
        <v>1316</v>
      </c>
      <c r="O1702" s="24">
        <v>46132</v>
      </c>
      <c r="P1702">
        <v>606</v>
      </c>
      <c r="Q1702" t="s">
        <v>34</v>
      </c>
      <c r="X1702" t="s">
        <v>3442</v>
      </c>
    </row>
    <row r="1703" spans="1:24" x14ac:dyDescent="0.25">
      <c r="A1703">
        <v>1699</v>
      </c>
      <c r="B1703" t="s">
        <v>28</v>
      </c>
      <c r="C1703" t="s">
        <v>25</v>
      </c>
      <c r="D1703">
        <v>14</v>
      </c>
      <c r="E1703" t="s">
        <v>65</v>
      </c>
      <c r="F1703" t="s">
        <v>1591</v>
      </c>
      <c r="G1703">
        <v>3350</v>
      </c>
      <c r="H1703" t="s">
        <v>1656</v>
      </c>
      <c r="I1703" t="s">
        <v>1648</v>
      </c>
      <c r="J1703">
        <v>16</v>
      </c>
      <c r="K1703">
        <v>1</v>
      </c>
      <c r="L1703">
        <v>7.8703703703703705E-4</v>
      </c>
      <c r="M1703" t="s">
        <v>778</v>
      </c>
      <c r="N1703" t="s">
        <v>1316</v>
      </c>
      <c r="O1703" s="24">
        <v>46132</v>
      </c>
      <c r="P1703">
        <v>606</v>
      </c>
      <c r="Q1703" t="s">
        <v>34</v>
      </c>
      <c r="X1703" t="s">
        <v>3442</v>
      </c>
    </row>
    <row r="1704" spans="1:24" x14ac:dyDescent="0.25">
      <c r="A1704">
        <v>1700</v>
      </c>
      <c r="B1704" t="s">
        <v>28</v>
      </c>
      <c r="C1704" t="s">
        <v>25</v>
      </c>
      <c r="D1704">
        <v>14</v>
      </c>
      <c r="E1704" t="s">
        <v>65</v>
      </c>
      <c r="F1704" t="s">
        <v>1591</v>
      </c>
      <c r="G1704">
        <v>3350</v>
      </c>
      <c r="H1704" t="s">
        <v>1657</v>
      </c>
      <c r="I1704" t="s">
        <v>1658</v>
      </c>
      <c r="J1704">
        <v>16</v>
      </c>
      <c r="K1704">
        <v>1</v>
      </c>
      <c r="L1704">
        <v>6.5972222222222224E-4</v>
      </c>
      <c r="M1704" t="s">
        <v>778</v>
      </c>
      <c r="N1704" t="s">
        <v>1316</v>
      </c>
      <c r="O1704" s="24">
        <v>46132</v>
      </c>
      <c r="P1704">
        <v>606</v>
      </c>
      <c r="Q1704" t="s">
        <v>34</v>
      </c>
      <c r="X1704" t="s">
        <v>3442</v>
      </c>
    </row>
    <row r="1705" spans="1:24" x14ac:dyDescent="0.25">
      <c r="A1705">
        <v>1701</v>
      </c>
      <c r="B1705" t="s">
        <v>28</v>
      </c>
      <c r="C1705" t="s">
        <v>25</v>
      </c>
      <c r="D1705">
        <v>14</v>
      </c>
      <c r="E1705" t="s">
        <v>65</v>
      </c>
      <c r="F1705" t="s">
        <v>1591</v>
      </c>
      <c r="G1705">
        <v>3350</v>
      </c>
      <c r="H1705" t="s">
        <v>1659</v>
      </c>
      <c r="I1705" t="s">
        <v>1660</v>
      </c>
      <c r="J1705">
        <v>16</v>
      </c>
      <c r="K1705">
        <v>1</v>
      </c>
      <c r="L1705">
        <v>7.407407407407407E-4</v>
      </c>
      <c r="M1705" t="s">
        <v>778</v>
      </c>
      <c r="N1705" t="s">
        <v>1316</v>
      </c>
      <c r="O1705" s="24">
        <v>46132</v>
      </c>
      <c r="P1705">
        <v>606</v>
      </c>
      <c r="Q1705" t="s">
        <v>34</v>
      </c>
      <c r="X1705" t="s">
        <v>3442</v>
      </c>
    </row>
    <row r="1706" spans="1:24" x14ac:dyDescent="0.25">
      <c r="A1706">
        <v>1702</v>
      </c>
      <c r="B1706" t="s">
        <v>28</v>
      </c>
      <c r="C1706" t="s">
        <v>25</v>
      </c>
      <c r="D1706">
        <v>14</v>
      </c>
      <c r="E1706" t="s">
        <v>65</v>
      </c>
      <c r="F1706" t="s">
        <v>1598</v>
      </c>
      <c r="G1706">
        <v>3350</v>
      </c>
      <c r="H1706" t="s">
        <v>1661</v>
      </c>
      <c r="I1706" t="s">
        <v>1662</v>
      </c>
      <c r="J1706">
        <v>16</v>
      </c>
      <c r="K1706">
        <v>2</v>
      </c>
      <c r="L1706">
        <v>2.4884259259259256E-3</v>
      </c>
      <c r="M1706" t="s">
        <v>778</v>
      </c>
      <c r="N1706" t="s">
        <v>1316</v>
      </c>
      <c r="O1706" s="24">
        <v>46132</v>
      </c>
      <c r="P1706">
        <v>606</v>
      </c>
      <c r="Q1706" t="s">
        <v>34</v>
      </c>
      <c r="X1706" t="s">
        <v>3442</v>
      </c>
    </row>
    <row r="1707" spans="1:24" x14ac:dyDescent="0.25">
      <c r="A1707">
        <v>1703</v>
      </c>
      <c r="B1707" t="s">
        <v>28</v>
      </c>
      <c r="C1707" t="s">
        <v>25</v>
      </c>
      <c r="D1707">
        <v>14</v>
      </c>
      <c r="E1707" t="s">
        <v>1665</v>
      </c>
      <c r="F1707" t="s">
        <v>115</v>
      </c>
      <c r="G1707">
        <v>3351</v>
      </c>
      <c r="H1707" t="s">
        <v>1663</v>
      </c>
      <c r="I1707" t="s">
        <v>1664</v>
      </c>
      <c r="J1707">
        <v>16</v>
      </c>
      <c r="K1707">
        <v>1</v>
      </c>
      <c r="L1707">
        <v>1.5046296296296296E-3</v>
      </c>
      <c r="M1707" t="s">
        <v>778</v>
      </c>
      <c r="N1707" t="s">
        <v>1316</v>
      </c>
      <c r="O1707" s="24">
        <v>46132</v>
      </c>
      <c r="P1707">
        <v>606</v>
      </c>
      <c r="Q1707" t="s">
        <v>34</v>
      </c>
      <c r="X1707" t="s">
        <v>3443</v>
      </c>
    </row>
    <row r="1708" spans="1:24" x14ac:dyDescent="0.25">
      <c r="A1708">
        <v>1704</v>
      </c>
      <c r="B1708" t="s">
        <v>28</v>
      </c>
      <c r="C1708" t="s">
        <v>25</v>
      </c>
      <c r="D1708">
        <v>14</v>
      </c>
      <c r="E1708" t="s">
        <v>1588</v>
      </c>
      <c r="F1708" t="s">
        <v>1588</v>
      </c>
      <c r="G1708">
        <v>3351</v>
      </c>
      <c r="H1708" t="s">
        <v>1667</v>
      </c>
      <c r="I1708" t="s">
        <v>1668</v>
      </c>
      <c r="J1708">
        <v>16</v>
      </c>
      <c r="K1708">
        <v>2</v>
      </c>
      <c r="L1708">
        <v>1.4583333333333332E-3</v>
      </c>
      <c r="M1708" t="s">
        <v>778</v>
      </c>
      <c r="N1708" t="s">
        <v>1316</v>
      </c>
      <c r="O1708" s="24">
        <v>46132</v>
      </c>
      <c r="P1708">
        <v>606</v>
      </c>
      <c r="Q1708" t="s">
        <v>34</v>
      </c>
      <c r="X1708" t="s">
        <v>3443</v>
      </c>
    </row>
    <row r="1709" spans="1:24" x14ac:dyDescent="0.25">
      <c r="A1709">
        <v>1705</v>
      </c>
      <c r="B1709" t="s">
        <v>28</v>
      </c>
      <c r="C1709" t="s">
        <v>25</v>
      </c>
      <c r="D1709">
        <v>14</v>
      </c>
      <c r="E1709" t="s">
        <v>1588</v>
      </c>
      <c r="F1709" t="s">
        <v>1588</v>
      </c>
      <c r="G1709">
        <v>3351</v>
      </c>
      <c r="H1709" t="s">
        <v>1669</v>
      </c>
      <c r="I1709" t="s">
        <v>1670</v>
      </c>
      <c r="J1709">
        <v>16</v>
      </c>
      <c r="K1709">
        <v>2</v>
      </c>
      <c r="L1709">
        <v>1.4699074074074074E-3</v>
      </c>
      <c r="M1709" t="s">
        <v>778</v>
      </c>
      <c r="N1709" t="s">
        <v>1316</v>
      </c>
      <c r="O1709" s="24">
        <v>46132</v>
      </c>
      <c r="P1709">
        <v>606</v>
      </c>
      <c r="Q1709" t="s">
        <v>34</v>
      </c>
      <c r="X1709" t="s">
        <v>3443</v>
      </c>
    </row>
    <row r="1710" spans="1:24" x14ac:dyDescent="0.25">
      <c r="A1710">
        <v>1706</v>
      </c>
      <c r="B1710" t="s">
        <v>28</v>
      </c>
      <c r="C1710" t="s">
        <v>25</v>
      </c>
      <c r="D1710">
        <v>14</v>
      </c>
      <c r="E1710" t="s">
        <v>1672</v>
      </c>
      <c r="F1710" t="s">
        <v>115</v>
      </c>
      <c r="G1710">
        <v>3351</v>
      </c>
      <c r="H1710" t="s">
        <v>1671</v>
      </c>
      <c r="I1710" t="s">
        <v>1664</v>
      </c>
      <c r="J1710">
        <v>16</v>
      </c>
      <c r="K1710">
        <v>1</v>
      </c>
      <c r="L1710">
        <v>1.6435185185185185E-3</v>
      </c>
      <c r="M1710" t="s">
        <v>778</v>
      </c>
      <c r="N1710" t="s">
        <v>1316</v>
      </c>
      <c r="O1710" s="24">
        <v>46132</v>
      </c>
      <c r="P1710">
        <v>606</v>
      </c>
      <c r="Q1710" t="s">
        <v>34</v>
      </c>
      <c r="X1710" t="s">
        <v>3443</v>
      </c>
    </row>
    <row r="1711" spans="1:24" x14ac:dyDescent="0.25">
      <c r="A1711">
        <v>1707</v>
      </c>
      <c r="B1711" t="s">
        <v>28</v>
      </c>
      <c r="C1711" t="s">
        <v>25</v>
      </c>
      <c r="D1711">
        <v>14</v>
      </c>
      <c r="E1711" t="s">
        <v>367</v>
      </c>
      <c r="F1711" t="s">
        <v>368</v>
      </c>
      <c r="G1711">
        <v>3351</v>
      </c>
      <c r="H1711" t="s">
        <v>1673</v>
      </c>
      <c r="I1711" t="s">
        <v>1674</v>
      </c>
      <c r="J1711">
        <v>16</v>
      </c>
      <c r="K1711">
        <v>1</v>
      </c>
      <c r="L1711">
        <v>1.5162037037037036E-3</v>
      </c>
      <c r="M1711" t="s">
        <v>778</v>
      </c>
      <c r="N1711" t="s">
        <v>1316</v>
      </c>
      <c r="O1711" s="24">
        <v>46132</v>
      </c>
      <c r="P1711">
        <v>606</v>
      </c>
      <c r="Q1711" t="s">
        <v>34</v>
      </c>
      <c r="X1711" t="s">
        <v>3443</v>
      </c>
    </row>
    <row r="1712" spans="1:24" x14ac:dyDescent="0.25">
      <c r="A1712">
        <v>1708</v>
      </c>
      <c r="B1712" t="s">
        <v>28</v>
      </c>
      <c r="C1712" t="s">
        <v>25</v>
      </c>
      <c r="D1712">
        <v>14</v>
      </c>
      <c r="E1712" t="s">
        <v>367</v>
      </c>
      <c r="F1712" t="s">
        <v>368</v>
      </c>
      <c r="G1712">
        <v>3351</v>
      </c>
      <c r="H1712" t="s">
        <v>1675</v>
      </c>
      <c r="I1712" t="s">
        <v>1676</v>
      </c>
      <c r="J1712">
        <v>16</v>
      </c>
      <c r="K1712">
        <v>1</v>
      </c>
      <c r="L1712">
        <v>6.4814814814814813E-4</v>
      </c>
      <c r="M1712" t="s">
        <v>778</v>
      </c>
      <c r="N1712" t="s">
        <v>1316</v>
      </c>
      <c r="O1712" s="24">
        <v>46132</v>
      </c>
      <c r="P1712">
        <v>606</v>
      </c>
      <c r="Q1712" t="s">
        <v>34</v>
      </c>
      <c r="X1712" t="s">
        <v>3443</v>
      </c>
    </row>
    <row r="1713" spans="1:24" x14ac:dyDescent="0.25">
      <c r="A1713">
        <v>1709</v>
      </c>
      <c r="B1713" t="s">
        <v>28</v>
      </c>
      <c r="C1713" t="s">
        <v>25</v>
      </c>
      <c r="D1713">
        <v>14</v>
      </c>
      <c r="E1713" t="s">
        <v>367</v>
      </c>
      <c r="F1713" t="s">
        <v>368</v>
      </c>
      <c r="G1713">
        <v>3351</v>
      </c>
      <c r="H1713" t="s">
        <v>1677</v>
      </c>
      <c r="I1713" t="s">
        <v>1674</v>
      </c>
      <c r="J1713">
        <v>16</v>
      </c>
      <c r="K1713">
        <v>1</v>
      </c>
      <c r="L1713">
        <v>1.5162037037037036E-3</v>
      </c>
      <c r="M1713" t="s">
        <v>778</v>
      </c>
      <c r="N1713" t="s">
        <v>1316</v>
      </c>
      <c r="O1713" s="24">
        <v>46132</v>
      </c>
      <c r="P1713">
        <v>606</v>
      </c>
      <c r="Q1713" t="s">
        <v>34</v>
      </c>
      <c r="X1713" t="s">
        <v>3443</v>
      </c>
    </row>
    <row r="1714" spans="1:24" x14ac:dyDescent="0.25">
      <c r="A1714">
        <v>1710</v>
      </c>
      <c r="B1714" t="s">
        <v>28</v>
      </c>
      <c r="C1714" t="s">
        <v>25</v>
      </c>
      <c r="D1714">
        <v>14</v>
      </c>
      <c r="E1714" t="s">
        <v>367</v>
      </c>
      <c r="F1714" t="s">
        <v>368</v>
      </c>
      <c r="G1714">
        <v>3351</v>
      </c>
      <c r="H1714" t="s">
        <v>1678</v>
      </c>
      <c r="I1714" t="s">
        <v>1679</v>
      </c>
      <c r="J1714">
        <v>16</v>
      </c>
      <c r="K1714">
        <v>1</v>
      </c>
      <c r="L1714">
        <v>6.7129629629629625E-4</v>
      </c>
      <c r="M1714" t="s">
        <v>778</v>
      </c>
      <c r="N1714" t="s">
        <v>1316</v>
      </c>
      <c r="O1714" s="24">
        <v>46132</v>
      </c>
      <c r="P1714">
        <v>606</v>
      </c>
      <c r="Q1714" t="s">
        <v>34</v>
      </c>
      <c r="X1714" t="s">
        <v>3443</v>
      </c>
    </row>
    <row r="1715" spans="1:24" x14ac:dyDescent="0.25">
      <c r="A1715">
        <v>1711</v>
      </c>
      <c r="B1715" t="s">
        <v>28</v>
      </c>
      <c r="C1715" t="s">
        <v>25</v>
      </c>
      <c r="D1715">
        <v>14</v>
      </c>
      <c r="E1715" t="s">
        <v>367</v>
      </c>
      <c r="F1715" t="s">
        <v>368</v>
      </c>
      <c r="G1715">
        <v>3351</v>
      </c>
      <c r="H1715" t="s">
        <v>1680</v>
      </c>
      <c r="I1715" t="s">
        <v>1679</v>
      </c>
      <c r="J1715">
        <v>16</v>
      </c>
      <c r="K1715">
        <v>1</v>
      </c>
      <c r="L1715">
        <v>6.7129629629629625E-4</v>
      </c>
      <c r="M1715" t="s">
        <v>778</v>
      </c>
      <c r="N1715" t="s">
        <v>1316</v>
      </c>
      <c r="O1715" s="24">
        <v>46132</v>
      </c>
      <c r="P1715">
        <v>606</v>
      </c>
      <c r="Q1715" t="s">
        <v>34</v>
      </c>
      <c r="X1715" t="s">
        <v>3443</v>
      </c>
    </row>
    <row r="1716" spans="1:24" x14ac:dyDescent="0.25">
      <c r="A1716">
        <v>1712</v>
      </c>
      <c r="B1716" t="s">
        <v>28</v>
      </c>
      <c r="C1716" t="s">
        <v>25</v>
      </c>
      <c r="D1716">
        <v>14</v>
      </c>
      <c r="E1716" t="s">
        <v>367</v>
      </c>
      <c r="F1716" t="s">
        <v>368</v>
      </c>
      <c r="G1716">
        <v>3351</v>
      </c>
      <c r="H1716" t="s">
        <v>1681</v>
      </c>
      <c r="I1716" t="s">
        <v>1676</v>
      </c>
      <c r="J1716">
        <v>16</v>
      </c>
      <c r="K1716">
        <v>1</v>
      </c>
      <c r="L1716">
        <v>7.1759259259259259E-4</v>
      </c>
      <c r="M1716" t="s">
        <v>778</v>
      </c>
      <c r="N1716" t="s">
        <v>1316</v>
      </c>
      <c r="O1716" s="24">
        <v>46132</v>
      </c>
      <c r="P1716">
        <v>606</v>
      </c>
      <c r="Q1716" t="s">
        <v>34</v>
      </c>
      <c r="X1716" t="s">
        <v>3443</v>
      </c>
    </row>
    <row r="1717" spans="1:24" x14ac:dyDescent="0.25">
      <c r="A1717">
        <v>1713</v>
      </c>
      <c r="B1717" t="s">
        <v>28</v>
      </c>
      <c r="C1717" t="s">
        <v>25</v>
      </c>
      <c r="D1717">
        <v>14</v>
      </c>
      <c r="E1717" t="s">
        <v>367</v>
      </c>
      <c r="F1717" t="s">
        <v>367</v>
      </c>
      <c r="G1717">
        <v>3351</v>
      </c>
      <c r="H1717" t="s">
        <v>1682</v>
      </c>
      <c r="I1717" t="s">
        <v>1683</v>
      </c>
      <c r="J1717">
        <v>16</v>
      </c>
      <c r="K1717">
        <v>1</v>
      </c>
      <c r="L1717">
        <v>1.4004629629629629E-3</v>
      </c>
      <c r="M1717" t="s">
        <v>778</v>
      </c>
      <c r="N1717" t="s">
        <v>1316</v>
      </c>
      <c r="O1717" s="24">
        <v>46132</v>
      </c>
      <c r="P1717">
        <v>606</v>
      </c>
      <c r="Q1717" t="s">
        <v>34</v>
      </c>
      <c r="X1717" t="s">
        <v>3443</v>
      </c>
    </row>
    <row r="1718" spans="1:24" x14ac:dyDescent="0.25">
      <c r="A1718">
        <v>1714</v>
      </c>
      <c r="B1718" t="s">
        <v>28</v>
      </c>
      <c r="C1718" t="s">
        <v>25</v>
      </c>
      <c r="D1718">
        <v>14</v>
      </c>
      <c r="E1718" t="s">
        <v>367</v>
      </c>
      <c r="F1718" t="s">
        <v>367</v>
      </c>
      <c r="G1718">
        <v>3351</v>
      </c>
      <c r="H1718" t="s">
        <v>1684</v>
      </c>
      <c r="I1718" t="s">
        <v>1685</v>
      </c>
      <c r="J1718">
        <v>16</v>
      </c>
      <c r="K1718">
        <v>1</v>
      </c>
      <c r="L1718">
        <v>1.0879629629629629E-3</v>
      </c>
      <c r="M1718" t="s">
        <v>778</v>
      </c>
      <c r="N1718" t="s">
        <v>1316</v>
      </c>
      <c r="O1718" s="24">
        <v>46132</v>
      </c>
      <c r="P1718">
        <v>606</v>
      </c>
      <c r="Q1718" t="s">
        <v>34</v>
      </c>
      <c r="X1718" t="s">
        <v>3443</v>
      </c>
    </row>
    <row r="1719" spans="1:24" x14ac:dyDescent="0.25">
      <c r="A1719">
        <v>1715</v>
      </c>
      <c r="B1719" t="s">
        <v>28</v>
      </c>
      <c r="C1719" t="s">
        <v>25</v>
      </c>
      <c r="D1719">
        <v>14</v>
      </c>
      <c r="E1719" t="s">
        <v>367</v>
      </c>
      <c r="F1719" t="s">
        <v>367</v>
      </c>
      <c r="G1719">
        <v>3351</v>
      </c>
      <c r="H1719" t="s">
        <v>1686</v>
      </c>
      <c r="I1719" t="s">
        <v>1685</v>
      </c>
      <c r="J1719">
        <v>16</v>
      </c>
      <c r="K1719">
        <v>1</v>
      </c>
      <c r="L1719">
        <v>8.7962962962962962E-4</v>
      </c>
      <c r="M1719" t="s">
        <v>778</v>
      </c>
      <c r="N1719" t="s">
        <v>1316</v>
      </c>
      <c r="O1719" s="24">
        <v>46132</v>
      </c>
      <c r="P1719">
        <v>606</v>
      </c>
      <c r="Q1719" t="s">
        <v>34</v>
      </c>
      <c r="X1719" t="s">
        <v>3443</v>
      </c>
    </row>
    <row r="1720" spans="1:24" x14ac:dyDescent="0.25">
      <c r="A1720">
        <v>1716</v>
      </c>
      <c r="B1720" t="s">
        <v>28</v>
      </c>
      <c r="C1720" t="s">
        <v>25</v>
      </c>
      <c r="D1720">
        <v>14</v>
      </c>
      <c r="E1720" t="s">
        <v>367</v>
      </c>
      <c r="F1720" t="s">
        <v>367</v>
      </c>
      <c r="G1720">
        <v>3351</v>
      </c>
      <c r="H1720" t="s">
        <v>1687</v>
      </c>
      <c r="I1720" t="s">
        <v>1683</v>
      </c>
      <c r="J1720">
        <v>16</v>
      </c>
      <c r="K1720">
        <v>1</v>
      </c>
      <c r="L1720">
        <v>1.4004629629629629E-3</v>
      </c>
      <c r="M1720" t="s">
        <v>778</v>
      </c>
      <c r="N1720" t="s">
        <v>1316</v>
      </c>
      <c r="O1720" s="24">
        <v>46132</v>
      </c>
      <c r="P1720">
        <v>606</v>
      </c>
      <c r="Q1720" t="s">
        <v>34</v>
      </c>
      <c r="X1720" t="s">
        <v>3443</v>
      </c>
    </row>
    <row r="1721" spans="1:24" x14ac:dyDescent="0.25">
      <c r="A1721">
        <v>1717</v>
      </c>
      <c r="B1721" t="s">
        <v>28</v>
      </c>
      <c r="C1721" t="s">
        <v>25</v>
      </c>
      <c r="D1721">
        <v>14</v>
      </c>
      <c r="E1721" t="s">
        <v>367</v>
      </c>
      <c r="F1721" t="s">
        <v>512</v>
      </c>
      <c r="G1721">
        <v>3351</v>
      </c>
      <c r="H1721" t="s">
        <v>1688</v>
      </c>
      <c r="I1721" t="s">
        <v>1689</v>
      </c>
      <c r="J1721">
        <v>16</v>
      </c>
      <c r="K1721">
        <v>1</v>
      </c>
      <c r="L1721">
        <v>8.5648148148148139E-4</v>
      </c>
      <c r="M1721" t="s">
        <v>778</v>
      </c>
      <c r="N1721" t="s">
        <v>1316</v>
      </c>
      <c r="O1721" s="24">
        <v>46132</v>
      </c>
      <c r="P1721">
        <v>606</v>
      </c>
      <c r="Q1721" t="s">
        <v>34</v>
      </c>
      <c r="X1721" t="s">
        <v>3443</v>
      </c>
    </row>
    <row r="1722" spans="1:24" x14ac:dyDescent="0.25">
      <c r="A1722">
        <v>1718</v>
      </c>
      <c r="B1722" t="s">
        <v>28</v>
      </c>
      <c r="C1722" t="s">
        <v>25</v>
      </c>
      <c r="D1722">
        <v>14</v>
      </c>
      <c r="E1722" t="s">
        <v>65</v>
      </c>
      <c r="F1722" t="s">
        <v>512</v>
      </c>
      <c r="G1722">
        <v>3351</v>
      </c>
      <c r="H1722" t="s">
        <v>1690</v>
      </c>
      <c r="I1722" t="s">
        <v>1674</v>
      </c>
      <c r="J1722">
        <v>16</v>
      </c>
      <c r="K1722">
        <v>1</v>
      </c>
      <c r="L1722">
        <v>1.3310185185185185E-3</v>
      </c>
      <c r="M1722" t="s">
        <v>778</v>
      </c>
      <c r="N1722" t="s">
        <v>1316</v>
      </c>
      <c r="O1722" s="24">
        <v>46132</v>
      </c>
      <c r="P1722">
        <v>606</v>
      </c>
      <c r="Q1722" t="s">
        <v>34</v>
      </c>
      <c r="X1722" t="s">
        <v>3443</v>
      </c>
    </row>
    <row r="1723" spans="1:24" x14ac:dyDescent="0.25">
      <c r="A1723">
        <v>1719</v>
      </c>
      <c r="B1723" t="s">
        <v>28</v>
      </c>
      <c r="C1723" t="s">
        <v>25</v>
      </c>
      <c r="D1723">
        <v>14</v>
      </c>
      <c r="E1723" t="s">
        <v>65</v>
      </c>
      <c r="F1723" t="s">
        <v>512</v>
      </c>
      <c r="G1723">
        <v>3351</v>
      </c>
      <c r="H1723" t="s">
        <v>1691</v>
      </c>
      <c r="I1723" t="s">
        <v>1674</v>
      </c>
      <c r="J1723">
        <v>16</v>
      </c>
      <c r="K1723">
        <v>1</v>
      </c>
      <c r="L1723">
        <v>1.1574074074074073E-3</v>
      </c>
      <c r="M1723" t="s">
        <v>778</v>
      </c>
      <c r="N1723" t="s">
        <v>1316</v>
      </c>
      <c r="O1723" s="24">
        <v>46132</v>
      </c>
      <c r="P1723">
        <v>606</v>
      </c>
      <c r="Q1723" t="s">
        <v>34</v>
      </c>
      <c r="X1723" t="s">
        <v>3443</v>
      </c>
    </row>
    <row r="1724" spans="1:24" x14ac:dyDescent="0.25">
      <c r="A1724">
        <v>1720</v>
      </c>
      <c r="B1724" t="s">
        <v>28</v>
      </c>
      <c r="C1724" t="s">
        <v>25</v>
      </c>
      <c r="D1724">
        <v>14</v>
      </c>
      <c r="E1724" t="s">
        <v>65</v>
      </c>
      <c r="F1724" t="s">
        <v>512</v>
      </c>
      <c r="G1724">
        <v>3351</v>
      </c>
      <c r="H1724" t="s">
        <v>1692</v>
      </c>
      <c r="I1724" t="s">
        <v>1693</v>
      </c>
      <c r="J1724">
        <v>16</v>
      </c>
      <c r="K1724">
        <v>1</v>
      </c>
      <c r="L1724">
        <v>6.2500000000000001E-4</v>
      </c>
      <c r="M1724" t="s">
        <v>778</v>
      </c>
      <c r="N1724" t="s">
        <v>1316</v>
      </c>
      <c r="O1724" s="24">
        <v>46132</v>
      </c>
      <c r="P1724">
        <v>606</v>
      </c>
      <c r="Q1724" t="s">
        <v>34</v>
      </c>
      <c r="X1724" t="s">
        <v>3443</v>
      </c>
    </row>
    <row r="1725" spans="1:24" x14ac:dyDescent="0.25">
      <c r="A1725">
        <v>1721</v>
      </c>
      <c r="B1725" t="s">
        <v>28</v>
      </c>
      <c r="C1725" t="s">
        <v>25</v>
      </c>
      <c r="D1725">
        <v>14</v>
      </c>
      <c r="E1725" t="s">
        <v>65</v>
      </c>
      <c r="F1725" t="s">
        <v>512</v>
      </c>
      <c r="G1725">
        <v>3351</v>
      </c>
      <c r="H1725" t="s">
        <v>1694</v>
      </c>
      <c r="I1725" t="s">
        <v>1693</v>
      </c>
      <c r="J1725">
        <v>16</v>
      </c>
      <c r="K1725">
        <v>1</v>
      </c>
      <c r="L1725">
        <v>6.2500000000000001E-4</v>
      </c>
      <c r="M1725" t="s">
        <v>778</v>
      </c>
      <c r="N1725" t="s">
        <v>1316</v>
      </c>
      <c r="O1725" s="24">
        <v>46132</v>
      </c>
      <c r="P1725">
        <v>606</v>
      </c>
      <c r="Q1725" t="s">
        <v>34</v>
      </c>
      <c r="X1725" t="s">
        <v>3443</v>
      </c>
    </row>
    <row r="1726" spans="1:24" x14ac:dyDescent="0.25">
      <c r="A1726">
        <v>1722</v>
      </c>
      <c r="B1726" t="s">
        <v>28</v>
      </c>
      <c r="C1726" t="s">
        <v>25</v>
      </c>
      <c r="D1726">
        <v>14</v>
      </c>
      <c r="E1726" t="s">
        <v>65</v>
      </c>
      <c r="F1726" t="s">
        <v>368</v>
      </c>
      <c r="G1726">
        <v>3351</v>
      </c>
      <c r="H1726" t="s">
        <v>1695</v>
      </c>
      <c r="I1726" t="s">
        <v>1696</v>
      </c>
      <c r="J1726">
        <v>16</v>
      </c>
      <c r="K1726">
        <v>1</v>
      </c>
      <c r="L1726">
        <v>9.2592592592592585E-4</v>
      </c>
      <c r="M1726" t="s">
        <v>778</v>
      </c>
      <c r="N1726" t="s">
        <v>1316</v>
      </c>
      <c r="O1726" s="24">
        <v>46132</v>
      </c>
      <c r="P1726">
        <v>606</v>
      </c>
      <c r="Q1726" t="s">
        <v>34</v>
      </c>
      <c r="X1726" t="s">
        <v>3443</v>
      </c>
    </row>
    <row r="1727" spans="1:24" x14ac:dyDescent="0.25">
      <c r="A1727">
        <v>1723</v>
      </c>
      <c r="B1727" t="s">
        <v>28</v>
      </c>
      <c r="C1727" t="s">
        <v>25</v>
      </c>
      <c r="D1727">
        <v>14</v>
      </c>
      <c r="E1727" t="s">
        <v>65</v>
      </c>
      <c r="F1727" t="s">
        <v>1589</v>
      </c>
      <c r="G1727">
        <v>3351</v>
      </c>
      <c r="H1727" t="s">
        <v>1697</v>
      </c>
      <c r="I1727" t="s">
        <v>1698</v>
      </c>
      <c r="J1727">
        <v>16</v>
      </c>
      <c r="K1727">
        <v>1</v>
      </c>
      <c r="L1727">
        <v>5.5555555555555556E-4</v>
      </c>
      <c r="M1727" t="s">
        <v>778</v>
      </c>
      <c r="N1727" t="s">
        <v>1316</v>
      </c>
      <c r="O1727" s="24">
        <v>46132</v>
      </c>
      <c r="P1727">
        <v>606</v>
      </c>
      <c r="Q1727" t="s">
        <v>34</v>
      </c>
      <c r="X1727" t="s">
        <v>3443</v>
      </c>
    </row>
    <row r="1728" spans="1:24" x14ac:dyDescent="0.25">
      <c r="A1728">
        <v>1724</v>
      </c>
      <c r="B1728" t="s">
        <v>28</v>
      </c>
      <c r="C1728" t="s">
        <v>25</v>
      </c>
      <c r="D1728">
        <v>14</v>
      </c>
      <c r="E1728" t="s">
        <v>65</v>
      </c>
      <c r="F1728" t="s">
        <v>1589</v>
      </c>
      <c r="G1728">
        <v>3351</v>
      </c>
      <c r="H1728" t="s">
        <v>1699</v>
      </c>
      <c r="I1728" t="s">
        <v>1700</v>
      </c>
      <c r="J1728">
        <v>16</v>
      </c>
      <c r="K1728">
        <v>1</v>
      </c>
      <c r="L1728">
        <v>5.2083333333333333E-4</v>
      </c>
      <c r="M1728" t="s">
        <v>778</v>
      </c>
      <c r="N1728" t="s">
        <v>1316</v>
      </c>
      <c r="O1728" s="24">
        <v>46132</v>
      </c>
      <c r="P1728">
        <v>606</v>
      </c>
      <c r="Q1728" t="s">
        <v>34</v>
      </c>
      <c r="X1728" t="s">
        <v>3443</v>
      </c>
    </row>
    <row r="1729" spans="1:24" x14ac:dyDescent="0.25">
      <c r="A1729">
        <v>1725</v>
      </c>
      <c r="B1729" t="s">
        <v>28</v>
      </c>
      <c r="C1729" t="s">
        <v>25</v>
      </c>
      <c r="D1729">
        <v>14</v>
      </c>
      <c r="E1729" t="s">
        <v>65</v>
      </c>
      <c r="F1729" t="s">
        <v>1589</v>
      </c>
      <c r="G1729">
        <v>3351</v>
      </c>
      <c r="H1729" t="s">
        <v>1701</v>
      </c>
      <c r="I1729" t="s">
        <v>1702</v>
      </c>
      <c r="J1729">
        <v>16</v>
      </c>
      <c r="K1729">
        <v>2</v>
      </c>
      <c r="L1729">
        <v>1.0532407407407407E-3</v>
      </c>
      <c r="M1729" t="s">
        <v>778</v>
      </c>
      <c r="N1729" t="s">
        <v>1316</v>
      </c>
      <c r="O1729" s="24">
        <v>46132</v>
      </c>
      <c r="P1729">
        <v>606</v>
      </c>
      <c r="Q1729" t="s">
        <v>34</v>
      </c>
      <c r="X1729" t="s">
        <v>3443</v>
      </c>
    </row>
    <row r="1730" spans="1:24" x14ac:dyDescent="0.25">
      <c r="A1730">
        <v>1726</v>
      </c>
      <c r="B1730" t="s">
        <v>28</v>
      </c>
      <c r="C1730" t="s">
        <v>25</v>
      </c>
      <c r="D1730">
        <v>14</v>
      </c>
      <c r="E1730" t="s">
        <v>65</v>
      </c>
      <c r="F1730" t="s">
        <v>1591</v>
      </c>
      <c r="G1730">
        <v>3351</v>
      </c>
      <c r="H1730" t="s">
        <v>1703</v>
      </c>
      <c r="I1730" t="s">
        <v>1700</v>
      </c>
      <c r="J1730">
        <v>16</v>
      </c>
      <c r="K1730">
        <v>1</v>
      </c>
      <c r="L1730">
        <v>5.2083333333333333E-4</v>
      </c>
      <c r="M1730" t="s">
        <v>778</v>
      </c>
      <c r="N1730" t="s">
        <v>1316</v>
      </c>
      <c r="O1730" s="24">
        <v>46132</v>
      </c>
      <c r="P1730">
        <v>606</v>
      </c>
      <c r="Q1730" t="s">
        <v>34</v>
      </c>
      <c r="X1730" t="s">
        <v>3443</v>
      </c>
    </row>
    <row r="1731" spans="1:24" x14ac:dyDescent="0.25">
      <c r="A1731">
        <v>1727</v>
      </c>
      <c r="B1731" t="s">
        <v>28</v>
      </c>
      <c r="C1731" t="s">
        <v>25</v>
      </c>
      <c r="D1731">
        <v>14</v>
      </c>
      <c r="E1731" t="s">
        <v>65</v>
      </c>
      <c r="F1731" t="s">
        <v>1591</v>
      </c>
      <c r="G1731">
        <v>3351</v>
      </c>
      <c r="H1731" t="s">
        <v>1704</v>
      </c>
      <c r="I1731" t="s">
        <v>1702</v>
      </c>
      <c r="J1731">
        <v>16</v>
      </c>
      <c r="K1731">
        <v>2</v>
      </c>
      <c r="L1731">
        <v>1.0532407407407407E-3</v>
      </c>
      <c r="M1731" t="s">
        <v>778</v>
      </c>
      <c r="N1731" t="s">
        <v>1316</v>
      </c>
      <c r="O1731" s="24">
        <v>46132</v>
      </c>
      <c r="P1731">
        <v>606</v>
      </c>
      <c r="Q1731" t="s">
        <v>34</v>
      </c>
      <c r="X1731" t="s">
        <v>3443</v>
      </c>
    </row>
    <row r="1732" spans="1:24" x14ac:dyDescent="0.25">
      <c r="A1732">
        <v>1728</v>
      </c>
      <c r="B1732" t="s">
        <v>28</v>
      </c>
      <c r="C1732" t="s">
        <v>25</v>
      </c>
      <c r="D1732">
        <v>14</v>
      </c>
      <c r="E1732" t="s">
        <v>65</v>
      </c>
      <c r="F1732" t="s">
        <v>1591</v>
      </c>
      <c r="G1732">
        <v>3351</v>
      </c>
      <c r="H1732" t="s">
        <v>1705</v>
      </c>
      <c r="I1732" t="s">
        <v>1706</v>
      </c>
      <c r="J1732">
        <v>16</v>
      </c>
      <c r="K1732">
        <v>2</v>
      </c>
      <c r="L1732">
        <v>1.8518518518518517E-3</v>
      </c>
      <c r="M1732" t="s">
        <v>778</v>
      </c>
      <c r="N1732" t="s">
        <v>1316</v>
      </c>
      <c r="O1732" s="24">
        <v>46132</v>
      </c>
      <c r="P1732">
        <v>606</v>
      </c>
      <c r="Q1732" t="s">
        <v>34</v>
      </c>
      <c r="X1732" t="s">
        <v>3443</v>
      </c>
    </row>
    <row r="1733" spans="1:24" x14ac:dyDescent="0.25">
      <c r="A1733">
        <v>1729</v>
      </c>
      <c r="B1733" t="s">
        <v>28</v>
      </c>
      <c r="C1733" t="s">
        <v>25</v>
      </c>
      <c r="D1733">
        <v>14</v>
      </c>
      <c r="E1733" t="s">
        <v>65</v>
      </c>
      <c r="F1733" t="s">
        <v>1591</v>
      </c>
      <c r="G1733">
        <v>3351</v>
      </c>
      <c r="H1733" t="s">
        <v>1707</v>
      </c>
      <c r="I1733" t="s">
        <v>1706</v>
      </c>
      <c r="J1733">
        <v>16</v>
      </c>
      <c r="K1733">
        <v>2</v>
      </c>
      <c r="L1733">
        <v>1.8518518518518517E-3</v>
      </c>
      <c r="M1733" t="s">
        <v>778</v>
      </c>
      <c r="N1733" t="s">
        <v>1316</v>
      </c>
      <c r="O1733" s="24">
        <v>46132</v>
      </c>
      <c r="P1733">
        <v>606</v>
      </c>
      <c r="Q1733" t="s">
        <v>34</v>
      </c>
      <c r="X1733" t="s">
        <v>3443</v>
      </c>
    </row>
    <row r="1734" spans="1:24" x14ac:dyDescent="0.25">
      <c r="A1734">
        <v>1730</v>
      </c>
      <c r="B1734" t="s">
        <v>28</v>
      </c>
      <c r="C1734" t="s">
        <v>25</v>
      </c>
      <c r="D1734">
        <v>14</v>
      </c>
      <c r="E1734" t="s">
        <v>65</v>
      </c>
      <c r="F1734" t="s">
        <v>512</v>
      </c>
      <c r="G1734">
        <v>3351</v>
      </c>
      <c r="H1734" t="s">
        <v>1708</v>
      </c>
      <c r="I1734" t="s">
        <v>1706</v>
      </c>
      <c r="J1734">
        <v>16</v>
      </c>
      <c r="K1734">
        <v>2</v>
      </c>
      <c r="L1734">
        <v>1.8518518518518517E-3</v>
      </c>
      <c r="M1734" t="s">
        <v>778</v>
      </c>
      <c r="N1734" t="s">
        <v>1316</v>
      </c>
      <c r="O1734" s="24">
        <v>46132</v>
      </c>
      <c r="P1734">
        <v>606</v>
      </c>
      <c r="Q1734" t="s">
        <v>34</v>
      </c>
      <c r="X1734" t="s">
        <v>3443</v>
      </c>
    </row>
    <row r="1735" spans="1:24" x14ac:dyDescent="0.25">
      <c r="A1735">
        <v>1731</v>
      </c>
      <c r="B1735" t="s">
        <v>28</v>
      </c>
      <c r="C1735" t="s">
        <v>25</v>
      </c>
      <c r="D1735">
        <v>14</v>
      </c>
      <c r="E1735" t="s">
        <v>65</v>
      </c>
      <c r="F1735" t="s">
        <v>512</v>
      </c>
      <c r="G1735">
        <v>3351</v>
      </c>
      <c r="H1735" t="s">
        <v>1709</v>
      </c>
      <c r="I1735" t="s">
        <v>1710</v>
      </c>
      <c r="J1735">
        <v>16</v>
      </c>
      <c r="K1735">
        <v>2</v>
      </c>
      <c r="L1735">
        <v>1.9907407407407408E-3</v>
      </c>
      <c r="M1735" t="s">
        <v>778</v>
      </c>
      <c r="N1735" t="s">
        <v>1316</v>
      </c>
      <c r="O1735" s="24">
        <v>46132</v>
      </c>
      <c r="P1735">
        <v>606</v>
      </c>
      <c r="Q1735" t="s">
        <v>34</v>
      </c>
      <c r="X1735" t="s">
        <v>3443</v>
      </c>
    </row>
    <row r="1736" spans="1:24" x14ac:dyDescent="0.25">
      <c r="A1736">
        <v>1732</v>
      </c>
      <c r="B1736" t="s">
        <v>28</v>
      </c>
      <c r="C1736" t="s">
        <v>25</v>
      </c>
      <c r="D1736">
        <v>14</v>
      </c>
      <c r="E1736" t="s">
        <v>530</v>
      </c>
      <c r="F1736" t="s">
        <v>530</v>
      </c>
      <c r="G1736">
        <v>3352</v>
      </c>
      <c r="H1736" t="s">
        <v>1639</v>
      </c>
      <c r="I1736" t="s">
        <v>1640</v>
      </c>
      <c r="J1736">
        <v>16</v>
      </c>
      <c r="K1736">
        <v>1</v>
      </c>
      <c r="L1736">
        <v>5.3240740740740744E-4</v>
      </c>
      <c r="M1736" t="s">
        <v>778</v>
      </c>
      <c r="N1736" t="s">
        <v>1316</v>
      </c>
      <c r="O1736" s="24">
        <v>46132</v>
      </c>
      <c r="P1736">
        <v>606</v>
      </c>
      <c r="Q1736" t="s">
        <v>34</v>
      </c>
      <c r="X1736" t="s">
        <v>3444</v>
      </c>
    </row>
    <row r="1737" spans="1:24" x14ac:dyDescent="0.25">
      <c r="A1737">
        <v>1733</v>
      </c>
      <c r="B1737" t="s">
        <v>28</v>
      </c>
      <c r="C1737" t="s">
        <v>25</v>
      </c>
      <c r="D1737">
        <v>14</v>
      </c>
      <c r="E1737" t="s">
        <v>530</v>
      </c>
      <c r="F1737" t="s">
        <v>530</v>
      </c>
      <c r="G1737">
        <v>3352</v>
      </c>
      <c r="H1737" t="s">
        <v>1712</v>
      </c>
      <c r="I1737" t="s">
        <v>1670</v>
      </c>
      <c r="J1737">
        <v>16</v>
      </c>
      <c r="K1737">
        <v>2</v>
      </c>
      <c r="L1737">
        <v>1.1689814814814813E-3</v>
      </c>
      <c r="M1737" t="s">
        <v>778</v>
      </c>
      <c r="N1737" t="s">
        <v>1316</v>
      </c>
      <c r="O1737" s="24">
        <v>46132</v>
      </c>
      <c r="P1737">
        <v>606</v>
      </c>
      <c r="Q1737" t="s">
        <v>34</v>
      </c>
      <c r="X1737" t="s">
        <v>3444</v>
      </c>
    </row>
    <row r="1738" spans="1:24" x14ac:dyDescent="0.25">
      <c r="A1738">
        <v>1734</v>
      </c>
      <c r="B1738" t="s">
        <v>28</v>
      </c>
      <c r="C1738" t="s">
        <v>25</v>
      </c>
      <c r="D1738">
        <v>14</v>
      </c>
      <c r="E1738" t="s">
        <v>1588</v>
      </c>
      <c r="F1738" t="s">
        <v>1588</v>
      </c>
      <c r="G1738">
        <v>3352</v>
      </c>
      <c r="H1738" t="s">
        <v>1713</v>
      </c>
      <c r="I1738" t="s">
        <v>1714</v>
      </c>
      <c r="J1738">
        <v>16</v>
      </c>
      <c r="K1738">
        <v>5</v>
      </c>
      <c r="L1738">
        <v>2.8819444444444444E-3</v>
      </c>
      <c r="M1738" t="s">
        <v>778</v>
      </c>
      <c r="N1738" t="s">
        <v>1316</v>
      </c>
      <c r="O1738" s="24">
        <v>46132</v>
      </c>
      <c r="P1738">
        <v>606</v>
      </c>
      <c r="Q1738" t="s">
        <v>34</v>
      </c>
      <c r="X1738" t="s">
        <v>3444</v>
      </c>
    </row>
    <row r="1739" spans="1:24" x14ac:dyDescent="0.25">
      <c r="A1739">
        <v>1735</v>
      </c>
      <c r="B1739" t="s">
        <v>28</v>
      </c>
      <c r="C1739" t="s">
        <v>25</v>
      </c>
      <c r="D1739">
        <v>14</v>
      </c>
      <c r="E1739" t="s">
        <v>1588</v>
      </c>
      <c r="F1739" t="s">
        <v>512</v>
      </c>
      <c r="G1739">
        <v>3352</v>
      </c>
      <c r="H1739" t="s">
        <v>1715</v>
      </c>
      <c r="I1739" t="s">
        <v>1716</v>
      </c>
      <c r="J1739">
        <v>16</v>
      </c>
      <c r="K1739">
        <v>2</v>
      </c>
      <c r="L1739">
        <v>1.2962962962962963E-3</v>
      </c>
      <c r="M1739" t="s">
        <v>778</v>
      </c>
      <c r="N1739" t="s">
        <v>1316</v>
      </c>
      <c r="O1739" s="24">
        <v>46132</v>
      </c>
      <c r="P1739">
        <v>606</v>
      </c>
      <c r="Q1739" t="s">
        <v>34</v>
      </c>
      <c r="X1739" t="s">
        <v>3444</v>
      </c>
    </row>
    <row r="1740" spans="1:24" x14ac:dyDescent="0.25">
      <c r="A1740">
        <v>1736</v>
      </c>
      <c r="B1740" t="s">
        <v>28</v>
      </c>
      <c r="C1740" t="s">
        <v>25</v>
      </c>
      <c r="D1740">
        <v>14</v>
      </c>
      <c r="E1740" t="s">
        <v>1588</v>
      </c>
      <c r="F1740" t="s">
        <v>1588</v>
      </c>
      <c r="G1740">
        <v>3352</v>
      </c>
      <c r="H1740" t="s">
        <v>1717</v>
      </c>
      <c r="I1740" t="s">
        <v>1718</v>
      </c>
      <c r="J1740">
        <v>16</v>
      </c>
      <c r="K1740">
        <v>4</v>
      </c>
      <c r="L1740">
        <v>2.4768518518518516E-3</v>
      </c>
      <c r="M1740" t="s">
        <v>778</v>
      </c>
      <c r="N1740" t="s">
        <v>1316</v>
      </c>
      <c r="O1740" s="24">
        <v>46132</v>
      </c>
      <c r="P1740">
        <v>606</v>
      </c>
      <c r="Q1740" t="s">
        <v>34</v>
      </c>
      <c r="X1740" t="s">
        <v>3444</v>
      </c>
    </row>
    <row r="1741" spans="1:24" x14ac:dyDescent="0.25">
      <c r="A1741">
        <v>1737</v>
      </c>
      <c r="B1741" t="s">
        <v>28</v>
      </c>
      <c r="C1741" t="s">
        <v>25</v>
      </c>
      <c r="D1741">
        <v>14</v>
      </c>
      <c r="E1741" t="s">
        <v>367</v>
      </c>
      <c r="F1741" t="s">
        <v>368</v>
      </c>
      <c r="G1741">
        <v>3352</v>
      </c>
      <c r="H1741" t="s">
        <v>1719</v>
      </c>
      <c r="I1741" t="s">
        <v>1720</v>
      </c>
      <c r="J1741">
        <v>16</v>
      </c>
      <c r="K1741">
        <v>1</v>
      </c>
      <c r="L1741">
        <v>5.9027777777777778E-4</v>
      </c>
      <c r="M1741" t="s">
        <v>778</v>
      </c>
      <c r="N1741" t="s">
        <v>1316</v>
      </c>
      <c r="O1741" s="24">
        <v>46132</v>
      </c>
      <c r="P1741">
        <v>606</v>
      </c>
      <c r="Q1741" t="s">
        <v>34</v>
      </c>
      <c r="X1741" t="s">
        <v>3444</v>
      </c>
    </row>
    <row r="1742" spans="1:24" x14ac:dyDescent="0.25">
      <c r="A1742">
        <v>1738</v>
      </c>
      <c r="B1742" t="s">
        <v>28</v>
      </c>
      <c r="C1742" t="s">
        <v>25</v>
      </c>
      <c r="D1742">
        <v>14</v>
      </c>
      <c r="E1742" t="s">
        <v>367</v>
      </c>
      <c r="F1742" t="s">
        <v>368</v>
      </c>
      <c r="G1742">
        <v>3352</v>
      </c>
      <c r="H1742" t="s">
        <v>1721</v>
      </c>
      <c r="I1742" t="s">
        <v>1722</v>
      </c>
      <c r="J1742">
        <v>16</v>
      </c>
      <c r="K1742">
        <v>2</v>
      </c>
      <c r="L1742">
        <v>1.1342592592592591E-3</v>
      </c>
      <c r="M1742" t="s">
        <v>778</v>
      </c>
      <c r="N1742" t="s">
        <v>1316</v>
      </c>
      <c r="O1742" s="24">
        <v>46132</v>
      </c>
      <c r="P1742">
        <v>606</v>
      </c>
      <c r="Q1742" t="s">
        <v>34</v>
      </c>
      <c r="X1742" t="s">
        <v>3444</v>
      </c>
    </row>
    <row r="1743" spans="1:24" x14ac:dyDescent="0.25">
      <c r="A1743">
        <v>1739</v>
      </c>
      <c r="B1743" t="s">
        <v>28</v>
      </c>
      <c r="C1743" t="s">
        <v>25</v>
      </c>
      <c r="D1743">
        <v>14</v>
      </c>
      <c r="E1743" t="s">
        <v>367</v>
      </c>
      <c r="F1743" t="s">
        <v>1594</v>
      </c>
      <c r="G1743">
        <v>3352</v>
      </c>
      <c r="H1743" t="s">
        <v>1723</v>
      </c>
      <c r="I1743" t="s">
        <v>1724</v>
      </c>
      <c r="J1743">
        <v>16</v>
      </c>
      <c r="K1743">
        <v>2</v>
      </c>
      <c r="L1743">
        <v>1.5162037037037036E-3</v>
      </c>
      <c r="M1743" t="s">
        <v>778</v>
      </c>
      <c r="N1743" t="s">
        <v>1316</v>
      </c>
      <c r="O1743" s="24">
        <v>46132</v>
      </c>
      <c r="P1743">
        <v>606</v>
      </c>
      <c r="Q1743" t="s">
        <v>34</v>
      </c>
      <c r="X1743" t="s">
        <v>3444</v>
      </c>
    </row>
    <row r="1744" spans="1:24" x14ac:dyDescent="0.25">
      <c r="A1744">
        <v>1740</v>
      </c>
      <c r="B1744" t="s">
        <v>28</v>
      </c>
      <c r="C1744" t="s">
        <v>25</v>
      </c>
      <c r="D1744">
        <v>14</v>
      </c>
      <c r="E1744" t="s">
        <v>367</v>
      </c>
      <c r="F1744" t="s">
        <v>512</v>
      </c>
      <c r="G1744">
        <v>3352</v>
      </c>
      <c r="H1744" t="s">
        <v>1725</v>
      </c>
      <c r="I1744" t="s">
        <v>1726</v>
      </c>
      <c r="J1744">
        <v>16</v>
      </c>
      <c r="K1744">
        <v>1</v>
      </c>
      <c r="L1744">
        <v>7.5231481481481482E-4</v>
      </c>
      <c r="M1744" t="s">
        <v>778</v>
      </c>
      <c r="N1744" t="s">
        <v>1316</v>
      </c>
      <c r="O1744" s="24">
        <v>46132</v>
      </c>
      <c r="P1744">
        <v>606</v>
      </c>
      <c r="Q1744" t="s">
        <v>34</v>
      </c>
      <c r="X1744" t="s">
        <v>3444</v>
      </c>
    </row>
    <row r="1745" spans="1:24" x14ac:dyDescent="0.25">
      <c r="A1745">
        <v>1741</v>
      </c>
      <c r="B1745" t="s">
        <v>28</v>
      </c>
      <c r="C1745" t="s">
        <v>25</v>
      </c>
      <c r="D1745">
        <v>14</v>
      </c>
      <c r="E1745" t="s">
        <v>367</v>
      </c>
      <c r="F1745" t="s">
        <v>512</v>
      </c>
      <c r="G1745">
        <v>3352</v>
      </c>
      <c r="H1745" t="s">
        <v>1727</v>
      </c>
      <c r="I1745" t="s">
        <v>1726</v>
      </c>
      <c r="J1745">
        <v>16</v>
      </c>
      <c r="K1745">
        <v>1</v>
      </c>
      <c r="L1745">
        <v>9.1435185185185185E-4</v>
      </c>
      <c r="M1745" t="s">
        <v>778</v>
      </c>
      <c r="N1745" t="s">
        <v>1316</v>
      </c>
      <c r="O1745" s="24">
        <v>46132</v>
      </c>
      <c r="P1745">
        <v>606</v>
      </c>
      <c r="Q1745" t="s">
        <v>34</v>
      </c>
      <c r="X1745" t="s">
        <v>3444</v>
      </c>
    </row>
    <row r="1746" spans="1:24" x14ac:dyDescent="0.25">
      <c r="A1746">
        <v>1742</v>
      </c>
      <c r="B1746" t="s">
        <v>28</v>
      </c>
      <c r="C1746" t="s">
        <v>25</v>
      </c>
      <c r="D1746">
        <v>14</v>
      </c>
      <c r="E1746" t="s">
        <v>65</v>
      </c>
      <c r="F1746" t="s">
        <v>65</v>
      </c>
      <c r="G1746">
        <v>3352</v>
      </c>
      <c r="H1746" t="s">
        <v>1643</v>
      </c>
      <c r="I1746" t="s">
        <v>1644</v>
      </c>
      <c r="J1746">
        <v>16</v>
      </c>
      <c r="K1746">
        <v>4</v>
      </c>
      <c r="L1746">
        <v>2.2222222222222222E-3</v>
      </c>
      <c r="M1746" t="s">
        <v>778</v>
      </c>
      <c r="N1746" t="s">
        <v>1316</v>
      </c>
      <c r="O1746" s="24">
        <v>46132</v>
      </c>
      <c r="P1746">
        <v>606</v>
      </c>
      <c r="Q1746" t="s">
        <v>34</v>
      </c>
      <c r="X1746" t="s">
        <v>3444</v>
      </c>
    </row>
    <row r="1747" spans="1:24" x14ac:dyDescent="0.25">
      <c r="A1747">
        <v>1743</v>
      </c>
      <c r="B1747" t="s">
        <v>28</v>
      </c>
      <c r="C1747" t="s">
        <v>25</v>
      </c>
      <c r="D1747">
        <v>14</v>
      </c>
      <c r="E1747" t="s">
        <v>65</v>
      </c>
      <c r="F1747" t="s">
        <v>368</v>
      </c>
      <c r="G1747">
        <v>3352</v>
      </c>
      <c r="H1747" t="s">
        <v>1728</v>
      </c>
      <c r="I1747" t="s">
        <v>1729</v>
      </c>
      <c r="J1747">
        <v>16</v>
      </c>
      <c r="K1747">
        <v>1</v>
      </c>
      <c r="L1747">
        <v>1.1574074074074073E-3</v>
      </c>
      <c r="M1747" t="s">
        <v>778</v>
      </c>
      <c r="N1747" t="s">
        <v>1316</v>
      </c>
      <c r="O1747" s="24">
        <v>46132</v>
      </c>
      <c r="P1747">
        <v>606</v>
      </c>
      <c r="Q1747" t="s">
        <v>34</v>
      </c>
      <c r="X1747" t="s">
        <v>3444</v>
      </c>
    </row>
    <row r="1748" spans="1:24" x14ac:dyDescent="0.25">
      <c r="A1748">
        <v>1744</v>
      </c>
      <c r="B1748" t="s">
        <v>28</v>
      </c>
      <c r="C1748" t="s">
        <v>25</v>
      </c>
      <c r="D1748">
        <v>14</v>
      </c>
      <c r="E1748" t="s">
        <v>65</v>
      </c>
      <c r="F1748" t="s">
        <v>368</v>
      </c>
      <c r="G1748">
        <v>3352</v>
      </c>
      <c r="H1748" t="s">
        <v>1730</v>
      </c>
      <c r="I1748" t="s">
        <v>1731</v>
      </c>
      <c r="J1748">
        <v>16</v>
      </c>
      <c r="K1748">
        <v>1</v>
      </c>
      <c r="L1748">
        <v>1.1342592592592591E-3</v>
      </c>
      <c r="M1748" t="s">
        <v>778</v>
      </c>
      <c r="N1748" t="s">
        <v>1316</v>
      </c>
      <c r="O1748" s="24">
        <v>46132</v>
      </c>
      <c r="P1748">
        <v>606</v>
      </c>
      <c r="Q1748" t="s">
        <v>34</v>
      </c>
      <c r="X1748" t="s">
        <v>3444</v>
      </c>
    </row>
    <row r="1749" spans="1:24" x14ac:dyDescent="0.25">
      <c r="A1749">
        <v>1745</v>
      </c>
      <c r="B1749" t="s">
        <v>28</v>
      </c>
      <c r="C1749" t="s">
        <v>25</v>
      </c>
      <c r="D1749">
        <v>14</v>
      </c>
      <c r="E1749" t="s">
        <v>65</v>
      </c>
      <c r="F1749" t="s">
        <v>368</v>
      </c>
      <c r="G1749">
        <v>3352</v>
      </c>
      <c r="H1749" t="s">
        <v>1732</v>
      </c>
      <c r="I1749" t="s">
        <v>1733</v>
      </c>
      <c r="J1749">
        <v>16</v>
      </c>
      <c r="K1749">
        <v>1</v>
      </c>
      <c r="L1749">
        <v>1.1689814814814813E-3</v>
      </c>
      <c r="M1749" t="s">
        <v>778</v>
      </c>
      <c r="N1749" t="s">
        <v>1316</v>
      </c>
      <c r="O1749" s="24">
        <v>46132</v>
      </c>
      <c r="P1749">
        <v>606</v>
      </c>
      <c r="Q1749" t="s">
        <v>34</v>
      </c>
      <c r="X1749" t="s">
        <v>3444</v>
      </c>
    </row>
    <row r="1750" spans="1:24" x14ac:dyDescent="0.25">
      <c r="A1750">
        <v>1746</v>
      </c>
      <c r="B1750" t="s">
        <v>28</v>
      </c>
      <c r="C1750" t="s">
        <v>25</v>
      </c>
      <c r="D1750">
        <v>14</v>
      </c>
      <c r="E1750" t="s">
        <v>65</v>
      </c>
      <c r="F1750" t="s">
        <v>368</v>
      </c>
      <c r="G1750">
        <v>3352</v>
      </c>
      <c r="H1750" t="s">
        <v>1734</v>
      </c>
      <c r="I1750" t="s">
        <v>1735</v>
      </c>
      <c r="J1750">
        <v>16</v>
      </c>
      <c r="K1750">
        <v>1</v>
      </c>
      <c r="L1750">
        <v>1.1689814814814813E-3</v>
      </c>
      <c r="M1750" t="s">
        <v>778</v>
      </c>
      <c r="N1750" t="s">
        <v>1316</v>
      </c>
      <c r="O1750" s="24">
        <v>46132</v>
      </c>
      <c r="P1750">
        <v>606</v>
      </c>
      <c r="Q1750" t="s">
        <v>34</v>
      </c>
      <c r="X1750" t="s">
        <v>3444</v>
      </c>
    </row>
    <row r="1751" spans="1:24" x14ac:dyDescent="0.25">
      <c r="A1751">
        <v>1747</v>
      </c>
      <c r="B1751" t="s">
        <v>28</v>
      </c>
      <c r="C1751" t="s">
        <v>25</v>
      </c>
      <c r="D1751">
        <v>14</v>
      </c>
      <c r="E1751" t="s">
        <v>65</v>
      </c>
      <c r="F1751" t="s">
        <v>368</v>
      </c>
      <c r="G1751">
        <v>3352</v>
      </c>
      <c r="H1751" t="s">
        <v>1736</v>
      </c>
      <c r="I1751" t="s">
        <v>1731</v>
      </c>
      <c r="J1751">
        <v>16</v>
      </c>
      <c r="K1751">
        <v>1</v>
      </c>
      <c r="L1751">
        <v>1.1458333333333333E-3</v>
      </c>
      <c r="M1751" t="s">
        <v>778</v>
      </c>
      <c r="N1751" t="s">
        <v>1316</v>
      </c>
      <c r="O1751" s="24">
        <v>46132</v>
      </c>
      <c r="P1751">
        <v>606</v>
      </c>
      <c r="Q1751" t="s">
        <v>34</v>
      </c>
      <c r="X1751" t="s">
        <v>3444</v>
      </c>
    </row>
    <row r="1752" spans="1:24" x14ac:dyDescent="0.25">
      <c r="A1752">
        <v>1748</v>
      </c>
      <c r="B1752" t="s">
        <v>28</v>
      </c>
      <c r="C1752" t="s">
        <v>25</v>
      </c>
      <c r="D1752">
        <v>14</v>
      </c>
      <c r="E1752" t="s">
        <v>65</v>
      </c>
      <c r="F1752" t="s">
        <v>368</v>
      </c>
      <c r="G1752">
        <v>3352</v>
      </c>
      <c r="H1752" t="s">
        <v>1737</v>
      </c>
      <c r="I1752" t="s">
        <v>1729</v>
      </c>
      <c r="J1752">
        <v>16</v>
      </c>
      <c r="K1752">
        <v>1</v>
      </c>
      <c r="L1752">
        <v>1.3194444444444445E-3</v>
      </c>
      <c r="M1752" t="s">
        <v>778</v>
      </c>
      <c r="N1752" t="s">
        <v>1316</v>
      </c>
      <c r="O1752" s="24">
        <v>46132</v>
      </c>
      <c r="P1752">
        <v>606</v>
      </c>
      <c r="Q1752" t="s">
        <v>34</v>
      </c>
      <c r="X1752" t="s">
        <v>3444</v>
      </c>
    </row>
    <row r="1753" spans="1:24" x14ac:dyDescent="0.25">
      <c r="A1753">
        <v>1749</v>
      </c>
      <c r="B1753" t="s">
        <v>28</v>
      </c>
      <c r="C1753" t="s">
        <v>25</v>
      </c>
      <c r="D1753">
        <v>14</v>
      </c>
      <c r="E1753" t="s">
        <v>65</v>
      </c>
      <c r="F1753" t="s">
        <v>368</v>
      </c>
      <c r="G1753">
        <v>3352</v>
      </c>
      <c r="H1753" t="s">
        <v>1738</v>
      </c>
      <c r="I1753" t="s">
        <v>1739</v>
      </c>
      <c r="J1753">
        <v>16</v>
      </c>
      <c r="K1753">
        <v>8</v>
      </c>
      <c r="L1753">
        <v>4.7337962962962958E-3</v>
      </c>
      <c r="M1753" t="s">
        <v>778</v>
      </c>
      <c r="N1753" t="s">
        <v>1316</v>
      </c>
      <c r="O1753" s="24">
        <v>46132</v>
      </c>
      <c r="P1753">
        <v>606</v>
      </c>
      <c r="Q1753" t="s">
        <v>34</v>
      </c>
      <c r="X1753" t="s">
        <v>3444</v>
      </c>
    </row>
    <row r="1754" spans="1:24" x14ac:dyDescent="0.25">
      <c r="A1754">
        <v>1750</v>
      </c>
      <c r="B1754" t="s">
        <v>28</v>
      </c>
      <c r="C1754" t="s">
        <v>25</v>
      </c>
      <c r="D1754">
        <v>14</v>
      </c>
      <c r="E1754" t="s">
        <v>65</v>
      </c>
      <c r="F1754" t="s">
        <v>1589</v>
      </c>
      <c r="G1754">
        <v>3352</v>
      </c>
      <c r="H1754" t="s">
        <v>1701</v>
      </c>
      <c r="I1754" t="s">
        <v>1702</v>
      </c>
      <c r="J1754">
        <v>16</v>
      </c>
      <c r="K1754">
        <v>2</v>
      </c>
      <c r="L1754">
        <v>9.2592592592592585E-4</v>
      </c>
      <c r="M1754" t="s">
        <v>778</v>
      </c>
      <c r="N1754" t="s">
        <v>1316</v>
      </c>
      <c r="O1754" s="24">
        <v>46132</v>
      </c>
      <c r="P1754">
        <v>606</v>
      </c>
      <c r="Q1754" t="s">
        <v>34</v>
      </c>
      <c r="X1754" t="s">
        <v>3444</v>
      </c>
    </row>
    <row r="1755" spans="1:24" x14ac:dyDescent="0.25">
      <c r="A1755">
        <v>1751</v>
      </c>
      <c r="B1755" t="s">
        <v>28</v>
      </c>
      <c r="C1755" t="s">
        <v>25</v>
      </c>
      <c r="D1755">
        <v>14</v>
      </c>
      <c r="E1755" t="s">
        <v>65</v>
      </c>
      <c r="F1755" t="s">
        <v>1591</v>
      </c>
      <c r="G1755">
        <v>3352</v>
      </c>
      <c r="H1755" t="s">
        <v>1740</v>
      </c>
      <c r="I1755" t="s">
        <v>1741</v>
      </c>
      <c r="J1755">
        <v>16</v>
      </c>
      <c r="K1755">
        <v>2</v>
      </c>
      <c r="L1755">
        <v>1.1458333333333333E-3</v>
      </c>
      <c r="M1755" t="s">
        <v>778</v>
      </c>
      <c r="N1755" t="s">
        <v>1316</v>
      </c>
      <c r="O1755" s="24">
        <v>46132</v>
      </c>
      <c r="P1755">
        <v>606</v>
      </c>
      <c r="Q1755" t="s">
        <v>34</v>
      </c>
      <c r="X1755" t="s">
        <v>3444</v>
      </c>
    </row>
    <row r="1756" spans="1:24" x14ac:dyDescent="0.25">
      <c r="A1756">
        <v>1752</v>
      </c>
      <c r="B1756" t="s">
        <v>28</v>
      </c>
      <c r="C1756" t="s">
        <v>25</v>
      </c>
      <c r="D1756">
        <v>14</v>
      </c>
      <c r="E1756" t="s">
        <v>65</v>
      </c>
      <c r="F1756" t="s">
        <v>1596</v>
      </c>
      <c r="G1756">
        <v>3352</v>
      </c>
      <c r="H1756" t="s">
        <v>1742</v>
      </c>
      <c r="I1756" t="s">
        <v>1743</v>
      </c>
      <c r="J1756">
        <v>16</v>
      </c>
      <c r="K1756">
        <v>1</v>
      </c>
      <c r="L1756">
        <v>7.407407407407407E-4</v>
      </c>
      <c r="M1756" t="s">
        <v>778</v>
      </c>
      <c r="N1756" t="s">
        <v>1316</v>
      </c>
      <c r="O1756" s="24">
        <v>46132</v>
      </c>
      <c r="P1756">
        <v>606</v>
      </c>
      <c r="Q1756" t="s">
        <v>34</v>
      </c>
      <c r="X1756" t="s">
        <v>3444</v>
      </c>
    </row>
    <row r="1757" spans="1:24" x14ac:dyDescent="0.25">
      <c r="A1757">
        <v>1753</v>
      </c>
      <c r="B1757" t="s">
        <v>28</v>
      </c>
      <c r="C1757" t="s">
        <v>25</v>
      </c>
      <c r="D1757">
        <v>14</v>
      </c>
      <c r="E1757" t="s">
        <v>65</v>
      </c>
      <c r="F1757" t="s">
        <v>1597</v>
      </c>
      <c r="G1757">
        <v>3352</v>
      </c>
      <c r="H1757" t="s">
        <v>1744</v>
      </c>
      <c r="I1757" t="s">
        <v>1745</v>
      </c>
      <c r="J1757">
        <v>16</v>
      </c>
      <c r="K1757">
        <v>1</v>
      </c>
      <c r="L1757">
        <v>9.3749999999999997E-4</v>
      </c>
      <c r="M1757" t="s">
        <v>778</v>
      </c>
      <c r="N1757" t="s">
        <v>1316</v>
      </c>
      <c r="O1757" s="24">
        <v>46132</v>
      </c>
      <c r="P1757">
        <v>606</v>
      </c>
      <c r="Q1757" t="s">
        <v>34</v>
      </c>
      <c r="X1757" t="s">
        <v>3444</v>
      </c>
    </row>
    <row r="1758" spans="1:24" x14ac:dyDescent="0.25">
      <c r="A1758">
        <v>1754</v>
      </c>
      <c r="B1758" t="s">
        <v>28</v>
      </c>
      <c r="C1758" t="s">
        <v>25</v>
      </c>
      <c r="D1758">
        <v>14</v>
      </c>
      <c r="E1758" t="s">
        <v>65</v>
      </c>
      <c r="F1758" t="s">
        <v>512</v>
      </c>
      <c r="G1758">
        <v>3352</v>
      </c>
      <c r="H1758" t="s">
        <v>1746</v>
      </c>
      <c r="I1758" t="s">
        <v>1747</v>
      </c>
      <c r="J1758">
        <v>16</v>
      </c>
      <c r="K1758">
        <v>2</v>
      </c>
      <c r="L1758">
        <v>1.2847222222222223E-3</v>
      </c>
      <c r="M1758" t="s">
        <v>778</v>
      </c>
      <c r="N1758" t="s">
        <v>1316</v>
      </c>
      <c r="O1758" s="24">
        <v>46132</v>
      </c>
      <c r="P1758">
        <v>606</v>
      </c>
      <c r="Q1758" t="s">
        <v>34</v>
      </c>
      <c r="X1758" t="s">
        <v>3444</v>
      </c>
    </row>
    <row r="1759" spans="1:24" x14ac:dyDescent="0.25">
      <c r="A1759">
        <v>1755</v>
      </c>
      <c r="B1759" t="s">
        <v>28</v>
      </c>
      <c r="C1759" t="s">
        <v>25</v>
      </c>
      <c r="D1759">
        <v>14</v>
      </c>
      <c r="E1759" t="s">
        <v>1585</v>
      </c>
      <c r="F1759" t="s">
        <v>1585</v>
      </c>
      <c r="G1759">
        <v>3353</v>
      </c>
      <c r="H1759" t="s">
        <v>1635</v>
      </c>
      <c r="I1759" t="s">
        <v>1636</v>
      </c>
      <c r="J1759">
        <v>16</v>
      </c>
      <c r="K1759">
        <v>2</v>
      </c>
      <c r="L1759">
        <v>2.1412037037037038E-3</v>
      </c>
      <c r="M1759" t="s">
        <v>778</v>
      </c>
      <c r="N1759" t="s">
        <v>1316</v>
      </c>
      <c r="O1759" s="24">
        <v>46132</v>
      </c>
      <c r="P1759">
        <v>606</v>
      </c>
      <c r="Q1759" t="s">
        <v>34</v>
      </c>
      <c r="X1759" t="s">
        <v>3445</v>
      </c>
    </row>
    <row r="1760" spans="1:24" x14ac:dyDescent="0.25">
      <c r="A1760">
        <v>1756</v>
      </c>
      <c r="B1760" t="s">
        <v>28</v>
      </c>
      <c r="C1760" t="s">
        <v>25</v>
      </c>
      <c r="D1760">
        <v>14</v>
      </c>
      <c r="E1760" t="s">
        <v>367</v>
      </c>
      <c r="F1760" t="s">
        <v>512</v>
      </c>
      <c r="G1760">
        <v>3353</v>
      </c>
      <c r="H1760" t="s">
        <v>1749</v>
      </c>
      <c r="I1760" t="s">
        <v>1747</v>
      </c>
      <c r="J1760">
        <v>16</v>
      </c>
      <c r="K1760">
        <v>2</v>
      </c>
      <c r="L1760">
        <v>1.261574074074074E-3</v>
      </c>
      <c r="M1760" t="s">
        <v>778</v>
      </c>
      <c r="N1760" t="s">
        <v>1316</v>
      </c>
      <c r="O1760" s="24">
        <v>46132</v>
      </c>
      <c r="P1760">
        <v>606</v>
      </c>
      <c r="Q1760" t="s">
        <v>34</v>
      </c>
      <c r="X1760" t="s">
        <v>3445</v>
      </c>
    </row>
    <row r="1761" spans="1:24" x14ac:dyDescent="0.25">
      <c r="A1761">
        <v>1757</v>
      </c>
      <c r="B1761" t="s">
        <v>28</v>
      </c>
      <c r="C1761" t="s">
        <v>25</v>
      </c>
      <c r="D1761">
        <v>14</v>
      </c>
      <c r="E1761" t="s">
        <v>367</v>
      </c>
      <c r="F1761" t="s">
        <v>512</v>
      </c>
      <c r="G1761">
        <v>3353</v>
      </c>
      <c r="H1761" t="s">
        <v>1750</v>
      </c>
      <c r="I1761" t="s">
        <v>1747</v>
      </c>
      <c r="J1761">
        <v>16</v>
      </c>
      <c r="K1761">
        <v>2</v>
      </c>
      <c r="L1761">
        <v>1.261574074074074E-3</v>
      </c>
      <c r="M1761" t="s">
        <v>778</v>
      </c>
      <c r="N1761" t="s">
        <v>1316</v>
      </c>
      <c r="O1761" s="24">
        <v>46132</v>
      </c>
      <c r="P1761">
        <v>606</v>
      </c>
      <c r="Q1761" t="s">
        <v>34</v>
      </c>
      <c r="X1761" t="s">
        <v>3445</v>
      </c>
    </row>
    <row r="1762" spans="1:24" x14ac:dyDescent="0.25">
      <c r="A1762">
        <v>1758</v>
      </c>
      <c r="B1762" t="s">
        <v>28</v>
      </c>
      <c r="C1762" t="s">
        <v>25</v>
      </c>
      <c r="D1762">
        <v>14</v>
      </c>
      <c r="E1762" t="s">
        <v>367</v>
      </c>
      <c r="F1762" t="s">
        <v>512</v>
      </c>
      <c r="G1762">
        <v>3353</v>
      </c>
      <c r="H1762" t="s">
        <v>1751</v>
      </c>
      <c r="I1762" t="s">
        <v>1752</v>
      </c>
      <c r="J1762">
        <v>16</v>
      </c>
      <c r="K1762">
        <v>3</v>
      </c>
      <c r="L1762">
        <v>3.0902777777777777E-3</v>
      </c>
      <c r="M1762" t="s">
        <v>778</v>
      </c>
      <c r="N1762" t="s">
        <v>1316</v>
      </c>
      <c r="O1762" s="24">
        <v>46132</v>
      </c>
      <c r="P1762">
        <v>606</v>
      </c>
      <c r="Q1762" t="s">
        <v>34</v>
      </c>
      <c r="X1762" t="s">
        <v>3445</v>
      </c>
    </row>
    <row r="1763" spans="1:24" x14ac:dyDescent="0.25">
      <c r="A1763">
        <v>1759</v>
      </c>
      <c r="B1763" t="s">
        <v>28</v>
      </c>
      <c r="C1763" t="s">
        <v>25</v>
      </c>
      <c r="D1763">
        <v>14</v>
      </c>
      <c r="E1763" t="s">
        <v>367</v>
      </c>
      <c r="F1763" t="s">
        <v>512</v>
      </c>
      <c r="G1763">
        <v>3353</v>
      </c>
      <c r="H1763" t="s">
        <v>1753</v>
      </c>
      <c r="I1763" t="s">
        <v>1752</v>
      </c>
      <c r="J1763">
        <v>16</v>
      </c>
      <c r="K1763">
        <v>3</v>
      </c>
      <c r="L1763">
        <v>2.3263888888888887E-3</v>
      </c>
      <c r="M1763" t="s">
        <v>778</v>
      </c>
      <c r="N1763" t="s">
        <v>1316</v>
      </c>
      <c r="O1763" s="24">
        <v>46132</v>
      </c>
      <c r="P1763">
        <v>606</v>
      </c>
      <c r="Q1763" t="s">
        <v>34</v>
      </c>
      <c r="X1763" t="s">
        <v>3445</v>
      </c>
    </row>
    <row r="1764" spans="1:24" x14ac:dyDescent="0.25">
      <c r="A1764">
        <v>1760</v>
      </c>
      <c r="B1764" t="s">
        <v>28</v>
      </c>
      <c r="C1764" t="s">
        <v>25</v>
      </c>
      <c r="D1764">
        <v>14</v>
      </c>
      <c r="E1764" t="s">
        <v>65</v>
      </c>
      <c r="F1764" t="s">
        <v>368</v>
      </c>
      <c r="G1764">
        <v>3353</v>
      </c>
      <c r="H1764" t="s">
        <v>1695</v>
      </c>
      <c r="I1764" t="s">
        <v>1696</v>
      </c>
      <c r="J1764">
        <v>16</v>
      </c>
      <c r="K1764">
        <v>1</v>
      </c>
      <c r="L1764">
        <v>9.0277777777777774E-4</v>
      </c>
      <c r="M1764" t="s">
        <v>778</v>
      </c>
      <c r="N1764" t="s">
        <v>1316</v>
      </c>
      <c r="O1764" s="24">
        <v>46132</v>
      </c>
      <c r="P1764">
        <v>606</v>
      </c>
      <c r="Q1764" t="s">
        <v>34</v>
      </c>
      <c r="X1764" t="s">
        <v>3445</v>
      </c>
    </row>
    <row r="1765" spans="1:24" x14ac:dyDescent="0.25">
      <c r="A1765">
        <v>1761</v>
      </c>
      <c r="B1765" t="s">
        <v>28</v>
      </c>
      <c r="C1765" t="s">
        <v>25</v>
      </c>
      <c r="D1765">
        <v>14</v>
      </c>
      <c r="E1765" t="s">
        <v>65</v>
      </c>
      <c r="F1765" t="s">
        <v>1589</v>
      </c>
      <c r="G1765">
        <v>3353</v>
      </c>
      <c r="H1765" t="s">
        <v>1754</v>
      </c>
      <c r="I1765" t="s">
        <v>1755</v>
      </c>
      <c r="J1765">
        <v>16</v>
      </c>
      <c r="K1765">
        <v>1</v>
      </c>
      <c r="L1765">
        <v>4.3981481481481481E-4</v>
      </c>
      <c r="M1765" t="s">
        <v>778</v>
      </c>
      <c r="N1765" t="s">
        <v>1316</v>
      </c>
      <c r="O1765" s="24">
        <v>46132</v>
      </c>
      <c r="P1765">
        <v>606</v>
      </c>
      <c r="Q1765" t="s">
        <v>34</v>
      </c>
      <c r="X1765" t="s">
        <v>3445</v>
      </c>
    </row>
    <row r="1766" spans="1:24" x14ac:dyDescent="0.25">
      <c r="A1766">
        <v>1762</v>
      </c>
      <c r="B1766" t="s">
        <v>28</v>
      </c>
      <c r="C1766" t="s">
        <v>25</v>
      </c>
      <c r="D1766">
        <v>14</v>
      </c>
      <c r="E1766" t="s">
        <v>65</v>
      </c>
      <c r="F1766" t="s">
        <v>1589</v>
      </c>
      <c r="G1766">
        <v>3353</v>
      </c>
      <c r="H1766" t="s">
        <v>1756</v>
      </c>
      <c r="I1766" t="s">
        <v>1757</v>
      </c>
      <c r="J1766">
        <v>16</v>
      </c>
      <c r="K1766">
        <v>1</v>
      </c>
      <c r="L1766">
        <v>1.1226851851851851E-3</v>
      </c>
      <c r="M1766" t="s">
        <v>778</v>
      </c>
      <c r="N1766" t="s">
        <v>1316</v>
      </c>
      <c r="O1766" s="24">
        <v>46132</v>
      </c>
      <c r="P1766">
        <v>606</v>
      </c>
      <c r="Q1766" t="s">
        <v>34</v>
      </c>
      <c r="X1766" t="s">
        <v>3445</v>
      </c>
    </row>
    <row r="1767" spans="1:24" x14ac:dyDescent="0.25">
      <c r="A1767">
        <v>1763</v>
      </c>
      <c r="B1767" t="s">
        <v>28</v>
      </c>
      <c r="C1767" t="s">
        <v>25</v>
      </c>
      <c r="D1767">
        <v>14</v>
      </c>
      <c r="E1767" t="s">
        <v>65</v>
      </c>
      <c r="F1767" t="s">
        <v>1589</v>
      </c>
      <c r="G1767">
        <v>3353</v>
      </c>
      <c r="H1767" t="s">
        <v>1701</v>
      </c>
      <c r="I1767" t="s">
        <v>1702</v>
      </c>
      <c r="J1767">
        <v>16</v>
      </c>
      <c r="K1767">
        <v>1</v>
      </c>
      <c r="L1767">
        <v>5.0925925925925921E-4</v>
      </c>
      <c r="M1767" t="s">
        <v>778</v>
      </c>
      <c r="N1767" t="s">
        <v>1316</v>
      </c>
      <c r="O1767" s="24">
        <v>46132</v>
      </c>
      <c r="P1767">
        <v>606</v>
      </c>
      <c r="Q1767" t="s">
        <v>34</v>
      </c>
      <c r="X1767" t="s">
        <v>3445</v>
      </c>
    </row>
    <row r="1768" spans="1:24" x14ac:dyDescent="0.25">
      <c r="A1768">
        <v>1764</v>
      </c>
      <c r="B1768" t="s">
        <v>28</v>
      </c>
      <c r="C1768" t="s">
        <v>25</v>
      </c>
      <c r="D1768">
        <v>14</v>
      </c>
      <c r="E1768" t="s">
        <v>65</v>
      </c>
      <c r="F1768" t="s">
        <v>1591</v>
      </c>
      <c r="G1768">
        <v>3353</v>
      </c>
      <c r="H1768" t="s">
        <v>1758</v>
      </c>
      <c r="I1768" t="s">
        <v>1755</v>
      </c>
      <c r="J1768">
        <v>16</v>
      </c>
      <c r="K1768">
        <v>1</v>
      </c>
      <c r="L1768">
        <v>4.3981481481481481E-4</v>
      </c>
      <c r="M1768" t="s">
        <v>778</v>
      </c>
      <c r="N1768" t="s">
        <v>1316</v>
      </c>
      <c r="O1768" s="24">
        <v>46132</v>
      </c>
      <c r="P1768">
        <v>606</v>
      </c>
      <c r="Q1768" t="s">
        <v>34</v>
      </c>
      <c r="X1768" t="s">
        <v>3445</v>
      </c>
    </row>
    <row r="1769" spans="1:24" x14ac:dyDescent="0.25">
      <c r="A1769">
        <v>1765</v>
      </c>
      <c r="B1769" t="s">
        <v>28</v>
      </c>
      <c r="C1769" t="s">
        <v>25</v>
      </c>
      <c r="D1769">
        <v>14</v>
      </c>
      <c r="E1769" t="s">
        <v>65</v>
      </c>
      <c r="F1769" t="s">
        <v>1589</v>
      </c>
      <c r="G1769">
        <v>3353</v>
      </c>
      <c r="H1769" t="s">
        <v>1759</v>
      </c>
      <c r="I1769" t="s">
        <v>1760</v>
      </c>
      <c r="J1769">
        <v>16</v>
      </c>
      <c r="K1769">
        <v>1</v>
      </c>
      <c r="L1769">
        <v>7.0601851851851847E-4</v>
      </c>
      <c r="M1769" t="s">
        <v>778</v>
      </c>
      <c r="N1769" t="s">
        <v>1316</v>
      </c>
      <c r="O1769" s="24">
        <v>46132</v>
      </c>
      <c r="P1769">
        <v>606</v>
      </c>
      <c r="Q1769" t="s">
        <v>34</v>
      </c>
      <c r="X1769" t="s">
        <v>3445</v>
      </c>
    </row>
    <row r="1770" spans="1:24" x14ac:dyDescent="0.25">
      <c r="A1770">
        <v>1766</v>
      </c>
      <c r="B1770" t="s">
        <v>28</v>
      </c>
      <c r="C1770" t="s">
        <v>25</v>
      </c>
      <c r="D1770">
        <v>14</v>
      </c>
      <c r="E1770" t="s">
        <v>65</v>
      </c>
      <c r="F1770" t="s">
        <v>1591</v>
      </c>
      <c r="G1770">
        <v>3353</v>
      </c>
      <c r="H1770" t="s">
        <v>1761</v>
      </c>
      <c r="I1770" t="s">
        <v>1698</v>
      </c>
      <c r="J1770">
        <v>16</v>
      </c>
      <c r="K1770">
        <v>1</v>
      </c>
      <c r="L1770">
        <v>5.4398148148148144E-4</v>
      </c>
      <c r="M1770" t="s">
        <v>778</v>
      </c>
      <c r="N1770" t="s">
        <v>1316</v>
      </c>
      <c r="O1770" s="24">
        <v>46132</v>
      </c>
      <c r="P1770">
        <v>606</v>
      </c>
      <c r="Q1770" t="s">
        <v>34</v>
      </c>
      <c r="X1770" t="s">
        <v>3445</v>
      </c>
    </row>
    <row r="1771" spans="1:24" x14ac:dyDescent="0.25">
      <c r="A1771">
        <v>1767</v>
      </c>
      <c r="B1771" t="s">
        <v>28</v>
      </c>
      <c r="C1771" t="s">
        <v>25</v>
      </c>
      <c r="D1771">
        <v>14</v>
      </c>
      <c r="E1771" t="s">
        <v>65</v>
      </c>
      <c r="F1771" t="s">
        <v>1591</v>
      </c>
      <c r="G1771">
        <v>3353</v>
      </c>
      <c r="H1771" t="s">
        <v>1704</v>
      </c>
      <c r="I1771" t="s">
        <v>1702</v>
      </c>
      <c r="J1771">
        <v>16</v>
      </c>
      <c r="K1771">
        <v>3</v>
      </c>
      <c r="L1771">
        <v>1.5509259259259259E-3</v>
      </c>
      <c r="M1771" t="s">
        <v>778</v>
      </c>
      <c r="N1771" t="s">
        <v>1316</v>
      </c>
      <c r="O1771" s="24">
        <v>46132</v>
      </c>
      <c r="P1771">
        <v>606</v>
      </c>
      <c r="Q1771" t="s">
        <v>34</v>
      </c>
      <c r="X1771" t="s">
        <v>3445</v>
      </c>
    </row>
    <row r="1772" spans="1:24" x14ac:dyDescent="0.25">
      <c r="A1772">
        <v>1768</v>
      </c>
      <c r="B1772" t="s">
        <v>28</v>
      </c>
      <c r="C1772" t="s">
        <v>25</v>
      </c>
      <c r="D1772">
        <v>14</v>
      </c>
      <c r="E1772" t="s">
        <v>65</v>
      </c>
      <c r="F1772" t="s">
        <v>1591</v>
      </c>
      <c r="G1772">
        <v>3353</v>
      </c>
      <c r="H1772" t="s">
        <v>1762</v>
      </c>
      <c r="I1772" t="s">
        <v>1757</v>
      </c>
      <c r="J1772">
        <v>16</v>
      </c>
      <c r="K1772">
        <v>1</v>
      </c>
      <c r="L1772">
        <v>1.1226851851851851E-3</v>
      </c>
      <c r="M1772" t="s">
        <v>778</v>
      </c>
      <c r="N1772" t="s">
        <v>1316</v>
      </c>
      <c r="O1772" s="24">
        <v>46132</v>
      </c>
      <c r="P1772">
        <v>606</v>
      </c>
      <c r="Q1772" t="s">
        <v>34</v>
      </c>
      <c r="X1772" t="s">
        <v>3445</v>
      </c>
    </row>
    <row r="1773" spans="1:24" x14ac:dyDescent="0.25">
      <c r="A1773">
        <v>1769</v>
      </c>
      <c r="B1773" t="s">
        <v>28</v>
      </c>
      <c r="C1773" t="s">
        <v>25</v>
      </c>
      <c r="D1773">
        <v>14</v>
      </c>
      <c r="E1773" t="s">
        <v>65</v>
      </c>
      <c r="F1773" t="s">
        <v>1591</v>
      </c>
      <c r="G1773">
        <v>3353</v>
      </c>
      <c r="H1773" t="s">
        <v>1763</v>
      </c>
      <c r="I1773" t="s">
        <v>1764</v>
      </c>
      <c r="J1773">
        <v>16</v>
      </c>
      <c r="K1773">
        <v>1</v>
      </c>
      <c r="L1773">
        <v>1.5509259259259259E-3</v>
      </c>
      <c r="M1773" t="s">
        <v>778</v>
      </c>
      <c r="N1773" t="s">
        <v>1316</v>
      </c>
      <c r="O1773" s="24">
        <v>46132</v>
      </c>
      <c r="P1773">
        <v>606</v>
      </c>
      <c r="Q1773" t="s">
        <v>34</v>
      </c>
      <c r="X1773" t="s">
        <v>3445</v>
      </c>
    </row>
    <row r="1774" spans="1:24" x14ac:dyDescent="0.25">
      <c r="A1774">
        <v>1770</v>
      </c>
      <c r="B1774" t="s">
        <v>28</v>
      </c>
      <c r="C1774" t="s">
        <v>25</v>
      </c>
      <c r="D1774">
        <v>14</v>
      </c>
      <c r="E1774" t="s">
        <v>65</v>
      </c>
      <c r="F1774" t="s">
        <v>512</v>
      </c>
      <c r="G1774">
        <v>3353</v>
      </c>
      <c r="H1774" t="s">
        <v>1765</v>
      </c>
      <c r="I1774" t="s">
        <v>1706</v>
      </c>
      <c r="J1774">
        <v>16</v>
      </c>
      <c r="K1774">
        <v>2</v>
      </c>
      <c r="L1774">
        <v>1.8171296296296295E-3</v>
      </c>
      <c r="M1774" t="s">
        <v>778</v>
      </c>
      <c r="N1774" t="s">
        <v>1316</v>
      </c>
      <c r="O1774" s="24">
        <v>46132</v>
      </c>
      <c r="P1774">
        <v>606</v>
      </c>
      <c r="Q1774" t="s">
        <v>34</v>
      </c>
      <c r="X1774" t="s">
        <v>3445</v>
      </c>
    </row>
    <row r="1775" spans="1:24" x14ac:dyDescent="0.25">
      <c r="A1775">
        <v>1771</v>
      </c>
      <c r="B1775" t="s">
        <v>28</v>
      </c>
      <c r="C1775" t="s">
        <v>25</v>
      </c>
      <c r="D1775">
        <v>14</v>
      </c>
      <c r="E1775" t="s">
        <v>1585</v>
      </c>
      <c r="F1775" t="s">
        <v>1585</v>
      </c>
      <c r="G1775">
        <v>3355</v>
      </c>
      <c r="H1775" t="s">
        <v>1635</v>
      </c>
      <c r="I1775" t="s">
        <v>1636</v>
      </c>
      <c r="J1775">
        <v>16</v>
      </c>
      <c r="K1775">
        <v>6</v>
      </c>
      <c r="L1775">
        <v>6.9907407407407401E-3</v>
      </c>
      <c r="M1775" t="s">
        <v>778</v>
      </c>
      <c r="N1775" t="s">
        <v>1316</v>
      </c>
      <c r="O1775" s="24">
        <v>46132</v>
      </c>
      <c r="P1775">
        <v>606</v>
      </c>
      <c r="Q1775" t="s">
        <v>34</v>
      </c>
      <c r="X1775" t="s">
        <v>3446</v>
      </c>
    </row>
    <row r="1776" spans="1:24" x14ac:dyDescent="0.25">
      <c r="A1776">
        <v>1772</v>
      </c>
      <c r="B1776" t="s">
        <v>28</v>
      </c>
      <c r="C1776" t="s">
        <v>25</v>
      </c>
      <c r="D1776">
        <v>14</v>
      </c>
      <c r="E1776" t="s">
        <v>65</v>
      </c>
      <c r="F1776" t="s">
        <v>512</v>
      </c>
      <c r="G1776">
        <v>3355</v>
      </c>
      <c r="H1776" t="s">
        <v>1767</v>
      </c>
      <c r="I1776" t="s">
        <v>1768</v>
      </c>
      <c r="J1776">
        <v>16</v>
      </c>
      <c r="K1776">
        <v>1</v>
      </c>
      <c r="L1776">
        <v>9.1435185185185185E-4</v>
      </c>
      <c r="M1776" t="s">
        <v>778</v>
      </c>
      <c r="N1776" t="s">
        <v>1316</v>
      </c>
      <c r="O1776" s="24">
        <v>46132</v>
      </c>
      <c r="P1776">
        <v>606</v>
      </c>
      <c r="Q1776" t="s">
        <v>34</v>
      </c>
      <c r="X1776" t="s">
        <v>3446</v>
      </c>
    </row>
    <row r="1777" spans="1:24" x14ac:dyDescent="0.25">
      <c r="A1777">
        <v>1773</v>
      </c>
      <c r="B1777" t="s">
        <v>28</v>
      </c>
      <c r="C1777" t="s">
        <v>25</v>
      </c>
      <c r="D1777">
        <v>14</v>
      </c>
      <c r="E1777" t="s">
        <v>65</v>
      </c>
      <c r="F1777" t="s">
        <v>512</v>
      </c>
      <c r="G1777">
        <v>3355</v>
      </c>
      <c r="H1777" t="s">
        <v>1769</v>
      </c>
      <c r="I1777" t="s">
        <v>1741</v>
      </c>
      <c r="J1777">
        <v>16</v>
      </c>
      <c r="K1777">
        <v>1</v>
      </c>
      <c r="L1777">
        <v>6.8287037037037036E-4</v>
      </c>
      <c r="M1777" t="s">
        <v>778</v>
      </c>
      <c r="N1777" t="s">
        <v>1316</v>
      </c>
      <c r="O1777" s="24">
        <v>46132</v>
      </c>
      <c r="P1777">
        <v>606</v>
      </c>
      <c r="Q1777" t="s">
        <v>34</v>
      </c>
      <c r="X1777" t="s">
        <v>3446</v>
      </c>
    </row>
    <row r="1778" spans="1:24" x14ac:dyDescent="0.25">
      <c r="A1778">
        <v>1774</v>
      </c>
      <c r="B1778" t="s">
        <v>28</v>
      </c>
      <c r="C1778" t="s">
        <v>25</v>
      </c>
      <c r="D1778">
        <v>14</v>
      </c>
      <c r="E1778" t="s">
        <v>367</v>
      </c>
      <c r="F1778" t="s">
        <v>367</v>
      </c>
      <c r="G1778">
        <v>3355</v>
      </c>
      <c r="H1778" t="s">
        <v>1770</v>
      </c>
      <c r="I1778" t="s">
        <v>1771</v>
      </c>
      <c r="J1778">
        <v>16</v>
      </c>
      <c r="K1778">
        <v>1</v>
      </c>
      <c r="L1778">
        <v>1.1226851851851851E-3</v>
      </c>
      <c r="M1778" t="s">
        <v>778</v>
      </c>
      <c r="N1778" t="s">
        <v>1316</v>
      </c>
      <c r="O1778" s="24">
        <v>46132</v>
      </c>
      <c r="P1778">
        <v>606</v>
      </c>
      <c r="Q1778" t="s">
        <v>34</v>
      </c>
      <c r="X1778" t="s">
        <v>3446</v>
      </c>
    </row>
    <row r="1779" spans="1:24" x14ac:dyDescent="0.25">
      <c r="A1779">
        <v>1775</v>
      </c>
      <c r="B1779" t="s">
        <v>28</v>
      </c>
      <c r="C1779" t="s">
        <v>25</v>
      </c>
      <c r="D1779">
        <v>14</v>
      </c>
      <c r="E1779" t="s">
        <v>367</v>
      </c>
      <c r="F1779" t="s">
        <v>367</v>
      </c>
      <c r="G1779">
        <v>3355</v>
      </c>
      <c r="H1779" t="s">
        <v>1772</v>
      </c>
      <c r="I1779" t="s">
        <v>1771</v>
      </c>
      <c r="J1779">
        <v>16</v>
      </c>
      <c r="K1779">
        <v>1</v>
      </c>
      <c r="L1779">
        <v>1.0648148148148149E-3</v>
      </c>
      <c r="M1779" t="s">
        <v>778</v>
      </c>
      <c r="N1779" t="s">
        <v>1316</v>
      </c>
      <c r="O1779" s="24">
        <v>46132</v>
      </c>
      <c r="P1779">
        <v>606</v>
      </c>
      <c r="Q1779" t="s">
        <v>34</v>
      </c>
      <c r="X1779" t="s">
        <v>3446</v>
      </c>
    </row>
    <row r="1780" spans="1:24" x14ac:dyDescent="0.25">
      <c r="A1780">
        <v>1776</v>
      </c>
      <c r="B1780" t="s">
        <v>28</v>
      </c>
      <c r="C1780" t="s">
        <v>25</v>
      </c>
      <c r="D1780">
        <v>14</v>
      </c>
      <c r="E1780" t="s">
        <v>367</v>
      </c>
      <c r="F1780" t="s">
        <v>512</v>
      </c>
      <c r="G1780">
        <v>3355</v>
      </c>
      <c r="H1780" t="s">
        <v>1773</v>
      </c>
      <c r="I1780" t="s">
        <v>1774</v>
      </c>
      <c r="J1780">
        <v>16</v>
      </c>
      <c r="K1780">
        <v>2</v>
      </c>
      <c r="L1780">
        <v>3.0787037037037037E-3</v>
      </c>
      <c r="M1780" t="s">
        <v>778</v>
      </c>
      <c r="N1780" t="s">
        <v>1316</v>
      </c>
      <c r="O1780" s="24">
        <v>46132</v>
      </c>
      <c r="P1780">
        <v>606</v>
      </c>
      <c r="Q1780" t="s">
        <v>34</v>
      </c>
      <c r="X1780" t="s">
        <v>3446</v>
      </c>
    </row>
    <row r="1781" spans="1:24" x14ac:dyDescent="0.25">
      <c r="A1781">
        <v>1777</v>
      </c>
      <c r="B1781" t="s">
        <v>28</v>
      </c>
      <c r="C1781" t="s">
        <v>25</v>
      </c>
      <c r="D1781">
        <v>14</v>
      </c>
      <c r="E1781" t="s">
        <v>367</v>
      </c>
      <c r="F1781" t="s">
        <v>512</v>
      </c>
      <c r="G1781">
        <v>3355</v>
      </c>
      <c r="H1781" t="s">
        <v>1775</v>
      </c>
      <c r="I1781" t="s">
        <v>1776</v>
      </c>
      <c r="J1781">
        <v>16</v>
      </c>
      <c r="K1781">
        <v>1</v>
      </c>
      <c r="L1781">
        <v>1.6203703703703703E-3</v>
      </c>
      <c r="M1781" t="s">
        <v>778</v>
      </c>
      <c r="N1781" t="s">
        <v>1316</v>
      </c>
      <c r="O1781" s="24">
        <v>46132</v>
      </c>
      <c r="P1781">
        <v>606</v>
      </c>
      <c r="Q1781" t="s">
        <v>34</v>
      </c>
      <c r="X1781" t="s">
        <v>3446</v>
      </c>
    </row>
    <row r="1782" spans="1:24" x14ac:dyDescent="0.25">
      <c r="A1782">
        <v>1778</v>
      </c>
      <c r="B1782" t="s">
        <v>28</v>
      </c>
      <c r="C1782" t="s">
        <v>25</v>
      </c>
      <c r="D1782">
        <v>14</v>
      </c>
      <c r="E1782" t="s">
        <v>65</v>
      </c>
      <c r="F1782" t="s">
        <v>512</v>
      </c>
      <c r="G1782">
        <v>3355</v>
      </c>
      <c r="H1782" t="s">
        <v>1777</v>
      </c>
      <c r="I1782" t="s">
        <v>1778</v>
      </c>
      <c r="J1782">
        <v>16</v>
      </c>
      <c r="K1782">
        <v>1</v>
      </c>
      <c r="L1782">
        <v>1.1805555555555556E-3</v>
      </c>
      <c r="M1782" t="s">
        <v>778</v>
      </c>
      <c r="N1782" t="s">
        <v>1316</v>
      </c>
      <c r="O1782" s="24">
        <v>46132</v>
      </c>
      <c r="P1782">
        <v>606</v>
      </c>
      <c r="Q1782" t="s">
        <v>34</v>
      </c>
      <c r="X1782" t="s">
        <v>3446</v>
      </c>
    </row>
    <row r="1783" spans="1:24" x14ac:dyDescent="0.25">
      <c r="A1783">
        <v>1779</v>
      </c>
      <c r="B1783" t="s">
        <v>28</v>
      </c>
      <c r="C1783" t="s">
        <v>25</v>
      </c>
      <c r="D1783">
        <v>14</v>
      </c>
      <c r="E1783" t="s">
        <v>367</v>
      </c>
      <c r="F1783" t="s">
        <v>512</v>
      </c>
      <c r="G1783">
        <v>3355</v>
      </c>
      <c r="H1783" t="s">
        <v>1779</v>
      </c>
      <c r="I1783" t="s">
        <v>1780</v>
      </c>
      <c r="J1783">
        <v>16</v>
      </c>
      <c r="K1783">
        <v>1</v>
      </c>
      <c r="L1783">
        <v>8.6805555555555551E-4</v>
      </c>
      <c r="M1783" t="s">
        <v>778</v>
      </c>
      <c r="N1783" t="s">
        <v>1316</v>
      </c>
      <c r="O1783" s="24">
        <v>46132</v>
      </c>
      <c r="P1783">
        <v>606</v>
      </c>
      <c r="Q1783" t="s">
        <v>34</v>
      </c>
      <c r="X1783" t="s">
        <v>3446</v>
      </c>
    </row>
    <row r="1784" spans="1:24" x14ac:dyDescent="0.25">
      <c r="A1784">
        <v>1780</v>
      </c>
      <c r="B1784" t="s">
        <v>28</v>
      </c>
      <c r="C1784" t="s">
        <v>25</v>
      </c>
      <c r="D1784">
        <v>14</v>
      </c>
      <c r="E1784" t="s">
        <v>1585</v>
      </c>
      <c r="F1784" t="s">
        <v>1585</v>
      </c>
      <c r="G1784">
        <v>3356</v>
      </c>
      <c r="H1784" t="s">
        <v>1635</v>
      </c>
      <c r="I1784" t="s">
        <v>1636</v>
      </c>
      <c r="J1784">
        <v>16</v>
      </c>
      <c r="K1784">
        <v>1</v>
      </c>
      <c r="L1784">
        <v>1.0532407407407407E-3</v>
      </c>
      <c r="M1784" t="s">
        <v>778</v>
      </c>
      <c r="N1784" t="s">
        <v>1316</v>
      </c>
      <c r="O1784" s="24">
        <v>46132</v>
      </c>
      <c r="P1784">
        <v>606</v>
      </c>
      <c r="Q1784" t="s">
        <v>34</v>
      </c>
      <c r="X1784" t="s">
        <v>3447</v>
      </c>
    </row>
    <row r="1785" spans="1:24" x14ac:dyDescent="0.25">
      <c r="A1785">
        <v>1781</v>
      </c>
      <c r="B1785" t="s">
        <v>28</v>
      </c>
      <c r="C1785" t="s">
        <v>25</v>
      </c>
      <c r="D1785">
        <v>14</v>
      </c>
      <c r="E1785" t="s">
        <v>530</v>
      </c>
      <c r="F1785" t="s">
        <v>530</v>
      </c>
      <c r="G1785">
        <v>3356</v>
      </c>
      <c r="H1785" t="s">
        <v>1782</v>
      </c>
      <c r="I1785" t="s">
        <v>1668</v>
      </c>
      <c r="J1785">
        <v>16</v>
      </c>
      <c r="K1785">
        <v>2</v>
      </c>
      <c r="L1785">
        <v>1.261574074074074E-3</v>
      </c>
      <c r="M1785" t="s">
        <v>778</v>
      </c>
      <c r="N1785" t="s">
        <v>1316</v>
      </c>
      <c r="O1785" s="24">
        <v>46132</v>
      </c>
      <c r="P1785">
        <v>606</v>
      </c>
      <c r="Q1785" t="s">
        <v>34</v>
      </c>
      <c r="X1785" t="s">
        <v>3447</v>
      </c>
    </row>
    <row r="1786" spans="1:24" x14ac:dyDescent="0.25">
      <c r="A1786">
        <v>1782</v>
      </c>
      <c r="B1786" t="s">
        <v>28</v>
      </c>
      <c r="C1786" t="s">
        <v>25</v>
      </c>
      <c r="D1786">
        <v>14</v>
      </c>
      <c r="E1786" t="s">
        <v>367</v>
      </c>
      <c r="F1786" t="s">
        <v>368</v>
      </c>
      <c r="G1786">
        <v>3356</v>
      </c>
      <c r="H1786" t="s">
        <v>1783</v>
      </c>
      <c r="I1786" t="s">
        <v>1679</v>
      </c>
      <c r="J1786">
        <v>16</v>
      </c>
      <c r="K1786">
        <v>1</v>
      </c>
      <c r="L1786">
        <v>6.3657407407407402E-4</v>
      </c>
      <c r="M1786" t="s">
        <v>778</v>
      </c>
      <c r="N1786" t="s">
        <v>1316</v>
      </c>
      <c r="O1786" s="24">
        <v>46132</v>
      </c>
      <c r="P1786">
        <v>606</v>
      </c>
      <c r="Q1786" t="s">
        <v>34</v>
      </c>
      <c r="X1786" t="s">
        <v>3447</v>
      </c>
    </row>
    <row r="1787" spans="1:24" x14ac:dyDescent="0.25">
      <c r="A1787">
        <v>1783</v>
      </c>
      <c r="B1787" t="s">
        <v>28</v>
      </c>
      <c r="C1787" t="s">
        <v>25</v>
      </c>
      <c r="D1787">
        <v>14</v>
      </c>
      <c r="E1787" t="s">
        <v>367</v>
      </c>
      <c r="F1787" t="s">
        <v>368</v>
      </c>
      <c r="G1787">
        <v>3356</v>
      </c>
      <c r="H1787" t="s">
        <v>1784</v>
      </c>
      <c r="I1787" t="s">
        <v>1785</v>
      </c>
      <c r="J1787">
        <v>16</v>
      </c>
      <c r="K1787">
        <v>1</v>
      </c>
      <c r="L1787">
        <v>7.407407407407407E-4</v>
      </c>
      <c r="M1787" t="s">
        <v>778</v>
      </c>
      <c r="N1787" t="s">
        <v>1316</v>
      </c>
      <c r="O1787" s="24">
        <v>46132</v>
      </c>
      <c r="P1787">
        <v>606</v>
      </c>
      <c r="Q1787" t="s">
        <v>34</v>
      </c>
      <c r="X1787" t="s">
        <v>3447</v>
      </c>
    </row>
    <row r="1788" spans="1:24" x14ac:dyDescent="0.25">
      <c r="A1788">
        <v>1784</v>
      </c>
      <c r="B1788" t="s">
        <v>28</v>
      </c>
      <c r="C1788" t="s">
        <v>25</v>
      </c>
      <c r="D1788">
        <v>14</v>
      </c>
      <c r="E1788" t="s">
        <v>367</v>
      </c>
      <c r="F1788" t="s">
        <v>368</v>
      </c>
      <c r="G1788">
        <v>3356</v>
      </c>
      <c r="H1788" t="s">
        <v>1786</v>
      </c>
      <c r="I1788" t="s">
        <v>1679</v>
      </c>
      <c r="J1788">
        <v>16</v>
      </c>
      <c r="K1788">
        <v>1</v>
      </c>
      <c r="L1788">
        <v>6.3657407407407402E-4</v>
      </c>
      <c r="M1788" t="s">
        <v>778</v>
      </c>
      <c r="N1788" t="s">
        <v>1316</v>
      </c>
      <c r="O1788" s="24">
        <v>46132</v>
      </c>
      <c r="P1788">
        <v>606</v>
      </c>
      <c r="Q1788" t="s">
        <v>34</v>
      </c>
      <c r="X1788" t="s">
        <v>3447</v>
      </c>
    </row>
    <row r="1789" spans="1:24" x14ac:dyDescent="0.25">
      <c r="A1789">
        <v>1785</v>
      </c>
      <c r="B1789" t="s">
        <v>28</v>
      </c>
      <c r="C1789" t="s">
        <v>25</v>
      </c>
      <c r="D1789">
        <v>14</v>
      </c>
      <c r="E1789" t="s">
        <v>367</v>
      </c>
      <c r="F1789" t="s">
        <v>368</v>
      </c>
      <c r="G1789">
        <v>3356</v>
      </c>
      <c r="H1789" t="s">
        <v>1787</v>
      </c>
      <c r="I1789" t="s">
        <v>1785</v>
      </c>
      <c r="J1789">
        <v>16</v>
      </c>
      <c r="K1789">
        <v>1</v>
      </c>
      <c r="L1789">
        <v>7.407407407407407E-4</v>
      </c>
      <c r="M1789" t="s">
        <v>778</v>
      </c>
      <c r="N1789" t="s">
        <v>1316</v>
      </c>
      <c r="O1789" s="24">
        <v>46132</v>
      </c>
      <c r="P1789">
        <v>606</v>
      </c>
      <c r="Q1789" t="s">
        <v>34</v>
      </c>
      <c r="X1789" t="s">
        <v>3447</v>
      </c>
    </row>
    <row r="1790" spans="1:24" x14ac:dyDescent="0.25">
      <c r="A1790">
        <v>1786</v>
      </c>
      <c r="B1790" t="s">
        <v>28</v>
      </c>
      <c r="C1790" t="s">
        <v>25</v>
      </c>
      <c r="D1790">
        <v>14</v>
      </c>
      <c r="E1790" t="s">
        <v>367</v>
      </c>
      <c r="F1790" t="s">
        <v>427</v>
      </c>
      <c r="G1790">
        <v>3356</v>
      </c>
      <c r="H1790" t="s">
        <v>1788</v>
      </c>
      <c r="I1790" t="s">
        <v>1789</v>
      </c>
      <c r="J1790">
        <v>16</v>
      </c>
      <c r="K1790">
        <v>1</v>
      </c>
      <c r="L1790">
        <v>1.3425925925925925E-3</v>
      </c>
      <c r="M1790" t="s">
        <v>778</v>
      </c>
      <c r="N1790" t="s">
        <v>1316</v>
      </c>
      <c r="O1790" s="24">
        <v>46132</v>
      </c>
      <c r="P1790">
        <v>606</v>
      </c>
      <c r="Q1790" t="s">
        <v>34</v>
      </c>
      <c r="X1790" t="s">
        <v>3447</v>
      </c>
    </row>
    <row r="1791" spans="1:24" x14ac:dyDescent="0.25">
      <c r="A1791">
        <v>1787</v>
      </c>
      <c r="B1791" t="s">
        <v>28</v>
      </c>
      <c r="C1791" t="s">
        <v>25</v>
      </c>
      <c r="D1791">
        <v>14</v>
      </c>
      <c r="E1791" t="s">
        <v>367</v>
      </c>
      <c r="F1791" t="s">
        <v>427</v>
      </c>
      <c r="G1791">
        <v>3356</v>
      </c>
      <c r="H1791" t="s">
        <v>1790</v>
      </c>
      <c r="I1791" t="s">
        <v>1791</v>
      </c>
      <c r="J1791">
        <v>16</v>
      </c>
      <c r="K1791">
        <v>1</v>
      </c>
      <c r="L1791">
        <v>1.3541666666666667E-3</v>
      </c>
      <c r="M1791" t="s">
        <v>778</v>
      </c>
      <c r="N1791" t="s">
        <v>1316</v>
      </c>
      <c r="O1791" s="24">
        <v>46132</v>
      </c>
      <c r="P1791">
        <v>606</v>
      </c>
      <c r="Q1791" t="s">
        <v>34</v>
      </c>
      <c r="X1791" t="s">
        <v>3447</v>
      </c>
    </row>
    <row r="1792" spans="1:24" x14ac:dyDescent="0.25">
      <c r="A1792">
        <v>1788</v>
      </c>
      <c r="B1792" t="s">
        <v>28</v>
      </c>
      <c r="C1792" t="s">
        <v>25</v>
      </c>
      <c r="D1792">
        <v>14</v>
      </c>
      <c r="E1792" t="s">
        <v>367</v>
      </c>
      <c r="F1792" t="s">
        <v>512</v>
      </c>
      <c r="G1792">
        <v>3356</v>
      </c>
      <c r="H1792" t="s">
        <v>1792</v>
      </c>
      <c r="I1792" t="s">
        <v>1752</v>
      </c>
      <c r="J1792">
        <v>16</v>
      </c>
      <c r="K1792">
        <v>2</v>
      </c>
      <c r="L1792">
        <v>1.4930555555555554E-3</v>
      </c>
      <c r="M1792" t="s">
        <v>778</v>
      </c>
      <c r="N1792" t="s">
        <v>1316</v>
      </c>
      <c r="O1792" s="24">
        <v>46132</v>
      </c>
      <c r="P1792">
        <v>606</v>
      </c>
      <c r="Q1792" t="s">
        <v>34</v>
      </c>
      <c r="X1792" t="s">
        <v>3447</v>
      </c>
    </row>
    <row r="1793" spans="1:24" x14ac:dyDescent="0.25">
      <c r="A1793">
        <v>1789</v>
      </c>
      <c r="B1793" t="s">
        <v>28</v>
      </c>
      <c r="C1793" t="s">
        <v>25</v>
      </c>
      <c r="D1793">
        <v>14</v>
      </c>
      <c r="E1793" t="s">
        <v>367</v>
      </c>
      <c r="F1793" t="s">
        <v>1594</v>
      </c>
      <c r="G1793">
        <v>3356</v>
      </c>
      <c r="H1793" t="s">
        <v>1793</v>
      </c>
      <c r="I1793" t="s">
        <v>1642</v>
      </c>
      <c r="J1793">
        <v>16</v>
      </c>
      <c r="K1793">
        <v>2</v>
      </c>
      <c r="L1793">
        <v>1.2152777777777778E-3</v>
      </c>
      <c r="M1793" t="s">
        <v>778</v>
      </c>
      <c r="N1793" t="s">
        <v>1316</v>
      </c>
      <c r="O1793" s="24">
        <v>46132</v>
      </c>
      <c r="P1793">
        <v>606</v>
      </c>
      <c r="Q1793" t="s">
        <v>34</v>
      </c>
      <c r="X1793" t="s">
        <v>3447</v>
      </c>
    </row>
    <row r="1794" spans="1:24" x14ac:dyDescent="0.25">
      <c r="A1794">
        <v>1790</v>
      </c>
      <c r="B1794" t="s">
        <v>28</v>
      </c>
      <c r="C1794" t="s">
        <v>25</v>
      </c>
      <c r="D1794">
        <v>14</v>
      </c>
      <c r="E1794" t="s">
        <v>65</v>
      </c>
      <c r="F1794" t="s">
        <v>512</v>
      </c>
      <c r="G1794">
        <v>3356</v>
      </c>
      <c r="H1794" t="s">
        <v>1794</v>
      </c>
      <c r="I1794" t="s">
        <v>1795</v>
      </c>
      <c r="J1794">
        <v>16</v>
      </c>
      <c r="K1794">
        <v>1</v>
      </c>
      <c r="L1794">
        <v>6.134259259259259E-4</v>
      </c>
      <c r="M1794" t="s">
        <v>778</v>
      </c>
      <c r="N1794" t="s">
        <v>1316</v>
      </c>
      <c r="O1794" s="24">
        <v>46132</v>
      </c>
      <c r="P1794">
        <v>606</v>
      </c>
      <c r="Q1794" t="s">
        <v>34</v>
      </c>
      <c r="X1794" t="s">
        <v>3447</v>
      </c>
    </row>
    <row r="1795" spans="1:24" x14ac:dyDescent="0.25">
      <c r="A1795">
        <v>1791</v>
      </c>
      <c r="B1795" t="s">
        <v>28</v>
      </c>
      <c r="C1795" t="s">
        <v>25</v>
      </c>
      <c r="D1795">
        <v>14</v>
      </c>
      <c r="E1795" t="s">
        <v>65</v>
      </c>
      <c r="F1795" t="s">
        <v>512</v>
      </c>
      <c r="G1795">
        <v>3356</v>
      </c>
      <c r="H1795" t="s">
        <v>1796</v>
      </c>
      <c r="I1795" t="s">
        <v>1795</v>
      </c>
      <c r="J1795">
        <v>16</v>
      </c>
      <c r="K1795">
        <v>1</v>
      </c>
      <c r="L1795">
        <v>6.134259259259259E-4</v>
      </c>
      <c r="M1795" t="s">
        <v>778</v>
      </c>
      <c r="N1795" t="s">
        <v>1316</v>
      </c>
      <c r="O1795" s="24">
        <v>46132</v>
      </c>
      <c r="P1795">
        <v>606</v>
      </c>
      <c r="Q1795" t="s">
        <v>34</v>
      </c>
      <c r="X1795" t="s">
        <v>3447</v>
      </c>
    </row>
    <row r="1796" spans="1:24" x14ac:dyDescent="0.25">
      <c r="A1796">
        <v>1792</v>
      </c>
      <c r="B1796" t="s">
        <v>28</v>
      </c>
      <c r="C1796" t="s">
        <v>25</v>
      </c>
      <c r="D1796">
        <v>14</v>
      </c>
      <c r="E1796" t="s">
        <v>65</v>
      </c>
      <c r="F1796" t="s">
        <v>512</v>
      </c>
      <c r="G1796">
        <v>3356</v>
      </c>
      <c r="H1796" t="s">
        <v>1797</v>
      </c>
      <c r="I1796" t="s">
        <v>1795</v>
      </c>
      <c r="J1796">
        <v>16</v>
      </c>
      <c r="K1796">
        <v>1</v>
      </c>
      <c r="L1796">
        <v>6.134259259259259E-4</v>
      </c>
      <c r="M1796" t="s">
        <v>778</v>
      </c>
      <c r="N1796" t="s">
        <v>1316</v>
      </c>
      <c r="O1796" s="24">
        <v>46132</v>
      </c>
      <c r="P1796">
        <v>606</v>
      </c>
      <c r="Q1796" t="s">
        <v>34</v>
      </c>
      <c r="X1796" t="s">
        <v>3447</v>
      </c>
    </row>
    <row r="1797" spans="1:24" x14ac:dyDescent="0.25">
      <c r="A1797">
        <v>1793</v>
      </c>
      <c r="B1797" t="s">
        <v>28</v>
      </c>
      <c r="C1797" t="s">
        <v>25</v>
      </c>
      <c r="D1797">
        <v>14</v>
      </c>
      <c r="E1797" t="s">
        <v>65</v>
      </c>
      <c r="F1797" t="s">
        <v>512</v>
      </c>
      <c r="G1797">
        <v>3356</v>
      </c>
      <c r="H1797" t="s">
        <v>1798</v>
      </c>
      <c r="I1797" t="s">
        <v>1795</v>
      </c>
      <c r="J1797">
        <v>16</v>
      </c>
      <c r="K1797">
        <v>1</v>
      </c>
      <c r="L1797">
        <v>6.134259259259259E-4</v>
      </c>
      <c r="M1797" t="s">
        <v>778</v>
      </c>
      <c r="N1797" t="s">
        <v>1316</v>
      </c>
      <c r="O1797" s="24">
        <v>46132</v>
      </c>
      <c r="P1797">
        <v>606</v>
      </c>
      <c r="Q1797" t="s">
        <v>34</v>
      </c>
      <c r="X1797" t="s">
        <v>3447</v>
      </c>
    </row>
    <row r="1798" spans="1:24" x14ac:dyDescent="0.25">
      <c r="A1798">
        <v>1794</v>
      </c>
      <c r="B1798" t="s">
        <v>28</v>
      </c>
      <c r="C1798" t="s">
        <v>25</v>
      </c>
      <c r="D1798">
        <v>14</v>
      </c>
      <c r="E1798" t="s">
        <v>65</v>
      </c>
      <c r="F1798" t="s">
        <v>1591</v>
      </c>
      <c r="G1798">
        <v>3356</v>
      </c>
      <c r="H1798" t="s">
        <v>1799</v>
      </c>
      <c r="I1798" t="s">
        <v>1768</v>
      </c>
      <c r="J1798">
        <v>16</v>
      </c>
      <c r="K1798">
        <v>4</v>
      </c>
      <c r="L1798">
        <v>3.9930555555555552E-3</v>
      </c>
      <c r="M1798" t="s">
        <v>778</v>
      </c>
      <c r="N1798" t="s">
        <v>1316</v>
      </c>
      <c r="O1798" s="24">
        <v>46132</v>
      </c>
      <c r="P1798">
        <v>606</v>
      </c>
      <c r="Q1798" t="s">
        <v>34</v>
      </c>
      <c r="X1798" t="s">
        <v>3447</v>
      </c>
    </row>
    <row r="1799" spans="1:24" x14ac:dyDescent="0.25">
      <c r="A1799">
        <v>1795</v>
      </c>
      <c r="B1799" t="s">
        <v>28</v>
      </c>
      <c r="C1799" t="s">
        <v>25</v>
      </c>
      <c r="D1799">
        <v>14</v>
      </c>
      <c r="E1799" t="s">
        <v>65</v>
      </c>
      <c r="F1799" t="s">
        <v>1591</v>
      </c>
      <c r="G1799">
        <v>3356</v>
      </c>
      <c r="H1799" t="s">
        <v>1800</v>
      </c>
      <c r="I1799" t="s">
        <v>1747</v>
      </c>
      <c r="J1799">
        <v>16</v>
      </c>
      <c r="K1799">
        <v>2</v>
      </c>
      <c r="L1799">
        <v>1.2268518518518518E-3</v>
      </c>
      <c r="M1799" t="s">
        <v>778</v>
      </c>
      <c r="N1799" t="s">
        <v>1316</v>
      </c>
      <c r="O1799" s="24">
        <v>46132</v>
      </c>
      <c r="P1799">
        <v>606</v>
      </c>
      <c r="Q1799" t="s">
        <v>34</v>
      </c>
      <c r="X1799" t="s">
        <v>3447</v>
      </c>
    </row>
    <row r="1800" spans="1:24" x14ac:dyDescent="0.25">
      <c r="A1800">
        <v>1796</v>
      </c>
      <c r="B1800" t="s">
        <v>28</v>
      </c>
      <c r="C1800" t="s">
        <v>25</v>
      </c>
      <c r="D1800">
        <v>14</v>
      </c>
      <c r="E1800" t="s">
        <v>65</v>
      </c>
      <c r="F1800" t="s">
        <v>1591</v>
      </c>
      <c r="G1800">
        <v>3356</v>
      </c>
      <c r="H1800" t="s">
        <v>1801</v>
      </c>
      <c r="I1800" t="s">
        <v>1710</v>
      </c>
      <c r="J1800">
        <v>16</v>
      </c>
      <c r="K1800">
        <v>2</v>
      </c>
      <c r="L1800">
        <v>2.2685185185185182E-3</v>
      </c>
      <c r="M1800" t="s">
        <v>778</v>
      </c>
      <c r="N1800" t="s">
        <v>1316</v>
      </c>
      <c r="O1800" s="24">
        <v>46132</v>
      </c>
      <c r="P1800">
        <v>606</v>
      </c>
      <c r="Q1800" t="s">
        <v>34</v>
      </c>
      <c r="X1800" t="s">
        <v>3447</v>
      </c>
    </row>
    <row r="1801" spans="1:24" x14ac:dyDescent="0.25">
      <c r="A1801">
        <v>1797</v>
      </c>
      <c r="B1801" t="s">
        <v>28</v>
      </c>
      <c r="C1801" t="s">
        <v>25</v>
      </c>
      <c r="D1801">
        <v>14</v>
      </c>
      <c r="E1801" t="s">
        <v>65</v>
      </c>
      <c r="F1801" t="s">
        <v>1598</v>
      </c>
      <c r="G1801">
        <v>3356</v>
      </c>
      <c r="H1801" t="s">
        <v>1802</v>
      </c>
      <c r="I1801" t="s">
        <v>1803</v>
      </c>
      <c r="J1801">
        <v>16</v>
      </c>
      <c r="K1801">
        <v>1</v>
      </c>
      <c r="L1801">
        <v>1.4120370370370369E-3</v>
      </c>
      <c r="M1801" t="s">
        <v>778</v>
      </c>
      <c r="N1801" t="s">
        <v>1316</v>
      </c>
      <c r="O1801" s="24">
        <v>46132</v>
      </c>
      <c r="P1801">
        <v>606</v>
      </c>
      <c r="Q1801" t="s">
        <v>34</v>
      </c>
      <c r="X1801" t="s">
        <v>3447</v>
      </c>
    </row>
    <row r="1802" spans="1:24" x14ac:dyDescent="0.25">
      <c r="A1802">
        <v>1798</v>
      </c>
      <c r="B1802" t="s">
        <v>28</v>
      </c>
      <c r="C1802" t="s">
        <v>25</v>
      </c>
      <c r="D1802">
        <v>14</v>
      </c>
      <c r="E1802" t="s">
        <v>65</v>
      </c>
      <c r="F1802" t="s">
        <v>1599</v>
      </c>
      <c r="G1802">
        <v>3356</v>
      </c>
      <c r="H1802" t="s">
        <v>1804</v>
      </c>
      <c r="I1802" t="s">
        <v>1803</v>
      </c>
      <c r="J1802">
        <v>16</v>
      </c>
      <c r="K1802">
        <v>1</v>
      </c>
      <c r="L1802">
        <v>1.4120370370370369E-3</v>
      </c>
      <c r="M1802" t="s">
        <v>778</v>
      </c>
      <c r="N1802" t="s">
        <v>1316</v>
      </c>
      <c r="O1802" s="24">
        <v>46132</v>
      </c>
      <c r="P1802">
        <v>606</v>
      </c>
      <c r="Q1802" t="s">
        <v>34</v>
      </c>
      <c r="X1802" t="s">
        <v>3447</v>
      </c>
    </row>
    <row r="1803" spans="1:24" x14ac:dyDescent="0.25">
      <c r="A1803">
        <v>1799</v>
      </c>
      <c r="B1803" t="s">
        <v>28</v>
      </c>
      <c r="C1803" t="s">
        <v>25</v>
      </c>
      <c r="D1803">
        <v>14</v>
      </c>
      <c r="E1803" t="s">
        <v>65</v>
      </c>
      <c r="F1803" t="s">
        <v>1599</v>
      </c>
      <c r="G1803">
        <v>3356</v>
      </c>
      <c r="H1803" t="s">
        <v>1805</v>
      </c>
      <c r="I1803" t="s">
        <v>1662</v>
      </c>
      <c r="J1803">
        <v>16</v>
      </c>
      <c r="K1803">
        <v>1</v>
      </c>
      <c r="L1803">
        <v>1.2847222222222223E-3</v>
      </c>
      <c r="M1803" t="s">
        <v>778</v>
      </c>
      <c r="N1803" t="s">
        <v>1316</v>
      </c>
      <c r="O1803" s="24">
        <v>46132</v>
      </c>
      <c r="P1803">
        <v>606</v>
      </c>
      <c r="Q1803" t="s">
        <v>34</v>
      </c>
      <c r="X1803" t="s">
        <v>3447</v>
      </c>
    </row>
    <row r="1804" spans="1:24" x14ac:dyDescent="0.25">
      <c r="A1804">
        <v>1800</v>
      </c>
      <c r="B1804" t="s">
        <v>28</v>
      </c>
      <c r="C1804" t="s">
        <v>25</v>
      </c>
      <c r="D1804">
        <v>14</v>
      </c>
      <c r="E1804" t="s">
        <v>65</v>
      </c>
      <c r="F1804" t="s">
        <v>1599</v>
      </c>
      <c r="G1804">
        <v>3356</v>
      </c>
      <c r="H1804" t="s">
        <v>1806</v>
      </c>
      <c r="I1804" t="s">
        <v>1807</v>
      </c>
      <c r="J1804">
        <v>16</v>
      </c>
      <c r="K1804">
        <v>1</v>
      </c>
      <c r="L1804">
        <v>1.5972222222222221E-3</v>
      </c>
      <c r="M1804" t="s">
        <v>778</v>
      </c>
      <c r="N1804" t="s">
        <v>1316</v>
      </c>
      <c r="O1804" s="24">
        <v>46132</v>
      </c>
      <c r="P1804">
        <v>606</v>
      </c>
      <c r="Q1804" t="s">
        <v>34</v>
      </c>
      <c r="X1804" t="s">
        <v>3447</v>
      </c>
    </row>
    <row r="1805" spans="1:24" x14ac:dyDescent="0.25">
      <c r="A1805">
        <v>1801</v>
      </c>
      <c r="B1805" t="s">
        <v>28</v>
      </c>
      <c r="C1805" t="s">
        <v>25</v>
      </c>
      <c r="D1805">
        <v>14</v>
      </c>
      <c r="E1805" t="s">
        <v>65</v>
      </c>
      <c r="F1805" t="s">
        <v>512</v>
      </c>
      <c r="G1805">
        <v>3356</v>
      </c>
      <c r="H1805" t="s">
        <v>1767</v>
      </c>
      <c r="I1805" t="s">
        <v>1768</v>
      </c>
      <c r="J1805">
        <v>16</v>
      </c>
      <c r="K1805">
        <v>1</v>
      </c>
      <c r="L1805">
        <v>8.2175925925925927E-4</v>
      </c>
      <c r="M1805" t="s">
        <v>778</v>
      </c>
      <c r="N1805" t="s">
        <v>1316</v>
      </c>
      <c r="O1805" s="24">
        <v>46132</v>
      </c>
      <c r="P1805">
        <v>606</v>
      </c>
      <c r="Q1805" t="s">
        <v>34</v>
      </c>
      <c r="X1805" t="s">
        <v>3447</v>
      </c>
    </row>
    <row r="1806" spans="1:24" x14ac:dyDescent="0.25">
      <c r="A1806">
        <v>1802</v>
      </c>
      <c r="B1806" t="s">
        <v>28</v>
      </c>
      <c r="C1806" t="s">
        <v>25</v>
      </c>
      <c r="D1806">
        <v>14</v>
      </c>
      <c r="E1806" t="s">
        <v>367</v>
      </c>
      <c r="F1806" t="s">
        <v>512</v>
      </c>
      <c r="G1806">
        <v>3356</v>
      </c>
      <c r="H1806" t="s">
        <v>1779</v>
      </c>
      <c r="I1806" t="s">
        <v>1780</v>
      </c>
      <c r="J1806">
        <v>16</v>
      </c>
      <c r="K1806">
        <v>1</v>
      </c>
      <c r="L1806">
        <v>7.8703703703703705E-4</v>
      </c>
      <c r="M1806" t="s">
        <v>778</v>
      </c>
      <c r="N1806" t="s">
        <v>1316</v>
      </c>
      <c r="O1806" s="24">
        <v>46132</v>
      </c>
      <c r="P1806">
        <v>606</v>
      </c>
      <c r="Q1806" t="s">
        <v>34</v>
      </c>
      <c r="X1806" t="s">
        <v>3447</v>
      </c>
    </row>
    <row r="1807" spans="1:24" x14ac:dyDescent="0.25">
      <c r="A1807">
        <v>1803</v>
      </c>
      <c r="B1807" t="s">
        <v>28</v>
      </c>
      <c r="C1807" t="s">
        <v>25</v>
      </c>
      <c r="D1807">
        <v>14</v>
      </c>
      <c r="E1807" t="s">
        <v>150</v>
      </c>
      <c r="F1807" t="s">
        <v>115</v>
      </c>
      <c r="G1807">
        <v>4520</v>
      </c>
      <c r="H1807" t="s">
        <v>1808</v>
      </c>
      <c r="I1807" t="s">
        <v>1809</v>
      </c>
      <c r="J1807">
        <v>12</v>
      </c>
      <c r="K1807">
        <v>6</v>
      </c>
      <c r="L1807">
        <v>6.8055555555555551E-3</v>
      </c>
      <c r="M1807" t="s">
        <v>778</v>
      </c>
      <c r="N1807" t="s">
        <v>3910</v>
      </c>
      <c r="O1807" s="24">
        <v>46140</v>
      </c>
      <c r="P1807">
        <v>605</v>
      </c>
      <c r="Q1807" t="s">
        <v>34</v>
      </c>
      <c r="X1807" t="s">
        <v>3448</v>
      </c>
    </row>
    <row r="1808" spans="1:24" x14ac:dyDescent="0.25">
      <c r="A1808">
        <v>1804</v>
      </c>
      <c r="B1808" t="s">
        <v>28</v>
      </c>
      <c r="C1808" t="s">
        <v>25</v>
      </c>
      <c r="D1808">
        <v>14</v>
      </c>
      <c r="E1808" t="s">
        <v>152</v>
      </c>
      <c r="F1808" t="s">
        <v>152</v>
      </c>
      <c r="G1808">
        <v>4520</v>
      </c>
      <c r="H1808" t="s">
        <v>1812</v>
      </c>
      <c r="I1808" t="s">
        <v>1813</v>
      </c>
      <c r="J1808">
        <v>12</v>
      </c>
      <c r="K1808">
        <v>1</v>
      </c>
      <c r="L1808">
        <v>1.3356481481481481E-2</v>
      </c>
      <c r="M1808" t="s">
        <v>778</v>
      </c>
      <c r="N1808" t="s">
        <v>3910</v>
      </c>
      <c r="O1808" s="24">
        <v>46140</v>
      </c>
      <c r="P1808">
        <v>605</v>
      </c>
      <c r="Q1808" t="s">
        <v>34</v>
      </c>
      <c r="X1808" t="s">
        <v>3448</v>
      </c>
    </row>
    <row r="1809" spans="1:24" x14ac:dyDescent="0.25">
      <c r="A1809">
        <v>1805</v>
      </c>
      <c r="B1809" t="s">
        <v>28</v>
      </c>
      <c r="C1809" t="s">
        <v>25</v>
      </c>
      <c r="D1809">
        <v>14</v>
      </c>
      <c r="E1809" t="s">
        <v>367</v>
      </c>
      <c r="F1809" t="s">
        <v>367</v>
      </c>
      <c r="G1809">
        <v>4520</v>
      </c>
      <c r="H1809" t="s">
        <v>1814</v>
      </c>
      <c r="I1809" t="s">
        <v>1815</v>
      </c>
      <c r="J1809">
        <v>12</v>
      </c>
      <c r="K1809">
        <v>1</v>
      </c>
      <c r="L1809">
        <v>8.7962962962962962E-4</v>
      </c>
      <c r="M1809" t="s">
        <v>778</v>
      </c>
      <c r="N1809" t="s">
        <v>3910</v>
      </c>
      <c r="O1809" s="24">
        <v>46140</v>
      </c>
      <c r="P1809">
        <v>605</v>
      </c>
      <c r="Q1809" t="s">
        <v>34</v>
      </c>
      <c r="X1809" t="s">
        <v>3448</v>
      </c>
    </row>
    <row r="1810" spans="1:24" x14ac:dyDescent="0.25">
      <c r="A1810">
        <v>1806</v>
      </c>
      <c r="B1810" t="s">
        <v>28</v>
      </c>
      <c r="C1810" t="s">
        <v>25</v>
      </c>
      <c r="D1810">
        <v>14</v>
      </c>
      <c r="E1810" t="s">
        <v>65</v>
      </c>
      <c r="F1810" t="s">
        <v>1591</v>
      </c>
      <c r="G1810">
        <v>4520</v>
      </c>
      <c r="H1810" t="s">
        <v>1816</v>
      </c>
      <c r="I1810" t="s">
        <v>1815</v>
      </c>
      <c r="J1810">
        <v>12</v>
      </c>
      <c r="K1810">
        <v>1</v>
      </c>
      <c r="L1810">
        <v>1.0763888888888889E-3</v>
      </c>
      <c r="M1810" t="s">
        <v>778</v>
      </c>
      <c r="N1810" t="s">
        <v>3910</v>
      </c>
      <c r="O1810" s="24">
        <v>46140</v>
      </c>
      <c r="P1810">
        <v>605</v>
      </c>
      <c r="Q1810" t="s">
        <v>34</v>
      </c>
      <c r="X1810" t="s">
        <v>3448</v>
      </c>
    </row>
    <row r="1811" spans="1:24" x14ac:dyDescent="0.25">
      <c r="A1811">
        <v>1807</v>
      </c>
      <c r="B1811" t="s">
        <v>28</v>
      </c>
      <c r="C1811" t="s">
        <v>25</v>
      </c>
      <c r="D1811">
        <v>14</v>
      </c>
      <c r="E1811" t="s">
        <v>152</v>
      </c>
      <c r="F1811" t="s">
        <v>152</v>
      </c>
      <c r="G1811">
        <v>4521</v>
      </c>
      <c r="H1811" t="s">
        <v>1812</v>
      </c>
      <c r="I1811" t="s">
        <v>1813</v>
      </c>
      <c r="J1811">
        <v>12</v>
      </c>
      <c r="K1811">
        <v>1</v>
      </c>
      <c r="L1811">
        <v>1.4409722222222221E-2</v>
      </c>
      <c r="M1811" t="s">
        <v>778</v>
      </c>
      <c r="N1811" t="s">
        <v>3910</v>
      </c>
      <c r="O1811" s="24">
        <v>46140</v>
      </c>
      <c r="P1811">
        <v>605</v>
      </c>
      <c r="Q1811" t="s">
        <v>34</v>
      </c>
      <c r="X1811" t="s">
        <v>3449</v>
      </c>
    </row>
    <row r="1812" spans="1:24" x14ac:dyDescent="0.25">
      <c r="A1812">
        <v>1808</v>
      </c>
      <c r="B1812" t="s">
        <v>28</v>
      </c>
      <c r="C1812" t="s">
        <v>25</v>
      </c>
      <c r="D1812">
        <v>14</v>
      </c>
      <c r="E1812" t="s">
        <v>65</v>
      </c>
      <c r="F1812" t="s">
        <v>368</v>
      </c>
      <c r="G1812">
        <v>4521</v>
      </c>
      <c r="H1812" t="s">
        <v>1818</v>
      </c>
      <c r="I1812" t="s">
        <v>1819</v>
      </c>
      <c r="J1812">
        <v>12</v>
      </c>
      <c r="K1812">
        <v>1</v>
      </c>
      <c r="L1812">
        <v>8.9120370370370362E-4</v>
      </c>
      <c r="M1812" t="s">
        <v>778</v>
      </c>
      <c r="N1812" t="s">
        <v>3910</v>
      </c>
      <c r="O1812" s="24">
        <v>46140</v>
      </c>
      <c r="P1812">
        <v>605</v>
      </c>
      <c r="Q1812" t="s">
        <v>34</v>
      </c>
      <c r="X1812" t="s">
        <v>3449</v>
      </c>
    </row>
    <row r="1813" spans="1:24" x14ac:dyDescent="0.25">
      <c r="A1813">
        <v>1809</v>
      </c>
      <c r="B1813" t="s">
        <v>28</v>
      </c>
      <c r="C1813" t="s">
        <v>25</v>
      </c>
      <c r="D1813">
        <v>14</v>
      </c>
      <c r="E1813" t="s">
        <v>65</v>
      </c>
      <c r="F1813" t="s">
        <v>368</v>
      </c>
      <c r="G1813">
        <v>4521</v>
      </c>
      <c r="H1813" t="s">
        <v>1820</v>
      </c>
      <c r="I1813" t="s">
        <v>1821</v>
      </c>
      <c r="J1813">
        <v>12</v>
      </c>
      <c r="K1813">
        <v>1</v>
      </c>
      <c r="L1813">
        <v>9.7222222222222219E-4</v>
      </c>
      <c r="M1813" t="s">
        <v>778</v>
      </c>
      <c r="N1813" t="s">
        <v>3910</v>
      </c>
      <c r="O1813" s="24">
        <v>46140</v>
      </c>
      <c r="P1813">
        <v>605</v>
      </c>
      <c r="Q1813" t="s">
        <v>34</v>
      </c>
      <c r="X1813" t="s">
        <v>3449</v>
      </c>
    </row>
    <row r="1814" spans="1:24" x14ac:dyDescent="0.25">
      <c r="A1814">
        <v>1810</v>
      </c>
      <c r="B1814" t="s">
        <v>28</v>
      </c>
      <c r="C1814" t="s">
        <v>25</v>
      </c>
      <c r="D1814">
        <v>14</v>
      </c>
      <c r="E1814" t="s">
        <v>65</v>
      </c>
      <c r="F1814" t="s">
        <v>368</v>
      </c>
      <c r="G1814">
        <v>4521</v>
      </c>
      <c r="H1814" t="s">
        <v>1822</v>
      </c>
      <c r="I1814" t="s">
        <v>1821</v>
      </c>
      <c r="J1814">
        <v>12</v>
      </c>
      <c r="K1814">
        <v>1</v>
      </c>
      <c r="L1814">
        <v>7.9861111111111105E-4</v>
      </c>
      <c r="M1814" t="s">
        <v>778</v>
      </c>
      <c r="N1814" t="s">
        <v>3910</v>
      </c>
      <c r="O1814" s="24">
        <v>46140</v>
      </c>
      <c r="P1814">
        <v>605</v>
      </c>
      <c r="Q1814" t="s">
        <v>34</v>
      </c>
      <c r="X1814" t="s">
        <v>3449</v>
      </c>
    </row>
    <row r="1815" spans="1:24" x14ac:dyDescent="0.25">
      <c r="A1815">
        <v>1811</v>
      </c>
      <c r="B1815" t="s">
        <v>28</v>
      </c>
      <c r="C1815" t="s">
        <v>25</v>
      </c>
      <c r="D1815">
        <v>14</v>
      </c>
      <c r="E1815" t="s">
        <v>65</v>
      </c>
      <c r="F1815" t="s">
        <v>368</v>
      </c>
      <c r="G1815">
        <v>4521</v>
      </c>
      <c r="H1815" t="s">
        <v>1823</v>
      </c>
      <c r="I1815" t="s">
        <v>1824</v>
      </c>
      <c r="J1815">
        <v>12</v>
      </c>
      <c r="K1815">
        <v>1</v>
      </c>
      <c r="L1815">
        <v>7.9861111111111105E-4</v>
      </c>
      <c r="M1815" t="s">
        <v>778</v>
      </c>
      <c r="N1815" t="s">
        <v>3910</v>
      </c>
      <c r="O1815" s="24">
        <v>46140</v>
      </c>
      <c r="P1815">
        <v>605</v>
      </c>
      <c r="Q1815" t="s">
        <v>34</v>
      </c>
      <c r="X1815" t="s">
        <v>3449</v>
      </c>
    </row>
    <row r="1816" spans="1:24" x14ac:dyDescent="0.25">
      <c r="A1816">
        <v>1812</v>
      </c>
      <c r="B1816" t="s">
        <v>28</v>
      </c>
      <c r="C1816" t="s">
        <v>25</v>
      </c>
      <c r="D1816">
        <v>14</v>
      </c>
      <c r="E1816" t="s">
        <v>65</v>
      </c>
      <c r="F1816" t="s">
        <v>368</v>
      </c>
      <c r="G1816">
        <v>4521</v>
      </c>
      <c r="H1816" t="s">
        <v>1825</v>
      </c>
      <c r="I1816" t="s">
        <v>1824</v>
      </c>
      <c r="J1816">
        <v>12</v>
      </c>
      <c r="K1816">
        <v>1</v>
      </c>
      <c r="L1816">
        <v>9.9537037037037042E-4</v>
      </c>
      <c r="M1816" t="s">
        <v>778</v>
      </c>
      <c r="N1816" t="s">
        <v>3910</v>
      </c>
      <c r="O1816" s="24">
        <v>46140</v>
      </c>
      <c r="P1816">
        <v>605</v>
      </c>
      <c r="Q1816" t="s">
        <v>34</v>
      </c>
      <c r="X1816" t="s">
        <v>3449</v>
      </c>
    </row>
    <row r="1817" spans="1:24" x14ac:dyDescent="0.25">
      <c r="A1817">
        <v>1813</v>
      </c>
      <c r="B1817" t="s">
        <v>28</v>
      </c>
      <c r="C1817" t="s">
        <v>25</v>
      </c>
      <c r="D1817">
        <v>14</v>
      </c>
      <c r="E1817" t="s">
        <v>65</v>
      </c>
      <c r="F1817" t="s">
        <v>368</v>
      </c>
      <c r="G1817">
        <v>4521</v>
      </c>
      <c r="H1817" t="s">
        <v>1826</v>
      </c>
      <c r="I1817" t="s">
        <v>1827</v>
      </c>
      <c r="J1817">
        <v>12</v>
      </c>
      <c r="K1817">
        <v>1</v>
      </c>
      <c r="L1817">
        <v>9.4907407407407408E-4</v>
      </c>
      <c r="M1817" t="s">
        <v>778</v>
      </c>
      <c r="N1817" t="s">
        <v>3910</v>
      </c>
      <c r="O1817" s="24">
        <v>46140</v>
      </c>
      <c r="P1817">
        <v>605</v>
      </c>
      <c r="Q1817" t="s">
        <v>34</v>
      </c>
      <c r="X1817" t="s">
        <v>3449</v>
      </c>
    </row>
    <row r="1818" spans="1:24" x14ac:dyDescent="0.25">
      <c r="A1818">
        <v>1814</v>
      </c>
      <c r="B1818" t="s">
        <v>28</v>
      </c>
      <c r="C1818" t="s">
        <v>25</v>
      </c>
      <c r="D1818">
        <v>14</v>
      </c>
      <c r="E1818" t="s">
        <v>65</v>
      </c>
      <c r="F1818" t="s">
        <v>368</v>
      </c>
      <c r="G1818">
        <v>4521</v>
      </c>
      <c r="H1818" t="s">
        <v>1828</v>
      </c>
      <c r="I1818" t="s">
        <v>1827</v>
      </c>
      <c r="J1818">
        <v>12</v>
      </c>
      <c r="K1818">
        <v>1</v>
      </c>
      <c r="L1818">
        <v>7.6388888888888882E-4</v>
      </c>
      <c r="M1818" t="s">
        <v>778</v>
      </c>
      <c r="N1818" t="s">
        <v>3910</v>
      </c>
      <c r="O1818" s="24">
        <v>46140</v>
      </c>
      <c r="P1818">
        <v>605</v>
      </c>
      <c r="Q1818" t="s">
        <v>34</v>
      </c>
      <c r="X1818" t="s">
        <v>3449</v>
      </c>
    </row>
    <row r="1819" spans="1:24" x14ac:dyDescent="0.25">
      <c r="A1819">
        <v>1815</v>
      </c>
      <c r="B1819" t="s">
        <v>28</v>
      </c>
      <c r="C1819" t="s">
        <v>25</v>
      </c>
      <c r="D1819">
        <v>14</v>
      </c>
      <c r="E1819" t="s">
        <v>65</v>
      </c>
      <c r="F1819" t="s">
        <v>1591</v>
      </c>
      <c r="G1819">
        <v>4521</v>
      </c>
      <c r="H1819" t="s">
        <v>1829</v>
      </c>
      <c r="I1819" t="s">
        <v>1830</v>
      </c>
      <c r="J1819">
        <v>12</v>
      </c>
      <c r="K1819">
        <v>1</v>
      </c>
      <c r="L1819">
        <v>1.1342592592592591E-3</v>
      </c>
      <c r="M1819" t="s">
        <v>778</v>
      </c>
      <c r="N1819" t="s">
        <v>3910</v>
      </c>
      <c r="O1819" s="24">
        <v>46140</v>
      </c>
      <c r="P1819">
        <v>605</v>
      </c>
      <c r="Q1819" t="s">
        <v>34</v>
      </c>
      <c r="X1819" t="s">
        <v>3449</v>
      </c>
    </row>
    <row r="1820" spans="1:24" x14ac:dyDescent="0.25">
      <c r="A1820">
        <v>1816</v>
      </c>
      <c r="B1820" t="s">
        <v>28</v>
      </c>
      <c r="C1820" t="s">
        <v>25</v>
      </c>
      <c r="D1820">
        <v>14</v>
      </c>
      <c r="E1820" t="s">
        <v>1665</v>
      </c>
      <c r="F1820" t="s">
        <v>512</v>
      </c>
      <c r="G1820">
        <v>4523</v>
      </c>
      <c r="H1820" t="s">
        <v>1831</v>
      </c>
      <c r="I1820" t="s">
        <v>1830</v>
      </c>
      <c r="J1820">
        <v>12</v>
      </c>
      <c r="K1820">
        <v>1</v>
      </c>
      <c r="L1820">
        <v>1.2037037037037036E-3</v>
      </c>
      <c r="M1820" t="s">
        <v>778</v>
      </c>
      <c r="N1820" t="s">
        <v>3910</v>
      </c>
      <c r="O1820" s="24">
        <v>46140</v>
      </c>
      <c r="P1820">
        <v>605</v>
      </c>
      <c r="Q1820" t="s">
        <v>34</v>
      </c>
      <c r="X1820" t="s">
        <v>3450</v>
      </c>
    </row>
    <row r="1821" spans="1:24" x14ac:dyDescent="0.25">
      <c r="A1821">
        <v>1817</v>
      </c>
      <c r="B1821" t="s">
        <v>28</v>
      </c>
      <c r="C1821" t="s">
        <v>25</v>
      </c>
      <c r="D1821">
        <v>14</v>
      </c>
      <c r="E1821" t="s">
        <v>152</v>
      </c>
      <c r="F1821" t="s">
        <v>152</v>
      </c>
      <c r="G1821">
        <v>4523</v>
      </c>
      <c r="H1821" t="s">
        <v>1812</v>
      </c>
      <c r="I1821" t="s">
        <v>1813</v>
      </c>
      <c r="J1821">
        <v>12</v>
      </c>
      <c r="K1821">
        <v>1</v>
      </c>
      <c r="L1821">
        <v>1.4710648148148148E-2</v>
      </c>
      <c r="M1821" t="s">
        <v>778</v>
      </c>
      <c r="N1821" t="s">
        <v>3910</v>
      </c>
      <c r="O1821" s="24">
        <v>46140</v>
      </c>
      <c r="P1821">
        <v>605</v>
      </c>
      <c r="Q1821" t="s">
        <v>34</v>
      </c>
      <c r="X1821" t="s">
        <v>3450</v>
      </c>
    </row>
    <row r="1822" spans="1:24" x14ac:dyDescent="0.25">
      <c r="A1822">
        <v>1818</v>
      </c>
      <c r="B1822" t="s">
        <v>28</v>
      </c>
      <c r="C1822" t="s">
        <v>25</v>
      </c>
      <c r="D1822">
        <v>14</v>
      </c>
      <c r="E1822" t="s">
        <v>65</v>
      </c>
      <c r="F1822" t="s">
        <v>368</v>
      </c>
      <c r="G1822">
        <v>4523</v>
      </c>
      <c r="H1822" t="s">
        <v>1833</v>
      </c>
      <c r="I1822" t="s">
        <v>1834</v>
      </c>
      <c r="J1822">
        <v>12</v>
      </c>
      <c r="K1822">
        <v>1</v>
      </c>
      <c r="L1822">
        <v>1.1342592592592591E-3</v>
      </c>
      <c r="M1822" t="s">
        <v>778</v>
      </c>
      <c r="N1822" t="s">
        <v>3910</v>
      </c>
      <c r="O1822" s="24">
        <v>46140</v>
      </c>
      <c r="P1822">
        <v>605</v>
      </c>
      <c r="Q1822" t="s">
        <v>34</v>
      </c>
      <c r="X1822" t="s">
        <v>3450</v>
      </c>
    </row>
    <row r="1823" spans="1:24" x14ac:dyDescent="0.25">
      <c r="A1823">
        <v>1819</v>
      </c>
      <c r="B1823" t="s">
        <v>28</v>
      </c>
      <c r="C1823" t="s">
        <v>25</v>
      </c>
      <c r="D1823">
        <v>14</v>
      </c>
      <c r="E1823" t="s">
        <v>65</v>
      </c>
      <c r="F1823" t="s">
        <v>368</v>
      </c>
      <c r="G1823">
        <v>4523</v>
      </c>
      <c r="H1823" t="s">
        <v>1835</v>
      </c>
      <c r="I1823" t="s">
        <v>1836</v>
      </c>
      <c r="J1823">
        <v>12</v>
      </c>
      <c r="K1823">
        <v>1</v>
      </c>
      <c r="L1823">
        <v>1.1805555555555556E-3</v>
      </c>
      <c r="M1823" t="s">
        <v>778</v>
      </c>
      <c r="N1823" t="s">
        <v>3910</v>
      </c>
      <c r="O1823" s="24">
        <v>46140</v>
      </c>
      <c r="P1823">
        <v>605</v>
      </c>
      <c r="Q1823" t="s">
        <v>34</v>
      </c>
      <c r="X1823" t="s">
        <v>3450</v>
      </c>
    </row>
    <row r="1824" spans="1:24" x14ac:dyDescent="0.25">
      <c r="A1824">
        <v>1820</v>
      </c>
      <c r="B1824" t="s">
        <v>28</v>
      </c>
      <c r="C1824" t="s">
        <v>25</v>
      </c>
      <c r="D1824">
        <v>14</v>
      </c>
      <c r="E1824" t="s">
        <v>65</v>
      </c>
      <c r="F1824" t="s">
        <v>368</v>
      </c>
      <c r="G1824">
        <v>4523</v>
      </c>
      <c r="H1824" t="s">
        <v>1837</v>
      </c>
      <c r="I1824" t="s">
        <v>1838</v>
      </c>
      <c r="J1824">
        <v>12</v>
      </c>
      <c r="K1824">
        <v>1</v>
      </c>
      <c r="L1824">
        <v>1.2384259259259258E-3</v>
      </c>
      <c r="M1824" t="s">
        <v>778</v>
      </c>
      <c r="N1824" t="s">
        <v>3910</v>
      </c>
      <c r="O1824" s="24">
        <v>46140</v>
      </c>
      <c r="P1824">
        <v>605</v>
      </c>
      <c r="Q1824" t="s">
        <v>34</v>
      </c>
      <c r="X1824" t="s">
        <v>3450</v>
      </c>
    </row>
    <row r="1825" spans="1:24" x14ac:dyDescent="0.25">
      <c r="A1825">
        <v>1821</v>
      </c>
      <c r="B1825" t="s">
        <v>28</v>
      </c>
      <c r="C1825" t="s">
        <v>25</v>
      </c>
      <c r="D1825">
        <v>14</v>
      </c>
      <c r="E1825" t="s">
        <v>65</v>
      </c>
      <c r="F1825" t="s">
        <v>368</v>
      </c>
      <c r="G1825">
        <v>4523</v>
      </c>
      <c r="H1825" t="s">
        <v>1839</v>
      </c>
      <c r="I1825" t="s">
        <v>1819</v>
      </c>
      <c r="J1825">
        <v>12</v>
      </c>
      <c r="K1825">
        <v>1</v>
      </c>
      <c r="L1825">
        <v>1.0995370370370369E-3</v>
      </c>
      <c r="M1825" t="s">
        <v>778</v>
      </c>
      <c r="N1825" t="s">
        <v>3910</v>
      </c>
      <c r="O1825" s="24">
        <v>46140</v>
      </c>
      <c r="P1825">
        <v>605</v>
      </c>
      <c r="Q1825" t="s">
        <v>34</v>
      </c>
      <c r="X1825" t="s">
        <v>3450</v>
      </c>
    </row>
    <row r="1826" spans="1:24" x14ac:dyDescent="0.25">
      <c r="A1826">
        <v>1822</v>
      </c>
      <c r="B1826" t="s">
        <v>28</v>
      </c>
      <c r="C1826" t="s">
        <v>25</v>
      </c>
      <c r="D1826">
        <v>14</v>
      </c>
      <c r="E1826" t="s">
        <v>147</v>
      </c>
      <c r="F1826" t="s">
        <v>115</v>
      </c>
      <c r="G1826">
        <v>4524</v>
      </c>
      <c r="H1826" t="s">
        <v>1840</v>
      </c>
      <c r="I1826" t="s">
        <v>1809</v>
      </c>
      <c r="J1826">
        <v>12</v>
      </c>
      <c r="K1826">
        <v>7</v>
      </c>
      <c r="L1826">
        <v>6.3194444444444444E-3</v>
      </c>
      <c r="M1826" t="s">
        <v>778</v>
      </c>
      <c r="N1826" t="s">
        <v>3910</v>
      </c>
      <c r="O1826" s="24">
        <v>46140</v>
      </c>
      <c r="P1826">
        <v>605</v>
      </c>
      <c r="Q1826" t="s">
        <v>34</v>
      </c>
      <c r="X1826" t="s">
        <v>3451</v>
      </c>
    </row>
    <row r="1827" spans="1:24" x14ac:dyDescent="0.25">
      <c r="A1827">
        <v>1823</v>
      </c>
      <c r="B1827" t="s">
        <v>28</v>
      </c>
      <c r="C1827" t="s">
        <v>25</v>
      </c>
      <c r="D1827">
        <v>14</v>
      </c>
      <c r="E1827" t="s">
        <v>152</v>
      </c>
      <c r="F1827" t="s">
        <v>152</v>
      </c>
      <c r="G1827">
        <v>4524</v>
      </c>
      <c r="H1827" t="s">
        <v>1812</v>
      </c>
      <c r="I1827" t="s">
        <v>1813</v>
      </c>
      <c r="J1827">
        <v>12</v>
      </c>
      <c r="K1827">
        <v>1</v>
      </c>
      <c r="L1827">
        <v>1.4467592592592593E-2</v>
      </c>
      <c r="M1827" t="s">
        <v>778</v>
      </c>
      <c r="N1827" t="s">
        <v>3910</v>
      </c>
      <c r="O1827" s="24">
        <v>46140</v>
      </c>
      <c r="P1827">
        <v>605</v>
      </c>
      <c r="Q1827" t="s">
        <v>34</v>
      </c>
      <c r="X1827" t="s">
        <v>3451</v>
      </c>
    </row>
    <row r="1828" spans="1:24" x14ac:dyDescent="0.25">
      <c r="A1828">
        <v>1824</v>
      </c>
      <c r="B1828" t="s">
        <v>28</v>
      </c>
      <c r="C1828" t="s">
        <v>25</v>
      </c>
      <c r="D1828">
        <v>14</v>
      </c>
      <c r="E1828" t="s">
        <v>367</v>
      </c>
      <c r="F1828" t="s">
        <v>512</v>
      </c>
      <c r="G1828">
        <v>4524</v>
      </c>
      <c r="H1828" t="s">
        <v>1842</v>
      </c>
      <c r="I1828" t="s">
        <v>1843</v>
      </c>
      <c r="J1828">
        <v>12</v>
      </c>
      <c r="K1828">
        <v>1</v>
      </c>
      <c r="L1828">
        <v>4.9768518518518521E-4</v>
      </c>
      <c r="M1828" t="s">
        <v>778</v>
      </c>
      <c r="N1828" t="s">
        <v>3910</v>
      </c>
      <c r="O1828" s="24">
        <v>46140</v>
      </c>
      <c r="P1828">
        <v>605</v>
      </c>
      <c r="Q1828" t="s">
        <v>34</v>
      </c>
      <c r="X1828" t="s">
        <v>3451</v>
      </c>
    </row>
    <row r="1829" spans="1:24" x14ac:dyDescent="0.25">
      <c r="A1829">
        <v>1825</v>
      </c>
      <c r="B1829" t="s">
        <v>28</v>
      </c>
      <c r="C1829" t="s">
        <v>25</v>
      </c>
      <c r="D1829">
        <v>14</v>
      </c>
      <c r="E1829" t="s">
        <v>367</v>
      </c>
      <c r="F1829" t="s">
        <v>512</v>
      </c>
      <c r="G1829">
        <v>4524</v>
      </c>
      <c r="H1829" t="s">
        <v>1844</v>
      </c>
      <c r="I1829" t="s">
        <v>1845</v>
      </c>
      <c r="J1829">
        <v>12</v>
      </c>
      <c r="K1829">
        <v>1</v>
      </c>
      <c r="L1829">
        <v>4.282407407407407E-4</v>
      </c>
      <c r="M1829" t="s">
        <v>778</v>
      </c>
      <c r="N1829" t="s">
        <v>3910</v>
      </c>
      <c r="O1829" s="24">
        <v>46140</v>
      </c>
      <c r="P1829">
        <v>605</v>
      </c>
      <c r="Q1829" t="s">
        <v>34</v>
      </c>
      <c r="X1829" t="s">
        <v>3451</v>
      </c>
    </row>
    <row r="1830" spans="1:24" x14ac:dyDescent="0.25">
      <c r="A1830">
        <v>1826</v>
      </c>
      <c r="B1830" t="s">
        <v>28</v>
      </c>
      <c r="C1830" t="s">
        <v>25</v>
      </c>
      <c r="D1830">
        <v>14</v>
      </c>
      <c r="E1830" t="s">
        <v>152</v>
      </c>
      <c r="F1830" t="s">
        <v>152</v>
      </c>
      <c r="G1830">
        <v>4656</v>
      </c>
      <c r="H1830" t="s">
        <v>1846</v>
      </c>
      <c r="I1830" t="s">
        <v>1813</v>
      </c>
      <c r="J1830">
        <v>12</v>
      </c>
      <c r="K1830">
        <v>1</v>
      </c>
      <c r="L1830">
        <v>1.579861111111111E-2</v>
      </c>
      <c r="M1830" t="s">
        <v>778</v>
      </c>
      <c r="N1830" t="s">
        <v>3910</v>
      </c>
      <c r="O1830" s="24">
        <v>46140</v>
      </c>
      <c r="P1830">
        <v>605</v>
      </c>
      <c r="Q1830" t="s">
        <v>34</v>
      </c>
      <c r="X1830" t="s">
        <v>3452</v>
      </c>
    </row>
    <row r="1831" spans="1:24" x14ac:dyDescent="0.25">
      <c r="A1831">
        <v>1827</v>
      </c>
      <c r="B1831" t="s">
        <v>28</v>
      </c>
      <c r="C1831" t="s">
        <v>25</v>
      </c>
      <c r="D1831">
        <v>14</v>
      </c>
      <c r="E1831" t="s">
        <v>367</v>
      </c>
      <c r="F1831" t="s">
        <v>512</v>
      </c>
      <c r="G1831">
        <v>4656</v>
      </c>
      <c r="H1831" t="s">
        <v>1848</v>
      </c>
      <c r="I1831" t="s">
        <v>1849</v>
      </c>
      <c r="J1831">
        <v>12</v>
      </c>
      <c r="K1831">
        <v>2</v>
      </c>
      <c r="L1831">
        <v>2.5694444444444445E-3</v>
      </c>
      <c r="M1831" t="s">
        <v>778</v>
      </c>
      <c r="N1831" t="s">
        <v>3910</v>
      </c>
      <c r="O1831" s="24">
        <v>46140</v>
      </c>
      <c r="P1831">
        <v>605</v>
      </c>
      <c r="Q1831" t="s">
        <v>34</v>
      </c>
      <c r="X1831" t="s">
        <v>3452</v>
      </c>
    </row>
    <row r="1832" spans="1:24" x14ac:dyDescent="0.25">
      <c r="A1832">
        <v>1828</v>
      </c>
      <c r="B1832" t="s">
        <v>28</v>
      </c>
      <c r="C1832" t="s">
        <v>25</v>
      </c>
      <c r="D1832">
        <v>14</v>
      </c>
      <c r="E1832" t="s">
        <v>152</v>
      </c>
      <c r="F1832" t="s">
        <v>152</v>
      </c>
      <c r="G1832">
        <v>4657</v>
      </c>
      <c r="H1832" t="s">
        <v>1812</v>
      </c>
      <c r="I1832" t="s">
        <v>1813</v>
      </c>
      <c r="J1832">
        <v>12</v>
      </c>
      <c r="K1832">
        <v>1</v>
      </c>
      <c r="L1832">
        <v>1.417824074074074E-2</v>
      </c>
      <c r="M1832" t="s">
        <v>778</v>
      </c>
      <c r="N1832" t="s">
        <v>3910</v>
      </c>
      <c r="O1832" s="24">
        <v>46140</v>
      </c>
      <c r="P1832">
        <v>605</v>
      </c>
      <c r="Q1832" t="s">
        <v>34</v>
      </c>
      <c r="X1832" t="s">
        <v>3453</v>
      </c>
    </row>
    <row r="1833" spans="1:24" x14ac:dyDescent="0.25">
      <c r="A1833">
        <v>1829</v>
      </c>
      <c r="B1833" t="s">
        <v>28</v>
      </c>
      <c r="C1833" t="s">
        <v>25</v>
      </c>
      <c r="D1833">
        <v>14</v>
      </c>
      <c r="E1833" t="s">
        <v>367</v>
      </c>
      <c r="F1833" t="s">
        <v>1593</v>
      </c>
      <c r="G1833">
        <v>4657</v>
      </c>
      <c r="H1833" t="s">
        <v>1851</v>
      </c>
      <c r="I1833" t="s">
        <v>1852</v>
      </c>
      <c r="J1833">
        <v>12</v>
      </c>
      <c r="K1833">
        <v>1</v>
      </c>
      <c r="L1833">
        <v>9.837962962962962E-4</v>
      </c>
      <c r="M1833" t="s">
        <v>778</v>
      </c>
      <c r="N1833" t="s">
        <v>3910</v>
      </c>
      <c r="O1833" s="24">
        <v>46140</v>
      </c>
      <c r="P1833">
        <v>605</v>
      </c>
      <c r="Q1833" t="s">
        <v>34</v>
      </c>
      <c r="X1833" t="s">
        <v>3453</v>
      </c>
    </row>
    <row r="1834" spans="1:24" x14ac:dyDescent="0.25">
      <c r="A1834">
        <v>1830</v>
      </c>
      <c r="B1834" t="s">
        <v>28</v>
      </c>
      <c r="C1834" t="s">
        <v>25</v>
      </c>
      <c r="D1834">
        <v>14</v>
      </c>
      <c r="E1834" t="s">
        <v>367</v>
      </c>
      <c r="F1834" t="s">
        <v>1594</v>
      </c>
      <c r="G1834">
        <v>4657</v>
      </c>
      <c r="H1834" t="s">
        <v>1853</v>
      </c>
      <c r="I1834" t="s">
        <v>1854</v>
      </c>
      <c r="J1834">
        <v>12</v>
      </c>
      <c r="K1834">
        <v>1</v>
      </c>
      <c r="L1834">
        <v>4.3981481481481481E-4</v>
      </c>
      <c r="M1834" t="s">
        <v>778</v>
      </c>
      <c r="N1834" t="s">
        <v>3910</v>
      </c>
      <c r="O1834" s="24">
        <v>46140</v>
      </c>
      <c r="P1834">
        <v>605</v>
      </c>
      <c r="Q1834" t="s">
        <v>34</v>
      </c>
      <c r="X1834" t="s">
        <v>3453</v>
      </c>
    </row>
    <row r="1835" spans="1:24" x14ac:dyDescent="0.25">
      <c r="A1835">
        <v>1831</v>
      </c>
      <c r="B1835" t="s">
        <v>28</v>
      </c>
      <c r="C1835" t="s">
        <v>25</v>
      </c>
      <c r="D1835">
        <v>14</v>
      </c>
      <c r="E1835" t="s">
        <v>65</v>
      </c>
      <c r="F1835" t="s">
        <v>368</v>
      </c>
      <c r="G1835">
        <v>4657</v>
      </c>
      <c r="H1835" t="s">
        <v>1855</v>
      </c>
      <c r="I1835" t="s">
        <v>1856</v>
      </c>
      <c r="J1835">
        <v>12</v>
      </c>
      <c r="K1835">
        <v>1</v>
      </c>
      <c r="L1835">
        <v>9.1435185185185185E-4</v>
      </c>
      <c r="M1835" t="s">
        <v>778</v>
      </c>
      <c r="N1835" t="s">
        <v>3910</v>
      </c>
      <c r="O1835" s="24">
        <v>46140</v>
      </c>
      <c r="P1835">
        <v>605</v>
      </c>
      <c r="Q1835" t="s">
        <v>34</v>
      </c>
      <c r="X1835" t="s">
        <v>3453</v>
      </c>
    </row>
    <row r="1836" spans="1:24" x14ac:dyDescent="0.25">
      <c r="A1836">
        <v>1832</v>
      </c>
      <c r="B1836" t="s">
        <v>28</v>
      </c>
      <c r="C1836" t="s">
        <v>25</v>
      </c>
      <c r="D1836">
        <v>14</v>
      </c>
      <c r="E1836" t="s">
        <v>65</v>
      </c>
      <c r="F1836" t="s">
        <v>368</v>
      </c>
      <c r="G1836">
        <v>4657</v>
      </c>
      <c r="H1836" t="s">
        <v>1857</v>
      </c>
      <c r="I1836" t="s">
        <v>1856</v>
      </c>
      <c r="J1836">
        <v>12</v>
      </c>
      <c r="K1836">
        <v>1</v>
      </c>
      <c r="L1836">
        <v>9.1435185185185185E-4</v>
      </c>
      <c r="M1836" t="s">
        <v>778</v>
      </c>
      <c r="N1836" t="s">
        <v>3910</v>
      </c>
      <c r="O1836" s="24">
        <v>46140</v>
      </c>
      <c r="P1836">
        <v>605</v>
      </c>
      <c r="Q1836" t="s">
        <v>34</v>
      </c>
      <c r="X1836" t="s">
        <v>3453</v>
      </c>
    </row>
    <row r="1837" spans="1:24" x14ac:dyDescent="0.25">
      <c r="A1837">
        <v>1833</v>
      </c>
      <c r="B1837" t="s">
        <v>28</v>
      </c>
      <c r="C1837" t="s">
        <v>25</v>
      </c>
      <c r="D1837">
        <v>14</v>
      </c>
      <c r="E1837" t="s">
        <v>65</v>
      </c>
      <c r="F1837" t="s">
        <v>368</v>
      </c>
      <c r="G1837">
        <v>4657</v>
      </c>
      <c r="H1837" t="s">
        <v>1858</v>
      </c>
      <c r="I1837" t="s">
        <v>1856</v>
      </c>
      <c r="J1837">
        <v>12</v>
      </c>
      <c r="K1837">
        <v>1</v>
      </c>
      <c r="L1837">
        <v>7.5231481481481482E-4</v>
      </c>
      <c r="M1837" t="s">
        <v>778</v>
      </c>
      <c r="N1837" t="s">
        <v>3910</v>
      </c>
      <c r="O1837" s="24">
        <v>46140</v>
      </c>
      <c r="P1837">
        <v>605</v>
      </c>
      <c r="Q1837" t="s">
        <v>34</v>
      </c>
      <c r="X1837" t="s">
        <v>3453</v>
      </c>
    </row>
    <row r="1838" spans="1:24" x14ac:dyDescent="0.25">
      <c r="A1838">
        <v>1834</v>
      </c>
      <c r="B1838" t="s">
        <v>28</v>
      </c>
      <c r="C1838" t="s">
        <v>25</v>
      </c>
      <c r="D1838">
        <v>14</v>
      </c>
      <c r="E1838" t="s">
        <v>65</v>
      </c>
      <c r="F1838" t="s">
        <v>368</v>
      </c>
      <c r="G1838">
        <v>4657</v>
      </c>
      <c r="H1838" t="s">
        <v>1859</v>
      </c>
      <c r="I1838" t="s">
        <v>1860</v>
      </c>
      <c r="J1838">
        <v>12</v>
      </c>
      <c r="K1838">
        <v>1</v>
      </c>
      <c r="L1838">
        <v>9.1435185185185185E-4</v>
      </c>
      <c r="M1838" t="s">
        <v>778</v>
      </c>
      <c r="N1838" t="s">
        <v>3910</v>
      </c>
      <c r="O1838" s="24">
        <v>46140</v>
      </c>
      <c r="P1838">
        <v>605</v>
      </c>
      <c r="Q1838" t="s">
        <v>34</v>
      </c>
      <c r="X1838" t="s">
        <v>3453</v>
      </c>
    </row>
    <row r="1839" spans="1:24" x14ac:dyDescent="0.25">
      <c r="A1839">
        <v>1835</v>
      </c>
      <c r="B1839" t="s">
        <v>28</v>
      </c>
      <c r="C1839" t="s">
        <v>25</v>
      </c>
      <c r="D1839">
        <v>14</v>
      </c>
      <c r="E1839" t="s">
        <v>65</v>
      </c>
      <c r="F1839" t="s">
        <v>368</v>
      </c>
      <c r="G1839">
        <v>4657</v>
      </c>
      <c r="H1839" t="s">
        <v>1861</v>
      </c>
      <c r="I1839" t="s">
        <v>1856</v>
      </c>
      <c r="J1839">
        <v>12</v>
      </c>
      <c r="K1839">
        <v>1</v>
      </c>
      <c r="L1839">
        <v>7.5231481481481482E-4</v>
      </c>
      <c r="M1839" t="s">
        <v>778</v>
      </c>
      <c r="N1839" t="s">
        <v>3910</v>
      </c>
      <c r="O1839" s="24">
        <v>46140</v>
      </c>
      <c r="P1839">
        <v>605</v>
      </c>
      <c r="Q1839" t="s">
        <v>34</v>
      </c>
      <c r="X1839" t="s">
        <v>3453</v>
      </c>
    </row>
    <row r="1840" spans="1:24" x14ac:dyDescent="0.25">
      <c r="A1840">
        <v>1836</v>
      </c>
      <c r="B1840" t="s">
        <v>28</v>
      </c>
      <c r="C1840" t="s">
        <v>25</v>
      </c>
      <c r="D1840">
        <v>14</v>
      </c>
      <c r="E1840" t="s">
        <v>65</v>
      </c>
      <c r="F1840" t="s">
        <v>368</v>
      </c>
      <c r="G1840">
        <v>4657</v>
      </c>
      <c r="H1840" t="s">
        <v>1862</v>
      </c>
      <c r="I1840" t="s">
        <v>1856</v>
      </c>
      <c r="J1840">
        <v>12</v>
      </c>
      <c r="K1840">
        <v>1</v>
      </c>
      <c r="L1840">
        <v>7.5231481481481482E-4</v>
      </c>
      <c r="M1840" t="s">
        <v>778</v>
      </c>
      <c r="N1840" t="s">
        <v>3910</v>
      </c>
      <c r="O1840" s="24">
        <v>46140</v>
      </c>
      <c r="P1840">
        <v>605</v>
      </c>
      <c r="Q1840" t="s">
        <v>34</v>
      </c>
      <c r="X1840" t="s">
        <v>3453</v>
      </c>
    </row>
    <row r="1841" spans="1:24" x14ac:dyDescent="0.25">
      <c r="A1841">
        <v>1837</v>
      </c>
      <c r="B1841" t="s">
        <v>28</v>
      </c>
      <c r="C1841" t="s">
        <v>25</v>
      </c>
      <c r="D1841">
        <v>14</v>
      </c>
      <c r="E1841" t="s">
        <v>65</v>
      </c>
      <c r="F1841" t="s">
        <v>368</v>
      </c>
      <c r="G1841">
        <v>4657</v>
      </c>
      <c r="H1841" t="s">
        <v>1863</v>
      </c>
      <c r="I1841" t="s">
        <v>1856</v>
      </c>
      <c r="J1841">
        <v>12</v>
      </c>
      <c r="K1841">
        <v>1</v>
      </c>
      <c r="L1841">
        <v>9.1435185185185185E-4</v>
      </c>
      <c r="M1841" t="s">
        <v>778</v>
      </c>
      <c r="N1841" t="s">
        <v>3910</v>
      </c>
      <c r="O1841" s="24">
        <v>46140</v>
      </c>
      <c r="P1841">
        <v>605</v>
      </c>
      <c r="Q1841" t="s">
        <v>34</v>
      </c>
      <c r="X1841" t="s">
        <v>3453</v>
      </c>
    </row>
    <row r="1842" spans="1:24" x14ac:dyDescent="0.25">
      <c r="A1842">
        <v>1838</v>
      </c>
      <c r="B1842" t="s">
        <v>28</v>
      </c>
      <c r="C1842" t="s">
        <v>25</v>
      </c>
      <c r="D1842">
        <v>14</v>
      </c>
      <c r="E1842" t="s">
        <v>65</v>
      </c>
      <c r="F1842" t="s">
        <v>368</v>
      </c>
      <c r="G1842">
        <v>4657</v>
      </c>
      <c r="H1842" t="s">
        <v>1864</v>
      </c>
      <c r="I1842" t="s">
        <v>1865</v>
      </c>
      <c r="J1842">
        <v>12</v>
      </c>
      <c r="K1842">
        <v>1</v>
      </c>
      <c r="L1842">
        <v>7.5231481481481482E-4</v>
      </c>
      <c r="M1842" t="s">
        <v>778</v>
      </c>
      <c r="N1842" t="s">
        <v>3910</v>
      </c>
      <c r="O1842" s="24">
        <v>46140</v>
      </c>
      <c r="P1842">
        <v>605</v>
      </c>
      <c r="Q1842" t="s">
        <v>34</v>
      </c>
      <c r="X1842" t="s">
        <v>3453</v>
      </c>
    </row>
    <row r="1843" spans="1:24" x14ac:dyDescent="0.25">
      <c r="A1843">
        <v>1839</v>
      </c>
      <c r="B1843" t="s">
        <v>28</v>
      </c>
      <c r="C1843" t="s">
        <v>25</v>
      </c>
      <c r="D1843">
        <v>14</v>
      </c>
      <c r="E1843" t="s">
        <v>65</v>
      </c>
      <c r="F1843" t="s">
        <v>1590</v>
      </c>
      <c r="G1843">
        <v>4657</v>
      </c>
      <c r="H1843" t="s">
        <v>1866</v>
      </c>
      <c r="I1843" t="s">
        <v>1867</v>
      </c>
      <c r="J1843">
        <v>12</v>
      </c>
      <c r="K1843">
        <v>1</v>
      </c>
      <c r="L1843">
        <v>4.282407407407407E-4</v>
      </c>
      <c r="M1843" t="s">
        <v>778</v>
      </c>
      <c r="N1843" t="s">
        <v>3910</v>
      </c>
      <c r="O1843" s="24">
        <v>46140</v>
      </c>
      <c r="P1843">
        <v>605</v>
      </c>
      <c r="Q1843" t="s">
        <v>34</v>
      </c>
      <c r="X1843" t="s">
        <v>3453</v>
      </c>
    </row>
    <row r="1844" spans="1:24" x14ac:dyDescent="0.25">
      <c r="A1844">
        <v>1840</v>
      </c>
      <c r="B1844" t="s">
        <v>28</v>
      </c>
      <c r="C1844" t="s">
        <v>25</v>
      </c>
      <c r="D1844">
        <v>14</v>
      </c>
      <c r="E1844" t="s">
        <v>550</v>
      </c>
      <c r="F1844" t="s">
        <v>550</v>
      </c>
      <c r="G1844">
        <v>4658</v>
      </c>
      <c r="H1844" t="s">
        <v>1868</v>
      </c>
      <c r="I1844" t="s">
        <v>1869</v>
      </c>
      <c r="J1844">
        <v>12</v>
      </c>
      <c r="K1844">
        <v>1</v>
      </c>
      <c r="L1844">
        <v>1.4398148148148148E-2</v>
      </c>
      <c r="M1844" t="s">
        <v>778</v>
      </c>
      <c r="N1844" t="s">
        <v>3910</v>
      </c>
      <c r="O1844" s="24">
        <v>46140</v>
      </c>
      <c r="P1844">
        <v>605</v>
      </c>
      <c r="Q1844" t="s">
        <v>34</v>
      </c>
      <c r="X1844" t="s">
        <v>3454</v>
      </c>
    </row>
    <row r="1845" spans="1:24" x14ac:dyDescent="0.25">
      <c r="A1845">
        <v>1841</v>
      </c>
      <c r="B1845" t="s">
        <v>28</v>
      </c>
      <c r="C1845" t="s">
        <v>25</v>
      </c>
      <c r="D1845">
        <v>14</v>
      </c>
      <c r="E1845" t="s">
        <v>147</v>
      </c>
      <c r="F1845" t="s">
        <v>115</v>
      </c>
      <c r="G1845">
        <v>4658</v>
      </c>
      <c r="H1845" t="s">
        <v>1840</v>
      </c>
      <c r="I1845" t="s">
        <v>1809</v>
      </c>
      <c r="J1845">
        <v>12</v>
      </c>
      <c r="K1845">
        <v>7</v>
      </c>
      <c r="L1845">
        <v>6.3078703703703699E-3</v>
      </c>
      <c r="M1845" t="s">
        <v>778</v>
      </c>
      <c r="N1845" t="s">
        <v>3910</v>
      </c>
      <c r="O1845" s="24">
        <v>46140</v>
      </c>
      <c r="P1845">
        <v>605</v>
      </c>
      <c r="Q1845" t="s">
        <v>34</v>
      </c>
      <c r="X1845" t="s">
        <v>3454</v>
      </c>
    </row>
    <row r="1846" spans="1:24" x14ac:dyDescent="0.25">
      <c r="A1846">
        <v>1842</v>
      </c>
      <c r="B1846" t="s">
        <v>28</v>
      </c>
      <c r="C1846" t="s">
        <v>25</v>
      </c>
      <c r="D1846">
        <v>14</v>
      </c>
      <c r="E1846" t="s">
        <v>367</v>
      </c>
      <c r="F1846" t="s">
        <v>512</v>
      </c>
      <c r="G1846">
        <v>4658</v>
      </c>
      <c r="H1846" t="s">
        <v>1871</v>
      </c>
      <c r="I1846" t="s">
        <v>1845</v>
      </c>
      <c r="J1846">
        <v>12</v>
      </c>
      <c r="K1846">
        <v>1</v>
      </c>
      <c r="L1846">
        <v>4.282407407407407E-4</v>
      </c>
      <c r="M1846" t="s">
        <v>778</v>
      </c>
      <c r="N1846" t="s">
        <v>3910</v>
      </c>
      <c r="O1846" s="24">
        <v>46140</v>
      </c>
      <c r="P1846">
        <v>605</v>
      </c>
      <c r="Q1846" t="s">
        <v>34</v>
      </c>
      <c r="X1846" t="s">
        <v>3454</v>
      </c>
    </row>
    <row r="1847" spans="1:24" x14ac:dyDescent="0.25">
      <c r="A1847">
        <v>1843</v>
      </c>
      <c r="B1847" t="s">
        <v>28</v>
      </c>
      <c r="C1847" t="s">
        <v>25</v>
      </c>
      <c r="D1847">
        <v>14</v>
      </c>
      <c r="E1847" t="s">
        <v>65</v>
      </c>
      <c r="F1847" t="s">
        <v>512</v>
      </c>
      <c r="G1847">
        <v>4658</v>
      </c>
      <c r="H1847" t="s">
        <v>1872</v>
      </c>
      <c r="I1847" t="s">
        <v>1873</v>
      </c>
      <c r="J1847">
        <v>12</v>
      </c>
      <c r="K1847">
        <v>1</v>
      </c>
      <c r="L1847">
        <v>5.6712962962962956E-4</v>
      </c>
      <c r="M1847" t="s">
        <v>778</v>
      </c>
      <c r="N1847" t="s">
        <v>3910</v>
      </c>
      <c r="O1847" s="24">
        <v>46140</v>
      </c>
      <c r="P1847">
        <v>605</v>
      </c>
      <c r="Q1847" t="s">
        <v>34</v>
      </c>
      <c r="X1847" t="s">
        <v>3454</v>
      </c>
    </row>
    <row r="1848" spans="1:24" x14ac:dyDescent="0.25">
      <c r="A1848">
        <v>1844</v>
      </c>
      <c r="B1848" t="s">
        <v>28</v>
      </c>
      <c r="C1848" t="s">
        <v>25</v>
      </c>
      <c r="D1848">
        <v>14</v>
      </c>
      <c r="E1848" t="s">
        <v>1665</v>
      </c>
      <c r="F1848" t="s">
        <v>512</v>
      </c>
      <c r="G1848">
        <v>3367</v>
      </c>
      <c r="H1848" t="s">
        <v>1831</v>
      </c>
      <c r="I1848" t="s">
        <v>1830</v>
      </c>
      <c r="J1848">
        <v>12</v>
      </c>
      <c r="K1848">
        <v>1</v>
      </c>
      <c r="L1848">
        <v>1.0532407407407407E-3</v>
      </c>
      <c r="M1848" t="s">
        <v>778</v>
      </c>
      <c r="N1848" t="s">
        <v>3910</v>
      </c>
      <c r="O1848" s="24">
        <v>46140</v>
      </c>
      <c r="P1848">
        <v>605</v>
      </c>
      <c r="Q1848" t="s">
        <v>34</v>
      </c>
      <c r="X1848" t="s">
        <v>3455</v>
      </c>
    </row>
    <row r="1849" spans="1:24" x14ac:dyDescent="0.25">
      <c r="A1849">
        <v>1845</v>
      </c>
      <c r="B1849" t="s">
        <v>28</v>
      </c>
      <c r="C1849" t="s">
        <v>25</v>
      </c>
      <c r="D1849">
        <v>14</v>
      </c>
      <c r="E1849" t="s">
        <v>511</v>
      </c>
      <c r="F1849" t="s">
        <v>511</v>
      </c>
      <c r="G1849">
        <v>3367</v>
      </c>
      <c r="H1849" t="s">
        <v>1875</v>
      </c>
      <c r="I1849" t="s">
        <v>1813</v>
      </c>
      <c r="J1849">
        <v>12</v>
      </c>
      <c r="K1849">
        <v>1</v>
      </c>
      <c r="L1849">
        <v>1.3425925925925926E-2</v>
      </c>
      <c r="M1849" t="s">
        <v>778</v>
      </c>
      <c r="N1849" t="s">
        <v>3910</v>
      </c>
      <c r="O1849" s="24">
        <v>46140</v>
      </c>
      <c r="P1849">
        <v>605</v>
      </c>
      <c r="Q1849" t="s">
        <v>34</v>
      </c>
      <c r="X1849" t="s">
        <v>3455</v>
      </c>
    </row>
    <row r="1850" spans="1:24" x14ac:dyDescent="0.25">
      <c r="A1850">
        <v>1846</v>
      </c>
      <c r="B1850" t="s">
        <v>28</v>
      </c>
      <c r="C1850" t="s">
        <v>25</v>
      </c>
      <c r="D1850">
        <v>14</v>
      </c>
      <c r="E1850" t="s">
        <v>150</v>
      </c>
      <c r="F1850" t="s">
        <v>115</v>
      </c>
      <c r="G1850">
        <v>3367</v>
      </c>
      <c r="H1850" t="s">
        <v>1808</v>
      </c>
      <c r="I1850" t="s">
        <v>1809</v>
      </c>
      <c r="J1850">
        <v>12</v>
      </c>
      <c r="K1850">
        <v>5</v>
      </c>
      <c r="L1850">
        <v>5.4398148148148149E-3</v>
      </c>
      <c r="M1850" t="s">
        <v>778</v>
      </c>
      <c r="N1850" t="s">
        <v>3910</v>
      </c>
      <c r="O1850" s="24">
        <v>46140</v>
      </c>
      <c r="P1850">
        <v>605</v>
      </c>
      <c r="Q1850" t="s">
        <v>34</v>
      </c>
      <c r="X1850" t="s">
        <v>3455</v>
      </c>
    </row>
    <row r="1851" spans="1:24" x14ac:dyDescent="0.25">
      <c r="A1851">
        <v>1847</v>
      </c>
      <c r="B1851" t="s">
        <v>28</v>
      </c>
      <c r="C1851" t="s">
        <v>25</v>
      </c>
      <c r="D1851">
        <v>14</v>
      </c>
      <c r="E1851" t="s">
        <v>367</v>
      </c>
      <c r="F1851" t="s">
        <v>1594</v>
      </c>
      <c r="G1851">
        <v>3367</v>
      </c>
      <c r="H1851" t="s">
        <v>1876</v>
      </c>
      <c r="I1851" t="s">
        <v>1877</v>
      </c>
      <c r="J1851">
        <v>12</v>
      </c>
      <c r="K1851">
        <v>2</v>
      </c>
      <c r="L1851">
        <v>1.0416666666666667E-3</v>
      </c>
      <c r="M1851" t="s">
        <v>778</v>
      </c>
      <c r="N1851" t="s">
        <v>3910</v>
      </c>
      <c r="O1851" s="24">
        <v>46140</v>
      </c>
      <c r="P1851">
        <v>605</v>
      </c>
      <c r="Q1851" t="s">
        <v>34</v>
      </c>
      <c r="X1851" t="s">
        <v>3455</v>
      </c>
    </row>
    <row r="1852" spans="1:24" x14ac:dyDescent="0.25">
      <c r="A1852">
        <v>1848</v>
      </c>
      <c r="B1852" t="s">
        <v>28</v>
      </c>
      <c r="C1852" t="s">
        <v>25</v>
      </c>
      <c r="D1852">
        <v>14</v>
      </c>
      <c r="E1852" t="s">
        <v>367</v>
      </c>
      <c r="F1852" t="s">
        <v>1594</v>
      </c>
      <c r="G1852">
        <v>3367</v>
      </c>
      <c r="H1852" t="s">
        <v>1853</v>
      </c>
      <c r="I1852" t="s">
        <v>1854</v>
      </c>
      <c r="J1852">
        <v>12</v>
      </c>
      <c r="K1852">
        <v>1</v>
      </c>
      <c r="L1852">
        <v>3.9351851851851852E-4</v>
      </c>
      <c r="M1852" t="s">
        <v>778</v>
      </c>
      <c r="N1852" t="s">
        <v>3910</v>
      </c>
      <c r="O1852" s="24">
        <v>46140</v>
      </c>
      <c r="P1852">
        <v>605</v>
      </c>
      <c r="Q1852" t="s">
        <v>34</v>
      </c>
      <c r="X1852" t="s">
        <v>3455</v>
      </c>
    </row>
    <row r="1853" spans="1:24" x14ac:dyDescent="0.25">
      <c r="A1853">
        <v>1849</v>
      </c>
      <c r="B1853" t="s">
        <v>28</v>
      </c>
      <c r="C1853" t="s">
        <v>25</v>
      </c>
      <c r="D1853">
        <v>14</v>
      </c>
      <c r="E1853" t="s">
        <v>65</v>
      </c>
      <c r="F1853" t="s">
        <v>1590</v>
      </c>
      <c r="G1853">
        <v>3367</v>
      </c>
      <c r="H1853" t="s">
        <v>1878</v>
      </c>
      <c r="I1853" t="s">
        <v>1879</v>
      </c>
      <c r="J1853">
        <v>12</v>
      </c>
      <c r="K1853">
        <v>1</v>
      </c>
      <c r="L1853">
        <v>4.282407407407407E-4</v>
      </c>
      <c r="M1853" t="s">
        <v>778</v>
      </c>
      <c r="N1853" t="s">
        <v>3910</v>
      </c>
      <c r="O1853" s="24">
        <v>46140</v>
      </c>
      <c r="P1853">
        <v>605</v>
      </c>
      <c r="Q1853" t="s">
        <v>34</v>
      </c>
      <c r="X1853" t="s">
        <v>3455</v>
      </c>
    </row>
    <row r="1854" spans="1:24" x14ac:dyDescent="0.25">
      <c r="A1854">
        <v>1850</v>
      </c>
      <c r="B1854" t="s">
        <v>28</v>
      </c>
      <c r="C1854" t="s">
        <v>25</v>
      </c>
      <c r="D1854">
        <v>14</v>
      </c>
      <c r="E1854" t="s">
        <v>65</v>
      </c>
      <c r="F1854" t="s">
        <v>1590</v>
      </c>
      <c r="G1854">
        <v>3367</v>
      </c>
      <c r="H1854" t="s">
        <v>1880</v>
      </c>
      <c r="I1854" t="s">
        <v>1881</v>
      </c>
      <c r="J1854">
        <v>12</v>
      </c>
      <c r="K1854">
        <v>1</v>
      </c>
      <c r="L1854">
        <v>4.1666666666666664E-4</v>
      </c>
      <c r="M1854" t="s">
        <v>778</v>
      </c>
      <c r="N1854" t="s">
        <v>3910</v>
      </c>
      <c r="O1854" s="24">
        <v>46140</v>
      </c>
      <c r="P1854">
        <v>605</v>
      </c>
      <c r="Q1854" t="s">
        <v>34</v>
      </c>
      <c r="X1854" t="s">
        <v>3455</v>
      </c>
    </row>
    <row r="1855" spans="1:24" x14ac:dyDescent="0.25">
      <c r="A1855">
        <v>1851</v>
      </c>
      <c r="B1855" t="s">
        <v>28</v>
      </c>
      <c r="C1855" t="s">
        <v>25</v>
      </c>
      <c r="D1855">
        <v>14</v>
      </c>
      <c r="E1855" t="s">
        <v>65</v>
      </c>
      <c r="F1855" t="s">
        <v>368</v>
      </c>
      <c r="G1855">
        <v>3367</v>
      </c>
      <c r="H1855" t="s">
        <v>1882</v>
      </c>
      <c r="I1855" t="s">
        <v>1883</v>
      </c>
      <c r="J1855">
        <v>12</v>
      </c>
      <c r="K1855">
        <v>1</v>
      </c>
      <c r="L1855">
        <v>9.0277777777777774E-4</v>
      </c>
      <c r="M1855" t="s">
        <v>778</v>
      </c>
      <c r="N1855" t="s">
        <v>3910</v>
      </c>
      <c r="O1855" s="24">
        <v>46140</v>
      </c>
      <c r="P1855">
        <v>605</v>
      </c>
      <c r="Q1855" t="s">
        <v>34</v>
      </c>
      <c r="X1855" t="s">
        <v>3455</v>
      </c>
    </row>
    <row r="1856" spans="1:24" x14ac:dyDescent="0.25">
      <c r="A1856">
        <v>1852</v>
      </c>
      <c r="B1856" t="s">
        <v>28</v>
      </c>
      <c r="C1856" t="s">
        <v>25</v>
      </c>
      <c r="D1856">
        <v>14</v>
      </c>
      <c r="E1856" t="s">
        <v>65</v>
      </c>
      <c r="F1856" t="s">
        <v>368</v>
      </c>
      <c r="G1856">
        <v>3367</v>
      </c>
      <c r="H1856" t="s">
        <v>1884</v>
      </c>
      <c r="I1856" t="s">
        <v>1883</v>
      </c>
      <c r="J1856">
        <v>12</v>
      </c>
      <c r="K1856">
        <v>1</v>
      </c>
      <c r="L1856">
        <v>7.5231481481481482E-4</v>
      </c>
      <c r="M1856" t="s">
        <v>778</v>
      </c>
      <c r="N1856" t="s">
        <v>3910</v>
      </c>
      <c r="O1856" s="24">
        <v>46140</v>
      </c>
      <c r="P1856">
        <v>605</v>
      </c>
      <c r="Q1856" t="s">
        <v>34</v>
      </c>
      <c r="X1856" t="s">
        <v>3455</v>
      </c>
    </row>
    <row r="1857" spans="1:24" x14ac:dyDescent="0.25">
      <c r="A1857">
        <v>1853</v>
      </c>
      <c r="B1857" t="s">
        <v>28</v>
      </c>
      <c r="C1857" t="s">
        <v>25</v>
      </c>
      <c r="D1857">
        <v>14</v>
      </c>
      <c r="E1857" t="s">
        <v>1672</v>
      </c>
      <c r="F1857" t="s">
        <v>115</v>
      </c>
      <c r="G1857">
        <v>3368</v>
      </c>
      <c r="H1857" t="s">
        <v>1885</v>
      </c>
      <c r="I1857" t="s">
        <v>1886</v>
      </c>
      <c r="J1857">
        <v>12</v>
      </c>
      <c r="K1857">
        <v>1</v>
      </c>
      <c r="L1857">
        <v>9.3749999999999997E-4</v>
      </c>
      <c r="M1857" t="s">
        <v>778</v>
      </c>
      <c r="N1857" t="s">
        <v>1316</v>
      </c>
      <c r="O1857" s="24">
        <v>46132</v>
      </c>
      <c r="P1857">
        <v>606</v>
      </c>
      <c r="Q1857" t="s">
        <v>34</v>
      </c>
      <c r="X1857" t="s">
        <v>3456</v>
      </c>
    </row>
    <row r="1858" spans="1:24" x14ac:dyDescent="0.25">
      <c r="A1858">
        <v>1854</v>
      </c>
      <c r="B1858" t="s">
        <v>28</v>
      </c>
      <c r="C1858" t="s">
        <v>25</v>
      </c>
      <c r="D1858">
        <v>14</v>
      </c>
      <c r="E1858" t="s">
        <v>1583</v>
      </c>
      <c r="F1858" t="s">
        <v>1583</v>
      </c>
      <c r="G1858">
        <v>3368</v>
      </c>
      <c r="H1858" t="s">
        <v>1888</v>
      </c>
      <c r="I1858" t="s">
        <v>1889</v>
      </c>
      <c r="J1858">
        <v>12</v>
      </c>
      <c r="K1858">
        <v>6</v>
      </c>
      <c r="L1858">
        <v>4.4212962962962964E-3</v>
      </c>
      <c r="M1858" t="s">
        <v>778</v>
      </c>
      <c r="N1858" t="s">
        <v>1316</v>
      </c>
      <c r="O1858" s="24">
        <v>46132</v>
      </c>
      <c r="P1858">
        <v>606</v>
      </c>
      <c r="Q1858" t="s">
        <v>34</v>
      </c>
      <c r="X1858" t="s">
        <v>3456</v>
      </c>
    </row>
    <row r="1859" spans="1:24" x14ac:dyDescent="0.25">
      <c r="A1859">
        <v>1855</v>
      </c>
      <c r="B1859" t="s">
        <v>28</v>
      </c>
      <c r="C1859" t="s">
        <v>25</v>
      </c>
      <c r="D1859">
        <v>14</v>
      </c>
      <c r="E1859" t="s">
        <v>65</v>
      </c>
      <c r="F1859" t="s">
        <v>368</v>
      </c>
      <c r="G1859">
        <v>3368</v>
      </c>
      <c r="H1859" t="s">
        <v>1890</v>
      </c>
      <c r="I1859" t="s">
        <v>1891</v>
      </c>
      <c r="J1859">
        <v>12</v>
      </c>
      <c r="K1859">
        <v>1</v>
      </c>
      <c r="L1859">
        <v>1.6203703703703703E-2</v>
      </c>
      <c r="M1859" t="s">
        <v>778</v>
      </c>
      <c r="N1859" t="s">
        <v>1316</v>
      </c>
      <c r="O1859" s="24">
        <v>46132</v>
      </c>
      <c r="P1859">
        <v>606</v>
      </c>
      <c r="Q1859" t="s">
        <v>34</v>
      </c>
      <c r="X1859" t="s">
        <v>3456</v>
      </c>
    </row>
    <row r="1860" spans="1:24" x14ac:dyDescent="0.25">
      <c r="A1860">
        <v>1856</v>
      </c>
      <c r="B1860" t="s">
        <v>28</v>
      </c>
      <c r="C1860" t="s">
        <v>25</v>
      </c>
      <c r="D1860">
        <v>14</v>
      </c>
      <c r="E1860" t="s">
        <v>65</v>
      </c>
      <c r="F1860" t="s">
        <v>512</v>
      </c>
      <c r="G1860">
        <v>3368</v>
      </c>
      <c r="H1860" t="s">
        <v>1892</v>
      </c>
      <c r="I1860" t="s">
        <v>1893</v>
      </c>
      <c r="J1860">
        <v>12</v>
      </c>
      <c r="K1860">
        <v>1</v>
      </c>
      <c r="L1860">
        <v>5.6712962962962956E-4</v>
      </c>
      <c r="M1860" t="s">
        <v>778</v>
      </c>
      <c r="N1860" t="s">
        <v>1316</v>
      </c>
      <c r="O1860" s="24">
        <v>46132</v>
      </c>
      <c r="P1860">
        <v>606</v>
      </c>
      <c r="Q1860" t="s">
        <v>34</v>
      </c>
      <c r="X1860" t="s">
        <v>3456</v>
      </c>
    </row>
    <row r="1861" spans="1:24" x14ac:dyDescent="0.25">
      <c r="A1861">
        <v>1857</v>
      </c>
      <c r="B1861" t="s">
        <v>28</v>
      </c>
      <c r="C1861" t="s">
        <v>25</v>
      </c>
      <c r="D1861">
        <v>14</v>
      </c>
      <c r="E1861" t="s">
        <v>65</v>
      </c>
      <c r="F1861" t="s">
        <v>512</v>
      </c>
      <c r="G1861">
        <v>3368</v>
      </c>
      <c r="H1861" t="s">
        <v>1894</v>
      </c>
      <c r="I1861" t="s">
        <v>1893</v>
      </c>
      <c r="J1861">
        <v>12</v>
      </c>
      <c r="K1861">
        <v>1</v>
      </c>
      <c r="L1861">
        <v>5.6712962962962956E-4</v>
      </c>
      <c r="M1861" t="s">
        <v>778</v>
      </c>
      <c r="N1861" t="s">
        <v>1316</v>
      </c>
      <c r="O1861" s="24">
        <v>46132</v>
      </c>
      <c r="P1861">
        <v>606</v>
      </c>
      <c r="Q1861" t="s">
        <v>34</v>
      </c>
      <c r="X1861" t="s">
        <v>3456</v>
      </c>
    </row>
    <row r="1862" spans="1:24" x14ac:dyDescent="0.25">
      <c r="A1862">
        <v>1858</v>
      </c>
      <c r="B1862" t="s">
        <v>28</v>
      </c>
      <c r="C1862" t="s">
        <v>25</v>
      </c>
      <c r="D1862">
        <v>14</v>
      </c>
      <c r="E1862" t="s">
        <v>511</v>
      </c>
      <c r="F1862" t="s">
        <v>511</v>
      </c>
      <c r="G1862">
        <v>3369</v>
      </c>
      <c r="H1862" t="s">
        <v>1875</v>
      </c>
      <c r="I1862" t="s">
        <v>1813</v>
      </c>
      <c r="J1862">
        <v>12</v>
      </c>
      <c r="K1862">
        <v>1</v>
      </c>
      <c r="L1862">
        <v>1.4039351851851851E-2</v>
      </c>
      <c r="M1862" t="s">
        <v>778</v>
      </c>
      <c r="N1862" t="s">
        <v>3910</v>
      </c>
      <c r="O1862" s="24">
        <v>46140</v>
      </c>
      <c r="P1862">
        <v>605</v>
      </c>
      <c r="Q1862" t="s">
        <v>34</v>
      </c>
      <c r="X1862" t="s">
        <v>3457</v>
      </c>
    </row>
    <row r="1863" spans="1:24" x14ac:dyDescent="0.25">
      <c r="A1863">
        <v>1859</v>
      </c>
      <c r="B1863" t="s">
        <v>28</v>
      </c>
      <c r="C1863" t="s">
        <v>25</v>
      </c>
      <c r="D1863">
        <v>14</v>
      </c>
      <c r="E1863" t="s">
        <v>1665</v>
      </c>
      <c r="F1863" t="s">
        <v>512</v>
      </c>
      <c r="G1863">
        <v>3369</v>
      </c>
      <c r="H1863" t="s">
        <v>1896</v>
      </c>
      <c r="I1863" t="s">
        <v>1897</v>
      </c>
      <c r="J1863">
        <v>12</v>
      </c>
      <c r="K1863">
        <v>2</v>
      </c>
      <c r="L1863">
        <v>1.2384259259259258E-3</v>
      </c>
      <c r="M1863" t="s">
        <v>778</v>
      </c>
      <c r="N1863" t="s">
        <v>3910</v>
      </c>
      <c r="O1863" s="24">
        <v>46140</v>
      </c>
      <c r="P1863">
        <v>605</v>
      </c>
      <c r="Q1863" t="s">
        <v>34</v>
      </c>
      <c r="X1863" t="s">
        <v>3457</v>
      </c>
    </row>
    <row r="1864" spans="1:24" x14ac:dyDescent="0.25">
      <c r="A1864">
        <v>1860</v>
      </c>
      <c r="B1864" t="s">
        <v>28</v>
      </c>
      <c r="C1864" t="s">
        <v>25</v>
      </c>
      <c r="D1864">
        <v>14</v>
      </c>
      <c r="E1864" t="s">
        <v>1665</v>
      </c>
      <c r="F1864" t="s">
        <v>115</v>
      </c>
      <c r="G1864">
        <v>3369</v>
      </c>
      <c r="H1864" t="s">
        <v>1898</v>
      </c>
      <c r="I1864" t="s">
        <v>1899</v>
      </c>
      <c r="J1864">
        <v>12</v>
      </c>
      <c r="K1864">
        <v>1</v>
      </c>
      <c r="L1864">
        <v>1.1226851851851851E-3</v>
      </c>
      <c r="M1864" t="s">
        <v>778</v>
      </c>
      <c r="N1864" t="s">
        <v>3910</v>
      </c>
      <c r="O1864" s="24">
        <v>46140</v>
      </c>
      <c r="P1864">
        <v>605</v>
      </c>
      <c r="Q1864" t="s">
        <v>34</v>
      </c>
      <c r="X1864" t="s">
        <v>3457</v>
      </c>
    </row>
    <row r="1865" spans="1:24" x14ac:dyDescent="0.25">
      <c r="A1865">
        <v>1861</v>
      </c>
      <c r="B1865" t="s">
        <v>28</v>
      </c>
      <c r="C1865" t="s">
        <v>25</v>
      </c>
      <c r="D1865">
        <v>14</v>
      </c>
      <c r="E1865" t="s">
        <v>1672</v>
      </c>
      <c r="F1865" t="s">
        <v>115</v>
      </c>
      <c r="G1865">
        <v>3369</v>
      </c>
      <c r="H1865" t="s">
        <v>1900</v>
      </c>
      <c r="I1865" t="s">
        <v>1899</v>
      </c>
      <c r="J1865">
        <v>12</v>
      </c>
      <c r="K1865">
        <v>1</v>
      </c>
      <c r="L1865">
        <v>8.9120370370370362E-4</v>
      </c>
      <c r="M1865" t="s">
        <v>778</v>
      </c>
      <c r="N1865" t="s">
        <v>3910</v>
      </c>
      <c r="O1865" s="24">
        <v>46140</v>
      </c>
      <c r="P1865">
        <v>605</v>
      </c>
      <c r="Q1865" t="s">
        <v>34</v>
      </c>
      <c r="X1865" t="s">
        <v>3457</v>
      </c>
    </row>
    <row r="1866" spans="1:24" x14ac:dyDescent="0.25">
      <c r="A1866">
        <v>1862</v>
      </c>
      <c r="B1866" t="s">
        <v>28</v>
      </c>
      <c r="C1866" t="s">
        <v>25</v>
      </c>
      <c r="D1866">
        <v>14</v>
      </c>
      <c r="E1866" t="s">
        <v>65</v>
      </c>
      <c r="F1866" t="s">
        <v>66</v>
      </c>
      <c r="G1866">
        <v>3369</v>
      </c>
      <c r="H1866" t="s">
        <v>1901</v>
      </c>
      <c r="I1866" t="s">
        <v>1902</v>
      </c>
      <c r="J1866">
        <v>12</v>
      </c>
      <c r="K1866">
        <v>3</v>
      </c>
      <c r="L1866">
        <v>2.4074074074074072E-3</v>
      </c>
      <c r="M1866" t="s">
        <v>778</v>
      </c>
      <c r="N1866" t="s">
        <v>3910</v>
      </c>
      <c r="O1866" s="24">
        <v>46140</v>
      </c>
      <c r="P1866">
        <v>605</v>
      </c>
      <c r="Q1866" t="s">
        <v>34</v>
      </c>
      <c r="X1866" t="s">
        <v>3457</v>
      </c>
    </row>
    <row r="1867" spans="1:24" x14ac:dyDescent="0.25">
      <c r="A1867">
        <v>1863</v>
      </c>
      <c r="B1867" t="s">
        <v>28</v>
      </c>
      <c r="C1867" t="s">
        <v>25</v>
      </c>
      <c r="D1867">
        <v>14</v>
      </c>
      <c r="E1867" t="s">
        <v>65</v>
      </c>
      <c r="F1867" t="s">
        <v>1596</v>
      </c>
      <c r="G1867">
        <v>3369</v>
      </c>
      <c r="H1867" t="s">
        <v>1903</v>
      </c>
      <c r="I1867" t="s">
        <v>1904</v>
      </c>
      <c r="J1867">
        <v>12</v>
      </c>
      <c r="K1867">
        <v>1</v>
      </c>
      <c r="L1867">
        <v>9.4907407407407408E-4</v>
      </c>
      <c r="M1867" t="s">
        <v>778</v>
      </c>
      <c r="N1867" t="s">
        <v>3910</v>
      </c>
      <c r="O1867" s="24">
        <v>46140</v>
      </c>
      <c r="P1867">
        <v>605</v>
      </c>
      <c r="Q1867" t="s">
        <v>34</v>
      </c>
      <c r="X1867" t="s">
        <v>3457</v>
      </c>
    </row>
    <row r="1868" spans="1:24" x14ac:dyDescent="0.25">
      <c r="A1868">
        <v>1864</v>
      </c>
      <c r="B1868" t="s">
        <v>28</v>
      </c>
      <c r="C1868" t="s">
        <v>25</v>
      </c>
      <c r="D1868">
        <v>14</v>
      </c>
      <c r="E1868" t="s">
        <v>65</v>
      </c>
      <c r="F1868" t="s">
        <v>1596</v>
      </c>
      <c r="G1868">
        <v>3369</v>
      </c>
      <c r="H1868" t="s">
        <v>1905</v>
      </c>
      <c r="I1868" t="s">
        <v>1906</v>
      </c>
      <c r="J1868">
        <v>12</v>
      </c>
      <c r="K1868">
        <v>1</v>
      </c>
      <c r="L1868">
        <v>1.0763888888888889E-3</v>
      </c>
      <c r="M1868" t="s">
        <v>778</v>
      </c>
      <c r="N1868" t="s">
        <v>3910</v>
      </c>
      <c r="O1868" s="24">
        <v>46140</v>
      </c>
      <c r="P1868">
        <v>605</v>
      </c>
      <c r="Q1868" t="s">
        <v>34</v>
      </c>
      <c r="X1868" t="s">
        <v>3457</v>
      </c>
    </row>
    <row r="1869" spans="1:24" x14ac:dyDescent="0.25">
      <c r="A1869">
        <v>1865</v>
      </c>
      <c r="B1869" t="s">
        <v>28</v>
      </c>
      <c r="C1869" t="s">
        <v>25</v>
      </c>
      <c r="D1869">
        <v>14</v>
      </c>
      <c r="E1869" t="s">
        <v>511</v>
      </c>
      <c r="F1869" t="s">
        <v>511</v>
      </c>
      <c r="G1869">
        <v>3370</v>
      </c>
      <c r="H1869" t="s">
        <v>1875</v>
      </c>
      <c r="I1869" t="s">
        <v>1813</v>
      </c>
      <c r="J1869">
        <v>12</v>
      </c>
      <c r="K1869">
        <v>1</v>
      </c>
      <c r="L1869">
        <v>1.4907407407407407E-2</v>
      </c>
      <c r="M1869" t="s">
        <v>778</v>
      </c>
      <c r="N1869" t="s">
        <v>3910</v>
      </c>
      <c r="O1869" s="24">
        <v>46140</v>
      </c>
      <c r="P1869">
        <v>605</v>
      </c>
      <c r="Q1869" t="s">
        <v>34</v>
      </c>
      <c r="X1869" t="s">
        <v>3458</v>
      </c>
    </row>
    <row r="1870" spans="1:24" x14ac:dyDescent="0.25">
      <c r="A1870">
        <v>1866</v>
      </c>
      <c r="B1870" t="s">
        <v>28</v>
      </c>
      <c r="C1870" t="s">
        <v>25</v>
      </c>
      <c r="D1870">
        <v>14</v>
      </c>
      <c r="E1870" t="s">
        <v>1665</v>
      </c>
      <c r="F1870" t="s">
        <v>512</v>
      </c>
      <c r="G1870">
        <v>3370</v>
      </c>
      <c r="H1870" t="s">
        <v>1908</v>
      </c>
      <c r="I1870" t="s">
        <v>1909</v>
      </c>
      <c r="J1870">
        <v>12</v>
      </c>
      <c r="K1870">
        <v>2</v>
      </c>
      <c r="L1870">
        <v>1.3310185185185185E-3</v>
      </c>
      <c r="M1870" t="s">
        <v>778</v>
      </c>
      <c r="N1870" t="s">
        <v>3910</v>
      </c>
      <c r="O1870" s="24">
        <v>46140</v>
      </c>
      <c r="P1870">
        <v>605</v>
      </c>
      <c r="Q1870" t="s">
        <v>34</v>
      </c>
      <c r="X1870" t="s">
        <v>3458</v>
      </c>
    </row>
    <row r="1871" spans="1:24" x14ac:dyDescent="0.25">
      <c r="A1871">
        <v>1867</v>
      </c>
      <c r="B1871" t="s">
        <v>28</v>
      </c>
      <c r="C1871" t="s">
        <v>25</v>
      </c>
      <c r="D1871">
        <v>14</v>
      </c>
      <c r="E1871" t="s">
        <v>1665</v>
      </c>
      <c r="F1871" t="s">
        <v>512</v>
      </c>
      <c r="G1871">
        <v>3370</v>
      </c>
      <c r="H1871" t="s">
        <v>1910</v>
      </c>
      <c r="I1871" t="s">
        <v>1909</v>
      </c>
      <c r="J1871">
        <v>12</v>
      </c>
      <c r="K1871">
        <v>1</v>
      </c>
      <c r="L1871">
        <v>6.5972222222222224E-4</v>
      </c>
      <c r="M1871" t="s">
        <v>778</v>
      </c>
      <c r="N1871" t="s">
        <v>3910</v>
      </c>
      <c r="O1871" s="24">
        <v>46140</v>
      </c>
      <c r="P1871">
        <v>605</v>
      </c>
      <c r="Q1871" t="s">
        <v>34</v>
      </c>
      <c r="X1871" t="s">
        <v>3458</v>
      </c>
    </row>
    <row r="1872" spans="1:24" x14ac:dyDescent="0.25">
      <c r="A1872">
        <v>1868</v>
      </c>
      <c r="B1872" t="s">
        <v>28</v>
      </c>
      <c r="C1872" t="s">
        <v>25</v>
      </c>
      <c r="D1872">
        <v>14</v>
      </c>
      <c r="E1872" t="s">
        <v>367</v>
      </c>
      <c r="F1872" t="s">
        <v>1594</v>
      </c>
      <c r="G1872">
        <v>3370</v>
      </c>
      <c r="H1872" t="s">
        <v>1853</v>
      </c>
      <c r="I1872" t="s">
        <v>1854</v>
      </c>
      <c r="J1872">
        <v>12</v>
      </c>
      <c r="K1872">
        <v>2</v>
      </c>
      <c r="L1872">
        <v>8.9120370370370362E-4</v>
      </c>
      <c r="M1872" t="s">
        <v>778</v>
      </c>
      <c r="N1872" t="s">
        <v>3910</v>
      </c>
      <c r="O1872" s="24">
        <v>46140</v>
      </c>
      <c r="P1872">
        <v>605</v>
      </c>
      <c r="Q1872" t="s">
        <v>34</v>
      </c>
      <c r="X1872" t="s">
        <v>3458</v>
      </c>
    </row>
    <row r="1873" spans="1:24" x14ac:dyDescent="0.25">
      <c r="A1873">
        <v>1869</v>
      </c>
      <c r="B1873" t="s">
        <v>28</v>
      </c>
      <c r="C1873" t="s">
        <v>25</v>
      </c>
      <c r="D1873">
        <v>14</v>
      </c>
      <c r="E1873" t="s">
        <v>367</v>
      </c>
      <c r="F1873" t="s">
        <v>1594</v>
      </c>
      <c r="G1873">
        <v>3370</v>
      </c>
      <c r="H1873" t="s">
        <v>1911</v>
      </c>
      <c r="I1873" t="s">
        <v>1809</v>
      </c>
      <c r="J1873">
        <v>12</v>
      </c>
      <c r="K1873">
        <v>2</v>
      </c>
      <c r="L1873">
        <v>1.7708333333333332E-3</v>
      </c>
      <c r="M1873" t="s">
        <v>778</v>
      </c>
      <c r="N1873" t="s">
        <v>3910</v>
      </c>
      <c r="O1873" s="24">
        <v>46140</v>
      </c>
      <c r="P1873">
        <v>605</v>
      </c>
      <c r="Q1873" t="s">
        <v>34</v>
      </c>
      <c r="X1873" t="s">
        <v>3458</v>
      </c>
    </row>
    <row r="1874" spans="1:24" x14ac:dyDescent="0.25">
      <c r="A1874">
        <v>1870</v>
      </c>
      <c r="B1874" t="s">
        <v>28</v>
      </c>
      <c r="C1874" t="s">
        <v>25</v>
      </c>
      <c r="D1874">
        <v>14</v>
      </c>
      <c r="E1874" t="s">
        <v>367</v>
      </c>
      <c r="F1874" t="s">
        <v>1594</v>
      </c>
      <c r="G1874">
        <v>3370</v>
      </c>
      <c r="H1874" t="s">
        <v>1912</v>
      </c>
      <c r="I1874" t="s">
        <v>1913</v>
      </c>
      <c r="J1874">
        <v>12</v>
      </c>
      <c r="K1874">
        <v>2</v>
      </c>
      <c r="L1874">
        <v>1.3773148148148147E-3</v>
      </c>
      <c r="M1874" t="s">
        <v>778</v>
      </c>
      <c r="N1874" t="s">
        <v>3910</v>
      </c>
      <c r="O1874" s="24">
        <v>46140</v>
      </c>
      <c r="P1874">
        <v>605</v>
      </c>
      <c r="Q1874" t="s">
        <v>34</v>
      </c>
      <c r="X1874" t="s">
        <v>3458</v>
      </c>
    </row>
    <row r="1875" spans="1:24" x14ac:dyDescent="0.25">
      <c r="A1875">
        <v>1871</v>
      </c>
      <c r="B1875" t="s">
        <v>28</v>
      </c>
      <c r="C1875" t="s">
        <v>25</v>
      </c>
      <c r="D1875">
        <v>14</v>
      </c>
      <c r="E1875" t="s">
        <v>367</v>
      </c>
      <c r="F1875" t="s">
        <v>1594</v>
      </c>
      <c r="G1875">
        <v>3370</v>
      </c>
      <c r="H1875" t="s">
        <v>1914</v>
      </c>
      <c r="I1875" t="s">
        <v>1809</v>
      </c>
      <c r="J1875">
        <v>12</v>
      </c>
      <c r="K1875">
        <v>1</v>
      </c>
      <c r="L1875">
        <v>1.1921296296296296E-3</v>
      </c>
      <c r="M1875" t="s">
        <v>778</v>
      </c>
      <c r="N1875" t="s">
        <v>3910</v>
      </c>
      <c r="O1875" s="24">
        <v>46140</v>
      </c>
      <c r="P1875">
        <v>605</v>
      </c>
      <c r="Q1875" t="s">
        <v>34</v>
      </c>
      <c r="X1875" t="s">
        <v>3458</v>
      </c>
    </row>
    <row r="1876" spans="1:24" x14ac:dyDescent="0.25">
      <c r="A1876">
        <v>1872</v>
      </c>
      <c r="B1876" t="s">
        <v>28</v>
      </c>
      <c r="C1876" t="s">
        <v>25</v>
      </c>
      <c r="D1876">
        <v>14</v>
      </c>
      <c r="E1876" t="s">
        <v>367</v>
      </c>
      <c r="F1876" t="s">
        <v>1594</v>
      </c>
      <c r="G1876">
        <v>3370</v>
      </c>
      <c r="H1876" t="s">
        <v>1915</v>
      </c>
      <c r="I1876" t="s">
        <v>1916</v>
      </c>
      <c r="J1876">
        <v>12</v>
      </c>
      <c r="K1876">
        <v>1</v>
      </c>
      <c r="L1876">
        <v>9.4907407407407408E-4</v>
      </c>
      <c r="M1876" t="s">
        <v>778</v>
      </c>
      <c r="N1876" t="s">
        <v>3910</v>
      </c>
      <c r="O1876" s="24">
        <v>46140</v>
      </c>
      <c r="P1876">
        <v>605</v>
      </c>
      <c r="Q1876" t="s">
        <v>34</v>
      </c>
      <c r="X1876" t="s">
        <v>3458</v>
      </c>
    </row>
    <row r="1877" spans="1:24" x14ac:dyDescent="0.25">
      <c r="A1877">
        <v>1873</v>
      </c>
      <c r="B1877" t="s">
        <v>28</v>
      </c>
      <c r="C1877" t="s">
        <v>25</v>
      </c>
      <c r="D1877">
        <v>14</v>
      </c>
      <c r="E1877" t="s">
        <v>65</v>
      </c>
      <c r="F1877" t="s">
        <v>1589</v>
      </c>
      <c r="G1877">
        <v>3370</v>
      </c>
      <c r="H1877" t="s">
        <v>1917</v>
      </c>
      <c r="I1877" t="s">
        <v>1830</v>
      </c>
      <c r="J1877">
        <v>12</v>
      </c>
      <c r="K1877">
        <v>1</v>
      </c>
      <c r="L1877">
        <v>1.1342592592592591E-3</v>
      </c>
      <c r="M1877" t="s">
        <v>778</v>
      </c>
      <c r="N1877" t="s">
        <v>3910</v>
      </c>
      <c r="O1877" s="24">
        <v>46140</v>
      </c>
      <c r="P1877">
        <v>605</v>
      </c>
      <c r="Q1877" t="s">
        <v>34</v>
      </c>
      <c r="X1877" t="s">
        <v>3458</v>
      </c>
    </row>
    <row r="1878" spans="1:24" x14ac:dyDescent="0.25">
      <c r="A1878">
        <v>1874</v>
      </c>
      <c r="B1878" t="s">
        <v>28</v>
      </c>
      <c r="C1878" t="s">
        <v>25</v>
      </c>
      <c r="D1878">
        <v>14</v>
      </c>
      <c r="E1878" t="s">
        <v>65</v>
      </c>
      <c r="F1878" t="s">
        <v>1590</v>
      </c>
      <c r="G1878">
        <v>3370</v>
      </c>
      <c r="H1878" t="s">
        <v>1918</v>
      </c>
      <c r="I1878" t="s">
        <v>1830</v>
      </c>
      <c r="J1878">
        <v>12</v>
      </c>
      <c r="K1878">
        <v>1</v>
      </c>
      <c r="L1878">
        <v>1.1226851851851851E-3</v>
      </c>
      <c r="M1878" t="s">
        <v>778</v>
      </c>
      <c r="N1878" t="s">
        <v>3910</v>
      </c>
      <c r="O1878" s="24">
        <v>46140</v>
      </c>
      <c r="P1878">
        <v>605</v>
      </c>
      <c r="Q1878" t="s">
        <v>34</v>
      </c>
      <c r="X1878" t="s">
        <v>3458</v>
      </c>
    </row>
    <row r="1879" spans="1:24" x14ac:dyDescent="0.25">
      <c r="A1879">
        <v>1875</v>
      </c>
      <c r="B1879" t="s">
        <v>28</v>
      </c>
      <c r="C1879" t="s">
        <v>25</v>
      </c>
      <c r="D1879">
        <v>14</v>
      </c>
      <c r="E1879" t="s">
        <v>65</v>
      </c>
      <c r="F1879" t="s">
        <v>512</v>
      </c>
      <c r="G1879">
        <v>3370</v>
      </c>
      <c r="H1879" t="s">
        <v>1919</v>
      </c>
      <c r="I1879" t="s">
        <v>1873</v>
      </c>
      <c r="J1879">
        <v>12</v>
      </c>
      <c r="K1879">
        <v>1</v>
      </c>
      <c r="L1879">
        <v>5.5555555555555556E-4</v>
      </c>
      <c r="M1879" t="s">
        <v>778</v>
      </c>
      <c r="N1879" t="s">
        <v>3910</v>
      </c>
      <c r="O1879" s="24">
        <v>46140</v>
      </c>
      <c r="P1879">
        <v>605</v>
      </c>
      <c r="Q1879" t="s">
        <v>34</v>
      </c>
      <c r="X1879" t="s">
        <v>3458</v>
      </c>
    </row>
    <row r="1880" spans="1:24" x14ac:dyDescent="0.25">
      <c r="A1880">
        <v>1876</v>
      </c>
      <c r="B1880" t="s">
        <v>28</v>
      </c>
      <c r="C1880" t="s">
        <v>25</v>
      </c>
      <c r="D1880">
        <v>14</v>
      </c>
      <c r="E1880" t="s">
        <v>511</v>
      </c>
      <c r="F1880" t="s">
        <v>511</v>
      </c>
      <c r="G1880">
        <v>3371</v>
      </c>
      <c r="H1880" t="s">
        <v>1875</v>
      </c>
      <c r="I1880" t="s">
        <v>1813</v>
      </c>
      <c r="J1880">
        <v>12</v>
      </c>
      <c r="K1880">
        <v>1</v>
      </c>
      <c r="L1880">
        <v>1.2453703703703703E-2</v>
      </c>
      <c r="M1880" t="s">
        <v>778</v>
      </c>
      <c r="N1880" t="s">
        <v>3910</v>
      </c>
      <c r="O1880" s="24">
        <v>46140</v>
      </c>
      <c r="P1880">
        <v>605</v>
      </c>
      <c r="Q1880" t="s">
        <v>34</v>
      </c>
      <c r="X1880" t="s">
        <v>3459</v>
      </c>
    </row>
    <row r="1881" spans="1:24" x14ac:dyDescent="0.25">
      <c r="A1881">
        <v>1877</v>
      </c>
      <c r="B1881" t="s">
        <v>28</v>
      </c>
      <c r="C1881" t="s">
        <v>25</v>
      </c>
      <c r="D1881">
        <v>14</v>
      </c>
      <c r="E1881" t="s">
        <v>1665</v>
      </c>
      <c r="F1881" t="s">
        <v>512</v>
      </c>
      <c r="G1881">
        <v>3371</v>
      </c>
      <c r="H1881" t="s">
        <v>1908</v>
      </c>
      <c r="I1881" t="s">
        <v>1909</v>
      </c>
      <c r="J1881">
        <v>12</v>
      </c>
      <c r="K1881">
        <v>2</v>
      </c>
      <c r="L1881">
        <v>1.1111111111111111E-3</v>
      </c>
      <c r="M1881" t="s">
        <v>778</v>
      </c>
      <c r="N1881" t="s">
        <v>3910</v>
      </c>
      <c r="O1881" s="24">
        <v>46140</v>
      </c>
      <c r="P1881">
        <v>605</v>
      </c>
      <c r="Q1881" t="s">
        <v>34</v>
      </c>
      <c r="X1881" t="s">
        <v>3459</v>
      </c>
    </row>
    <row r="1882" spans="1:24" x14ac:dyDescent="0.25">
      <c r="A1882">
        <v>1878</v>
      </c>
      <c r="B1882" t="s">
        <v>28</v>
      </c>
      <c r="C1882" t="s">
        <v>25</v>
      </c>
      <c r="D1882">
        <v>14</v>
      </c>
      <c r="E1882" t="s">
        <v>1665</v>
      </c>
      <c r="F1882" t="s">
        <v>512</v>
      </c>
      <c r="G1882">
        <v>3371</v>
      </c>
      <c r="H1882" t="s">
        <v>1910</v>
      </c>
      <c r="I1882" t="s">
        <v>1909</v>
      </c>
      <c r="J1882">
        <v>12</v>
      </c>
      <c r="K1882">
        <v>3</v>
      </c>
      <c r="L1882">
        <v>1.6666666666666666E-3</v>
      </c>
      <c r="M1882" t="s">
        <v>778</v>
      </c>
      <c r="N1882" t="s">
        <v>3910</v>
      </c>
      <c r="O1882" s="24">
        <v>46140</v>
      </c>
      <c r="P1882">
        <v>605</v>
      </c>
      <c r="Q1882" t="s">
        <v>34</v>
      </c>
      <c r="X1882" t="s">
        <v>3459</v>
      </c>
    </row>
    <row r="1883" spans="1:24" x14ac:dyDescent="0.25">
      <c r="A1883">
        <v>1879</v>
      </c>
      <c r="B1883" t="s">
        <v>28</v>
      </c>
      <c r="C1883" t="s">
        <v>25</v>
      </c>
      <c r="D1883">
        <v>14</v>
      </c>
      <c r="E1883" t="s">
        <v>1672</v>
      </c>
      <c r="F1883" t="s">
        <v>115</v>
      </c>
      <c r="G1883">
        <v>3371</v>
      </c>
      <c r="H1883" t="s">
        <v>1885</v>
      </c>
      <c r="I1883" t="s">
        <v>1886</v>
      </c>
      <c r="J1883">
        <v>12</v>
      </c>
      <c r="K1883">
        <v>9</v>
      </c>
      <c r="L1883">
        <v>6.9212962962962961E-3</v>
      </c>
      <c r="M1883" t="s">
        <v>778</v>
      </c>
      <c r="N1883" t="s">
        <v>3910</v>
      </c>
      <c r="O1883" s="24">
        <v>46140</v>
      </c>
      <c r="P1883">
        <v>605</v>
      </c>
      <c r="Q1883" t="s">
        <v>34</v>
      </c>
      <c r="X1883" t="s">
        <v>3459</v>
      </c>
    </row>
    <row r="1884" spans="1:24" x14ac:dyDescent="0.25">
      <c r="A1884">
        <v>1880</v>
      </c>
      <c r="B1884" t="s">
        <v>28</v>
      </c>
      <c r="C1884" t="s">
        <v>25</v>
      </c>
      <c r="D1884">
        <v>14</v>
      </c>
      <c r="E1884" t="s">
        <v>65</v>
      </c>
      <c r="F1884" t="s">
        <v>1590</v>
      </c>
      <c r="G1884">
        <v>3371</v>
      </c>
      <c r="H1884" t="s">
        <v>1921</v>
      </c>
      <c r="I1884" t="s">
        <v>1922</v>
      </c>
      <c r="J1884">
        <v>12</v>
      </c>
      <c r="K1884">
        <v>1</v>
      </c>
      <c r="L1884">
        <v>5.0925925925925921E-4</v>
      </c>
      <c r="M1884" t="s">
        <v>778</v>
      </c>
      <c r="N1884" t="s">
        <v>3910</v>
      </c>
      <c r="O1884" s="24">
        <v>46140</v>
      </c>
      <c r="P1884">
        <v>605</v>
      </c>
      <c r="Q1884" t="s">
        <v>34</v>
      </c>
      <c r="X1884" t="s">
        <v>3459</v>
      </c>
    </row>
    <row r="1885" spans="1:24" x14ac:dyDescent="0.25">
      <c r="A1885">
        <v>1881</v>
      </c>
      <c r="B1885" t="s">
        <v>28</v>
      </c>
      <c r="C1885" t="s">
        <v>25</v>
      </c>
      <c r="D1885">
        <v>14</v>
      </c>
      <c r="E1885" t="s">
        <v>65</v>
      </c>
      <c r="F1885" t="s">
        <v>1591</v>
      </c>
      <c r="G1885">
        <v>3371</v>
      </c>
      <c r="H1885" t="s">
        <v>1923</v>
      </c>
      <c r="I1885" t="s">
        <v>1873</v>
      </c>
      <c r="J1885">
        <v>12</v>
      </c>
      <c r="K1885">
        <v>1</v>
      </c>
      <c r="L1885">
        <v>4.7453703703703704E-4</v>
      </c>
      <c r="M1885" t="s">
        <v>778</v>
      </c>
      <c r="N1885" t="s">
        <v>3910</v>
      </c>
      <c r="O1885" s="24">
        <v>46140</v>
      </c>
      <c r="P1885">
        <v>605</v>
      </c>
      <c r="Q1885" t="s">
        <v>34</v>
      </c>
      <c r="X1885" t="s">
        <v>3459</v>
      </c>
    </row>
    <row r="1886" spans="1:24" x14ac:dyDescent="0.25">
      <c r="A1886">
        <v>1882</v>
      </c>
      <c r="B1886" t="s">
        <v>28</v>
      </c>
      <c r="C1886" t="s">
        <v>25</v>
      </c>
      <c r="D1886">
        <v>14</v>
      </c>
      <c r="E1886" t="s">
        <v>511</v>
      </c>
      <c r="F1886" t="s">
        <v>511</v>
      </c>
      <c r="G1886">
        <v>3372</v>
      </c>
      <c r="H1886" t="s">
        <v>1875</v>
      </c>
      <c r="I1886" t="s">
        <v>1813</v>
      </c>
      <c r="J1886">
        <v>12</v>
      </c>
      <c r="K1886">
        <v>1</v>
      </c>
      <c r="L1886">
        <v>1.4537037037037036E-2</v>
      </c>
      <c r="M1886" t="s">
        <v>778</v>
      </c>
      <c r="N1886" t="s">
        <v>3910</v>
      </c>
      <c r="O1886" s="24">
        <v>46140</v>
      </c>
      <c r="P1886">
        <v>605</v>
      </c>
      <c r="Q1886" t="s">
        <v>34</v>
      </c>
      <c r="X1886" t="s">
        <v>3460</v>
      </c>
    </row>
    <row r="1887" spans="1:24" x14ac:dyDescent="0.25">
      <c r="A1887">
        <v>1883</v>
      </c>
      <c r="B1887" t="s">
        <v>28</v>
      </c>
      <c r="C1887" t="s">
        <v>25</v>
      </c>
      <c r="D1887">
        <v>14</v>
      </c>
      <c r="E1887" t="s">
        <v>65</v>
      </c>
      <c r="F1887" t="s">
        <v>368</v>
      </c>
      <c r="G1887">
        <v>3372</v>
      </c>
      <c r="H1887" t="s">
        <v>1925</v>
      </c>
      <c r="I1887" t="s">
        <v>1926</v>
      </c>
      <c r="J1887">
        <v>12</v>
      </c>
      <c r="K1887">
        <v>1</v>
      </c>
      <c r="L1887">
        <v>6.0185185185185179E-4</v>
      </c>
      <c r="M1887" t="s">
        <v>778</v>
      </c>
      <c r="N1887" t="s">
        <v>3910</v>
      </c>
      <c r="O1887" s="24">
        <v>46140</v>
      </c>
      <c r="P1887">
        <v>605</v>
      </c>
      <c r="Q1887" t="s">
        <v>34</v>
      </c>
      <c r="X1887" t="s">
        <v>3460</v>
      </c>
    </row>
    <row r="1888" spans="1:24" x14ac:dyDescent="0.25">
      <c r="A1888">
        <v>1884</v>
      </c>
      <c r="B1888" t="s">
        <v>28</v>
      </c>
      <c r="C1888" t="s">
        <v>25</v>
      </c>
      <c r="D1888">
        <v>14</v>
      </c>
      <c r="E1888" t="s">
        <v>65</v>
      </c>
      <c r="F1888" t="s">
        <v>368</v>
      </c>
      <c r="G1888">
        <v>3372</v>
      </c>
      <c r="H1888" t="s">
        <v>1927</v>
      </c>
      <c r="I1888" t="s">
        <v>1928</v>
      </c>
      <c r="J1888">
        <v>12</v>
      </c>
      <c r="K1888">
        <v>1</v>
      </c>
      <c r="L1888">
        <v>8.5648148148148139E-4</v>
      </c>
      <c r="M1888" t="s">
        <v>778</v>
      </c>
      <c r="N1888" t="s">
        <v>3910</v>
      </c>
      <c r="O1888" s="24">
        <v>46140</v>
      </c>
      <c r="P1888">
        <v>605</v>
      </c>
      <c r="Q1888" t="s">
        <v>34</v>
      </c>
      <c r="X1888" t="s">
        <v>3460</v>
      </c>
    </row>
    <row r="1889" spans="1:24" x14ac:dyDescent="0.25">
      <c r="A1889">
        <v>1885</v>
      </c>
      <c r="B1889" t="s">
        <v>28</v>
      </c>
      <c r="C1889" t="s">
        <v>25</v>
      </c>
      <c r="D1889">
        <v>14</v>
      </c>
      <c r="E1889" t="s">
        <v>65</v>
      </c>
      <c r="F1889" t="s">
        <v>368</v>
      </c>
      <c r="G1889">
        <v>3372</v>
      </c>
      <c r="H1889" t="s">
        <v>1929</v>
      </c>
      <c r="I1889" t="s">
        <v>1928</v>
      </c>
      <c r="J1889">
        <v>12</v>
      </c>
      <c r="K1889">
        <v>1</v>
      </c>
      <c r="L1889">
        <v>9.1435185185185185E-4</v>
      </c>
      <c r="M1889" t="s">
        <v>778</v>
      </c>
      <c r="N1889" t="s">
        <v>3910</v>
      </c>
      <c r="O1889" s="24">
        <v>46140</v>
      </c>
      <c r="P1889">
        <v>605</v>
      </c>
      <c r="Q1889" t="s">
        <v>34</v>
      </c>
      <c r="X1889" t="s">
        <v>3460</v>
      </c>
    </row>
    <row r="1890" spans="1:24" x14ac:dyDescent="0.25">
      <c r="A1890">
        <v>1886</v>
      </c>
      <c r="B1890" t="s">
        <v>28</v>
      </c>
      <c r="C1890" t="s">
        <v>25</v>
      </c>
      <c r="D1890">
        <v>14</v>
      </c>
      <c r="E1890" t="s">
        <v>65</v>
      </c>
      <c r="F1890" t="s">
        <v>368</v>
      </c>
      <c r="G1890">
        <v>3372</v>
      </c>
      <c r="H1890" t="s">
        <v>1930</v>
      </c>
      <c r="I1890" t="s">
        <v>1931</v>
      </c>
      <c r="J1890">
        <v>12</v>
      </c>
      <c r="K1890">
        <v>1</v>
      </c>
      <c r="L1890">
        <v>8.9120370370370362E-4</v>
      </c>
      <c r="M1890" t="s">
        <v>778</v>
      </c>
      <c r="N1890" t="s">
        <v>3910</v>
      </c>
      <c r="O1890" s="24">
        <v>46140</v>
      </c>
      <c r="P1890">
        <v>605</v>
      </c>
      <c r="Q1890" t="s">
        <v>34</v>
      </c>
      <c r="X1890" t="s">
        <v>3460</v>
      </c>
    </row>
    <row r="1891" spans="1:24" x14ac:dyDescent="0.25">
      <c r="A1891">
        <v>1887</v>
      </c>
      <c r="B1891" t="s">
        <v>28</v>
      </c>
      <c r="C1891" t="s">
        <v>25</v>
      </c>
      <c r="D1891">
        <v>14</v>
      </c>
      <c r="E1891" t="s">
        <v>65</v>
      </c>
      <c r="F1891" t="s">
        <v>368</v>
      </c>
      <c r="G1891">
        <v>3372</v>
      </c>
      <c r="H1891" t="s">
        <v>1932</v>
      </c>
      <c r="I1891" t="s">
        <v>1931</v>
      </c>
      <c r="J1891">
        <v>12</v>
      </c>
      <c r="K1891">
        <v>1</v>
      </c>
      <c r="L1891">
        <v>7.2916666666666659E-4</v>
      </c>
      <c r="M1891" t="s">
        <v>778</v>
      </c>
      <c r="N1891" t="s">
        <v>3910</v>
      </c>
      <c r="O1891" s="24">
        <v>46140</v>
      </c>
      <c r="P1891">
        <v>605</v>
      </c>
      <c r="Q1891" t="s">
        <v>34</v>
      </c>
      <c r="X1891" t="s">
        <v>3460</v>
      </c>
    </row>
    <row r="1892" spans="1:24" x14ac:dyDescent="0.25">
      <c r="A1892">
        <v>1888</v>
      </c>
      <c r="B1892" t="s">
        <v>28</v>
      </c>
      <c r="C1892" t="s">
        <v>25</v>
      </c>
      <c r="D1892">
        <v>14</v>
      </c>
      <c r="E1892" t="s">
        <v>65</v>
      </c>
      <c r="F1892" t="s">
        <v>368</v>
      </c>
      <c r="G1892">
        <v>3372</v>
      </c>
      <c r="H1892" t="s">
        <v>1933</v>
      </c>
      <c r="I1892" t="s">
        <v>1865</v>
      </c>
      <c r="J1892">
        <v>12</v>
      </c>
      <c r="K1892">
        <v>1</v>
      </c>
      <c r="L1892">
        <v>9.0277777777777774E-4</v>
      </c>
      <c r="M1892" t="s">
        <v>778</v>
      </c>
      <c r="N1892" t="s">
        <v>3910</v>
      </c>
      <c r="O1892" s="24">
        <v>46140</v>
      </c>
      <c r="P1892">
        <v>605</v>
      </c>
      <c r="Q1892" t="s">
        <v>34</v>
      </c>
      <c r="X1892" t="s">
        <v>3460</v>
      </c>
    </row>
    <row r="1893" spans="1:24" x14ac:dyDescent="0.25">
      <c r="A1893">
        <v>1889</v>
      </c>
      <c r="B1893" t="s">
        <v>28</v>
      </c>
      <c r="C1893" t="s">
        <v>25</v>
      </c>
      <c r="D1893">
        <v>14</v>
      </c>
      <c r="E1893" t="s">
        <v>65</v>
      </c>
      <c r="F1893" t="s">
        <v>368</v>
      </c>
      <c r="G1893">
        <v>3372</v>
      </c>
      <c r="H1893" t="s">
        <v>1934</v>
      </c>
      <c r="I1893" t="s">
        <v>1935</v>
      </c>
      <c r="J1893">
        <v>12</v>
      </c>
      <c r="K1893">
        <v>1</v>
      </c>
      <c r="L1893">
        <v>7.407407407407407E-4</v>
      </c>
      <c r="M1893" t="s">
        <v>778</v>
      </c>
      <c r="N1893" t="s">
        <v>3910</v>
      </c>
      <c r="O1893" s="24">
        <v>46140</v>
      </c>
      <c r="P1893">
        <v>605</v>
      </c>
      <c r="Q1893" t="s">
        <v>34</v>
      </c>
      <c r="X1893" t="s">
        <v>3460</v>
      </c>
    </row>
    <row r="1894" spans="1:24" x14ac:dyDescent="0.25">
      <c r="A1894">
        <v>1890</v>
      </c>
      <c r="B1894" t="s">
        <v>28</v>
      </c>
      <c r="C1894" t="s">
        <v>25</v>
      </c>
      <c r="D1894">
        <v>14</v>
      </c>
      <c r="E1894" t="s">
        <v>65</v>
      </c>
      <c r="F1894" t="s">
        <v>66</v>
      </c>
      <c r="G1894">
        <v>3372</v>
      </c>
      <c r="H1894" t="s">
        <v>1936</v>
      </c>
      <c r="I1894" t="s">
        <v>1913</v>
      </c>
      <c r="J1894">
        <v>12</v>
      </c>
      <c r="K1894">
        <v>2</v>
      </c>
      <c r="L1894">
        <v>1.7708333333333332E-3</v>
      </c>
      <c r="M1894" t="s">
        <v>778</v>
      </c>
      <c r="N1894" t="s">
        <v>3910</v>
      </c>
      <c r="O1894" s="24">
        <v>46140</v>
      </c>
      <c r="P1894">
        <v>605</v>
      </c>
      <c r="Q1894" t="s">
        <v>34</v>
      </c>
      <c r="X1894" t="s">
        <v>3460</v>
      </c>
    </row>
    <row r="1895" spans="1:24" x14ac:dyDescent="0.25">
      <c r="A1895">
        <v>1891</v>
      </c>
      <c r="B1895" t="s">
        <v>28</v>
      </c>
      <c r="C1895" t="s">
        <v>25</v>
      </c>
      <c r="D1895">
        <v>14</v>
      </c>
      <c r="E1895" t="s">
        <v>65</v>
      </c>
      <c r="F1895" t="s">
        <v>66</v>
      </c>
      <c r="G1895">
        <v>3372</v>
      </c>
      <c r="H1895" t="s">
        <v>1937</v>
      </c>
      <c r="I1895" t="s">
        <v>1938</v>
      </c>
      <c r="J1895">
        <v>12</v>
      </c>
      <c r="K1895">
        <v>1</v>
      </c>
      <c r="L1895">
        <v>7.2916666666666659E-4</v>
      </c>
      <c r="M1895" t="s">
        <v>778</v>
      </c>
      <c r="N1895" t="s">
        <v>3910</v>
      </c>
      <c r="O1895" s="24">
        <v>46140</v>
      </c>
      <c r="P1895">
        <v>605</v>
      </c>
      <c r="Q1895" t="s">
        <v>34</v>
      </c>
      <c r="X1895" t="s">
        <v>3460</v>
      </c>
    </row>
    <row r="1896" spans="1:24" x14ac:dyDescent="0.25">
      <c r="A1896">
        <v>1892</v>
      </c>
      <c r="B1896" t="s">
        <v>28</v>
      </c>
      <c r="C1896" t="s">
        <v>25</v>
      </c>
      <c r="D1896">
        <v>14</v>
      </c>
      <c r="E1896" t="s">
        <v>511</v>
      </c>
      <c r="F1896" t="s">
        <v>511</v>
      </c>
      <c r="G1896">
        <v>3373</v>
      </c>
      <c r="H1896" t="s">
        <v>1875</v>
      </c>
      <c r="I1896" t="s">
        <v>1813</v>
      </c>
      <c r="J1896">
        <v>12</v>
      </c>
      <c r="K1896">
        <v>1</v>
      </c>
      <c r="L1896">
        <v>1.1770833333333333E-2</v>
      </c>
      <c r="M1896" t="s">
        <v>778</v>
      </c>
      <c r="N1896" t="s">
        <v>3910</v>
      </c>
      <c r="O1896" s="24">
        <v>46140</v>
      </c>
      <c r="P1896">
        <v>605</v>
      </c>
      <c r="Q1896" t="s">
        <v>34</v>
      </c>
      <c r="X1896" t="s">
        <v>3461</v>
      </c>
    </row>
    <row r="1897" spans="1:24" x14ac:dyDescent="0.25">
      <c r="A1897">
        <v>1893</v>
      </c>
      <c r="B1897" t="s">
        <v>28</v>
      </c>
      <c r="C1897" t="s">
        <v>25</v>
      </c>
      <c r="D1897">
        <v>14</v>
      </c>
      <c r="E1897" t="s">
        <v>1665</v>
      </c>
      <c r="F1897" t="s">
        <v>115</v>
      </c>
      <c r="G1897">
        <v>3373</v>
      </c>
      <c r="H1897" t="s">
        <v>1940</v>
      </c>
      <c r="I1897" t="s">
        <v>1886</v>
      </c>
      <c r="J1897">
        <v>12</v>
      </c>
      <c r="K1897">
        <v>5</v>
      </c>
      <c r="L1897">
        <v>3.3333333333333331E-3</v>
      </c>
      <c r="M1897" t="s">
        <v>778</v>
      </c>
      <c r="N1897" t="s">
        <v>3910</v>
      </c>
      <c r="O1897" s="24">
        <v>46140</v>
      </c>
      <c r="P1897">
        <v>605</v>
      </c>
      <c r="Q1897" t="s">
        <v>34</v>
      </c>
      <c r="X1897" t="s">
        <v>3461</v>
      </c>
    </row>
    <row r="1898" spans="1:24" x14ac:dyDescent="0.25">
      <c r="A1898">
        <v>1894</v>
      </c>
      <c r="B1898" t="s">
        <v>28</v>
      </c>
      <c r="C1898" t="s">
        <v>25</v>
      </c>
      <c r="D1898">
        <v>14</v>
      </c>
      <c r="E1898" t="s">
        <v>1672</v>
      </c>
      <c r="F1898" t="s">
        <v>115</v>
      </c>
      <c r="G1898">
        <v>3373</v>
      </c>
      <c r="H1898" t="s">
        <v>1885</v>
      </c>
      <c r="I1898" t="s">
        <v>1886</v>
      </c>
      <c r="J1898">
        <v>12</v>
      </c>
      <c r="K1898">
        <v>4</v>
      </c>
      <c r="L1898">
        <v>2.9050925925925924E-3</v>
      </c>
      <c r="M1898" t="s">
        <v>778</v>
      </c>
      <c r="N1898" t="s">
        <v>3910</v>
      </c>
      <c r="O1898" s="24">
        <v>46140</v>
      </c>
      <c r="P1898">
        <v>605</v>
      </c>
      <c r="Q1898" t="s">
        <v>34</v>
      </c>
      <c r="X1898" t="s">
        <v>3461</v>
      </c>
    </row>
    <row r="1899" spans="1:24" x14ac:dyDescent="0.25">
      <c r="A1899">
        <v>1895</v>
      </c>
      <c r="B1899" t="s">
        <v>28</v>
      </c>
      <c r="C1899" t="s">
        <v>25</v>
      </c>
      <c r="D1899">
        <v>14</v>
      </c>
      <c r="E1899" t="s">
        <v>367</v>
      </c>
      <c r="F1899" t="s">
        <v>367</v>
      </c>
      <c r="G1899">
        <v>3373</v>
      </c>
      <c r="H1899" t="s">
        <v>1941</v>
      </c>
      <c r="I1899" t="s">
        <v>1942</v>
      </c>
      <c r="J1899">
        <v>12</v>
      </c>
      <c r="K1899">
        <v>8</v>
      </c>
      <c r="L1899">
        <v>2.1527777777777778E-3</v>
      </c>
      <c r="M1899" t="s">
        <v>778</v>
      </c>
      <c r="N1899" t="s">
        <v>3910</v>
      </c>
      <c r="O1899" s="24">
        <v>46140</v>
      </c>
      <c r="P1899">
        <v>605</v>
      </c>
      <c r="Q1899" t="s">
        <v>34</v>
      </c>
      <c r="X1899" t="s">
        <v>3461</v>
      </c>
    </row>
    <row r="1900" spans="1:24" x14ac:dyDescent="0.25">
      <c r="A1900">
        <v>1896</v>
      </c>
      <c r="B1900" t="s">
        <v>28</v>
      </c>
      <c r="C1900" t="s">
        <v>25</v>
      </c>
      <c r="D1900">
        <v>14</v>
      </c>
      <c r="E1900" t="s">
        <v>65</v>
      </c>
      <c r="F1900" t="s">
        <v>368</v>
      </c>
      <c r="G1900">
        <v>3373</v>
      </c>
      <c r="H1900" t="s">
        <v>1943</v>
      </c>
      <c r="I1900" t="s">
        <v>1926</v>
      </c>
      <c r="J1900">
        <v>12</v>
      </c>
      <c r="K1900">
        <v>1</v>
      </c>
      <c r="L1900">
        <v>6.5972222222222224E-4</v>
      </c>
      <c r="M1900" t="s">
        <v>778</v>
      </c>
      <c r="N1900" t="s">
        <v>3910</v>
      </c>
      <c r="O1900" s="24">
        <v>46140</v>
      </c>
      <c r="P1900">
        <v>605</v>
      </c>
      <c r="Q1900" t="s">
        <v>34</v>
      </c>
      <c r="X1900" t="s">
        <v>3461</v>
      </c>
    </row>
    <row r="1901" spans="1:24" x14ac:dyDescent="0.25">
      <c r="A1901">
        <v>1897</v>
      </c>
      <c r="B1901" t="s">
        <v>28</v>
      </c>
      <c r="C1901" t="s">
        <v>25</v>
      </c>
      <c r="D1901">
        <v>14</v>
      </c>
      <c r="E1901" t="s">
        <v>65</v>
      </c>
      <c r="F1901" t="s">
        <v>1589</v>
      </c>
      <c r="G1901">
        <v>3373</v>
      </c>
      <c r="H1901" t="s">
        <v>1944</v>
      </c>
      <c r="I1901" t="s">
        <v>1945</v>
      </c>
      <c r="J1901">
        <v>12</v>
      </c>
      <c r="K1901">
        <v>4</v>
      </c>
      <c r="L1901">
        <v>1.3310185185185185E-3</v>
      </c>
      <c r="M1901" t="s">
        <v>778</v>
      </c>
      <c r="N1901" t="s">
        <v>3910</v>
      </c>
      <c r="O1901" s="24">
        <v>46140</v>
      </c>
      <c r="P1901">
        <v>605</v>
      </c>
      <c r="Q1901" t="s">
        <v>34</v>
      </c>
      <c r="X1901" t="s">
        <v>3461</v>
      </c>
    </row>
    <row r="1902" spans="1:24" x14ac:dyDescent="0.25">
      <c r="A1902">
        <v>1898</v>
      </c>
      <c r="B1902" t="s">
        <v>28</v>
      </c>
      <c r="C1902" t="s">
        <v>25</v>
      </c>
      <c r="D1902">
        <v>14</v>
      </c>
      <c r="E1902" t="s">
        <v>65</v>
      </c>
      <c r="F1902" t="s">
        <v>1591</v>
      </c>
      <c r="G1902">
        <v>3373</v>
      </c>
      <c r="H1902" t="s">
        <v>1946</v>
      </c>
      <c r="I1902" t="s">
        <v>1947</v>
      </c>
      <c r="J1902">
        <v>12</v>
      </c>
      <c r="K1902">
        <v>4</v>
      </c>
      <c r="L1902">
        <v>1.4814814814814814E-3</v>
      </c>
      <c r="M1902" t="s">
        <v>778</v>
      </c>
      <c r="N1902" t="s">
        <v>3910</v>
      </c>
      <c r="O1902" s="24">
        <v>46140</v>
      </c>
      <c r="P1902">
        <v>605</v>
      </c>
      <c r="Q1902" t="s">
        <v>34</v>
      </c>
      <c r="X1902" t="s">
        <v>3461</v>
      </c>
    </row>
    <row r="1903" spans="1:24" x14ac:dyDescent="0.25">
      <c r="A1903">
        <v>1899</v>
      </c>
      <c r="B1903" t="s">
        <v>28</v>
      </c>
      <c r="C1903" t="s">
        <v>25</v>
      </c>
      <c r="D1903">
        <v>14</v>
      </c>
      <c r="E1903" t="s">
        <v>65</v>
      </c>
      <c r="F1903" t="s">
        <v>1590</v>
      </c>
      <c r="G1903">
        <v>3373</v>
      </c>
      <c r="H1903" t="s">
        <v>1948</v>
      </c>
      <c r="I1903" t="s">
        <v>1881</v>
      </c>
      <c r="J1903">
        <v>12</v>
      </c>
      <c r="K1903">
        <v>1</v>
      </c>
      <c r="L1903">
        <v>3.5879629629629629E-4</v>
      </c>
      <c r="M1903" t="s">
        <v>778</v>
      </c>
      <c r="N1903" t="s">
        <v>3910</v>
      </c>
      <c r="O1903" s="24">
        <v>46140</v>
      </c>
      <c r="P1903">
        <v>605</v>
      </c>
      <c r="Q1903" t="s">
        <v>34</v>
      </c>
      <c r="X1903" t="s">
        <v>3461</v>
      </c>
    </row>
    <row r="1904" spans="1:24" x14ac:dyDescent="0.25">
      <c r="A1904">
        <v>1900</v>
      </c>
      <c r="B1904" t="s">
        <v>28</v>
      </c>
      <c r="C1904" t="s">
        <v>25</v>
      </c>
      <c r="D1904">
        <v>14</v>
      </c>
      <c r="E1904" t="s">
        <v>1665</v>
      </c>
      <c r="F1904" t="s">
        <v>512</v>
      </c>
      <c r="G1904">
        <v>3374</v>
      </c>
      <c r="H1904" t="s">
        <v>1831</v>
      </c>
      <c r="I1904" t="s">
        <v>1830</v>
      </c>
      <c r="J1904">
        <v>12</v>
      </c>
      <c r="K1904">
        <v>1</v>
      </c>
      <c r="L1904">
        <v>1.1805555555555556E-3</v>
      </c>
      <c r="M1904" t="s">
        <v>778</v>
      </c>
      <c r="N1904" t="s">
        <v>3910</v>
      </c>
      <c r="O1904" s="24">
        <v>46140</v>
      </c>
      <c r="P1904">
        <v>605</v>
      </c>
      <c r="Q1904" t="s">
        <v>34</v>
      </c>
      <c r="X1904" t="s">
        <v>3462</v>
      </c>
    </row>
    <row r="1905" spans="1:24" x14ac:dyDescent="0.25">
      <c r="A1905">
        <v>1901</v>
      </c>
      <c r="B1905" t="s">
        <v>28</v>
      </c>
      <c r="C1905" t="s">
        <v>25</v>
      </c>
      <c r="D1905">
        <v>14</v>
      </c>
      <c r="E1905" t="s">
        <v>511</v>
      </c>
      <c r="F1905" t="s">
        <v>511</v>
      </c>
      <c r="G1905">
        <v>3374</v>
      </c>
      <c r="H1905" t="s">
        <v>1875</v>
      </c>
      <c r="I1905" t="s">
        <v>1813</v>
      </c>
      <c r="J1905">
        <v>12</v>
      </c>
      <c r="K1905">
        <v>1</v>
      </c>
      <c r="L1905">
        <v>1.511574074074074E-2</v>
      </c>
      <c r="M1905" t="s">
        <v>778</v>
      </c>
      <c r="N1905" t="s">
        <v>3910</v>
      </c>
      <c r="O1905" s="24">
        <v>46140</v>
      </c>
      <c r="P1905">
        <v>605</v>
      </c>
      <c r="Q1905" t="s">
        <v>34</v>
      </c>
      <c r="X1905" t="s">
        <v>3462</v>
      </c>
    </row>
    <row r="1906" spans="1:24" x14ac:dyDescent="0.25">
      <c r="A1906">
        <v>1902</v>
      </c>
      <c r="B1906" t="s">
        <v>28</v>
      </c>
      <c r="C1906" t="s">
        <v>25</v>
      </c>
      <c r="D1906">
        <v>14</v>
      </c>
      <c r="E1906" t="s">
        <v>1665</v>
      </c>
      <c r="F1906" t="s">
        <v>115</v>
      </c>
      <c r="G1906">
        <v>3374</v>
      </c>
      <c r="H1906" t="s">
        <v>1940</v>
      </c>
      <c r="I1906" t="s">
        <v>1886</v>
      </c>
      <c r="J1906">
        <v>12</v>
      </c>
      <c r="K1906">
        <v>2</v>
      </c>
      <c r="L1906">
        <v>1.7013888888888888E-3</v>
      </c>
      <c r="M1906" t="s">
        <v>778</v>
      </c>
      <c r="N1906" t="s">
        <v>3910</v>
      </c>
      <c r="O1906" s="24">
        <v>46140</v>
      </c>
      <c r="P1906">
        <v>605</v>
      </c>
      <c r="Q1906" t="s">
        <v>34</v>
      </c>
      <c r="X1906" t="s">
        <v>3462</v>
      </c>
    </row>
    <row r="1907" spans="1:24" x14ac:dyDescent="0.25">
      <c r="A1907">
        <v>1903</v>
      </c>
      <c r="B1907" t="s">
        <v>28</v>
      </c>
      <c r="C1907" t="s">
        <v>25</v>
      </c>
      <c r="D1907">
        <v>14</v>
      </c>
      <c r="E1907" t="s">
        <v>367</v>
      </c>
      <c r="F1907" t="s">
        <v>512</v>
      </c>
      <c r="G1907">
        <v>3374</v>
      </c>
      <c r="H1907" t="s">
        <v>1848</v>
      </c>
      <c r="I1907" t="s">
        <v>1849</v>
      </c>
      <c r="J1907">
        <v>12</v>
      </c>
      <c r="K1907">
        <v>1</v>
      </c>
      <c r="L1907">
        <v>1.2152777777777778E-3</v>
      </c>
      <c r="M1907" t="s">
        <v>778</v>
      </c>
      <c r="N1907" t="s">
        <v>3910</v>
      </c>
      <c r="O1907" s="24">
        <v>46140</v>
      </c>
      <c r="P1907">
        <v>605</v>
      </c>
      <c r="Q1907" t="s">
        <v>34</v>
      </c>
      <c r="X1907" t="s">
        <v>3462</v>
      </c>
    </row>
    <row r="1908" spans="1:24" x14ac:dyDescent="0.25">
      <c r="A1908">
        <v>1904</v>
      </c>
      <c r="B1908" t="s">
        <v>28</v>
      </c>
      <c r="C1908" t="s">
        <v>25</v>
      </c>
      <c r="D1908">
        <v>14</v>
      </c>
      <c r="E1908" t="s">
        <v>367</v>
      </c>
      <c r="F1908" t="s">
        <v>1594</v>
      </c>
      <c r="G1908">
        <v>3374</v>
      </c>
      <c r="H1908" t="s">
        <v>1950</v>
      </c>
      <c r="I1908" t="s">
        <v>1951</v>
      </c>
      <c r="J1908">
        <v>12</v>
      </c>
      <c r="K1908">
        <v>2</v>
      </c>
      <c r="L1908">
        <v>1.3541666666666667E-3</v>
      </c>
      <c r="M1908" t="s">
        <v>778</v>
      </c>
      <c r="N1908" t="s">
        <v>3910</v>
      </c>
      <c r="O1908" s="24">
        <v>46140</v>
      </c>
      <c r="P1908">
        <v>605</v>
      </c>
      <c r="Q1908" t="s">
        <v>34</v>
      </c>
      <c r="X1908" t="s">
        <v>3462</v>
      </c>
    </row>
    <row r="1909" spans="1:24" x14ac:dyDescent="0.25">
      <c r="A1909">
        <v>1905</v>
      </c>
      <c r="B1909" t="s">
        <v>28</v>
      </c>
      <c r="C1909" t="s">
        <v>25</v>
      </c>
      <c r="D1909">
        <v>14</v>
      </c>
      <c r="E1909" t="s">
        <v>1665</v>
      </c>
      <c r="F1909" t="s">
        <v>512</v>
      </c>
      <c r="G1909">
        <v>3375</v>
      </c>
      <c r="H1909" t="s">
        <v>1831</v>
      </c>
      <c r="I1909" t="s">
        <v>1830</v>
      </c>
      <c r="J1909">
        <v>12</v>
      </c>
      <c r="K1909">
        <v>1</v>
      </c>
      <c r="L1909">
        <v>1.1226851851851851E-3</v>
      </c>
      <c r="M1909" t="s">
        <v>778</v>
      </c>
      <c r="N1909" t="s">
        <v>3910</v>
      </c>
      <c r="O1909" s="24">
        <v>46140</v>
      </c>
      <c r="P1909">
        <v>605</v>
      </c>
      <c r="Q1909" t="s">
        <v>34</v>
      </c>
      <c r="X1909" t="s">
        <v>3463</v>
      </c>
    </row>
    <row r="1910" spans="1:24" x14ac:dyDescent="0.25">
      <c r="A1910">
        <v>1906</v>
      </c>
      <c r="B1910" t="s">
        <v>28</v>
      </c>
      <c r="C1910" t="s">
        <v>25</v>
      </c>
      <c r="D1910">
        <v>14</v>
      </c>
      <c r="E1910" t="s">
        <v>511</v>
      </c>
      <c r="F1910" t="s">
        <v>511</v>
      </c>
      <c r="G1910">
        <v>3375</v>
      </c>
      <c r="H1910" t="s">
        <v>1875</v>
      </c>
      <c r="I1910" t="s">
        <v>1813</v>
      </c>
      <c r="J1910">
        <v>12</v>
      </c>
      <c r="K1910">
        <v>1</v>
      </c>
      <c r="L1910">
        <v>1.4386574074074074E-2</v>
      </c>
      <c r="M1910" t="s">
        <v>778</v>
      </c>
      <c r="N1910" t="s">
        <v>3910</v>
      </c>
      <c r="O1910" s="24">
        <v>46140</v>
      </c>
      <c r="P1910">
        <v>605</v>
      </c>
      <c r="Q1910" t="s">
        <v>34</v>
      </c>
      <c r="X1910" t="s">
        <v>3463</v>
      </c>
    </row>
    <row r="1911" spans="1:24" x14ac:dyDescent="0.25">
      <c r="A1911">
        <v>1907</v>
      </c>
      <c r="B1911" t="s">
        <v>28</v>
      </c>
      <c r="C1911" t="s">
        <v>25</v>
      </c>
      <c r="D1911">
        <v>14</v>
      </c>
      <c r="E1911" t="s">
        <v>1665</v>
      </c>
      <c r="F1911" t="s">
        <v>115</v>
      </c>
      <c r="G1911">
        <v>3375</v>
      </c>
      <c r="H1911" t="s">
        <v>1940</v>
      </c>
      <c r="I1911" t="s">
        <v>1886</v>
      </c>
      <c r="J1911">
        <v>12</v>
      </c>
      <c r="K1911">
        <v>4</v>
      </c>
      <c r="L1911">
        <v>3.2523148148148147E-3</v>
      </c>
      <c r="M1911" t="s">
        <v>778</v>
      </c>
      <c r="N1911" t="s">
        <v>3910</v>
      </c>
      <c r="O1911" s="24">
        <v>46140</v>
      </c>
      <c r="P1911">
        <v>605</v>
      </c>
      <c r="Q1911" t="s">
        <v>34</v>
      </c>
      <c r="X1911" t="s">
        <v>3463</v>
      </c>
    </row>
    <row r="1912" spans="1:24" x14ac:dyDescent="0.25">
      <c r="A1912">
        <v>1908</v>
      </c>
      <c r="B1912" t="s">
        <v>28</v>
      </c>
      <c r="C1912" t="s">
        <v>25</v>
      </c>
      <c r="D1912">
        <v>14</v>
      </c>
      <c r="E1912" t="s">
        <v>1588</v>
      </c>
      <c r="F1912" t="s">
        <v>512</v>
      </c>
      <c r="G1912">
        <v>3375</v>
      </c>
      <c r="H1912" t="s">
        <v>1953</v>
      </c>
      <c r="I1912" t="s">
        <v>1954</v>
      </c>
      <c r="J1912">
        <v>12</v>
      </c>
      <c r="K1912">
        <v>1</v>
      </c>
      <c r="L1912">
        <v>1.8171296296296295E-3</v>
      </c>
      <c r="M1912" t="s">
        <v>778</v>
      </c>
      <c r="N1912" t="s">
        <v>3910</v>
      </c>
      <c r="O1912" s="24">
        <v>46140</v>
      </c>
      <c r="P1912">
        <v>605</v>
      </c>
      <c r="Q1912" t="s">
        <v>34</v>
      </c>
      <c r="X1912" t="s">
        <v>3463</v>
      </c>
    </row>
    <row r="1913" spans="1:24" x14ac:dyDescent="0.25">
      <c r="A1913">
        <v>1909</v>
      </c>
      <c r="B1913" t="s">
        <v>28</v>
      </c>
      <c r="C1913" t="s">
        <v>25</v>
      </c>
      <c r="D1913">
        <v>14</v>
      </c>
      <c r="E1913" t="s">
        <v>1665</v>
      </c>
      <c r="F1913" t="s">
        <v>115</v>
      </c>
      <c r="G1913">
        <v>3376</v>
      </c>
      <c r="H1913" t="s">
        <v>1940</v>
      </c>
      <c r="I1913" t="s">
        <v>1886</v>
      </c>
      <c r="J1913">
        <v>12</v>
      </c>
      <c r="K1913">
        <v>2</v>
      </c>
      <c r="L1913">
        <v>1.4467592592592592E-3</v>
      </c>
      <c r="M1913" t="s">
        <v>778</v>
      </c>
      <c r="N1913" t="s">
        <v>1316</v>
      </c>
      <c r="O1913" s="24">
        <v>46132</v>
      </c>
      <c r="P1913">
        <v>606</v>
      </c>
      <c r="Q1913" t="s">
        <v>34</v>
      </c>
      <c r="X1913" t="s">
        <v>3464</v>
      </c>
    </row>
    <row r="1914" spans="1:24" x14ac:dyDescent="0.25">
      <c r="A1914">
        <v>1910</v>
      </c>
      <c r="B1914" t="s">
        <v>28</v>
      </c>
      <c r="C1914" t="s">
        <v>25</v>
      </c>
      <c r="D1914">
        <v>14</v>
      </c>
      <c r="E1914" t="s">
        <v>1583</v>
      </c>
      <c r="F1914" t="s">
        <v>1583</v>
      </c>
      <c r="G1914">
        <v>3376</v>
      </c>
      <c r="H1914" t="s">
        <v>1888</v>
      </c>
      <c r="I1914" t="s">
        <v>1889</v>
      </c>
      <c r="J1914">
        <v>12</v>
      </c>
      <c r="K1914">
        <v>2</v>
      </c>
      <c r="L1914">
        <v>1.2268518518518518E-3</v>
      </c>
      <c r="M1914" t="s">
        <v>778</v>
      </c>
      <c r="N1914" t="s">
        <v>1316</v>
      </c>
      <c r="O1914" s="24">
        <v>46132</v>
      </c>
      <c r="P1914">
        <v>606</v>
      </c>
      <c r="Q1914" t="s">
        <v>34</v>
      </c>
      <c r="X1914" t="s">
        <v>3464</v>
      </c>
    </row>
    <row r="1915" spans="1:24" x14ac:dyDescent="0.25">
      <c r="A1915">
        <v>1911</v>
      </c>
      <c r="B1915" t="s">
        <v>28</v>
      </c>
      <c r="C1915" t="s">
        <v>25</v>
      </c>
      <c r="D1915">
        <v>14</v>
      </c>
      <c r="E1915" t="s">
        <v>65</v>
      </c>
      <c r="F1915" t="s">
        <v>368</v>
      </c>
      <c r="G1915">
        <v>3376</v>
      </c>
      <c r="H1915" t="s">
        <v>1956</v>
      </c>
      <c r="I1915" t="s">
        <v>1834</v>
      </c>
      <c r="J1915">
        <v>12</v>
      </c>
      <c r="K1915">
        <v>1</v>
      </c>
      <c r="L1915">
        <v>1.1226851851851851E-3</v>
      </c>
      <c r="M1915" t="s">
        <v>778</v>
      </c>
      <c r="N1915" t="s">
        <v>1316</v>
      </c>
      <c r="O1915" s="24">
        <v>46132</v>
      </c>
      <c r="P1915">
        <v>606</v>
      </c>
      <c r="Q1915" t="s">
        <v>34</v>
      </c>
      <c r="X1915" t="s">
        <v>3464</v>
      </c>
    </row>
    <row r="1916" spans="1:24" x14ac:dyDescent="0.25">
      <c r="A1916">
        <v>1912</v>
      </c>
      <c r="B1916" t="s">
        <v>28</v>
      </c>
      <c r="C1916" t="s">
        <v>25</v>
      </c>
      <c r="D1916">
        <v>14</v>
      </c>
      <c r="E1916" t="s">
        <v>65</v>
      </c>
      <c r="F1916" t="s">
        <v>1590</v>
      </c>
      <c r="G1916">
        <v>3376</v>
      </c>
      <c r="H1916" t="s">
        <v>1957</v>
      </c>
      <c r="I1916" t="s">
        <v>1958</v>
      </c>
      <c r="J1916">
        <v>12</v>
      </c>
      <c r="K1916">
        <v>1</v>
      </c>
      <c r="L1916">
        <v>5.9027777777777778E-4</v>
      </c>
      <c r="M1916" t="s">
        <v>778</v>
      </c>
      <c r="N1916" t="s">
        <v>1316</v>
      </c>
      <c r="O1916" s="24">
        <v>46132</v>
      </c>
      <c r="P1916">
        <v>606</v>
      </c>
      <c r="Q1916" t="s">
        <v>34</v>
      </c>
      <c r="X1916" t="s">
        <v>3464</v>
      </c>
    </row>
    <row r="1917" spans="1:24" x14ac:dyDescent="0.25">
      <c r="A1917">
        <v>1913</v>
      </c>
      <c r="B1917" t="s">
        <v>28</v>
      </c>
      <c r="C1917" t="s">
        <v>25</v>
      </c>
      <c r="D1917">
        <v>14</v>
      </c>
      <c r="E1917" t="s">
        <v>65</v>
      </c>
      <c r="F1917" t="s">
        <v>1597</v>
      </c>
      <c r="G1917">
        <v>3376</v>
      </c>
      <c r="H1917" t="s">
        <v>1959</v>
      </c>
      <c r="I1917" t="s">
        <v>1906</v>
      </c>
      <c r="J1917">
        <v>12</v>
      </c>
      <c r="K1917">
        <v>1</v>
      </c>
      <c r="L1917">
        <v>8.6805555555555551E-4</v>
      </c>
      <c r="M1917" t="s">
        <v>778</v>
      </c>
      <c r="N1917" t="s">
        <v>1316</v>
      </c>
      <c r="O1917" s="24">
        <v>46132</v>
      </c>
      <c r="P1917">
        <v>606</v>
      </c>
      <c r="Q1917" t="s">
        <v>34</v>
      </c>
      <c r="X1917" t="s">
        <v>3464</v>
      </c>
    </row>
    <row r="1918" spans="1:24" x14ac:dyDescent="0.25">
      <c r="A1918">
        <v>1914</v>
      </c>
      <c r="B1918" t="s">
        <v>28</v>
      </c>
      <c r="C1918" t="s">
        <v>25</v>
      </c>
      <c r="D1918">
        <v>14</v>
      </c>
      <c r="E1918" t="s">
        <v>65</v>
      </c>
      <c r="F1918" t="s">
        <v>1597</v>
      </c>
      <c r="G1918">
        <v>3376</v>
      </c>
      <c r="H1918" t="s">
        <v>1960</v>
      </c>
      <c r="I1918" t="s">
        <v>1906</v>
      </c>
      <c r="J1918">
        <v>12</v>
      </c>
      <c r="K1918">
        <v>1</v>
      </c>
      <c r="L1918">
        <v>8.1018518518518516E-4</v>
      </c>
      <c r="M1918" t="s">
        <v>778</v>
      </c>
      <c r="N1918" t="s">
        <v>1316</v>
      </c>
      <c r="O1918" s="24">
        <v>46132</v>
      </c>
      <c r="P1918">
        <v>606</v>
      </c>
      <c r="Q1918" t="s">
        <v>34</v>
      </c>
      <c r="X1918" t="s">
        <v>3464</v>
      </c>
    </row>
    <row r="1919" spans="1:24" x14ac:dyDescent="0.25">
      <c r="A1919">
        <v>1915</v>
      </c>
      <c r="B1919" t="s">
        <v>28</v>
      </c>
      <c r="C1919" t="s">
        <v>25</v>
      </c>
      <c r="D1919">
        <v>14</v>
      </c>
      <c r="E1919" t="s">
        <v>511</v>
      </c>
      <c r="F1919" t="s">
        <v>512</v>
      </c>
      <c r="G1919">
        <v>3376</v>
      </c>
      <c r="H1919" t="s">
        <v>1961</v>
      </c>
      <c r="I1919" t="s">
        <v>1962</v>
      </c>
      <c r="J1919">
        <v>12</v>
      </c>
      <c r="K1919">
        <v>5</v>
      </c>
      <c r="L1919">
        <v>8.4722222222222213E-3</v>
      </c>
      <c r="M1919" t="s">
        <v>778</v>
      </c>
      <c r="N1919" t="s">
        <v>1316</v>
      </c>
      <c r="O1919" s="24">
        <v>46132</v>
      </c>
      <c r="P1919">
        <v>606</v>
      </c>
      <c r="Q1919" t="s">
        <v>34</v>
      </c>
      <c r="X1919" t="s">
        <v>3464</v>
      </c>
    </row>
    <row r="1920" spans="1:24" x14ac:dyDescent="0.25">
      <c r="A1920">
        <v>1916</v>
      </c>
      <c r="B1920" t="s">
        <v>28</v>
      </c>
      <c r="C1920" t="s">
        <v>25</v>
      </c>
      <c r="D1920">
        <v>14</v>
      </c>
      <c r="E1920" t="s">
        <v>65</v>
      </c>
      <c r="F1920" t="s">
        <v>66</v>
      </c>
      <c r="G1920">
        <v>3376</v>
      </c>
      <c r="H1920" t="s">
        <v>1963</v>
      </c>
      <c r="I1920" t="s">
        <v>1964</v>
      </c>
      <c r="J1920">
        <v>12</v>
      </c>
      <c r="K1920">
        <v>1</v>
      </c>
      <c r="L1920">
        <v>9.4907407407407408E-4</v>
      </c>
      <c r="M1920" t="s">
        <v>778</v>
      </c>
      <c r="N1920" t="s">
        <v>1316</v>
      </c>
      <c r="O1920" s="24">
        <v>46132</v>
      </c>
      <c r="P1920">
        <v>606</v>
      </c>
      <c r="Q1920" t="s">
        <v>34</v>
      </c>
      <c r="X1920" t="s">
        <v>3464</v>
      </c>
    </row>
    <row r="1921" spans="1:24" x14ac:dyDescent="0.25">
      <c r="A1921">
        <v>1917</v>
      </c>
      <c r="B1921" t="s">
        <v>28</v>
      </c>
      <c r="C1921" t="s">
        <v>25</v>
      </c>
      <c r="D1921">
        <v>14</v>
      </c>
      <c r="E1921" t="s">
        <v>152</v>
      </c>
      <c r="F1921" t="s">
        <v>152</v>
      </c>
      <c r="G1921">
        <v>3376</v>
      </c>
      <c r="H1921" t="s">
        <v>1965</v>
      </c>
      <c r="I1921" t="s">
        <v>1966</v>
      </c>
      <c r="J1921">
        <v>12</v>
      </c>
      <c r="K1921">
        <v>1</v>
      </c>
      <c r="L1921">
        <v>1.8981481481481482E-3</v>
      </c>
      <c r="M1921" t="s">
        <v>778</v>
      </c>
      <c r="N1921" t="s">
        <v>1316</v>
      </c>
      <c r="O1921" s="24">
        <v>46132</v>
      </c>
      <c r="P1921">
        <v>606</v>
      </c>
      <c r="Q1921" t="s">
        <v>34</v>
      </c>
      <c r="X1921" t="s">
        <v>3464</v>
      </c>
    </row>
    <row r="1922" spans="1:24" x14ac:dyDescent="0.25">
      <c r="A1922">
        <v>1918</v>
      </c>
      <c r="B1922" t="s">
        <v>28</v>
      </c>
      <c r="C1922" t="s">
        <v>25</v>
      </c>
      <c r="D1922">
        <v>14</v>
      </c>
      <c r="E1922" t="s">
        <v>1665</v>
      </c>
      <c r="F1922" t="s">
        <v>512</v>
      </c>
      <c r="G1922">
        <v>3377</v>
      </c>
      <c r="H1922" t="s">
        <v>1831</v>
      </c>
      <c r="I1922" t="s">
        <v>1830</v>
      </c>
      <c r="J1922">
        <v>12</v>
      </c>
      <c r="K1922">
        <v>1</v>
      </c>
      <c r="L1922">
        <v>1.25E-3</v>
      </c>
      <c r="M1922" t="s">
        <v>778</v>
      </c>
      <c r="N1922" t="s">
        <v>1316</v>
      </c>
      <c r="O1922" s="24">
        <v>46132</v>
      </c>
      <c r="P1922">
        <v>606</v>
      </c>
      <c r="Q1922" t="s">
        <v>34</v>
      </c>
      <c r="X1922" t="s">
        <v>3465</v>
      </c>
    </row>
    <row r="1923" spans="1:24" x14ac:dyDescent="0.25">
      <c r="A1923">
        <v>1919</v>
      </c>
      <c r="B1923" t="s">
        <v>28</v>
      </c>
      <c r="C1923" t="s">
        <v>25</v>
      </c>
      <c r="D1923">
        <v>14</v>
      </c>
      <c r="E1923" t="s">
        <v>1665</v>
      </c>
      <c r="F1923" t="s">
        <v>115</v>
      </c>
      <c r="G1923">
        <v>3377</v>
      </c>
      <c r="H1923" t="s">
        <v>1940</v>
      </c>
      <c r="I1923" t="s">
        <v>1886</v>
      </c>
      <c r="J1923">
        <v>12</v>
      </c>
      <c r="K1923">
        <v>2</v>
      </c>
      <c r="L1923">
        <v>1.8055555555555555E-3</v>
      </c>
      <c r="M1923" t="s">
        <v>778</v>
      </c>
      <c r="N1923" t="s">
        <v>1316</v>
      </c>
      <c r="O1923" s="24">
        <v>46132</v>
      </c>
      <c r="P1923">
        <v>606</v>
      </c>
      <c r="Q1923" t="s">
        <v>34</v>
      </c>
      <c r="X1923" t="s">
        <v>3465</v>
      </c>
    </row>
    <row r="1924" spans="1:24" x14ac:dyDescent="0.25">
      <c r="A1924">
        <v>1920</v>
      </c>
      <c r="B1924" t="s">
        <v>28</v>
      </c>
      <c r="C1924" t="s">
        <v>25</v>
      </c>
      <c r="D1924">
        <v>14</v>
      </c>
      <c r="E1924" t="s">
        <v>1588</v>
      </c>
      <c r="F1924" t="s">
        <v>512</v>
      </c>
      <c r="G1924">
        <v>3377</v>
      </c>
      <c r="H1924" t="s">
        <v>1968</v>
      </c>
      <c r="I1924" t="s">
        <v>1954</v>
      </c>
      <c r="J1924">
        <v>12</v>
      </c>
      <c r="K1924">
        <v>1</v>
      </c>
      <c r="L1924">
        <v>1.724537037037037E-3</v>
      </c>
      <c r="M1924" t="s">
        <v>778</v>
      </c>
      <c r="N1924" t="s">
        <v>1316</v>
      </c>
      <c r="O1924" s="24">
        <v>46132</v>
      </c>
      <c r="P1924">
        <v>606</v>
      </c>
      <c r="Q1924" t="s">
        <v>34</v>
      </c>
      <c r="X1924" t="s">
        <v>3465</v>
      </c>
    </row>
    <row r="1925" spans="1:24" x14ac:dyDescent="0.25">
      <c r="A1925">
        <v>1921</v>
      </c>
      <c r="B1925" t="s">
        <v>28</v>
      </c>
      <c r="C1925" t="s">
        <v>25</v>
      </c>
      <c r="D1925">
        <v>14</v>
      </c>
      <c r="E1925" t="s">
        <v>367</v>
      </c>
      <c r="F1925" t="s">
        <v>1594</v>
      </c>
      <c r="G1925">
        <v>3377</v>
      </c>
      <c r="H1925" t="s">
        <v>1969</v>
      </c>
      <c r="I1925" t="s">
        <v>1970</v>
      </c>
      <c r="J1925">
        <v>12</v>
      </c>
      <c r="K1925">
        <v>1</v>
      </c>
      <c r="L1925">
        <v>7.1759259259259259E-4</v>
      </c>
      <c r="M1925" t="s">
        <v>778</v>
      </c>
      <c r="N1925" t="s">
        <v>1316</v>
      </c>
      <c r="O1925" s="24">
        <v>46132</v>
      </c>
      <c r="P1925">
        <v>606</v>
      </c>
      <c r="Q1925" t="s">
        <v>34</v>
      </c>
      <c r="X1925" t="s">
        <v>3465</v>
      </c>
    </row>
    <row r="1926" spans="1:24" x14ac:dyDescent="0.25">
      <c r="A1926">
        <v>1922</v>
      </c>
      <c r="B1926" t="s">
        <v>28</v>
      </c>
      <c r="C1926" t="s">
        <v>25</v>
      </c>
      <c r="D1926">
        <v>14</v>
      </c>
      <c r="E1926" t="s">
        <v>65</v>
      </c>
      <c r="F1926" t="s">
        <v>368</v>
      </c>
      <c r="G1926">
        <v>3377</v>
      </c>
      <c r="H1926" t="s">
        <v>1971</v>
      </c>
      <c r="I1926" t="s">
        <v>1972</v>
      </c>
      <c r="J1926">
        <v>12</v>
      </c>
      <c r="K1926">
        <v>1</v>
      </c>
      <c r="L1926">
        <v>9.4212962962962957E-3</v>
      </c>
      <c r="M1926" t="s">
        <v>778</v>
      </c>
      <c r="N1926" t="s">
        <v>1316</v>
      </c>
      <c r="O1926" s="24">
        <v>46132</v>
      </c>
      <c r="P1926">
        <v>606</v>
      </c>
      <c r="Q1926" t="s">
        <v>34</v>
      </c>
      <c r="X1926" t="s">
        <v>3465</v>
      </c>
    </row>
    <row r="1927" spans="1:24" x14ac:dyDescent="0.25">
      <c r="A1927">
        <v>1923</v>
      </c>
      <c r="B1927" t="s">
        <v>28</v>
      </c>
      <c r="C1927" t="s">
        <v>25</v>
      </c>
      <c r="D1927">
        <v>14</v>
      </c>
      <c r="E1927" t="s">
        <v>65</v>
      </c>
      <c r="F1927" t="s">
        <v>1597</v>
      </c>
      <c r="G1927">
        <v>3377</v>
      </c>
      <c r="H1927" t="s">
        <v>1973</v>
      </c>
      <c r="I1927" t="s">
        <v>1974</v>
      </c>
      <c r="J1927">
        <v>12</v>
      </c>
      <c r="K1927">
        <v>1</v>
      </c>
      <c r="L1927">
        <v>9.6064814814814808E-4</v>
      </c>
      <c r="M1927" t="s">
        <v>778</v>
      </c>
      <c r="N1927" t="s">
        <v>1316</v>
      </c>
      <c r="O1927" s="24">
        <v>46132</v>
      </c>
      <c r="P1927">
        <v>606</v>
      </c>
      <c r="Q1927" t="s">
        <v>34</v>
      </c>
      <c r="X1927" t="s">
        <v>3465</v>
      </c>
    </row>
    <row r="1928" spans="1:24" x14ac:dyDescent="0.25">
      <c r="A1928">
        <v>1924</v>
      </c>
      <c r="B1928" t="s">
        <v>28</v>
      </c>
      <c r="C1928" t="s">
        <v>25</v>
      </c>
      <c r="D1928">
        <v>14</v>
      </c>
      <c r="E1928" t="s">
        <v>550</v>
      </c>
      <c r="F1928" t="s">
        <v>550</v>
      </c>
      <c r="G1928">
        <v>3377</v>
      </c>
      <c r="H1928" t="s">
        <v>1975</v>
      </c>
      <c r="I1928" t="s">
        <v>1976</v>
      </c>
      <c r="J1928">
        <v>12</v>
      </c>
      <c r="K1928">
        <v>1</v>
      </c>
      <c r="L1928">
        <v>4.1666666666666666E-3</v>
      </c>
      <c r="M1928" t="s">
        <v>778</v>
      </c>
      <c r="N1928" t="s">
        <v>1316</v>
      </c>
      <c r="O1928" s="24">
        <v>46132</v>
      </c>
      <c r="P1928">
        <v>606</v>
      </c>
      <c r="Q1928" t="s">
        <v>34</v>
      </c>
      <c r="X1928" t="s">
        <v>3465</v>
      </c>
    </row>
    <row r="1929" spans="1:24" x14ac:dyDescent="0.25">
      <c r="A1929">
        <v>1925</v>
      </c>
      <c r="B1929" t="s">
        <v>28</v>
      </c>
      <c r="C1929" t="s">
        <v>25</v>
      </c>
      <c r="D1929">
        <v>14</v>
      </c>
      <c r="E1929" t="s">
        <v>1672</v>
      </c>
      <c r="F1929" t="s">
        <v>498</v>
      </c>
      <c r="G1929">
        <v>3381</v>
      </c>
      <c r="H1929" t="s">
        <v>1977</v>
      </c>
      <c r="I1929" t="s">
        <v>1978</v>
      </c>
      <c r="J1929">
        <v>10</v>
      </c>
      <c r="K1929">
        <v>11</v>
      </c>
      <c r="L1929">
        <v>6.0069444444444441E-3</v>
      </c>
      <c r="M1929" t="s">
        <v>778</v>
      </c>
      <c r="N1929" t="s">
        <v>1337</v>
      </c>
      <c r="O1929" s="24">
        <v>46136</v>
      </c>
      <c r="P1929">
        <v>605</v>
      </c>
      <c r="Q1929" t="s">
        <v>34</v>
      </c>
      <c r="X1929" t="s">
        <v>3466</v>
      </c>
    </row>
    <row r="1930" spans="1:24" x14ac:dyDescent="0.25">
      <c r="A1930">
        <v>1926</v>
      </c>
      <c r="B1930" t="s">
        <v>28</v>
      </c>
      <c r="C1930" t="s">
        <v>25</v>
      </c>
      <c r="D1930">
        <v>14</v>
      </c>
      <c r="E1930" t="s">
        <v>1665</v>
      </c>
      <c r="F1930" t="s">
        <v>498</v>
      </c>
      <c r="G1930">
        <v>3381</v>
      </c>
      <c r="H1930" t="s">
        <v>1981</v>
      </c>
      <c r="I1930" t="s">
        <v>1978</v>
      </c>
      <c r="J1930">
        <v>10</v>
      </c>
      <c r="K1930">
        <v>1</v>
      </c>
      <c r="L1930">
        <v>7.2916666666666659E-4</v>
      </c>
      <c r="M1930" t="s">
        <v>778</v>
      </c>
      <c r="N1930" t="s">
        <v>1337</v>
      </c>
      <c r="O1930" s="24">
        <v>46136</v>
      </c>
      <c r="P1930">
        <v>605</v>
      </c>
      <c r="Q1930" t="s">
        <v>34</v>
      </c>
      <c r="X1930" t="s">
        <v>3466</v>
      </c>
    </row>
    <row r="1931" spans="1:24" x14ac:dyDescent="0.25">
      <c r="A1931">
        <v>1927</v>
      </c>
      <c r="B1931" t="s">
        <v>28</v>
      </c>
      <c r="C1931" t="s">
        <v>25</v>
      </c>
      <c r="D1931">
        <v>14</v>
      </c>
      <c r="E1931" t="s">
        <v>367</v>
      </c>
      <c r="F1931" t="s">
        <v>367</v>
      </c>
      <c r="G1931">
        <v>3381</v>
      </c>
      <c r="H1931" t="s">
        <v>1982</v>
      </c>
      <c r="I1931" t="s">
        <v>1983</v>
      </c>
      <c r="J1931">
        <v>10</v>
      </c>
      <c r="K1931">
        <v>20</v>
      </c>
      <c r="L1931">
        <v>4.5833333333333334E-3</v>
      </c>
      <c r="M1931" t="s">
        <v>778</v>
      </c>
      <c r="N1931" t="s">
        <v>1337</v>
      </c>
      <c r="O1931" s="24">
        <v>46136</v>
      </c>
      <c r="P1931">
        <v>605</v>
      </c>
      <c r="Q1931" t="s">
        <v>34</v>
      </c>
      <c r="X1931" t="s">
        <v>3466</v>
      </c>
    </row>
    <row r="1932" spans="1:24" x14ac:dyDescent="0.25">
      <c r="A1932">
        <v>1928</v>
      </c>
      <c r="B1932" t="s">
        <v>28</v>
      </c>
      <c r="C1932" t="s">
        <v>25</v>
      </c>
      <c r="D1932">
        <v>14</v>
      </c>
      <c r="E1932" t="s">
        <v>65</v>
      </c>
      <c r="F1932" t="s">
        <v>368</v>
      </c>
      <c r="G1932">
        <v>3381</v>
      </c>
      <c r="H1932" t="s">
        <v>1984</v>
      </c>
      <c r="I1932" t="s">
        <v>1985</v>
      </c>
      <c r="J1932">
        <v>10</v>
      </c>
      <c r="K1932">
        <v>6</v>
      </c>
      <c r="L1932">
        <v>1.4918981481481481E-2</v>
      </c>
      <c r="M1932" t="s">
        <v>778</v>
      </c>
      <c r="N1932" t="s">
        <v>1337</v>
      </c>
      <c r="O1932" s="24">
        <v>46136</v>
      </c>
      <c r="P1932">
        <v>605</v>
      </c>
      <c r="Q1932" t="s">
        <v>34</v>
      </c>
      <c r="X1932" t="s">
        <v>3466</v>
      </c>
    </row>
    <row r="1933" spans="1:24" x14ac:dyDescent="0.25">
      <c r="A1933">
        <v>1929</v>
      </c>
      <c r="B1933" t="s">
        <v>28</v>
      </c>
      <c r="C1933" t="s">
        <v>25</v>
      </c>
      <c r="D1933">
        <v>14</v>
      </c>
      <c r="E1933" t="s">
        <v>65</v>
      </c>
      <c r="F1933" t="s">
        <v>368</v>
      </c>
      <c r="G1933">
        <v>3381</v>
      </c>
      <c r="H1933" t="s">
        <v>1986</v>
      </c>
      <c r="I1933" t="s">
        <v>1987</v>
      </c>
      <c r="J1933">
        <v>10</v>
      </c>
      <c r="K1933">
        <v>2</v>
      </c>
      <c r="L1933">
        <v>9.837962962962962E-4</v>
      </c>
      <c r="M1933" t="s">
        <v>778</v>
      </c>
      <c r="N1933" t="s">
        <v>1337</v>
      </c>
      <c r="O1933" s="24">
        <v>46136</v>
      </c>
      <c r="P1933">
        <v>605</v>
      </c>
      <c r="Q1933" t="s">
        <v>34</v>
      </c>
      <c r="X1933" t="s">
        <v>3466</v>
      </c>
    </row>
    <row r="1934" spans="1:24" x14ac:dyDescent="0.25">
      <c r="A1934">
        <v>1930</v>
      </c>
      <c r="B1934" t="s">
        <v>28</v>
      </c>
      <c r="C1934" t="s">
        <v>25</v>
      </c>
      <c r="D1934">
        <v>14</v>
      </c>
      <c r="E1934" t="s">
        <v>65</v>
      </c>
      <c r="F1934" t="s">
        <v>368</v>
      </c>
      <c r="G1934">
        <v>3381</v>
      </c>
      <c r="H1934" t="s">
        <v>1988</v>
      </c>
      <c r="I1934" t="s">
        <v>1989</v>
      </c>
      <c r="J1934">
        <v>10</v>
      </c>
      <c r="K1934">
        <v>11</v>
      </c>
      <c r="L1934">
        <v>1.255787037037037E-2</v>
      </c>
      <c r="M1934" t="s">
        <v>778</v>
      </c>
      <c r="N1934" t="s">
        <v>1337</v>
      </c>
      <c r="O1934" s="24">
        <v>46136</v>
      </c>
      <c r="P1934">
        <v>605</v>
      </c>
      <c r="Q1934" t="s">
        <v>34</v>
      </c>
      <c r="X1934" t="s">
        <v>3466</v>
      </c>
    </row>
    <row r="1935" spans="1:24" x14ac:dyDescent="0.25">
      <c r="A1935">
        <v>1931</v>
      </c>
      <c r="B1935" t="s">
        <v>28</v>
      </c>
      <c r="C1935" t="s">
        <v>25</v>
      </c>
      <c r="D1935">
        <v>14</v>
      </c>
      <c r="E1935" t="s">
        <v>65</v>
      </c>
      <c r="F1935" t="s">
        <v>65</v>
      </c>
      <c r="G1935">
        <v>3381</v>
      </c>
      <c r="H1935" t="s">
        <v>1990</v>
      </c>
      <c r="I1935" t="s">
        <v>1991</v>
      </c>
      <c r="J1935">
        <v>10</v>
      </c>
      <c r="K1935">
        <v>3</v>
      </c>
      <c r="L1935">
        <v>1.4699074074074074E-3</v>
      </c>
      <c r="M1935" t="s">
        <v>778</v>
      </c>
      <c r="N1935" t="s">
        <v>1337</v>
      </c>
      <c r="O1935" s="24">
        <v>46136</v>
      </c>
      <c r="P1935">
        <v>605</v>
      </c>
      <c r="Q1935" t="s">
        <v>34</v>
      </c>
      <c r="X1935" t="s">
        <v>3466</v>
      </c>
    </row>
    <row r="1936" spans="1:24" x14ac:dyDescent="0.25">
      <c r="A1936">
        <v>1932</v>
      </c>
      <c r="B1936" t="s">
        <v>28</v>
      </c>
      <c r="C1936" t="s">
        <v>25</v>
      </c>
      <c r="D1936">
        <v>14</v>
      </c>
      <c r="E1936" t="s">
        <v>65</v>
      </c>
      <c r="F1936" t="s">
        <v>1590</v>
      </c>
      <c r="G1936">
        <v>3381</v>
      </c>
      <c r="H1936" t="s">
        <v>1992</v>
      </c>
      <c r="I1936" t="s">
        <v>1993</v>
      </c>
      <c r="J1936">
        <v>10</v>
      </c>
      <c r="K1936">
        <v>1</v>
      </c>
      <c r="L1936">
        <v>7.9861111111111105E-4</v>
      </c>
      <c r="M1936" t="s">
        <v>778</v>
      </c>
      <c r="N1936" t="s">
        <v>1337</v>
      </c>
      <c r="O1936" s="24">
        <v>46136</v>
      </c>
      <c r="P1936">
        <v>605</v>
      </c>
      <c r="Q1936" t="s">
        <v>34</v>
      </c>
      <c r="X1936" t="s">
        <v>3466</v>
      </c>
    </row>
    <row r="1937" spans="1:24" x14ac:dyDescent="0.25">
      <c r="A1937">
        <v>1933</v>
      </c>
      <c r="B1937" t="s">
        <v>28</v>
      </c>
      <c r="C1937" t="s">
        <v>25</v>
      </c>
      <c r="D1937">
        <v>14</v>
      </c>
      <c r="E1937" t="s">
        <v>65</v>
      </c>
      <c r="F1937" t="s">
        <v>1590</v>
      </c>
      <c r="G1937">
        <v>3381</v>
      </c>
      <c r="H1937" t="s">
        <v>1994</v>
      </c>
      <c r="I1937" t="s">
        <v>1995</v>
      </c>
      <c r="J1937">
        <v>10</v>
      </c>
      <c r="K1937">
        <v>3</v>
      </c>
      <c r="L1937">
        <v>2.4421296296296296E-3</v>
      </c>
      <c r="M1937" t="s">
        <v>778</v>
      </c>
      <c r="N1937" t="s">
        <v>1337</v>
      </c>
      <c r="O1937" s="24">
        <v>46136</v>
      </c>
      <c r="P1937">
        <v>605</v>
      </c>
      <c r="Q1937" t="s">
        <v>34</v>
      </c>
      <c r="X1937" t="s">
        <v>3466</v>
      </c>
    </row>
    <row r="1938" spans="1:24" x14ac:dyDescent="0.25">
      <c r="A1938">
        <v>1934</v>
      </c>
      <c r="B1938" t="s">
        <v>28</v>
      </c>
      <c r="C1938" t="s">
        <v>25</v>
      </c>
      <c r="D1938">
        <v>14</v>
      </c>
      <c r="E1938" t="s">
        <v>65</v>
      </c>
      <c r="F1938" t="s">
        <v>368</v>
      </c>
      <c r="G1938">
        <v>3381</v>
      </c>
      <c r="H1938" t="s">
        <v>1996</v>
      </c>
      <c r="I1938" t="s">
        <v>1997</v>
      </c>
      <c r="J1938">
        <v>10</v>
      </c>
      <c r="K1938">
        <v>4</v>
      </c>
      <c r="L1938">
        <v>1.736111111111111E-3</v>
      </c>
      <c r="M1938" t="s">
        <v>778</v>
      </c>
      <c r="N1938" t="s">
        <v>1337</v>
      </c>
      <c r="O1938" s="24">
        <v>46136</v>
      </c>
      <c r="P1938">
        <v>605</v>
      </c>
      <c r="Q1938" t="s">
        <v>34</v>
      </c>
      <c r="X1938" t="s">
        <v>3466</v>
      </c>
    </row>
    <row r="1939" spans="1:24" x14ac:dyDescent="0.25">
      <c r="A1939">
        <v>1935</v>
      </c>
      <c r="B1939" t="s">
        <v>28</v>
      </c>
      <c r="C1939" t="s">
        <v>25</v>
      </c>
      <c r="D1939">
        <v>14</v>
      </c>
      <c r="E1939" t="s">
        <v>1665</v>
      </c>
      <c r="F1939" t="s">
        <v>498</v>
      </c>
      <c r="G1939">
        <v>3382</v>
      </c>
      <c r="H1939" t="s">
        <v>1981</v>
      </c>
      <c r="I1939" t="s">
        <v>1978</v>
      </c>
      <c r="J1939">
        <v>10</v>
      </c>
      <c r="K1939">
        <v>13</v>
      </c>
      <c r="L1939">
        <v>8.8425925925925929E-3</v>
      </c>
      <c r="M1939" t="s">
        <v>778</v>
      </c>
      <c r="N1939" t="s">
        <v>1337</v>
      </c>
      <c r="O1939" s="24">
        <v>46136</v>
      </c>
      <c r="P1939">
        <v>605</v>
      </c>
      <c r="Q1939" t="s">
        <v>34</v>
      </c>
      <c r="X1939" t="s">
        <v>3467</v>
      </c>
    </row>
    <row r="1940" spans="1:24" x14ac:dyDescent="0.25">
      <c r="A1940">
        <v>1936</v>
      </c>
      <c r="B1940" t="s">
        <v>28</v>
      </c>
      <c r="C1940" t="s">
        <v>25</v>
      </c>
      <c r="D1940">
        <v>14</v>
      </c>
      <c r="E1940" t="s">
        <v>367</v>
      </c>
      <c r="F1940" t="s">
        <v>367</v>
      </c>
      <c r="G1940">
        <v>3382</v>
      </c>
      <c r="H1940" t="s">
        <v>1982</v>
      </c>
      <c r="I1940" t="s">
        <v>1983</v>
      </c>
      <c r="J1940">
        <v>10</v>
      </c>
      <c r="K1940">
        <v>5</v>
      </c>
      <c r="L1940">
        <v>1.0532407407407407E-3</v>
      </c>
      <c r="M1940" t="s">
        <v>778</v>
      </c>
      <c r="N1940" t="s">
        <v>1337</v>
      </c>
      <c r="O1940" s="24">
        <v>46136</v>
      </c>
      <c r="P1940">
        <v>605</v>
      </c>
      <c r="Q1940" t="s">
        <v>34</v>
      </c>
      <c r="X1940" t="s">
        <v>3467</v>
      </c>
    </row>
    <row r="1941" spans="1:24" x14ac:dyDescent="0.25">
      <c r="A1941">
        <v>1937</v>
      </c>
      <c r="B1941" t="s">
        <v>28</v>
      </c>
      <c r="C1941" t="s">
        <v>25</v>
      </c>
      <c r="D1941">
        <v>14</v>
      </c>
      <c r="E1941" t="s">
        <v>367</v>
      </c>
      <c r="F1941" t="s">
        <v>1593</v>
      </c>
      <c r="G1941">
        <v>3382</v>
      </c>
      <c r="H1941" t="s">
        <v>1999</v>
      </c>
      <c r="I1941" t="s">
        <v>2000</v>
      </c>
      <c r="J1941">
        <v>10</v>
      </c>
      <c r="K1941">
        <v>8</v>
      </c>
      <c r="L1941">
        <v>2.5578703703703701E-3</v>
      </c>
      <c r="M1941" t="s">
        <v>778</v>
      </c>
      <c r="N1941" t="s">
        <v>1337</v>
      </c>
      <c r="O1941" s="24">
        <v>46136</v>
      </c>
      <c r="P1941">
        <v>605</v>
      </c>
      <c r="Q1941" t="s">
        <v>34</v>
      </c>
      <c r="X1941" t="s">
        <v>3467</v>
      </c>
    </row>
    <row r="1942" spans="1:24" x14ac:dyDescent="0.25">
      <c r="A1942">
        <v>1938</v>
      </c>
      <c r="B1942" t="s">
        <v>28</v>
      </c>
      <c r="C1942" t="s">
        <v>25</v>
      </c>
      <c r="D1942">
        <v>14</v>
      </c>
      <c r="E1942" t="s">
        <v>367</v>
      </c>
      <c r="F1942" t="s">
        <v>1594</v>
      </c>
      <c r="G1942">
        <v>3382</v>
      </c>
      <c r="H1942" t="s">
        <v>2001</v>
      </c>
      <c r="I1942" t="s">
        <v>2002</v>
      </c>
      <c r="J1942">
        <v>10</v>
      </c>
      <c r="K1942">
        <v>1</v>
      </c>
      <c r="L1942">
        <v>1.2384259259259258E-3</v>
      </c>
      <c r="M1942" t="s">
        <v>778</v>
      </c>
      <c r="N1942" t="s">
        <v>1337</v>
      </c>
      <c r="O1942" s="24">
        <v>46136</v>
      </c>
      <c r="P1942">
        <v>605</v>
      </c>
      <c r="Q1942" t="s">
        <v>34</v>
      </c>
      <c r="X1942" t="s">
        <v>3467</v>
      </c>
    </row>
    <row r="1943" spans="1:24" x14ac:dyDescent="0.25">
      <c r="A1943">
        <v>1939</v>
      </c>
      <c r="B1943" t="s">
        <v>28</v>
      </c>
      <c r="C1943" t="s">
        <v>25</v>
      </c>
      <c r="D1943">
        <v>14</v>
      </c>
      <c r="E1943" t="s">
        <v>65</v>
      </c>
      <c r="F1943" t="s">
        <v>65</v>
      </c>
      <c r="G1943">
        <v>3382</v>
      </c>
      <c r="H1943" t="s">
        <v>2003</v>
      </c>
      <c r="I1943" t="s">
        <v>2004</v>
      </c>
      <c r="J1943">
        <v>10</v>
      </c>
      <c r="K1943">
        <v>8</v>
      </c>
      <c r="L1943">
        <v>4.3287037037037035E-3</v>
      </c>
      <c r="M1943" t="s">
        <v>778</v>
      </c>
      <c r="N1943" t="s">
        <v>1337</v>
      </c>
      <c r="O1943" s="24">
        <v>46136</v>
      </c>
      <c r="P1943">
        <v>605</v>
      </c>
      <c r="Q1943" t="s">
        <v>34</v>
      </c>
      <c r="X1943" t="s">
        <v>3467</v>
      </c>
    </row>
    <row r="1944" spans="1:24" x14ac:dyDescent="0.25">
      <c r="A1944">
        <v>1940</v>
      </c>
      <c r="B1944" t="s">
        <v>28</v>
      </c>
      <c r="C1944" t="s">
        <v>25</v>
      </c>
      <c r="D1944">
        <v>14</v>
      </c>
      <c r="E1944" t="s">
        <v>65</v>
      </c>
      <c r="F1944" t="s">
        <v>65</v>
      </c>
      <c r="G1944">
        <v>3382</v>
      </c>
      <c r="H1944" t="s">
        <v>2005</v>
      </c>
      <c r="I1944" t="s">
        <v>2006</v>
      </c>
      <c r="J1944">
        <v>10</v>
      </c>
      <c r="K1944">
        <v>7</v>
      </c>
      <c r="L1944">
        <v>3.2523148148148147E-3</v>
      </c>
      <c r="M1944" t="s">
        <v>778</v>
      </c>
      <c r="N1944" t="s">
        <v>1337</v>
      </c>
      <c r="O1944" s="24">
        <v>46136</v>
      </c>
      <c r="P1944">
        <v>605</v>
      </c>
      <c r="Q1944" t="s">
        <v>34</v>
      </c>
      <c r="X1944" t="s">
        <v>3467</v>
      </c>
    </row>
    <row r="1945" spans="1:24" x14ac:dyDescent="0.25">
      <c r="A1945">
        <v>1941</v>
      </c>
      <c r="B1945" t="s">
        <v>28</v>
      </c>
      <c r="C1945" t="s">
        <v>25</v>
      </c>
      <c r="D1945">
        <v>14</v>
      </c>
      <c r="E1945" t="s">
        <v>65</v>
      </c>
      <c r="F1945" t="s">
        <v>368</v>
      </c>
      <c r="G1945">
        <v>3382</v>
      </c>
      <c r="H1945" t="s">
        <v>2007</v>
      </c>
      <c r="I1945" t="s">
        <v>2008</v>
      </c>
      <c r="J1945">
        <v>10</v>
      </c>
      <c r="K1945">
        <v>13</v>
      </c>
      <c r="L1945">
        <v>1.361111111111111E-2</v>
      </c>
      <c r="M1945" t="s">
        <v>778</v>
      </c>
      <c r="N1945" t="s">
        <v>1337</v>
      </c>
      <c r="O1945" s="24">
        <v>46136</v>
      </c>
      <c r="P1945">
        <v>605</v>
      </c>
      <c r="Q1945" t="s">
        <v>34</v>
      </c>
      <c r="X1945" t="s">
        <v>3467</v>
      </c>
    </row>
    <row r="1946" spans="1:24" x14ac:dyDescent="0.25">
      <c r="A1946">
        <v>1942</v>
      </c>
      <c r="B1946" t="s">
        <v>28</v>
      </c>
      <c r="C1946" t="s">
        <v>25</v>
      </c>
      <c r="D1946">
        <v>14</v>
      </c>
      <c r="E1946" t="s">
        <v>65</v>
      </c>
      <c r="F1946" t="s">
        <v>368</v>
      </c>
      <c r="G1946">
        <v>3382</v>
      </c>
      <c r="H1946" t="s">
        <v>2009</v>
      </c>
      <c r="I1946" t="s">
        <v>2010</v>
      </c>
      <c r="J1946">
        <v>10</v>
      </c>
      <c r="K1946">
        <v>5</v>
      </c>
      <c r="L1946">
        <v>1.1331018518518518E-2</v>
      </c>
      <c r="M1946" t="s">
        <v>778</v>
      </c>
      <c r="N1946" t="s">
        <v>1337</v>
      </c>
      <c r="O1946" s="24">
        <v>46136</v>
      </c>
      <c r="P1946">
        <v>605</v>
      </c>
      <c r="Q1946" t="s">
        <v>34</v>
      </c>
      <c r="X1946" t="s">
        <v>3467</v>
      </c>
    </row>
    <row r="1947" spans="1:24" x14ac:dyDescent="0.25">
      <c r="A1947">
        <v>1943</v>
      </c>
      <c r="B1947" t="s">
        <v>28</v>
      </c>
      <c r="C1947" t="s">
        <v>25</v>
      </c>
      <c r="D1947">
        <v>14</v>
      </c>
      <c r="E1947" t="s">
        <v>1672</v>
      </c>
      <c r="F1947" t="s">
        <v>498</v>
      </c>
      <c r="G1947">
        <v>3383</v>
      </c>
      <c r="H1947" t="s">
        <v>1977</v>
      </c>
      <c r="I1947" t="s">
        <v>1978</v>
      </c>
      <c r="J1947">
        <v>10</v>
      </c>
      <c r="K1947">
        <v>8</v>
      </c>
      <c r="L1947">
        <v>3.472222222222222E-3</v>
      </c>
      <c r="M1947" t="s">
        <v>778</v>
      </c>
      <c r="N1947" t="s">
        <v>1337</v>
      </c>
      <c r="O1947" s="24">
        <v>46136</v>
      </c>
      <c r="P1947">
        <v>605</v>
      </c>
      <c r="Q1947" t="s">
        <v>34</v>
      </c>
      <c r="X1947" t="s">
        <v>3468</v>
      </c>
    </row>
    <row r="1948" spans="1:24" x14ac:dyDescent="0.25">
      <c r="A1948">
        <v>1944</v>
      </c>
      <c r="B1948" t="s">
        <v>28</v>
      </c>
      <c r="C1948" t="s">
        <v>25</v>
      </c>
      <c r="D1948">
        <v>14</v>
      </c>
      <c r="E1948" t="s">
        <v>1665</v>
      </c>
      <c r="F1948" t="s">
        <v>498</v>
      </c>
      <c r="G1948">
        <v>3383</v>
      </c>
      <c r="H1948" t="s">
        <v>1981</v>
      </c>
      <c r="I1948" t="s">
        <v>1978</v>
      </c>
      <c r="J1948">
        <v>10</v>
      </c>
      <c r="K1948">
        <v>17</v>
      </c>
      <c r="L1948">
        <v>0.01</v>
      </c>
      <c r="M1948" t="s">
        <v>778</v>
      </c>
      <c r="N1948" t="s">
        <v>1337</v>
      </c>
      <c r="O1948" s="24">
        <v>46136</v>
      </c>
      <c r="P1948">
        <v>605</v>
      </c>
      <c r="Q1948" t="s">
        <v>34</v>
      </c>
      <c r="X1948" t="s">
        <v>3468</v>
      </c>
    </row>
    <row r="1949" spans="1:24" x14ac:dyDescent="0.25">
      <c r="A1949">
        <v>1945</v>
      </c>
      <c r="B1949" t="s">
        <v>28</v>
      </c>
      <c r="C1949" t="s">
        <v>25</v>
      </c>
      <c r="D1949">
        <v>14</v>
      </c>
      <c r="E1949" t="s">
        <v>367</v>
      </c>
      <c r="F1949" t="s">
        <v>367</v>
      </c>
      <c r="G1949">
        <v>3383</v>
      </c>
      <c r="H1949" t="s">
        <v>1982</v>
      </c>
      <c r="I1949" t="s">
        <v>1983</v>
      </c>
      <c r="J1949">
        <v>10</v>
      </c>
      <c r="K1949">
        <v>55</v>
      </c>
      <c r="L1949">
        <v>1.0034722222222223E-2</v>
      </c>
      <c r="M1949" t="s">
        <v>778</v>
      </c>
      <c r="N1949" t="s">
        <v>1337</v>
      </c>
      <c r="O1949" s="24">
        <v>46136</v>
      </c>
      <c r="P1949">
        <v>605</v>
      </c>
      <c r="Q1949" t="s">
        <v>34</v>
      </c>
      <c r="X1949" t="s">
        <v>3468</v>
      </c>
    </row>
    <row r="1950" spans="1:24" x14ac:dyDescent="0.25">
      <c r="A1950">
        <v>1946</v>
      </c>
      <c r="B1950" t="s">
        <v>28</v>
      </c>
      <c r="C1950" t="s">
        <v>25</v>
      </c>
      <c r="D1950">
        <v>14</v>
      </c>
      <c r="E1950" t="s">
        <v>367</v>
      </c>
      <c r="F1950" t="s">
        <v>1593</v>
      </c>
      <c r="G1950">
        <v>3383</v>
      </c>
      <c r="H1950" t="s">
        <v>2012</v>
      </c>
      <c r="I1950" t="s">
        <v>2013</v>
      </c>
      <c r="J1950">
        <v>10</v>
      </c>
      <c r="K1950">
        <v>1</v>
      </c>
      <c r="L1950">
        <v>3.8194444444444441E-4</v>
      </c>
      <c r="M1950" t="s">
        <v>778</v>
      </c>
      <c r="N1950" t="s">
        <v>1337</v>
      </c>
      <c r="O1950" s="24">
        <v>46136</v>
      </c>
      <c r="P1950">
        <v>605</v>
      </c>
      <c r="Q1950" t="s">
        <v>34</v>
      </c>
      <c r="X1950" t="s">
        <v>3468</v>
      </c>
    </row>
    <row r="1951" spans="1:24" x14ac:dyDescent="0.25">
      <c r="A1951">
        <v>1947</v>
      </c>
      <c r="B1951" t="s">
        <v>28</v>
      </c>
      <c r="C1951" t="s">
        <v>25</v>
      </c>
      <c r="D1951">
        <v>14</v>
      </c>
      <c r="E1951" t="s">
        <v>65</v>
      </c>
      <c r="F1951" t="s">
        <v>368</v>
      </c>
      <c r="G1951">
        <v>3383</v>
      </c>
      <c r="H1951" t="s">
        <v>1984</v>
      </c>
      <c r="I1951" t="s">
        <v>1985</v>
      </c>
      <c r="J1951">
        <v>10</v>
      </c>
      <c r="K1951">
        <v>3</v>
      </c>
      <c r="L1951">
        <v>5.9259259259259256E-3</v>
      </c>
      <c r="M1951" t="s">
        <v>778</v>
      </c>
      <c r="N1951" t="s">
        <v>1337</v>
      </c>
      <c r="O1951" s="24">
        <v>46136</v>
      </c>
      <c r="P1951">
        <v>605</v>
      </c>
      <c r="Q1951" t="s">
        <v>34</v>
      </c>
      <c r="X1951" t="s">
        <v>3468</v>
      </c>
    </row>
    <row r="1952" spans="1:24" x14ac:dyDescent="0.25">
      <c r="A1952">
        <v>1948</v>
      </c>
      <c r="B1952" t="s">
        <v>28</v>
      </c>
      <c r="C1952" t="s">
        <v>25</v>
      </c>
      <c r="D1952">
        <v>14</v>
      </c>
      <c r="E1952" t="s">
        <v>65</v>
      </c>
      <c r="F1952" t="s">
        <v>368</v>
      </c>
      <c r="G1952">
        <v>3383</v>
      </c>
      <c r="H1952" t="s">
        <v>2014</v>
      </c>
      <c r="I1952" t="s">
        <v>2015</v>
      </c>
      <c r="J1952">
        <v>10</v>
      </c>
      <c r="K1952">
        <v>3</v>
      </c>
      <c r="L1952">
        <v>2.696759259259259E-3</v>
      </c>
      <c r="M1952" t="s">
        <v>778</v>
      </c>
      <c r="N1952" t="s">
        <v>1337</v>
      </c>
      <c r="O1952" s="24">
        <v>46136</v>
      </c>
      <c r="P1952">
        <v>605</v>
      </c>
      <c r="Q1952" t="s">
        <v>34</v>
      </c>
      <c r="X1952" t="s">
        <v>3468</v>
      </c>
    </row>
    <row r="1953" spans="1:24" x14ac:dyDescent="0.25">
      <c r="A1953">
        <v>1949</v>
      </c>
      <c r="B1953" t="s">
        <v>28</v>
      </c>
      <c r="C1953" t="s">
        <v>25</v>
      </c>
      <c r="D1953">
        <v>14</v>
      </c>
      <c r="E1953" t="s">
        <v>65</v>
      </c>
      <c r="F1953" t="s">
        <v>368</v>
      </c>
      <c r="G1953">
        <v>3383</v>
      </c>
      <c r="H1953" t="s">
        <v>2016</v>
      </c>
      <c r="I1953" t="s">
        <v>2017</v>
      </c>
      <c r="J1953">
        <v>10</v>
      </c>
      <c r="K1953">
        <v>4</v>
      </c>
      <c r="L1953">
        <v>6.4120370370370364E-3</v>
      </c>
      <c r="M1953" t="s">
        <v>778</v>
      </c>
      <c r="N1953" t="s">
        <v>1337</v>
      </c>
      <c r="O1953" s="24">
        <v>46136</v>
      </c>
      <c r="P1953">
        <v>605</v>
      </c>
      <c r="Q1953" t="s">
        <v>34</v>
      </c>
      <c r="X1953" t="s">
        <v>3468</v>
      </c>
    </row>
    <row r="1954" spans="1:24" x14ac:dyDescent="0.25">
      <c r="A1954">
        <v>1950</v>
      </c>
      <c r="B1954" t="s">
        <v>28</v>
      </c>
      <c r="C1954" t="s">
        <v>25</v>
      </c>
      <c r="D1954">
        <v>14</v>
      </c>
      <c r="E1954" t="s">
        <v>1672</v>
      </c>
      <c r="F1954" t="s">
        <v>498</v>
      </c>
      <c r="G1954">
        <v>3384</v>
      </c>
      <c r="H1954" t="s">
        <v>1977</v>
      </c>
      <c r="I1954" t="s">
        <v>1978</v>
      </c>
      <c r="J1954">
        <v>10</v>
      </c>
      <c r="K1954">
        <v>20</v>
      </c>
      <c r="L1954">
        <v>1.0092592592592592E-2</v>
      </c>
      <c r="M1954" t="s">
        <v>778</v>
      </c>
      <c r="N1954" t="s">
        <v>1337</v>
      </c>
      <c r="O1954" s="24">
        <v>46136</v>
      </c>
      <c r="P1954">
        <v>605</v>
      </c>
      <c r="Q1954" t="s">
        <v>34</v>
      </c>
      <c r="X1954" t="s">
        <v>3469</v>
      </c>
    </row>
    <row r="1955" spans="1:24" x14ac:dyDescent="0.25">
      <c r="A1955">
        <v>1951</v>
      </c>
      <c r="B1955" t="s">
        <v>28</v>
      </c>
      <c r="C1955" t="s">
        <v>25</v>
      </c>
      <c r="D1955">
        <v>14</v>
      </c>
      <c r="E1955" t="s">
        <v>367</v>
      </c>
      <c r="F1955" t="s">
        <v>367</v>
      </c>
      <c r="G1955">
        <v>3384</v>
      </c>
      <c r="H1955" t="s">
        <v>1982</v>
      </c>
      <c r="I1955" t="s">
        <v>1983</v>
      </c>
      <c r="J1955">
        <v>10</v>
      </c>
      <c r="K1955">
        <v>13</v>
      </c>
      <c r="L1955">
        <v>2.7546296296296294E-3</v>
      </c>
      <c r="M1955" t="s">
        <v>778</v>
      </c>
      <c r="N1955" t="s">
        <v>1337</v>
      </c>
      <c r="O1955" s="24">
        <v>46136</v>
      </c>
      <c r="P1955">
        <v>605</v>
      </c>
      <c r="Q1955" t="s">
        <v>34</v>
      </c>
      <c r="X1955" t="s">
        <v>3469</v>
      </c>
    </row>
    <row r="1956" spans="1:24" x14ac:dyDescent="0.25">
      <c r="A1956">
        <v>1952</v>
      </c>
      <c r="B1956" t="s">
        <v>28</v>
      </c>
      <c r="C1956" t="s">
        <v>25</v>
      </c>
      <c r="D1956">
        <v>14</v>
      </c>
      <c r="E1956" t="s">
        <v>65</v>
      </c>
      <c r="F1956" t="s">
        <v>368</v>
      </c>
      <c r="G1956">
        <v>3384</v>
      </c>
      <c r="H1956" t="s">
        <v>1984</v>
      </c>
      <c r="I1956" t="s">
        <v>1985</v>
      </c>
      <c r="J1956">
        <v>10</v>
      </c>
      <c r="K1956">
        <v>6</v>
      </c>
      <c r="L1956">
        <v>1.3796296296296296E-2</v>
      </c>
      <c r="M1956" t="s">
        <v>778</v>
      </c>
      <c r="N1956" t="s">
        <v>1337</v>
      </c>
      <c r="O1956" s="24">
        <v>46136</v>
      </c>
      <c r="P1956">
        <v>605</v>
      </c>
      <c r="Q1956" t="s">
        <v>34</v>
      </c>
      <c r="X1956" t="s">
        <v>3469</v>
      </c>
    </row>
    <row r="1957" spans="1:24" x14ac:dyDescent="0.25">
      <c r="A1957">
        <v>1953</v>
      </c>
      <c r="B1957" t="s">
        <v>28</v>
      </c>
      <c r="C1957" t="s">
        <v>25</v>
      </c>
      <c r="D1957">
        <v>14</v>
      </c>
      <c r="E1957" t="s">
        <v>65</v>
      </c>
      <c r="F1957" t="s">
        <v>65</v>
      </c>
      <c r="G1957">
        <v>3384</v>
      </c>
      <c r="H1957" t="s">
        <v>2005</v>
      </c>
      <c r="I1957" t="s">
        <v>2006</v>
      </c>
      <c r="J1957">
        <v>10</v>
      </c>
      <c r="K1957">
        <v>1</v>
      </c>
      <c r="L1957">
        <v>4.6296296296296293E-4</v>
      </c>
      <c r="M1957" t="s">
        <v>778</v>
      </c>
      <c r="N1957" t="s">
        <v>1337</v>
      </c>
      <c r="O1957" s="24">
        <v>46136</v>
      </c>
      <c r="P1957">
        <v>605</v>
      </c>
      <c r="Q1957" t="s">
        <v>34</v>
      </c>
      <c r="X1957" t="s">
        <v>3469</v>
      </c>
    </row>
    <row r="1958" spans="1:24" x14ac:dyDescent="0.25">
      <c r="A1958">
        <v>1954</v>
      </c>
      <c r="B1958" t="s">
        <v>28</v>
      </c>
      <c r="C1958" t="s">
        <v>25</v>
      </c>
      <c r="D1958">
        <v>14</v>
      </c>
      <c r="E1958" t="s">
        <v>65</v>
      </c>
      <c r="F1958" t="s">
        <v>368</v>
      </c>
      <c r="G1958">
        <v>3384</v>
      </c>
      <c r="H1958" t="s">
        <v>1986</v>
      </c>
      <c r="I1958" t="s">
        <v>1987</v>
      </c>
      <c r="J1958">
        <v>10</v>
      </c>
      <c r="K1958">
        <v>2</v>
      </c>
      <c r="L1958">
        <v>9.0277777777777774E-4</v>
      </c>
      <c r="M1958" t="s">
        <v>778</v>
      </c>
      <c r="N1958" t="s">
        <v>1337</v>
      </c>
      <c r="O1958" s="24">
        <v>46136</v>
      </c>
      <c r="P1958">
        <v>605</v>
      </c>
      <c r="Q1958" t="s">
        <v>34</v>
      </c>
      <c r="X1958" t="s">
        <v>3469</v>
      </c>
    </row>
    <row r="1959" spans="1:24" x14ac:dyDescent="0.25">
      <c r="A1959">
        <v>1955</v>
      </c>
      <c r="B1959" t="s">
        <v>28</v>
      </c>
      <c r="C1959" t="s">
        <v>25</v>
      </c>
      <c r="D1959">
        <v>14</v>
      </c>
      <c r="E1959" t="s">
        <v>65</v>
      </c>
      <c r="F1959" t="s">
        <v>368</v>
      </c>
      <c r="G1959">
        <v>3384</v>
      </c>
      <c r="H1959" t="s">
        <v>1988</v>
      </c>
      <c r="I1959" t="s">
        <v>1989</v>
      </c>
      <c r="J1959">
        <v>10</v>
      </c>
      <c r="K1959">
        <v>8</v>
      </c>
      <c r="L1959">
        <v>8.4374999999999988E-3</v>
      </c>
      <c r="M1959" t="s">
        <v>778</v>
      </c>
      <c r="N1959" t="s">
        <v>1337</v>
      </c>
      <c r="O1959" s="24">
        <v>46136</v>
      </c>
      <c r="P1959">
        <v>605</v>
      </c>
      <c r="Q1959" t="s">
        <v>34</v>
      </c>
      <c r="X1959" t="s">
        <v>3469</v>
      </c>
    </row>
    <row r="1960" spans="1:24" x14ac:dyDescent="0.25">
      <c r="A1960">
        <v>1956</v>
      </c>
      <c r="B1960" t="s">
        <v>28</v>
      </c>
      <c r="C1960" t="s">
        <v>25</v>
      </c>
      <c r="D1960">
        <v>14</v>
      </c>
      <c r="E1960" t="s">
        <v>65</v>
      </c>
      <c r="F1960" t="s">
        <v>65</v>
      </c>
      <c r="G1960">
        <v>3384</v>
      </c>
      <c r="H1960" t="s">
        <v>1990</v>
      </c>
      <c r="I1960" t="s">
        <v>1991</v>
      </c>
      <c r="J1960">
        <v>10</v>
      </c>
      <c r="K1960">
        <v>10</v>
      </c>
      <c r="L1960">
        <v>4.5486111111111109E-3</v>
      </c>
      <c r="M1960" t="s">
        <v>778</v>
      </c>
      <c r="N1960" t="s">
        <v>1337</v>
      </c>
      <c r="O1960" s="24">
        <v>46136</v>
      </c>
      <c r="P1960">
        <v>605</v>
      </c>
      <c r="Q1960" t="s">
        <v>34</v>
      </c>
      <c r="X1960" t="s">
        <v>3469</v>
      </c>
    </row>
    <row r="1961" spans="1:24" x14ac:dyDescent="0.25">
      <c r="A1961">
        <v>1957</v>
      </c>
      <c r="B1961" t="s">
        <v>28</v>
      </c>
      <c r="C1961" t="s">
        <v>25</v>
      </c>
      <c r="D1961">
        <v>14</v>
      </c>
      <c r="E1961" t="s">
        <v>1672</v>
      </c>
      <c r="F1961" t="s">
        <v>498</v>
      </c>
      <c r="G1961">
        <v>3385</v>
      </c>
      <c r="H1961" t="s">
        <v>1977</v>
      </c>
      <c r="I1961" t="s">
        <v>1978</v>
      </c>
      <c r="J1961">
        <v>10</v>
      </c>
      <c r="K1961">
        <v>1</v>
      </c>
      <c r="L1961">
        <v>6.0185185185185179E-4</v>
      </c>
      <c r="M1961" t="s">
        <v>778</v>
      </c>
      <c r="N1961" t="s">
        <v>1337</v>
      </c>
      <c r="O1961" s="24">
        <v>46136</v>
      </c>
      <c r="P1961">
        <v>605</v>
      </c>
      <c r="Q1961" t="s">
        <v>34</v>
      </c>
      <c r="X1961" t="s">
        <v>3470</v>
      </c>
    </row>
    <row r="1962" spans="1:24" x14ac:dyDescent="0.25">
      <c r="A1962">
        <v>1958</v>
      </c>
      <c r="B1962" t="s">
        <v>28</v>
      </c>
      <c r="C1962" t="s">
        <v>25</v>
      </c>
      <c r="D1962">
        <v>14</v>
      </c>
      <c r="E1962" t="s">
        <v>367</v>
      </c>
      <c r="F1962" t="s">
        <v>367</v>
      </c>
      <c r="G1962">
        <v>3385</v>
      </c>
      <c r="H1962" t="s">
        <v>1982</v>
      </c>
      <c r="I1962" t="s">
        <v>1983</v>
      </c>
      <c r="J1962">
        <v>10</v>
      </c>
      <c r="K1962">
        <v>6</v>
      </c>
      <c r="L1962">
        <v>1.5393518518518519E-3</v>
      </c>
      <c r="M1962" t="s">
        <v>778</v>
      </c>
      <c r="N1962" t="s">
        <v>1337</v>
      </c>
      <c r="O1962" s="24">
        <v>46136</v>
      </c>
      <c r="P1962">
        <v>605</v>
      </c>
      <c r="Q1962" t="s">
        <v>34</v>
      </c>
      <c r="X1962" t="s">
        <v>3470</v>
      </c>
    </row>
    <row r="1963" spans="1:24" x14ac:dyDescent="0.25">
      <c r="A1963">
        <v>1959</v>
      </c>
      <c r="B1963" t="s">
        <v>28</v>
      </c>
      <c r="C1963" t="s">
        <v>25</v>
      </c>
      <c r="D1963">
        <v>14</v>
      </c>
      <c r="E1963" t="s">
        <v>65</v>
      </c>
      <c r="F1963" t="s">
        <v>368</v>
      </c>
      <c r="G1963">
        <v>3385</v>
      </c>
      <c r="H1963" t="s">
        <v>2020</v>
      </c>
      <c r="I1963" t="s">
        <v>2021</v>
      </c>
      <c r="J1963">
        <v>10</v>
      </c>
      <c r="K1963">
        <v>8</v>
      </c>
      <c r="L1963">
        <v>1.0138888888888888E-2</v>
      </c>
      <c r="M1963" t="s">
        <v>778</v>
      </c>
      <c r="N1963" t="s">
        <v>1337</v>
      </c>
      <c r="O1963" s="24">
        <v>46136</v>
      </c>
      <c r="P1963">
        <v>605</v>
      </c>
      <c r="Q1963" t="s">
        <v>34</v>
      </c>
      <c r="X1963" t="s">
        <v>3470</v>
      </c>
    </row>
    <row r="1964" spans="1:24" x14ac:dyDescent="0.25">
      <c r="A1964">
        <v>1960</v>
      </c>
      <c r="B1964" t="s">
        <v>28</v>
      </c>
      <c r="C1964" t="s">
        <v>25</v>
      </c>
      <c r="D1964">
        <v>14</v>
      </c>
      <c r="E1964" t="s">
        <v>65</v>
      </c>
      <c r="F1964" t="s">
        <v>368</v>
      </c>
      <c r="G1964">
        <v>3385</v>
      </c>
      <c r="H1964" t="s">
        <v>2022</v>
      </c>
      <c r="I1964" t="s">
        <v>2023</v>
      </c>
      <c r="J1964">
        <v>10</v>
      </c>
      <c r="K1964">
        <v>4</v>
      </c>
      <c r="L1964">
        <v>9.0277777777777769E-3</v>
      </c>
      <c r="M1964" t="s">
        <v>778</v>
      </c>
      <c r="N1964" t="s">
        <v>1337</v>
      </c>
      <c r="O1964" s="24">
        <v>46136</v>
      </c>
      <c r="P1964">
        <v>605</v>
      </c>
      <c r="Q1964" t="s">
        <v>34</v>
      </c>
      <c r="X1964" t="s">
        <v>3470</v>
      </c>
    </row>
    <row r="1965" spans="1:24" x14ac:dyDescent="0.25">
      <c r="A1965">
        <v>1961</v>
      </c>
      <c r="B1965" t="s">
        <v>28</v>
      </c>
      <c r="C1965" t="s">
        <v>25</v>
      </c>
      <c r="D1965">
        <v>14</v>
      </c>
      <c r="E1965" t="s">
        <v>65</v>
      </c>
      <c r="F1965" t="s">
        <v>368</v>
      </c>
      <c r="G1965">
        <v>3385</v>
      </c>
      <c r="H1965" t="s">
        <v>2007</v>
      </c>
      <c r="I1965" t="s">
        <v>2008</v>
      </c>
      <c r="J1965">
        <v>10</v>
      </c>
      <c r="K1965">
        <v>8</v>
      </c>
      <c r="L1965">
        <v>1.0219907407407407E-2</v>
      </c>
      <c r="M1965" t="s">
        <v>778</v>
      </c>
      <c r="N1965" t="s">
        <v>1337</v>
      </c>
      <c r="O1965" s="24">
        <v>46136</v>
      </c>
      <c r="P1965">
        <v>605</v>
      </c>
      <c r="Q1965" t="s">
        <v>34</v>
      </c>
      <c r="X1965" t="s">
        <v>3470</v>
      </c>
    </row>
    <row r="1966" spans="1:24" x14ac:dyDescent="0.25">
      <c r="A1966">
        <v>1962</v>
      </c>
      <c r="B1966" t="s">
        <v>28</v>
      </c>
      <c r="C1966" t="s">
        <v>25</v>
      </c>
      <c r="D1966">
        <v>14</v>
      </c>
      <c r="E1966" t="s">
        <v>65</v>
      </c>
      <c r="F1966" t="s">
        <v>368</v>
      </c>
      <c r="G1966">
        <v>3385</v>
      </c>
      <c r="H1966" t="s">
        <v>2009</v>
      </c>
      <c r="I1966" t="s">
        <v>2010</v>
      </c>
      <c r="J1966">
        <v>10</v>
      </c>
      <c r="K1966">
        <v>12</v>
      </c>
      <c r="L1966">
        <v>3.3194444444444443E-2</v>
      </c>
      <c r="M1966" t="s">
        <v>778</v>
      </c>
      <c r="N1966" t="s">
        <v>1337</v>
      </c>
      <c r="O1966" s="24">
        <v>46136</v>
      </c>
      <c r="P1966">
        <v>605</v>
      </c>
      <c r="Q1966" t="s">
        <v>34</v>
      </c>
      <c r="X1966" t="s">
        <v>3470</v>
      </c>
    </row>
    <row r="1967" spans="1:24" x14ac:dyDescent="0.25">
      <c r="A1967">
        <v>1963</v>
      </c>
      <c r="B1967" t="s">
        <v>28</v>
      </c>
      <c r="C1967" t="s">
        <v>25</v>
      </c>
      <c r="D1967">
        <v>14</v>
      </c>
      <c r="E1967" t="s">
        <v>1672</v>
      </c>
      <c r="F1967" t="s">
        <v>498</v>
      </c>
      <c r="G1967">
        <v>3386</v>
      </c>
      <c r="H1967" t="s">
        <v>1977</v>
      </c>
      <c r="I1967" t="s">
        <v>1978</v>
      </c>
      <c r="J1967">
        <v>10</v>
      </c>
      <c r="K1967">
        <v>1</v>
      </c>
      <c r="L1967">
        <v>3.9351851851851852E-4</v>
      </c>
      <c r="M1967" t="s">
        <v>778</v>
      </c>
      <c r="N1967" t="s">
        <v>1337</v>
      </c>
      <c r="O1967" s="24">
        <v>46136</v>
      </c>
      <c r="P1967">
        <v>605</v>
      </c>
      <c r="Q1967" t="s">
        <v>34</v>
      </c>
      <c r="X1967" t="s">
        <v>3471</v>
      </c>
    </row>
    <row r="1968" spans="1:24" x14ac:dyDescent="0.25">
      <c r="A1968">
        <v>1964</v>
      </c>
      <c r="B1968" t="s">
        <v>28</v>
      </c>
      <c r="C1968" t="s">
        <v>25</v>
      </c>
      <c r="D1968">
        <v>14</v>
      </c>
      <c r="E1968" t="s">
        <v>367</v>
      </c>
      <c r="F1968" t="s">
        <v>367</v>
      </c>
      <c r="G1968">
        <v>3386</v>
      </c>
      <c r="H1968" t="s">
        <v>1982</v>
      </c>
      <c r="I1968" t="s">
        <v>1983</v>
      </c>
      <c r="J1968">
        <v>10</v>
      </c>
      <c r="K1968">
        <v>3</v>
      </c>
      <c r="L1968">
        <v>4.861111111111111E-4</v>
      </c>
      <c r="M1968" t="s">
        <v>778</v>
      </c>
      <c r="N1968" t="s">
        <v>1337</v>
      </c>
      <c r="O1968" s="24">
        <v>46136</v>
      </c>
      <c r="P1968">
        <v>605</v>
      </c>
      <c r="Q1968" t="s">
        <v>34</v>
      </c>
      <c r="X1968" t="s">
        <v>3471</v>
      </c>
    </row>
    <row r="1969" spans="1:24" x14ac:dyDescent="0.25">
      <c r="A1969">
        <v>1965</v>
      </c>
      <c r="B1969" t="s">
        <v>28</v>
      </c>
      <c r="C1969" t="s">
        <v>25</v>
      </c>
      <c r="D1969">
        <v>14</v>
      </c>
      <c r="E1969" t="s">
        <v>367</v>
      </c>
      <c r="F1969" t="s">
        <v>1593</v>
      </c>
      <c r="G1969">
        <v>3386</v>
      </c>
      <c r="H1969" t="s">
        <v>2012</v>
      </c>
      <c r="I1969" t="s">
        <v>2013</v>
      </c>
      <c r="J1969">
        <v>10</v>
      </c>
      <c r="K1969">
        <v>5</v>
      </c>
      <c r="L1969">
        <v>1.7592592592592592E-3</v>
      </c>
      <c r="M1969" t="s">
        <v>778</v>
      </c>
      <c r="N1969" t="s">
        <v>1337</v>
      </c>
      <c r="O1969" s="24">
        <v>46136</v>
      </c>
      <c r="P1969">
        <v>605</v>
      </c>
      <c r="Q1969" t="s">
        <v>34</v>
      </c>
      <c r="X1969" t="s">
        <v>3471</v>
      </c>
    </row>
    <row r="1970" spans="1:24" x14ac:dyDescent="0.25">
      <c r="A1970">
        <v>1966</v>
      </c>
      <c r="B1970" t="s">
        <v>28</v>
      </c>
      <c r="C1970" t="s">
        <v>25</v>
      </c>
      <c r="D1970">
        <v>14</v>
      </c>
      <c r="E1970" t="s">
        <v>65</v>
      </c>
      <c r="F1970" t="s">
        <v>368</v>
      </c>
      <c r="G1970">
        <v>3386</v>
      </c>
      <c r="H1970" t="s">
        <v>1984</v>
      </c>
      <c r="I1970" t="s">
        <v>1985</v>
      </c>
      <c r="J1970">
        <v>10</v>
      </c>
      <c r="K1970">
        <v>2</v>
      </c>
      <c r="L1970">
        <v>3.5763888888888889E-3</v>
      </c>
      <c r="M1970" t="s">
        <v>778</v>
      </c>
      <c r="N1970" t="s">
        <v>1337</v>
      </c>
      <c r="O1970" s="24">
        <v>46136</v>
      </c>
      <c r="P1970">
        <v>605</v>
      </c>
      <c r="Q1970" t="s">
        <v>34</v>
      </c>
      <c r="X1970" t="s">
        <v>3471</v>
      </c>
    </row>
    <row r="1971" spans="1:24" x14ac:dyDescent="0.25">
      <c r="A1971">
        <v>1967</v>
      </c>
      <c r="B1971" t="s">
        <v>28</v>
      </c>
      <c r="C1971" t="s">
        <v>25</v>
      </c>
      <c r="D1971">
        <v>14</v>
      </c>
      <c r="E1971" t="s">
        <v>65</v>
      </c>
      <c r="F1971" t="s">
        <v>65</v>
      </c>
      <c r="G1971">
        <v>3386</v>
      </c>
      <c r="H1971" t="s">
        <v>2005</v>
      </c>
      <c r="I1971" t="s">
        <v>2006</v>
      </c>
      <c r="J1971">
        <v>10</v>
      </c>
      <c r="K1971">
        <v>13</v>
      </c>
      <c r="L1971">
        <v>4.7337962962962958E-3</v>
      </c>
      <c r="M1971" t="s">
        <v>778</v>
      </c>
      <c r="N1971" t="s">
        <v>1337</v>
      </c>
      <c r="O1971" s="24">
        <v>46136</v>
      </c>
      <c r="P1971">
        <v>605</v>
      </c>
      <c r="Q1971" t="s">
        <v>34</v>
      </c>
      <c r="X1971" t="s">
        <v>3471</v>
      </c>
    </row>
    <row r="1972" spans="1:24" x14ac:dyDescent="0.25">
      <c r="A1972">
        <v>1968</v>
      </c>
      <c r="B1972" t="s">
        <v>28</v>
      </c>
      <c r="C1972" t="s">
        <v>25</v>
      </c>
      <c r="D1972">
        <v>14</v>
      </c>
      <c r="E1972" t="s">
        <v>65</v>
      </c>
      <c r="F1972" t="s">
        <v>368</v>
      </c>
      <c r="G1972">
        <v>3386</v>
      </c>
      <c r="H1972" t="s">
        <v>1986</v>
      </c>
      <c r="I1972" t="s">
        <v>1987</v>
      </c>
      <c r="J1972">
        <v>10</v>
      </c>
      <c r="K1972">
        <v>4</v>
      </c>
      <c r="L1972">
        <v>1.4120370370370369E-3</v>
      </c>
      <c r="M1972" t="s">
        <v>778</v>
      </c>
      <c r="N1972" t="s">
        <v>1337</v>
      </c>
      <c r="O1972" s="24">
        <v>46136</v>
      </c>
      <c r="P1972">
        <v>605</v>
      </c>
      <c r="Q1972" t="s">
        <v>34</v>
      </c>
      <c r="X1972" t="s">
        <v>3471</v>
      </c>
    </row>
    <row r="1973" spans="1:24" x14ac:dyDescent="0.25">
      <c r="A1973">
        <v>1969</v>
      </c>
      <c r="B1973" t="s">
        <v>28</v>
      </c>
      <c r="C1973" t="s">
        <v>25</v>
      </c>
      <c r="D1973">
        <v>14</v>
      </c>
      <c r="E1973" t="s">
        <v>65</v>
      </c>
      <c r="F1973" t="s">
        <v>368</v>
      </c>
      <c r="G1973">
        <v>3386</v>
      </c>
      <c r="H1973" t="s">
        <v>1988</v>
      </c>
      <c r="I1973" t="s">
        <v>1989</v>
      </c>
      <c r="J1973">
        <v>10</v>
      </c>
      <c r="K1973">
        <v>2</v>
      </c>
      <c r="L1973">
        <v>1.6435185185185185E-3</v>
      </c>
      <c r="M1973" t="s">
        <v>778</v>
      </c>
      <c r="N1973" t="s">
        <v>1337</v>
      </c>
      <c r="O1973" s="24">
        <v>46136</v>
      </c>
      <c r="P1973">
        <v>605</v>
      </c>
      <c r="Q1973" t="s">
        <v>34</v>
      </c>
      <c r="X1973" t="s">
        <v>3471</v>
      </c>
    </row>
    <row r="1974" spans="1:24" x14ac:dyDescent="0.25">
      <c r="A1974">
        <v>1970</v>
      </c>
      <c r="B1974" t="s">
        <v>28</v>
      </c>
      <c r="C1974" t="s">
        <v>25</v>
      </c>
      <c r="D1974">
        <v>14</v>
      </c>
      <c r="E1974" t="s">
        <v>65</v>
      </c>
      <c r="F1974" t="s">
        <v>65</v>
      </c>
      <c r="G1974">
        <v>3386</v>
      </c>
      <c r="H1974" t="s">
        <v>1990</v>
      </c>
      <c r="I1974" t="s">
        <v>1991</v>
      </c>
      <c r="J1974">
        <v>10</v>
      </c>
      <c r="K1974">
        <v>2</v>
      </c>
      <c r="L1974">
        <v>7.0601851851851847E-4</v>
      </c>
      <c r="M1974" t="s">
        <v>778</v>
      </c>
      <c r="N1974" t="s">
        <v>1337</v>
      </c>
      <c r="O1974" s="24">
        <v>46136</v>
      </c>
      <c r="P1974">
        <v>605</v>
      </c>
      <c r="Q1974" t="s">
        <v>34</v>
      </c>
      <c r="X1974" t="s">
        <v>3471</v>
      </c>
    </row>
    <row r="1975" spans="1:24" x14ac:dyDescent="0.25">
      <c r="A1975">
        <v>1971</v>
      </c>
      <c r="B1975" t="s">
        <v>28</v>
      </c>
      <c r="C1975" t="s">
        <v>25</v>
      </c>
      <c r="D1975">
        <v>14</v>
      </c>
      <c r="E1975" t="s">
        <v>65</v>
      </c>
      <c r="F1975" t="s">
        <v>1590</v>
      </c>
      <c r="G1975">
        <v>3386</v>
      </c>
      <c r="H1975" t="s">
        <v>1992</v>
      </c>
      <c r="I1975" t="s">
        <v>1993</v>
      </c>
      <c r="J1975">
        <v>10</v>
      </c>
      <c r="K1975">
        <v>7</v>
      </c>
      <c r="L1975">
        <v>4.0625000000000001E-3</v>
      </c>
      <c r="M1975" t="s">
        <v>778</v>
      </c>
      <c r="N1975" t="s">
        <v>1337</v>
      </c>
      <c r="O1975" s="24">
        <v>46136</v>
      </c>
      <c r="P1975">
        <v>605</v>
      </c>
      <c r="Q1975" t="s">
        <v>34</v>
      </c>
      <c r="X1975" t="s">
        <v>3471</v>
      </c>
    </row>
    <row r="1976" spans="1:24" x14ac:dyDescent="0.25">
      <c r="A1976">
        <v>1972</v>
      </c>
      <c r="B1976" t="s">
        <v>28</v>
      </c>
      <c r="C1976" t="s">
        <v>25</v>
      </c>
      <c r="D1976">
        <v>14</v>
      </c>
      <c r="E1976" t="s">
        <v>65</v>
      </c>
      <c r="F1976" t="s">
        <v>1590</v>
      </c>
      <c r="G1976">
        <v>3386</v>
      </c>
      <c r="H1976" t="s">
        <v>1994</v>
      </c>
      <c r="I1976" t="s">
        <v>1995</v>
      </c>
      <c r="J1976">
        <v>10</v>
      </c>
      <c r="K1976">
        <v>3</v>
      </c>
      <c r="L1976">
        <v>1.7592592592592592E-3</v>
      </c>
      <c r="M1976" t="s">
        <v>778</v>
      </c>
      <c r="N1976" t="s">
        <v>1337</v>
      </c>
      <c r="O1976" s="24">
        <v>46136</v>
      </c>
      <c r="P1976">
        <v>605</v>
      </c>
      <c r="Q1976" t="s">
        <v>34</v>
      </c>
      <c r="X1976" t="s">
        <v>3471</v>
      </c>
    </row>
    <row r="1977" spans="1:24" x14ac:dyDescent="0.25">
      <c r="A1977">
        <v>1973</v>
      </c>
      <c r="B1977" t="s">
        <v>28</v>
      </c>
      <c r="C1977" t="s">
        <v>25</v>
      </c>
      <c r="D1977">
        <v>14</v>
      </c>
      <c r="E1977" t="s">
        <v>65</v>
      </c>
      <c r="F1977" t="s">
        <v>1591</v>
      </c>
      <c r="G1977">
        <v>3386</v>
      </c>
      <c r="H1977" t="s">
        <v>2025</v>
      </c>
      <c r="I1977" t="s">
        <v>1993</v>
      </c>
      <c r="J1977">
        <v>10</v>
      </c>
      <c r="K1977">
        <v>2</v>
      </c>
      <c r="L1977">
        <v>1.1574074074074073E-3</v>
      </c>
      <c r="M1977" t="s">
        <v>778</v>
      </c>
      <c r="N1977" t="s">
        <v>1337</v>
      </c>
      <c r="O1977" s="24">
        <v>46136</v>
      </c>
      <c r="P1977">
        <v>605</v>
      </c>
      <c r="Q1977" t="s">
        <v>34</v>
      </c>
      <c r="X1977" t="s">
        <v>3471</v>
      </c>
    </row>
    <row r="1978" spans="1:24" x14ac:dyDescent="0.25">
      <c r="A1978">
        <v>1974</v>
      </c>
      <c r="B1978" t="s">
        <v>28</v>
      </c>
      <c r="C1978" t="s">
        <v>25</v>
      </c>
      <c r="D1978">
        <v>14</v>
      </c>
      <c r="E1978" t="s">
        <v>65</v>
      </c>
      <c r="F1978" t="s">
        <v>66</v>
      </c>
      <c r="G1978">
        <v>3386</v>
      </c>
      <c r="H1978" t="s">
        <v>2026</v>
      </c>
      <c r="I1978" t="s">
        <v>2027</v>
      </c>
      <c r="J1978">
        <v>10</v>
      </c>
      <c r="K1978">
        <v>1</v>
      </c>
      <c r="L1978">
        <v>1.2037037037037036E-3</v>
      </c>
      <c r="M1978" t="s">
        <v>778</v>
      </c>
      <c r="N1978" t="s">
        <v>1337</v>
      </c>
      <c r="O1978" s="24">
        <v>46136</v>
      </c>
      <c r="P1978">
        <v>605</v>
      </c>
      <c r="Q1978" t="s">
        <v>34</v>
      </c>
      <c r="X1978" t="s">
        <v>3471</v>
      </c>
    </row>
    <row r="1979" spans="1:24" x14ac:dyDescent="0.25">
      <c r="A1979">
        <v>1975</v>
      </c>
      <c r="B1979" t="s">
        <v>28</v>
      </c>
      <c r="C1979" t="s">
        <v>25</v>
      </c>
      <c r="D1979">
        <v>14</v>
      </c>
      <c r="E1979" t="s">
        <v>65</v>
      </c>
      <c r="F1979" t="s">
        <v>66</v>
      </c>
      <c r="G1979">
        <v>3386</v>
      </c>
      <c r="H1979" t="s">
        <v>2028</v>
      </c>
      <c r="I1979" t="s">
        <v>2029</v>
      </c>
      <c r="J1979">
        <v>10</v>
      </c>
      <c r="K1979">
        <v>1</v>
      </c>
      <c r="L1979">
        <v>2.0833333333333333E-3</v>
      </c>
      <c r="M1979" t="s">
        <v>778</v>
      </c>
      <c r="N1979" t="s">
        <v>1337</v>
      </c>
      <c r="O1979" s="24">
        <v>46136</v>
      </c>
      <c r="P1979">
        <v>605</v>
      </c>
      <c r="Q1979" t="s">
        <v>34</v>
      </c>
      <c r="X1979" t="s">
        <v>3471</v>
      </c>
    </row>
    <row r="1980" spans="1:24" x14ac:dyDescent="0.25">
      <c r="A1980">
        <v>1976</v>
      </c>
      <c r="B1980" t="s">
        <v>28</v>
      </c>
      <c r="C1980" t="s">
        <v>25</v>
      </c>
      <c r="D1980">
        <v>14</v>
      </c>
      <c r="E1980" t="s">
        <v>65</v>
      </c>
      <c r="F1980" t="s">
        <v>368</v>
      </c>
      <c r="G1980">
        <v>3386</v>
      </c>
      <c r="H1980" t="s">
        <v>1996</v>
      </c>
      <c r="I1980" t="s">
        <v>1997</v>
      </c>
      <c r="J1980">
        <v>10</v>
      </c>
      <c r="K1980">
        <v>3</v>
      </c>
      <c r="L1980">
        <v>9.3749999999999997E-4</v>
      </c>
      <c r="M1980" t="s">
        <v>778</v>
      </c>
      <c r="N1980" t="s">
        <v>1337</v>
      </c>
      <c r="O1980" s="24">
        <v>46136</v>
      </c>
      <c r="P1980">
        <v>605</v>
      </c>
      <c r="Q1980" t="s">
        <v>34</v>
      </c>
      <c r="X1980" t="s">
        <v>3471</v>
      </c>
    </row>
    <row r="1981" spans="1:24" x14ac:dyDescent="0.25">
      <c r="A1981">
        <v>1977</v>
      </c>
      <c r="B1981" t="s">
        <v>28</v>
      </c>
      <c r="C1981" t="s">
        <v>25</v>
      </c>
      <c r="D1981">
        <v>14</v>
      </c>
      <c r="E1981" t="s">
        <v>65</v>
      </c>
      <c r="F1981" t="s">
        <v>512</v>
      </c>
      <c r="G1981">
        <v>3386</v>
      </c>
      <c r="H1981" t="s">
        <v>2030</v>
      </c>
      <c r="I1981" t="s">
        <v>1993</v>
      </c>
      <c r="J1981">
        <v>10</v>
      </c>
      <c r="K1981">
        <v>2</v>
      </c>
      <c r="L1981">
        <v>1.1574074074074073E-3</v>
      </c>
      <c r="M1981" t="s">
        <v>778</v>
      </c>
      <c r="N1981" t="s">
        <v>1337</v>
      </c>
      <c r="O1981" s="24">
        <v>46136</v>
      </c>
      <c r="P1981">
        <v>605</v>
      </c>
      <c r="Q1981" t="s">
        <v>34</v>
      </c>
      <c r="X1981" t="s">
        <v>3471</v>
      </c>
    </row>
    <row r="1982" spans="1:24" x14ac:dyDescent="0.25">
      <c r="A1982">
        <v>1978</v>
      </c>
      <c r="B1982" t="s">
        <v>28</v>
      </c>
      <c r="C1982" t="s">
        <v>25</v>
      </c>
      <c r="D1982">
        <v>14</v>
      </c>
      <c r="E1982" t="s">
        <v>511</v>
      </c>
      <c r="F1982" t="s">
        <v>511</v>
      </c>
      <c r="G1982">
        <v>3378</v>
      </c>
      <c r="H1982" t="s">
        <v>2031</v>
      </c>
      <c r="I1982" t="s">
        <v>1976</v>
      </c>
      <c r="J1982">
        <v>12</v>
      </c>
      <c r="K1982">
        <v>1</v>
      </c>
      <c r="L1982">
        <v>3.6689814814814814E-3</v>
      </c>
      <c r="M1982" t="s">
        <v>778</v>
      </c>
      <c r="N1982" t="s">
        <v>1316</v>
      </c>
      <c r="O1982" s="24">
        <v>46132</v>
      </c>
      <c r="P1982">
        <v>606</v>
      </c>
      <c r="Q1982" t="s">
        <v>34</v>
      </c>
      <c r="X1982" t="s">
        <v>3472</v>
      </c>
    </row>
    <row r="1983" spans="1:24" x14ac:dyDescent="0.25">
      <c r="A1983">
        <v>1979</v>
      </c>
      <c r="B1983" t="s">
        <v>28</v>
      </c>
      <c r="C1983" t="s">
        <v>25</v>
      </c>
      <c r="D1983">
        <v>14</v>
      </c>
      <c r="E1983" t="s">
        <v>511</v>
      </c>
      <c r="F1983" t="s">
        <v>512</v>
      </c>
      <c r="G1983">
        <v>3378</v>
      </c>
      <c r="H1983" t="s">
        <v>2033</v>
      </c>
      <c r="I1983" t="s">
        <v>1962</v>
      </c>
      <c r="J1983">
        <v>12</v>
      </c>
      <c r="K1983">
        <v>3</v>
      </c>
      <c r="L1983">
        <v>5.0115740740740737E-3</v>
      </c>
      <c r="M1983" t="s">
        <v>778</v>
      </c>
      <c r="N1983" t="s">
        <v>1316</v>
      </c>
      <c r="O1983" s="24">
        <v>46132</v>
      </c>
      <c r="P1983">
        <v>606</v>
      </c>
      <c r="Q1983" t="s">
        <v>34</v>
      </c>
      <c r="X1983" t="s">
        <v>3472</v>
      </c>
    </row>
    <row r="1984" spans="1:24" x14ac:dyDescent="0.25">
      <c r="A1984">
        <v>1980</v>
      </c>
      <c r="B1984" t="s">
        <v>28</v>
      </c>
      <c r="C1984" t="s">
        <v>25</v>
      </c>
      <c r="D1984">
        <v>14</v>
      </c>
      <c r="E1984" t="s">
        <v>1665</v>
      </c>
      <c r="F1984" t="s">
        <v>512</v>
      </c>
      <c r="G1984">
        <v>3378</v>
      </c>
      <c r="H1984" t="s">
        <v>2034</v>
      </c>
      <c r="I1984" t="s">
        <v>1897</v>
      </c>
      <c r="J1984">
        <v>12</v>
      </c>
      <c r="K1984">
        <v>1</v>
      </c>
      <c r="L1984">
        <v>6.134259259259259E-4</v>
      </c>
      <c r="M1984" t="s">
        <v>778</v>
      </c>
      <c r="N1984" t="s">
        <v>1316</v>
      </c>
      <c r="O1984" s="24">
        <v>46132</v>
      </c>
      <c r="P1984">
        <v>606</v>
      </c>
      <c r="Q1984" t="s">
        <v>34</v>
      </c>
      <c r="X1984" t="s">
        <v>3472</v>
      </c>
    </row>
    <row r="1985" spans="1:24" x14ac:dyDescent="0.25">
      <c r="A1985">
        <v>1981</v>
      </c>
      <c r="B1985" t="s">
        <v>28</v>
      </c>
      <c r="C1985" t="s">
        <v>25</v>
      </c>
      <c r="D1985">
        <v>14</v>
      </c>
      <c r="E1985" t="s">
        <v>1588</v>
      </c>
      <c r="F1985" t="s">
        <v>512</v>
      </c>
      <c r="G1985">
        <v>3378</v>
      </c>
      <c r="H1985" t="s">
        <v>1968</v>
      </c>
      <c r="I1985" t="s">
        <v>1954</v>
      </c>
      <c r="J1985">
        <v>12</v>
      </c>
      <c r="K1985">
        <v>2</v>
      </c>
      <c r="L1985">
        <v>3.0439814814814813E-3</v>
      </c>
      <c r="M1985" t="s">
        <v>778</v>
      </c>
      <c r="N1985" t="s">
        <v>1316</v>
      </c>
      <c r="O1985" s="24">
        <v>46132</v>
      </c>
      <c r="P1985">
        <v>606</v>
      </c>
      <c r="Q1985" t="s">
        <v>34</v>
      </c>
      <c r="X1985" t="s">
        <v>3472</v>
      </c>
    </row>
    <row r="1986" spans="1:24" x14ac:dyDescent="0.25">
      <c r="A1986">
        <v>1982</v>
      </c>
      <c r="B1986" t="s">
        <v>28</v>
      </c>
      <c r="C1986" t="s">
        <v>25</v>
      </c>
      <c r="D1986">
        <v>14</v>
      </c>
      <c r="E1986" t="s">
        <v>367</v>
      </c>
      <c r="F1986" t="s">
        <v>367</v>
      </c>
      <c r="G1986">
        <v>3378</v>
      </c>
      <c r="H1986" t="s">
        <v>1814</v>
      </c>
      <c r="I1986" t="s">
        <v>1815</v>
      </c>
      <c r="J1986">
        <v>12</v>
      </c>
      <c r="K1986">
        <v>1</v>
      </c>
      <c r="L1986">
        <v>8.9120370370370362E-4</v>
      </c>
      <c r="M1986" t="s">
        <v>778</v>
      </c>
      <c r="N1986" t="s">
        <v>1316</v>
      </c>
      <c r="O1986" s="24">
        <v>46132</v>
      </c>
      <c r="P1986">
        <v>606</v>
      </c>
      <c r="Q1986" t="s">
        <v>34</v>
      </c>
      <c r="X1986" t="s">
        <v>3472</v>
      </c>
    </row>
    <row r="1987" spans="1:24" x14ac:dyDescent="0.25">
      <c r="A1987">
        <v>1983</v>
      </c>
      <c r="B1987" t="s">
        <v>28</v>
      </c>
      <c r="C1987" t="s">
        <v>25</v>
      </c>
      <c r="D1987">
        <v>14</v>
      </c>
      <c r="E1987" t="s">
        <v>367</v>
      </c>
      <c r="F1987" t="s">
        <v>512</v>
      </c>
      <c r="G1987">
        <v>3378</v>
      </c>
      <c r="H1987" t="s">
        <v>2035</v>
      </c>
      <c r="I1987" t="s">
        <v>2036</v>
      </c>
      <c r="J1987">
        <v>12</v>
      </c>
      <c r="K1987">
        <v>1</v>
      </c>
      <c r="L1987">
        <v>4.7453703703703704E-4</v>
      </c>
      <c r="M1987" t="s">
        <v>778</v>
      </c>
      <c r="N1987" t="s">
        <v>1316</v>
      </c>
      <c r="O1987" s="24">
        <v>46132</v>
      </c>
      <c r="P1987">
        <v>606</v>
      </c>
      <c r="Q1987" t="s">
        <v>34</v>
      </c>
      <c r="X1987" t="s">
        <v>3472</v>
      </c>
    </row>
    <row r="1988" spans="1:24" x14ac:dyDescent="0.25">
      <c r="A1988">
        <v>1984</v>
      </c>
      <c r="B1988" t="s">
        <v>28</v>
      </c>
      <c r="C1988" t="s">
        <v>25</v>
      </c>
      <c r="D1988">
        <v>14</v>
      </c>
      <c r="E1988" t="s">
        <v>65</v>
      </c>
      <c r="F1988" t="s">
        <v>1589</v>
      </c>
      <c r="G1988">
        <v>3378</v>
      </c>
      <c r="H1988" t="s">
        <v>2037</v>
      </c>
      <c r="I1988" t="s">
        <v>1815</v>
      </c>
      <c r="J1988">
        <v>12</v>
      </c>
      <c r="K1988">
        <v>4</v>
      </c>
      <c r="L1988">
        <v>4.8263888888888887E-3</v>
      </c>
      <c r="M1988" t="s">
        <v>778</v>
      </c>
      <c r="N1988" t="s">
        <v>1316</v>
      </c>
      <c r="O1988" s="24">
        <v>46132</v>
      </c>
      <c r="P1988">
        <v>606</v>
      </c>
      <c r="Q1988" t="s">
        <v>34</v>
      </c>
      <c r="X1988" t="s">
        <v>3472</v>
      </c>
    </row>
    <row r="1989" spans="1:24" x14ac:dyDescent="0.25">
      <c r="A1989">
        <v>1985</v>
      </c>
      <c r="B1989" t="s">
        <v>28</v>
      </c>
      <c r="C1989" t="s">
        <v>25</v>
      </c>
      <c r="D1989">
        <v>14</v>
      </c>
      <c r="E1989" t="s">
        <v>65</v>
      </c>
      <c r="F1989" t="s">
        <v>1591</v>
      </c>
      <c r="G1989">
        <v>3378</v>
      </c>
      <c r="H1989" t="s">
        <v>1816</v>
      </c>
      <c r="I1989" t="s">
        <v>1815</v>
      </c>
      <c r="J1989">
        <v>12</v>
      </c>
      <c r="K1989">
        <v>1</v>
      </c>
      <c r="L1989">
        <v>1.0879629629629629E-3</v>
      </c>
      <c r="M1989" t="s">
        <v>778</v>
      </c>
      <c r="N1989" t="s">
        <v>1316</v>
      </c>
      <c r="O1989" s="24">
        <v>46132</v>
      </c>
      <c r="P1989">
        <v>606</v>
      </c>
      <c r="Q1989" t="s">
        <v>34</v>
      </c>
      <c r="X1989" t="s">
        <v>3472</v>
      </c>
    </row>
    <row r="1990" spans="1:24" x14ac:dyDescent="0.25">
      <c r="A1990">
        <v>1986</v>
      </c>
      <c r="B1990" t="s">
        <v>28</v>
      </c>
      <c r="C1990" t="s">
        <v>25</v>
      </c>
      <c r="D1990">
        <v>14</v>
      </c>
      <c r="E1990" t="s">
        <v>511</v>
      </c>
      <c r="F1990" t="s">
        <v>512</v>
      </c>
      <c r="G1990">
        <v>3379</v>
      </c>
      <c r="H1990" t="s">
        <v>2033</v>
      </c>
      <c r="I1990" t="s">
        <v>1962</v>
      </c>
      <c r="J1990">
        <v>12</v>
      </c>
      <c r="K1990">
        <v>5</v>
      </c>
      <c r="L1990">
        <v>7.905092592592592E-3</v>
      </c>
      <c r="M1990" t="s">
        <v>778</v>
      </c>
      <c r="N1990" t="s">
        <v>1316</v>
      </c>
      <c r="O1990" s="24">
        <v>46132</v>
      </c>
      <c r="P1990">
        <v>606</v>
      </c>
      <c r="Q1990" t="s">
        <v>34</v>
      </c>
      <c r="X1990" t="s">
        <v>3473</v>
      </c>
    </row>
    <row r="1991" spans="1:24" x14ac:dyDescent="0.25">
      <c r="A1991">
        <v>1987</v>
      </c>
      <c r="B1991" t="s">
        <v>28</v>
      </c>
      <c r="C1991" t="s">
        <v>25</v>
      </c>
      <c r="D1991">
        <v>14</v>
      </c>
      <c r="E1991" t="s">
        <v>1588</v>
      </c>
      <c r="F1991" t="s">
        <v>512</v>
      </c>
      <c r="G1991">
        <v>3379</v>
      </c>
      <c r="H1991" t="s">
        <v>1953</v>
      </c>
      <c r="I1991" t="s">
        <v>1954</v>
      </c>
      <c r="J1991">
        <v>12</v>
      </c>
      <c r="K1991">
        <v>1</v>
      </c>
      <c r="L1991">
        <v>1.6782407407407408E-3</v>
      </c>
      <c r="M1991" t="s">
        <v>778</v>
      </c>
      <c r="N1991" t="s">
        <v>1316</v>
      </c>
      <c r="O1991" s="24">
        <v>46132</v>
      </c>
      <c r="P1991">
        <v>606</v>
      </c>
      <c r="Q1991" t="s">
        <v>34</v>
      </c>
      <c r="X1991" t="s">
        <v>3473</v>
      </c>
    </row>
    <row r="1992" spans="1:24" x14ac:dyDescent="0.25">
      <c r="A1992">
        <v>1988</v>
      </c>
      <c r="B1992" t="s">
        <v>28</v>
      </c>
      <c r="C1992" t="s">
        <v>25</v>
      </c>
      <c r="D1992">
        <v>14</v>
      </c>
      <c r="E1992" t="s">
        <v>1588</v>
      </c>
      <c r="F1992" t="s">
        <v>512</v>
      </c>
      <c r="G1992">
        <v>3379</v>
      </c>
      <c r="H1992" t="s">
        <v>1968</v>
      </c>
      <c r="I1992" t="s">
        <v>1954</v>
      </c>
      <c r="J1992">
        <v>12</v>
      </c>
      <c r="K1992">
        <v>1</v>
      </c>
      <c r="L1992">
        <v>1.4351851851851852E-3</v>
      </c>
      <c r="M1992" t="s">
        <v>778</v>
      </c>
      <c r="N1992" t="s">
        <v>1316</v>
      </c>
      <c r="O1992" s="24">
        <v>46132</v>
      </c>
      <c r="P1992">
        <v>606</v>
      </c>
      <c r="Q1992" t="s">
        <v>34</v>
      </c>
      <c r="X1992" t="s">
        <v>3473</v>
      </c>
    </row>
    <row r="1993" spans="1:24" x14ac:dyDescent="0.25">
      <c r="A1993">
        <v>1989</v>
      </c>
      <c r="B1993" t="s">
        <v>28</v>
      </c>
      <c r="C1993" t="s">
        <v>25</v>
      </c>
      <c r="D1993">
        <v>14</v>
      </c>
      <c r="E1993" t="s">
        <v>511</v>
      </c>
      <c r="F1993" t="s">
        <v>512</v>
      </c>
      <c r="G1993">
        <v>3379</v>
      </c>
      <c r="H1993" t="s">
        <v>1961</v>
      </c>
      <c r="I1993" t="s">
        <v>1962</v>
      </c>
      <c r="J1993">
        <v>12</v>
      </c>
      <c r="K1993">
        <v>1</v>
      </c>
      <c r="L1993">
        <v>1.7592592592592592E-3</v>
      </c>
      <c r="M1993" t="s">
        <v>778</v>
      </c>
      <c r="N1993" t="s">
        <v>1316</v>
      </c>
      <c r="O1993" s="24">
        <v>46132</v>
      </c>
      <c r="P1993">
        <v>606</v>
      </c>
      <c r="Q1993" t="s">
        <v>34</v>
      </c>
      <c r="X1993" t="s">
        <v>3473</v>
      </c>
    </row>
    <row r="1994" spans="1:24" x14ac:dyDescent="0.25">
      <c r="A1994">
        <v>1990</v>
      </c>
      <c r="B1994" t="s">
        <v>28</v>
      </c>
      <c r="C1994" t="s">
        <v>25</v>
      </c>
      <c r="D1994">
        <v>14</v>
      </c>
      <c r="E1994" t="s">
        <v>1665</v>
      </c>
      <c r="F1994" t="s">
        <v>512</v>
      </c>
      <c r="G1994">
        <v>4467</v>
      </c>
      <c r="H1994" t="s">
        <v>1896</v>
      </c>
      <c r="I1994" t="s">
        <v>1897</v>
      </c>
      <c r="J1994">
        <v>12</v>
      </c>
      <c r="K1994">
        <v>1</v>
      </c>
      <c r="L1994">
        <v>5.9027777777777778E-4</v>
      </c>
      <c r="M1994" t="s">
        <v>778</v>
      </c>
      <c r="N1994" t="s">
        <v>1316</v>
      </c>
      <c r="O1994" s="24">
        <v>46132</v>
      </c>
      <c r="P1994">
        <v>606</v>
      </c>
      <c r="Q1994" t="s">
        <v>34</v>
      </c>
      <c r="X1994" t="s">
        <v>3474</v>
      </c>
    </row>
    <row r="1995" spans="1:24" x14ac:dyDescent="0.25">
      <c r="A1995">
        <v>1991</v>
      </c>
      <c r="B1995" t="s">
        <v>28</v>
      </c>
      <c r="C1995" t="s">
        <v>25</v>
      </c>
      <c r="D1995">
        <v>14</v>
      </c>
      <c r="E1995" t="s">
        <v>1588</v>
      </c>
      <c r="F1995" t="s">
        <v>512</v>
      </c>
      <c r="G1995">
        <v>4467</v>
      </c>
      <c r="H1995" t="s">
        <v>1953</v>
      </c>
      <c r="I1995" t="s">
        <v>1954</v>
      </c>
      <c r="J1995">
        <v>12</v>
      </c>
      <c r="K1995">
        <v>2</v>
      </c>
      <c r="L1995">
        <v>3.4027777777777776E-3</v>
      </c>
      <c r="M1995" t="s">
        <v>778</v>
      </c>
      <c r="N1995" t="s">
        <v>1316</v>
      </c>
      <c r="O1995" s="24">
        <v>46132</v>
      </c>
      <c r="P1995">
        <v>606</v>
      </c>
      <c r="Q1995" t="s">
        <v>34</v>
      </c>
      <c r="X1995" t="s">
        <v>3474</v>
      </c>
    </row>
    <row r="1996" spans="1:24" x14ac:dyDescent="0.25">
      <c r="A1996">
        <v>1992</v>
      </c>
      <c r="B1996" t="s">
        <v>28</v>
      </c>
      <c r="C1996" t="s">
        <v>25</v>
      </c>
      <c r="D1996">
        <v>14</v>
      </c>
      <c r="E1996" t="s">
        <v>367</v>
      </c>
      <c r="F1996" t="s">
        <v>1594</v>
      </c>
      <c r="G1996">
        <v>4467</v>
      </c>
      <c r="H1996" t="s">
        <v>1876</v>
      </c>
      <c r="I1996" t="s">
        <v>1877</v>
      </c>
      <c r="J1996">
        <v>12</v>
      </c>
      <c r="K1996">
        <v>2</v>
      </c>
      <c r="L1996">
        <v>1.0416666666666667E-3</v>
      </c>
      <c r="M1996" t="s">
        <v>778</v>
      </c>
      <c r="N1996" t="s">
        <v>1316</v>
      </c>
      <c r="O1996" s="24">
        <v>46132</v>
      </c>
      <c r="P1996">
        <v>606</v>
      </c>
      <c r="Q1996" t="s">
        <v>34</v>
      </c>
      <c r="X1996" t="s">
        <v>3474</v>
      </c>
    </row>
    <row r="1997" spans="1:24" x14ac:dyDescent="0.25">
      <c r="A1997">
        <v>1993</v>
      </c>
      <c r="B1997" t="s">
        <v>28</v>
      </c>
      <c r="C1997" t="s">
        <v>25</v>
      </c>
      <c r="D1997">
        <v>14</v>
      </c>
      <c r="E1997" t="s">
        <v>65</v>
      </c>
      <c r="F1997" t="s">
        <v>1591</v>
      </c>
      <c r="G1997">
        <v>4467</v>
      </c>
      <c r="H1997" t="s">
        <v>1816</v>
      </c>
      <c r="I1997" t="s">
        <v>1815</v>
      </c>
      <c r="J1997">
        <v>12</v>
      </c>
      <c r="K1997">
        <v>2</v>
      </c>
      <c r="L1997">
        <v>2.0717592592592593E-3</v>
      </c>
      <c r="M1997" t="s">
        <v>778</v>
      </c>
      <c r="N1997" t="s">
        <v>1316</v>
      </c>
      <c r="O1997" s="24">
        <v>46132</v>
      </c>
      <c r="P1997">
        <v>606</v>
      </c>
      <c r="Q1997" t="s">
        <v>34</v>
      </c>
      <c r="X1997" t="s">
        <v>3474</v>
      </c>
    </row>
    <row r="1998" spans="1:24" x14ac:dyDescent="0.25">
      <c r="A1998">
        <v>1994</v>
      </c>
      <c r="B1998" t="s">
        <v>28</v>
      </c>
      <c r="C1998" t="s">
        <v>25</v>
      </c>
      <c r="D1998">
        <v>14</v>
      </c>
      <c r="E1998" t="s">
        <v>65</v>
      </c>
      <c r="F1998" t="s">
        <v>1591</v>
      </c>
      <c r="G1998">
        <v>4467</v>
      </c>
      <c r="H1998" t="s">
        <v>2040</v>
      </c>
      <c r="I1998" t="s">
        <v>1873</v>
      </c>
      <c r="J1998">
        <v>12</v>
      </c>
      <c r="K1998">
        <v>1</v>
      </c>
      <c r="L1998">
        <v>4.9768518518518521E-4</v>
      </c>
      <c r="M1998" t="s">
        <v>778</v>
      </c>
      <c r="N1998" t="s">
        <v>1316</v>
      </c>
      <c r="O1998" s="24">
        <v>46132</v>
      </c>
      <c r="P1998">
        <v>606</v>
      </c>
      <c r="Q1998" t="s">
        <v>34</v>
      </c>
      <c r="X1998" t="s">
        <v>3474</v>
      </c>
    </row>
    <row r="1999" spans="1:24" x14ac:dyDescent="0.25">
      <c r="A1999">
        <v>1995</v>
      </c>
      <c r="B1999" t="s">
        <v>28</v>
      </c>
      <c r="C1999" t="s">
        <v>25</v>
      </c>
      <c r="D1999">
        <v>14</v>
      </c>
      <c r="E1999" t="s">
        <v>65</v>
      </c>
      <c r="F1999" t="s">
        <v>66</v>
      </c>
      <c r="G1999">
        <v>4467</v>
      </c>
      <c r="H1999" t="s">
        <v>2041</v>
      </c>
      <c r="I1999" t="s">
        <v>2042</v>
      </c>
      <c r="J1999">
        <v>12</v>
      </c>
      <c r="K1999">
        <v>1</v>
      </c>
      <c r="L1999">
        <v>6.7129629629629625E-4</v>
      </c>
      <c r="M1999" t="s">
        <v>778</v>
      </c>
      <c r="N1999" t="s">
        <v>1316</v>
      </c>
      <c r="O1999" s="24">
        <v>46132</v>
      </c>
      <c r="P1999">
        <v>606</v>
      </c>
      <c r="Q1999" t="s">
        <v>34</v>
      </c>
      <c r="X1999" t="s">
        <v>3474</v>
      </c>
    </row>
    <row r="2000" spans="1:24" x14ac:dyDescent="0.25">
      <c r="A2000">
        <v>1996</v>
      </c>
      <c r="B2000" t="s">
        <v>28</v>
      </c>
      <c r="C2000" t="s">
        <v>25</v>
      </c>
      <c r="D2000">
        <v>14</v>
      </c>
      <c r="E2000" t="s">
        <v>65</v>
      </c>
      <c r="F2000" t="s">
        <v>66</v>
      </c>
      <c r="G2000">
        <v>4467</v>
      </c>
      <c r="H2000" t="s">
        <v>1937</v>
      </c>
      <c r="I2000" t="s">
        <v>1938</v>
      </c>
      <c r="J2000">
        <v>12</v>
      </c>
      <c r="K2000">
        <v>1</v>
      </c>
      <c r="L2000">
        <v>6.7129629629629625E-4</v>
      </c>
      <c r="M2000" t="s">
        <v>778</v>
      </c>
      <c r="N2000" t="s">
        <v>1316</v>
      </c>
      <c r="O2000" s="24">
        <v>46132</v>
      </c>
      <c r="P2000">
        <v>606</v>
      </c>
      <c r="Q2000" t="s">
        <v>34</v>
      </c>
      <c r="X2000" t="s">
        <v>3474</v>
      </c>
    </row>
    <row r="2001" spans="1:24" x14ac:dyDescent="0.25">
      <c r="A2001">
        <v>1997</v>
      </c>
      <c r="B2001" t="s">
        <v>28</v>
      </c>
      <c r="C2001" t="s">
        <v>25</v>
      </c>
      <c r="D2001">
        <v>14</v>
      </c>
      <c r="E2001" t="s">
        <v>511</v>
      </c>
      <c r="F2001" t="s">
        <v>512</v>
      </c>
      <c r="G2001">
        <v>4467</v>
      </c>
      <c r="H2001" t="s">
        <v>1961</v>
      </c>
      <c r="I2001" t="s">
        <v>1962</v>
      </c>
      <c r="J2001">
        <v>12</v>
      </c>
      <c r="K2001">
        <v>2</v>
      </c>
      <c r="L2001">
        <v>3.5648148148148145E-3</v>
      </c>
      <c r="M2001" t="s">
        <v>778</v>
      </c>
      <c r="N2001" t="s">
        <v>1316</v>
      </c>
      <c r="O2001" s="24">
        <v>46132</v>
      </c>
      <c r="P2001">
        <v>606</v>
      </c>
      <c r="Q2001" t="s">
        <v>34</v>
      </c>
      <c r="X2001" t="s">
        <v>3474</v>
      </c>
    </row>
    <row r="2002" spans="1:24" x14ac:dyDescent="0.25">
      <c r="A2002">
        <v>1998</v>
      </c>
      <c r="B2002" t="s">
        <v>28</v>
      </c>
      <c r="C2002" t="s">
        <v>25</v>
      </c>
      <c r="D2002">
        <v>14</v>
      </c>
      <c r="E2002" t="s">
        <v>550</v>
      </c>
      <c r="F2002" t="s">
        <v>550</v>
      </c>
      <c r="G2002">
        <v>4467</v>
      </c>
      <c r="H2002" t="s">
        <v>1975</v>
      </c>
      <c r="I2002" t="s">
        <v>1976</v>
      </c>
      <c r="J2002">
        <v>12</v>
      </c>
      <c r="K2002">
        <v>1</v>
      </c>
      <c r="L2002">
        <v>3.49537037037037E-3</v>
      </c>
      <c r="M2002" t="s">
        <v>778</v>
      </c>
      <c r="N2002" t="s">
        <v>1316</v>
      </c>
      <c r="O2002" s="24">
        <v>46132</v>
      </c>
      <c r="P2002">
        <v>606</v>
      </c>
      <c r="Q2002" t="s">
        <v>34</v>
      </c>
      <c r="X2002" t="s">
        <v>3474</v>
      </c>
    </row>
    <row r="2003" spans="1:24" x14ac:dyDescent="0.25">
      <c r="A2003">
        <v>1999</v>
      </c>
      <c r="B2003" t="s">
        <v>28</v>
      </c>
      <c r="C2003" t="s">
        <v>25</v>
      </c>
      <c r="D2003">
        <v>14</v>
      </c>
      <c r="E2003" t="s">
        <v>152</v>
      </c>
      <c r="F2003" t="s">
        <v>152</v>
      </c>
      <c r="G2003">
        <v>4467</v>
      </c>
      <c r="H2003" t="s">
        <v>1965</v>
      </c>
      <c r="I2003" t="s">
        <v>1966</v>
      </c>
      <c r="J2003">
        <v>12</v>
      </c>
      <c r="K2003">
        <v>1</v>
      </c>
      <c r="L2003">
        <v>2.0023148148148148E-3</v>
      </c>
      <c r="M2003" t="s">
        <v>778</v>
      </c>
      <c r="N2003" t="s">
        <v>1316</v>
      </c>
      <c r="O2003" s="24">
        <v>46132</v>
      </c>
      <c r="P2003">
        <v>606</v>
      </c>
      <c r="Q2003" t="s">
        <v>34</v>
      </c>
      <c r="X2003" t="s">
        <v>3474</v>
      </c>
    </row>
    <row r="2004" spans="1:24" x14ac:dyDescent="0.25">
      <c r="A2004">
        <v>2000</v>
      </c>
      <c r="B2004" t="s">
        <v>28</v>
      </c>
      <c r="C2004" t="s">
        <v>25</v>
      </c>
      <c r="D2004">
        <v>14</v>
      </c>
      <c r="E2004" t="s">
        <v>1672</v>
      </c>
      <c r="F2004" t="s">
        <v>498</v>
      </c>
      <c r="G2004">
        <v>3387</v>
      </c>
      <c r="H2004" t="s">
        <v>1977</v>
      </c>
      <c r="I2004" t="s">
        <v>1978</v>
      </c>
      <c r="J2004">
        <v>10</v>
      </c>
      <c r="K2004">
        <v>10</v>
      </c>
      <c r="L2004">
        <v>4.8032407407407407E-3</v>
      </c>
      <c r="M2004" t="s">
        <v>778</v>
      </c>
      <c r="N2004" t="s">
        <v>1422</v>
      </c>
      <c r="O2004" s="24">
        <v>46133</v>
      </c>
      <c r="P2004">
        <v>605</v>
      </c>
      <c r="Q2004" t="s">
        <v>34</v>
      </c>
      <c r="X2004" t="s">
        <v>3475</v>
      </c>
    </row>
    <row r="2005" spans="1:24" x14ac:dyDescent="0.25">
      <c r="A2005">
        <v>2001</v>
      </c>
      <c r="B2005" t="s">
        <v>28</v>
      </c>
      <c r="C2005" t="s">
        <v>25</v>
      </c>
      <c r="D2005">
        <v>14</v>
      </c>
      <c r="E2005" t="s">
        <v>65</v>
      </c>
      <c r="F2005" t="s">
        <v>66</v>
      </c>
      <c r="G2005">
        <v>3387</v>
      </c>
      <c r="H2005" t="s">
        <v>2044</v>
      </c>
      <c r="I2005" t="s">
        <v>2045</v>
      </c>
      <c r="J2005">
        <v>10</v>
      </c>
      <c r="K2005">
        <v>1</v>
      </c>
      <c r="L2005">
        <v>3.8425925925925923E-3</v>
      </c>
      <c r="M2005" t="s">
        <v>778</v>
      </c>
      <c r="N2005" t="s">
        <v>1422</v>
      </c>
      <c r="O2005" s="24">
        <v>46133</v>
      </c>
      <c r="P2005">
        <v>605</v>
      </c>
      <c r="Q2005" t="s">
        <v>34</v>
      </c>
      <c r="X2005" t="s">
        <v>3475</v>
      </c>
    </row>
    <row r="2006" spans="1:24" x14ac:dyDescent="0.25">
      <c r="A2006">
        <v>2002</v>
      </c>
      <c r="B2006" t="s">
        <v>28</v>
      </c>
      <c r="C2006" t="s">
        <v>25</v>
      </c>
      <c r="D2006">
        <v>14</v>
      </c>
      <c r="E2006" t="s">
        <v>65</v>
      </c>
      <c r="F2006" t="s">
        <v>368</v>
      </c>
      <c r="G2006">
        <v>3387</v>
      </c>
      <c r="H2006" t="s">
        <v>2014</v>
      </c>
      <c r="I2006" t="s">
        <v>2015</v>
      </c>
      <c r="J2006">
        <v>10</v>
      </c>
      <c r="K2006">
        <v>1</v>
      </c>
      <c r="L2006">
        <v>9.9537037037037042E-4</v>
      </c>
      <c r="M2006" t="s">
        <v>778</v>
      </c>
      <c r="N2006" t="s">
        <v>1422</v>
      </c>
      <c r="O2006" s="24">
        <v>46133</v>
      </c>
      <c r="P2006">
        <v>605</v>
      </c>
      <c r="Q2006" t="s">
        <v>34</v>
      </c>
      <c r="X2006" t="s">
        <v>3475</v>
      </c>
    </row>
    <row r="2007" spans="1:24" x14ac:dyDescent="0.25">
      <c r="A2007">
        <v>2003</v>
      </c>
      <c r="B2007" t="s">
        <v>28</v>
      </c>
      <c r="C2007" t="s">
        <v>25</v>
      </c>
      <c r="D2007">
        <v>14</v>
      </c>
      <c r="E2007" t="s">
        <v>367</v>
      </c>
      <c r="F2007" t="s">
        <v>1593</v>
      </c>
      <c r="G2007">
        <v>3423</v>
      </c>
      <c r="H2007" t="s">
        <v>2046</v>
      </c>
      <c r="I2007" t="s">
        <v>2047</v>
      </c>
      <c r="J2007">
        <v>8</v>
      </c>
      <c r="K2007">
        <v>1</v>
      </c>
      <c r="L2007">
        <v>5.7870370370370367E-4</v>
      </c>
      <c r="M2007" t="s">
        <v>778</v>
      </c>
      <c r="N2007" t="s">
        <v>1422</v>
      </c>
      <c r="O2007" s="24">
        <v>46133</v>
      </c>
      <c r="P2007">
        <v>605</v>
      </c>
      <c r="Q2007" t="s">
        <v>34</v>
      </c>
      <c r="X2007" t="s">
        <v>3441</v>
      </c>
    </row>
    <row r="2008" spans="1:24" x14ac:dyDescent="0.25">
      <c r="A2008">
        <v>2004</v>
      </c>
      <c r="B2008" t="s">
        <v>28</v>
      </c>
      <c r="C2008" t="s">
        <v>25</v>
      </c>
      <c r="D2008">
        <v>14</v>
      </c>
      <c r="E2008" t="s">
        <v>1588</v>
      </c>
      <c r="F2008" t="s">
        <v>44</v>
      </c>
      <c r="G2008">
        <v>3423</v>
      </c>
      <c r="H2008" t="s">
        <v>2048</v>
      </c>
      <c r="I2008" t="s">
        <v>2049</v>
      </c>
      <c r="J2008">
        <v>8</v>
      </c>
      <c r="K2008">
        <v>1</v>
      </c>
      <c r="L2008">
        <v>1.2268518518518518E-3</v>
      </c>
      <c r="M2008" t="s">
        <v>778</v>
      </c>
      <c r="N2008" t="s">
        <v>1422</v>
      </c>
      <c r="O2008" s="24">
        <v>46133</v>
      </c>
      <c r="P2008">
        <v>605</v>
      </c>
      <c r="Q2008" t="s">
        <v>34</v>
      </c>
      <c r="X2008" t="s">
        <v>3441</v>
      </c>
    </row>
    <row r="2009" spans="1:24" x14ac:dyDescent="0.25">
      <c r="A2009">
        <v>2005</v>
      </c>
      <c r="B2009" t="s">
        <v>28</v>
      </c>
      <c r="C2009" t="s">
        <v>25</v>
      </c>
      <c r="D2009">
        <v>14</v>
      </c>
      <c r="E2009" t="s">
        <v>367</v>
      </c>
      <c r="F2009" t="s">
        <v>368</v>
      </c>
      <c r="G2009">
        <v>3425</v>
      </c>
      <c r="H2009" t="s">
        <v>369</v>
      </c>
      <c r="I2009" t="s">
        <v>370</v>
      </c>
      <c r="J2009">
        <v>8</v>
      </c>
      <c r="K2009">
        <v>1</v>
      </c>
      <c r="L2009">
        <v>6.898148148148148E-3</v>
      </c>
      <c r="M2009" t="s">
        <v>778</v>
      </c>
      <c r="N2009" t="s">
        <v>1525</v>
      </c>
      <c r="O2009" s="24">
        <v>46140</v>
      </c>
      <c r="P2009">
        <v>603</v>
      </c>
      <c r="Q2009" t="s">
        <v>34</v>
      </c>
      <c r="X2009" t="s">
        <v>3476</v>
      </c>
    </row>
    <row r="2010" spans="1:24" x14ac:dyDescent="0.25">
      <c r="A2010">
        <v>2006</v>
      </c>
      <c r="B2010" t="s">
        <v>28</v>
      </c>
      <c r="C2010" t="s">
        <v>25</v>
      </c>
      <c r="D2010">
        <v>14</v>
      </c>
      <c r="E2010" t="s">
        <v>65</v>
      </c>
      <c r="F2010" t="s">
        <v>492</v>
      </c>
      <c r="G2010">
        <v>3431</v>
      </c>
      <c r="H2010" t="s">
        <v>493</v>
      </c>
      <c r="I2010" t="s">
        <v>494</v>
      </c>
      <c r="J2010">
        <v>8</v>
      </c>
      <c r="K2010">
        <v>1</v>
      </c>
      <c r="L2010">
        <v>6.875E-3</v>
      </c>
      <c r="M2010" t="s">
        <v>778</v>
      </c>
      <c r="N2010" t="s">
        <v>1422</v>
      </c>
      <c r="O2010" s="24">
        <v>46133</v>
      </c>
      <c r="P2010">
        <v>605</v>
      </c>
      <c r="Q2010" t="s">
        <v>34</v>
      </c>
      <c r="X2010" t="s">
        <v>3477</v>
      </c>
    </row>
    <row r="2011" spans="1:24" x14ac:dyDescent="0.25">
      <c r="A2011">
        <v>2007</v>
      </c>
      <c r="B2011" t="s">
        <v>28</v>
      </c>
      <c r="C2011" t="s">
        <v>25</v>
      </c>
      <c r="D2011">
        <v>14</v>
      </c>
      <c r="E2011" t="s">
        <v>65</v>
      </c>
      <c r="F2011" t="s">
        <v>1598</v>
      </c>
      <c r="G2011">
        <v>3453</v>
      </c>
      <c r="H2011" t="s">
        <v>2052</v>
      </c>
      <c r="I2011" t="s">
        <v>2053</v>
      </c>
      <c r="J2011">
        <v>8</v>
      </c>
      <c r="K2011">
        <v>1</v>
      </c>
      <c r="L2011">
        <v>4.3518518518518515E-3</v>
      </c>
      <c r="M2011" t="s">
        <v>3079</v>
      </c>
      <c r="X2011" t="s">
        <v>3478</v>
      </c>
    </row>
    <row r="2012" spans="1:24" x14ac:dyDescent="0.25">
      <c r="A2012">
        <v>2008</v>
      </c>
      <c r="B2012" t="s">
        <v>28</v>
      </c>
      <c r="C2012" t="s">
        <v>25</v>
      </c>
      <c r="D2012">
        <v>14</v>
      </c>
      <c r="E2012" t="s">
        <v>1672</v>
      </c>
      <c r="F2012" t="s">
        <v>498</v>
      </c>
      <c r="G2012">
        <v>3453</v>
      </c>
      <c r="H2012" t="s">
        <v>2055</v>
      </c>
      <c r="I2012" t="s">
        <v>2056</v>
      </c>
      <c r="J2012">
        <v>8</v>
      </c>
      <c r="K2012">
        <v>1</v>
      </c>
      <c r="L2012">
        <v>7.9861111111111105E-4</v>
      </c>
      <c r="M2012" t="s">
        <v>3079</v>
      </c>
      <c r="X2012" t="s">
        <v>3478</v>
      </c>
    </row>
    <row r="2013" spans="1:24" x14ac:dyDescent="0.25">
      <c r="A2013">
        <v>2009</v>
      </c>
      <c r="B2013" t="s">
        <v>28</v>
      </c>
      <c r="C2013" t="s">
        <v>25</v>
      </c>
      <c r="D2013">
        <v>14</v>
      </c>
      <c r="E2013" t="s">
        <v>1588</v>
      </c>
      <c r="F2013" t="s">
        <v>44</v>
      </c>
      <c r="G2013">
        <v>3453</v>
      </c>
      <c r="H2013" t="s">
        <v>2057</v>
      </c>
      <c r="I2013" t="s">
        <v>2049</v>
      </c>
      <c r="J2013">
        <v>8</v>
      </c>
      <c r="K2013">
        <v>1</v>
      </c>
      <c r="L2013">
        <v>1.2152777777777778E-3</v>
      </c>
      <c r="M2013" t="s">
        <v>3079</v>
      </c>
      <c r="X2013" t="s">
        <v>3478</v>
      </c>
    </row>
    <row r="2014" spans="1:24" x14ac:dyDescent="0.25">
      <c r="A2014">
        <v>2010</v>
      </c>
      <c r="B2014" t="s">
        <v>28</v>
      </c>
      <c r="C2014" t="s">
        <v>25</v>
      </c>
      <c r="D2014">
        <v>14</v>
      </c>
      <c r="E2014" t="s">
        <v>367</v>
      </c>
      <c r="F2014" t="s">
        <v>367</v>
      </c>
      <c r="G2014">
        <v>3453</v>
      </c>
      <c r="H2014" t="s">
        <v>2058</v>
      </c>
      <c r="I2014" t="s">
        <v>2059</v>
      </c>
      <c r="J2014">
        <v>8</v>
      </c>
      <c r="K2014">
        <v>1</v>
      </c>
      <c r="L2014">
        <v>5.9027777777777778E-4</v>
      </c>
      <c r="M2014" t="s">
        <v>3079</v>
      </c>
      <c r="X2014" t="s">
        <v>3478</v>
      </c>
    </row>
    <row r="2015" spans="1:24" x14ac:dyDescent="0.25">
      <c r="A2015">
        <v>2011</v>
      </c>
      <c r="B2015" t="s">
        <v>28</v>
      </c>
      <c r="C2015" t="s">
        <v>25</v>
      </c>
      <c r="D2015">
        <v>14</v>
      </c>
      <c r="E2015" t="s">
        <v>367</v>
      </c>
      <c r="F2015" t="s">
        <v>1593</v>
      </c>
      <c r="G2015">
        <v>3453</v>
      </c>
      <c r="H2015" t="s">
        <v>2060</v>
      </c>
      <c r="I2015" t="s">
        <v>2061</v>
      </c>
      <c r="J2015">
        <v>8</v>
      </c>
      <c r="K2015">
        <v>3</v>
      </c>
      <c r="L2015">
        <v>1.1574074074074073E-3</v>
      </c>
      <c r="M2015" t="s">
        <v>3079</v>
      </c>
      <c r="X2015" t="s">
        <v>3478</v>
      </c>
    </row>
    <row r="2016" spans="1:24" x14ac:dyDescent="0.25">
      <c r="A2016">
        <v>2012</v>
      </c>
      <c r="B2016" t="s">
        <v>28</v>
      </c>
      <c r="C2016" t="s">
        <v>25</v>
      </c>
      <c r="D2016">
        <v>14</v>
      </c>
      <c r="E2016" t="s">
        <v>367</v>
      </c>
      <c r="F2016" t="s">
        <v>1592</v>
      </c>
      <c r="G2016">
        <v>3453</v>
      </c>
      <c r="H2016" t="s">
        <v>2062</v>
      </c>
      <c r="I2016" t="s">
        <v>2063</v>
      </c>
      <c r="J2016">
        <v>8</v>
      </c>
      <c r="K2016">
        <v>1</v>
      </c>
      <c r="L2016">
        <v>4.282407407407407E-4</v>
      </c>
      <c r="M2016" t="s">
        <v>3079</v>
      </c>
      <c r="X2016" t="s">
        <v>3478</v>
      </c>
    </row>
    <row r="2017" spans="1:24" x14ac:dyDescent="0.25">
      <c r="A2017">
        <v>2013</v>
      </c>
      <c r="B2017" t="s">
        <v>28</v>
      </c>
      <c r="C2017" t="s">
        <v>25</v>
      </c>
      <c r="D2017">
        <v>14</v>
      </c>
      <c r="E2017" t="s">
        <v>367</v>
      </c>
      <c r="F2017" t="s">
        <v>368</v>
      </c>
      <c r="G2017">
        <v>3453</v>
      </c>
      <c r="H2017" t="s">
        <v>2064</v>
      </c>
      <c r="I2017" t="s">
        <v>2065</v>
      </c>
      <c r="J2017">
        <v>8</v>
      </c>
      <c r="K2017">
        <v>1</v>
      </c>
      <c r="L2017">
        <v>1.7592592592592592E-3</v>
      </c>
      <c r="M2017" t="s">
        <v>3079</v>
      </c>
      <c r="X2017" t="s">
        <v>3478</v>
      </c>
    </row>
    <row r="2018" spans="1:24" x14ac:dyDescent="0.25">
      <c r="A2018">
        <v>2014</v>
      </c>
      <c r="B2018" t="s">
        <v>28</v>
      </c>
      <c r="C2018" t="s">
        <v>25</v>
      </c>
      <c r="D2018">
        <v>14</v>
      </c>
      <c r="E2018" t="s">
        <v>65</v>
      </c>
      <c r="F2018" t="s">
        <v>65</v>
      </c>
      <c r="G2018">
        <v>3453</v>
      </c>
      <c r="H2018" t="s">
        <v>2066</v>
      </c>
      <c r="I2018" t="s">
        <v>2067</v>
      </c>
      <c r="J2018">
        <v>8</v>
      </c>
      <c r="K2018">
        <v>1</v>
      </c>
      <c r="L2018">
        <v>6.8287037037037036E-4</v>
      </c>
      <c r="M2018" t="s">
        <v>3079</v>
      </c>
      <c r="X2018" t="s">
        <v>3478</v>
      </c>
    </row>
    <row r="2019" spans="1:24" x14ac:dyDescent="0.25">
      <c r="A2019">
        <v>2015</v>
      </c>
      <c r="B2019" t="s">
        <v>28</v>
      </c>
      <c r="C2019" t="s">
        <v>25</v>
      </c>
      <c r="D2019">
        <v>14</v>
      </c>
      <c r="E2019" t="s">
        <v>1585</v>
      </c>
      <c r="F2019" t="s">
        <v>1585</v>
      </c>
      <c r="G2019">
        <v>3523</v>
      </c>
      <c r="H2019" t="s">
        <v>1635</v>
      </c>
      <c r="I2019" t="s">
        <v>1636</v>
      </c>
      <c r="J2019">
        <v>16</v>
      </c>
      <c r="K2019">
        <v>1</v>
      </c>
      <c r="L2019">
        <v>1.273148148148148E-3</v>
      </c>
      <c r="M2019" t="s">
        <v>778</v>
      </c>
      <c r="N2019" t="s">
        <v>1316</v>
      </c>
      <c r="O2019" s="24">
        <v>46132</v>
      </c>
      <c r="P2019">
        <v>606</v>
      </c>
      <c r="Q2019" t="s">
        <v>34</v>
      </c>
      <c r="X2019" t="s">
        <v>3479</v>
      </c>
    </row>
    <row r="2020" spans="1:24" x14ac:dyDescent="0.25">
      <c r="A2020">
        <v>2016</v>
      </c>
      <c r="B2020" t="s">
        <v>28</v>
      </c>
      <c r="C2020" t="s">
        <v>25</v>
      </c>
      <c r="D2020">
        <v>14</v>
      </c>
      <c r="E2020" t="s">
        <v>367</v>
      </c>
      <c r="F2020" t="s">
        <v>512</v>
      </c>
      <c r="G2020">
        <v>3523</v>
      </c>
      <c r="H2020" t="s">
        <v>1725</v>
      </c>
      <c r="I2020" t="s">
        <v>1726</v>
      </c>
      <c r="J2020">
        <v>16</v>
      </c>
      <c r="K2020">
        <v>1</v>
      </c>
      <c r="L2020">
        <v>1.0069444444444444E-3</v>
      </c>
      <c r="M2020" t="s">
        <v>778</v>
      </c>
      <c r="N2020" t="s">
        <v>1316</v>
      </c>
      <c r="O2020" s="24">
        <v>46132</v>
      </c>
      <c r="P2020">
        <v>606</v>
      </c>
      <c r="Q2020" t="s">
        <v>34</v>
      </c>
      <c r="X2020" t="s">
        <v>3479</v>
      </c>
    </row>
    <row r="2021" spans="1:24" x14ac:dyDescent="0.25">
      <c r="A2021">
        <v>2017</v>
      </c>
      <c r="B2021" t="s">
        <v>28</v>
      </c>
      <c r="C2021" t="s">
        <v>25</v>
      </c>
      <c r="D2021">
        <v>14</v>
      </c>
      <c r="E2021" t="s">
        <v>65</v>
      </c>
      <c r="F2021" t="s">
        <v>1589</v>
      </c>
      <c r="G2021">
        <v>3523</v>
      </c>
      <c r="H2021" t="s">
        <v>2069</v>
      </c>
      <c r="I2021" t="s">
        <v>2070</v>
      </c>
      <c r="J2021">
        <v>16</v>
      </c>
      <c r="K2021">
        <v>1</v>
      </c>
      <c r="L2021">
        <v>1.423611111111111E-3</v>
      </c>
      <c r="M2021" t="s">
        <v>778</v>
      </c>
      <c r="N2021" t="s">
        <v>1316</v>
      </c>
      <c r="O2021" s="24">
        <v>46132</v>
      </c>
      <c r="P2021">
        <v>606</v>
      </c>
      <c r="Q2021" t="s">
        <v>34</v>
      </c>
      <c r="X2021" t="s">
        <v>3479</v>
      </c>
    </row>
    <row r="2022" spans="1:24" x14ac:dyDescent="0.25">
      <c r="A2022">
        <v>2018</v>
      </c>
      <c r="B2022" t="s">
        <v>28</v>
      </c>
      <c r="C2022" t="s">
        <v>25</v>
      </c>
      <c r="D2022">
        <v>14</v>
      </c>
      <c r="E2022" t="s">
        <v>65</v>
      </c>
      <c r="F2022" t="s">
        <v>1591</v>
      </c>
      <c r="G2022">
        <v>3523</v>
      </c>
      <c r="H2022" t="s">
        <v>2071</v>
      </c>
      <c r="I2022" t="s">
        <v>2070</v>
      </c>
      <c r="J2022">
        <v>16</v>
      </c>
      <c r="K2022">
        <v>1</v>
      </c>
      <c r="L2022">
        <v>1.4583333333333332E-3</v>
      </c>
      <c r="M2022" t="s">
        <v>778</v>
      </c>
      <c r="N2022" t="s">
        <v>1316</v>
      </c>
      <c r="O2022" s="24">
        <v>46132</v>
      </c>
      <c r="P2022">
        <v>606</v>
      </c>
      <c r="Q2022" t="s">
        <v>34</v>
      </c>
      <c r="X2022" t="s">
        <v>3479</v>
      </c>
    </row>
    <row r="2023" spans="1:24" x14ac:dyDescent="0.25">
      <c r="A2023">
        <v>2019</v>
      </c>
      <c r="B2023" t="s">
        <v>28</v>
      </c>
      <c r="C2023" t="s">
        <v>25</v>
      </c>
      <c r="D2023">
        <v>14</v>
      </c>
      <c r="E2023" t="s">
        <v>65</v>
      </c>
      <c r="F2023" t="s">
        <v>512</v>
      </c>
      <c r="G2023">
        <v>3523</v>
      </c>
      <c r="H2023" t="s">
        <v>1767</v>
      </c>
      <c r="I2023" t="s">
        <v>1768</v>
      </c>
      <c r="J2023">
        <v>16</v>
      </c>
      <c r="K2023">
        <v>2</v>
      </c>
      <c r="L2023">
        <v>2.0023148148148148E-3</v>
      </c>
      <c r="M2023" t="s">
        <v>778</v>
      </c>
      <c r="N2023" t="s">
        <v>1316</v>
      </c>
      <c r="O2023" s="24">
        <v>46132</v>
      </c>
      <c r="P2023">
        <v>606</v>
      </c>
      <c r="Q2023" t="s">
        <v>34</v>
      </c>
      <c r="X2023" t="s">
        <v>3479</v>
      </c>
    </row>
    <row r="2024" spans="1:24" x14ac:dyDescent="0.25">
      <c r="A2024">
        <v>2020</v>
      </c>
      <c r="B2024" t="s">
        <v>28</v>
      </c>
      <c r="C2024" t="s">
        <v>25</v>
      </c>
      <c r="D2024">
        <v>14</v>
      </c>
      <c r="E2024" t="s">
        <v>367</v>
      </c>
      <c r="F2024" t="s">
        <v>367</v>
      </c>
      <c r="G2024">
        <v>3523</v>
      </c>
      <c r="H2024" t="s">
        <v>2072</v>
      </c>
      <c r="I2024" t="s">
        <v>2073</v>
      </c>
      <c r="J2024">
        <v>16</v>
      </c>
      <c r="K2024">
        <v>1</v>
      </c>
      <c r="L2024">
        <v>1.9675925925925924E-3</v>
      </c>
      <c r="M2024" t="s">
        <v>778</v>
      </c>
      <c r="N2024" t="s">
        <v>1316</v>
      </c>
      <c r="O2024" s="24">
        <v>46132</v>
      </c>
      <c r="P2024">
        <v>606</v>
      </c>
      <c r="Q2024" t="s">
        <v>34</v>
      </c>
      <c r="X2024" t="s">
        <v>3479</v>
      </c>
    </row>
    <row r="2025" spans="1:24" x14ac:dyDescent="0.25">
      <c r="A2025">
        <v>2021</v>
      </c>
      <c r="B2025" t="s">
        <v>28</v>
      </c>
      <c r="C2025" t="s">
        <v>25</v>
      </c>
      <c r="D2025">
        <v>14</v>
      </c>
      <c r="E2025" t="s">
        <v>367</v>
      </c>
      <c r="F2025" t="s">
        <v>367</v>
      </c>
      <c r="G2025">
        <v>3523</v>
      </c>
      <c r="H2025" t="s">
        <v>2074</v>
      </c>
      <c r="I2025" t="s">
        <v>2073</v>
      </c>
      <c r="J2025">
        <v>16</v>
      </c>
      <c r="K2025">
        <v>1</v>
      </c>
      <c r="L2025">
        <v>2.4305555555555556E-3</v>
      </c>
      <c r="M2025" t="s">
        <v>778</v>
      </c>
      <c r="N2025" t="s">
        <v>1316</v>
      </c>
      <c r="O2025" s="24">
        <v>46132</v>
      </c>
      <c r="P2025">
        <v>606</v>
      </c>
      <c r="Q2025" t="s">
        <v>34</v>
      </c>
      <c r="X2025" t="s">
        <v>3479</v>
      </c>
    </row>
    <row r="2026" spans="1:24" x14ac:dyDescent="0.25">
      <c r="A2026">
        <v>2022</v>
      </c>
      <c r="B2026" t="s">
        <v>28</v>
      </c>
      <c r="C2026" t="s">
        <v>25</v>
      </c>
      <c r="D2026">
        <v>14</v>
      </c>
      <c r="E2026" t="s">
        <v>1585</v>
      </c>
      <c r="F2026" t="s">
        <v>1585</v>
      </c>
      <c r="G2026">
        <v>3522</v>
      </c>
      <c r="H2026" t="s">
        <v>1635</v>
      </c>
      <c r="I2026" t="s">
        <v>1636</v>
      </c>
      <c r="J2026">
        <v>16</v>
      </c>
      <c r="K2026">
        <v>4</v>
      </c>
      <c r="L2026">
        <v>4.9074074074074072E-3</v>
      </c>
      <c r="M2026" t="s">
        <v>778</v>
      </c>
      <c r="N2026" t="s">
        <v>1316</v>
      </c>
      <c r="O2026" s="24">
        <v>46132</v>
      </c>
      <c r="P2026">
        <v>606</v>
      </c>
      <c r="Q2026" t="s">
        <v>34</v>
      </c>
      <c r="X2026" t="s">
        <v>3480</v>
      </c>
    </row>
    <row r="2027" spans="1:24" x14ac:dyDescent="0.25">
      <c r="A2027">
        <v>2023</v>
      </c>
      <c r="B2027" t="s">
        <v>28</v>
      </c>
      <c r="C2027" t="s">
        <v>25</v>
      </c>
      <c r="D2027">
        <v>14</v>
      </c>
      <c r="E2027" t="s">
        <v>131</v>
      </c>
      <c r="F2027" t="s">
        <v>115</v>
      </c>
      <c r="G2027">
        <v>3522</v>
      </c>
      <c r="H2027" t="s">
        <v>2076</v>
      </c>
      <c r="I2027" t="s">
        <v>2077</v>
      </c>
      <c r="J2027">
        <v>16</v>
      </c>
      <c r="K2027">
        <v>1</v>
      </c>
      <c r="L2027">
        <v>1.9328703703703704E-3</v>
      </c>
      <c r="M2027" t="s">
        <v>778</v>
      </c>
      <c r="N2027" t="s">
        <v>1316</v>
      </c>
      <c r="O2027" s="24">
        <v>46132</v>
      </c>
      <c r="P2027">
        <v>606</v>
      </c>
      <c r="Q2027" t="s">
        <v>34</v>
      </c>
      <c r="X2027" t="s">
        <v>3480</v>
      </c>
    </row>
    <row r="2028" spans="1:24" x14ac:dyDescent="0.25">
      <c r="A2028">
        <v>2024</v>
      </c>
      <c r="B2028" t="s">
        <v>28</v>
      </c>
      <c r="C2028" t="s">
        <v>25</v>
      </c>
      <c r="D2028">
        <v>14</v>
      </c>
      <c r="E2028" t="s">
        <v>530</v>
      </c>
      <c r="F2028" t="s">
        <v>512</v>
      </c>
      <c r="G2028">
        <v>3522</v>
      </c>
      <c r="H2028" t="s">
        <v>2078</v>
      </c>
      <c r="I2028" t="s">
        <v>2079</v>
      </c>
      <c r="J2028">
        <v>16</v>
      </c>
      <c r="K2028">
        <v>1</v>
      </c>
      <c r="L2028">
        <v>1.0763888888888889E-3</v>
      </c>
      <c r="M2028" t="s">
        <v>778</v>
      </c>
      <c r="N2028" t="s">
        <v>1316</v>
      </c>
      <c r="O2028" s="24">
        <v>46132</v>
      </c>
      <c r="P2028">
        <v>606</v>
      </c>
      <c r="Q2028" t="s">
        <v>34</v>
      </c>
      <c r="X2028" t="s">
        <v>3480</v>
      </c>
    </row>
    <row r="2029" spans="1:24" x14ac:dyDescent="0.25">
      <c r="A2029">
        <v>2025</v>
      </c>
      <c r="B2029" t="s">
        <v>28</v>
      </c>
      <c r="C2029" t="s">
        <v>25</v>
      </c>
      <c r="D2029">
        <v>14</v>
      </c>
      <c r="E2029" t="s">
        <v>129</v>
      </c>
      <c r="F2029" t="s">
        <v>115</v>
      </c>
      <c r="G2029">
        <v>3522</v>
      </c>
      <c r="H2029" t="s">
        <v>2080</v>
      </c>
      <c r="I2029" t="s">
        <v>2077</v>
      </c>
      <c r="J2029">
        <v>16</v>
      </c>
      <c r="K2029">
        <v>1</v>
      </c>
      <c r="L2029">
        <v>1.7824074074074072E-3</v>
      </c>
      <c r="M2029" t="s">
        <v>778</v>
      </c>
      <c r="N2029" t="s">
        <v>1316</v>
      </c>
      <c r="O2029" s="24">
        <v>46132</v>
      </c>
      <c r="P2029">
        <v>606</v>
      </c>
      <c r="Q2029" t="s">
        <v>34</v>
      </c>
      <c r="X2029" t="s">
        <v>3480</v>
      </c>
    </row>
    <row r="2030" spans="1:24" x14ac:dyDescent="0.25">
      <c r="A2030">
        <v>2026</v>
      </c>
      <c r="B2030" t="s">
        <v>28</v>
      </c>
      <c r="C2030" t="s">
        <v>25</v>
      </c>
      <c r="D2030">
        <v>14</v>
      </c>
      <c r="E2030" t="s">
        <v>367</v>
      </c>
      <c r="F2030" t="s">
        <v>512</v>
      </c>
      <c r="G2030">
        <v>3522</v>
      </c>
      <c r="H2030" t="s">
        <v>2081</v>
      </c>
      <c r="I2030" t="s">
        <v>2082</v>
      </c>
      <c r="J2030">
        <v>16</v>
      </c>
      <c r="K2030">
        <v>1</v>
      </c>
      <c r="L2030">
        <v>1.1111111111111111E-3</v>
      </c>
      <c r="M2030" t="s">
        <v>778</v>
      </c>
      <c r="N2030" t="s">
        <v>1316</v>
      </c>
      <c r="O2030" s="24">
        <v>46132</v>
      </c>
      <c r="P2030">
        <v>606</v>
      </c>
      <c r="Q2030" t="s">
        <v>34</v>
      </c>
      <c r="X2030" t="s">
        <v>3480</v>
      </c>
    </row>
    <row r="2031" spans="1:24" x14ac:dyDescent="0.25">
      <c r="A2031">
        <v>2027</v>
      </c>
      <c r="B2031" t="s">
        <v>28</v>
      </c>
      <c r="C2031" t="s">
        <v>25</v>
      </c>
      <c r="D2031">
        <v>14</v>
      </c>
      <c r="E2031" t="s">
        <v>65</v>
      </c>
      <c r="F2031" t="s">
        <v>65</v>
      </c>
      <c r="G2031">
        <v>3453</v>
      </c>
      <c r="H2031" t="s">
        <v>2083</v>
      </c>
      <c r="I2031" t="s">
        <v>2084</v>
      </c>
      <c r="J2031">
        <v>8</v>
      </c>
      <c r="K2031">
        <v>1</v>
      </c>
      <c r="L2031">
        <v>4.5138888888888887E-4</v>
      </c>
      <c r="M2031" t="s">
        <v>3079</v>
      </c>
      <c r="X2031" t="s">
        <v>3478</v>
      </c>
    </row>
    <row r="2032" spans="1:24" x14ac:dyDescent="0.25">
      <c r="A2032">
        <v>2028</v>
      </c>
      <c r="B2032" t="s">
        <v>28</v>
      </c>
      <c r="C2032" t="s">
        <v>25</v>
      </c>
      <c r="D2032">
        <v>14</v>
      </c>
      <c r="E2032" t="s">
        <v>65</v>
      </c>
      <c r="F2032" t="s">
        <v>65</v>
      </c>
      <c r="G2032">
        <v>3453</v>
      </c>
      <c r="H2032" t="s">
        <v>2085</v>
      </c>
      <c r="I2032" t="s">
        <v>2086</v>
      </c>
      <c r="J2032">
        <v>8</v>
      </c>
      <c r="K2032">
        <v>1</v>
      </c>
      <c r="L2032">
        <v>6.8287037037037036E-4</v>
      </c>
      <c r="M2032" t="s">
        <v>3079</v>
      </c>
      <c r="X2032" t="s">
        <v>3478</v>
      </c>
    </row>
    <row r="2033" spans="1:24" x14ac:dyDescent="0.25">
      <c r="A2033">
        <v>2029</v>
      </c>
      <c r="B2033" t="s">
        <v>28</v>
      </c>
      <c r="C2033" t="s">
        <v>25</v>
      </c>
      <c r="D2033">
        <v>14</v>
      </c>
      <c r="E2033" t="s">
        <v>1672</v>
      </c>
      <c r="F2033" t="s">
        <v>115</v>
      </c>
      <c r="G2033">
        <v>3472</v>
      </c>
      <c r="H2033" t="s">
        <v>2087</v>
      </c>
      <c r="I2033" t="s">
        <v>2088</v>
      </c>
      <c r="J2033">
        <v>8</v>
      </c>
      <c r="K2033">
        <v>1</v>
      </c>
      <c r="L2033">
        <v>9.3749999999999997E-4</v>
      </c>
      <c r="M2033" t="s">
        <v>778</v>
      </c>
      <c r="N2033" t="s">
        <v>69</v>
      </c>
      <c r="O2033" s="24">
        <v>46139</v>
      </c>
      <c r="P2033">
        <v>603</v>
      </c>
      <c r="Q2033" t="s">
        <v>34</v>
      </c>
      <c r="X2033" t="s">
        <v>3481</v>
      </c>
    </row>
    <row r="2034" spans="1:24" x14ac:dyDescent="0.25">
      <c r="A2034">
        <v>2030</v>
      </c>
      <c r="B2034" t="s">
        <v>28</v>
      </c>
      <c r="C2034" t="s">
        <v>25</v>
      </c>
      <c r="D2034">
        <v>14</v>
      </c>
      <c r="E2034" t="s">
        <v>1672</v>
      </c>
      <c r="F2034" t="s">
        <v>115</v>
      </c>
      <c r="G2034">
        <v>3472</v>
      </c>
      <c r="H2034" t="s">
        <v>2090</v>
      </c>
      <c r="I2034" t="s">
        <v>2091</v>
      </c>
      <c r="J2034">
        <v>8</v>
      </c>
      <c r="K2034">
        <v>1</v>
      </c>
      <c r="L2034">
        <v>6.5277777777777773E-3</v>
      </c>
      <c r="M2034" t="s">
        <v>778</v>
      </c>
      <c r="N2034" t="s">
        <v>69</v>
      </c>
      <c r="O2034" s="24">
        <v>46139</v>
      </c>
      <c r="P2034">
        <v>603</v>
      </c>
      <c r="Q2034" t="s">
        <v>34</v>
      </c>
      <c r="X2034" t="s">
        <v>3481</v>
      </c>
    </row>
    <row r="2035" spans="1:24" x14ac:dyDescent="0.25">
      <c r="A2035">
        <v>2031</v>
      </c>
      <c r="B2035" t="s">
        <v>28</v>
      </c>
      <c r="C2035" t="s">
        <v>25</v>
      </c>
      <c r="D2035">
        <v>14</v>
      </c>
      <c r="E2035" t="s">
        <v>367</v>
      </c>
      <c r="F2035" t="s">
        <v>1593</v>
      </c>
      <c r="G2035">
        <v>3472</v>
      </c>
      <c r="H2035" t="s">
        <v>2060</v>
      </c>
      <c r="I2035" t="s">
        <v>2061</v>
      </c>
      <c r="J2035">
        <v>8</v>
      </c>
      <c r="K2035">
        <v>1</v>
      </c>
      <c r="L2035">
        <v>4.6296296296296293E-4</v>
      </c>
      <c r="M2035" t="s">
        <v>778</v>
      </c>
      <c r="N2035" t="s">
        <v>69</v>
      </c>
      <c r="O2035" s="24">
        <v>46139</v>
      </c>
      <c r="P2035">
        <v>603</v>
      </c>
      <c r="Q2035" t="s">
        <v>34</v>
      </c>
      <c r="X2035" t="s">
        <v>3481</v>
      </c>
    </row>
    <row r="2036" spans="1:24" x14ac:dyDescent="0.25">
      <c r="A2036">
        <v>2032</v>
      </c>
      <c r="B2036" t="s">
        <v>28</v>
      </c>
      <c r="C2036" t="s">
        <v>25</v>
      </c>
      <c r="D2036">
        <v>14</v>
      </c>
      <c r="E2036" t="s">
        <v>65</v>
      </c>
      <c r="F2036" t="s">
        <v>65</v>
      </c>
      <c r="G2036">
        <v>3472</v>
      </c>
      <c r="H2036" t="s">
        <v>2092</v>
      </c>
      <c r="I2036" t="s">
        <v>2093</v>
      </c>
      <c r="J2036">
        <v>8</v>
      </c>
      <c r="K2036">
        <v>1</v>
      </c>
      <c r="L2036">
        <v>7.1759259259259259E-4</v>
      </c>
      <c r="M2036" t="s">
        <v>778</v>
      </c>
      <c r="N2036" t="s">
        <v>69</v>
      </c>
      <c r="O2036" s="24">
        <v>46139</v>
      </c>
      <c r="P2036">
        <v>603</v>
      </c>
      <c r="Q2036" t="s">
        <v>34</v>
      </c>
      <c r="X2036" t="s">
        <v>3481</v>
      </c>
    </row>
    <row r="2037" spans="1:24" x14ac:dyDescent="0.25">
      <c r="A2037">
        <v>2033</v>
      </c>
      <c r="B2037" t="s">
        <v>28</v>
      </c>
      <c r="C2037" t="s">
        <v>25</v>
      </c>
      <c r="D2037">
        <v>14</v>
      </c>
      <c r="E2037" t="s">
        <v>2094</v>
      </c>
      <c r="F2037" t="s">
        <v>44</v>
      </c>
      <c r="G2037">
        <v>3475</v>
      </c>
      <c r="H2037" t="s">
        <v>48</v>
      </c>
      <c r="I2037" t="s">
        <v>1119</v>
      </c>
      <c r="J2037">
        <v>8</v>
      </c>
      <c r="K2037">
        <v>3</v>
      </c>
      <c r="L2037">
        <v>4.5949074074074069E-3</v>
      </c>
      <c r="M2037" t="s">
        <v>778</v>
      </c>
      <c r="N2037" t="s">
        <v>1422</v>
      </c>
      <c r="O2037" s="24">
        <v>46133</v>
      </c>
      <c r="P2037">
        <v>605</v>
      </c>
      <c r="Q2037" t="s">
        <v>34</v>
      </c>
      <c r="X2037" t="s">
        <v>3482</v>
      </c>
    </row>
    <row r="2038" spans="1:24" x14ac:dyDescent="0.25">
      <c r="A2038">
        <v>2034</v>
      </c>
      <c r="B2038" t="s">
        <v>28</v>
      </c>
      <c r="C2038" t="s">
        <v>25</v>
      </c>
      <c r="D2038">
        <v>14</v>
      </c>
      <c r="E2038" t="s">
        <v>367</v>
      </c>
      <c r="F2038" t="s">
        <v>368</v>
      </c>
      <c r="G2038">
        <v>3475</v>
      </c>
      <c r="H2038" t="s">
        <v>2096</v>
      </c>
      <c r="I2038" t="s">
        <v>2097</v>
      </c>
      <c r="J2038">
        <v>8</v>
      </c>
      <c r="K2038">
        <v>3</v>
      </c>
      <c r="L2038">
        <v>2.1527777777777778E-3</v>
      </c>
      <c r="M2038" t="s">
        <v>778</v>
      </c>
      <c r="N2038" t="s">
        <v>1422</v>
      </c>
      <c r="O2038" s="24">
        <v>46133</v>
      </c>
      <c r="P2038">
        <v>605</v>
      </c>
      <c r="Q2038" t="s">
        <v>34</v>
      </c>
      <c r="X2038" t="s">
        <v>3482</v>
      </c>
    </row>
    <row r="2039" spans="1:24" x14ac:dyDescent="0.25">
      <c r="A2039">
        <v>2035</v>
      </c>
      <c r="B2039" t="s">
        <v>28</v>
      </c>
      <c r="C2039" t="s">
        <v>25</v>
      </c>
      <c r="D2039">
        <v>14</v>
      </c>
      <c r="E2039" t="s">
        <v>65</v>
      </c>
      <c r="F2039" t="s">
        <v>1589</v>
      </c>
      <c r="G2039">
        <v>3475</v>
      </c>
      <c r="H2039" t="s">
        <v>2098</v>
      </c>
      <c r="I2039" t="s">
        <v>2099</v>
      </c>
      <c r="J2039">
        <v>8</v>
      </c>
      <c r="K2039">
        <v>1</v>
      </c>
      <c r="L2039">
        <v>6.9444444444444436E-4</v>
      </c>
      <c r="M2039" t="s">
        <v>778</v>
      </c>
      <c r="N2039" t="s">
        <v>1422</v>
      </c>
      <c r="O2039" s="24">
        <v>46133</v>
      </c>
      <c r="P2039">
        <v>605</v>
      </c>
      <c r="Q2039" t="s">
        <v>34</v>
      </c>
      <c r="X2039" t="s">
        <v>3482</v>
      </c>
    </row>
    <row r="2040" spans="1:24" x14ac:dyDescent="0.25">
      <c r="A2040">
        <v>2036</v>
      </c>
      <c r="B2040" t="s">
        <v>28</v>
      </c>
      <c r="C2040" t="s">
        <v>25</v>
      </c>
      <c r="D2040">
        <v>14</v>
      </c>
      <c r="E2040" t="s">
        <v>65</v>
      </c>
      <c r="F2040" t="s">
        <v>1590</v>
      </c>
      <c r="G2040">
        <v>3475</v>
      </c>
      <c r="H2040" t="s">
        <v>2100</v>
      </c>
      <c r="I2040" t="s">
        <v>2101</v>
      </c>
      <c r="J2040">
        <v>8</v>
      </c>
      <c r="K2040">
        <v>1</v>
      </c>
      <c r="L2040">
        <v>6.9444444444444436E-4</v>
      </c>
      <c r="M2040" t="s">
        <v>778</v>
      </c>
      <c r="N2040" t="s">
        <v>1422</v>
      </c>
      <c r="O2040" s="24">
        <v>46133</v>
      </c>
      <c r="P2040">
        <v>605</v>
      </c>
      <c r="Q2040" t="s">
        <v>34</v>
      </c>
      <c r="X2040" t="s">
        <v>3482</v>
      </c>
    </row>
    <row r="2041" spans="1:24" x14ac:dyDescent="0.25">
      <c r="A2041">
        <v>2037</v>
      </c>
      <c r="B2041" t="s">
        <v>28</v>
      </c>
      <c r="C2041" t="s">
        <v>25</v>
      </c>
      <c r="D2041">
        <v>14</v>
      </c>
      <c r="E2041" t="s">
        <v>65</v>
      </c>
      <c r="F2041" t="s">
        <v>1590</v>
      </c>
      <c r="G2041">
        <v>3475</v>
      </c>
      <c r="H2041" t="s">
        <v>2102</v>
      </c>
      <c r="I2041" t="s">
        <v>2103</v>
      </c>
      <c r="J2041">
        <v>8</v>
      </c>
      <c r="K2041">
        <v>1</v>
      </c>
      <c r="L2041">
        <v>7.6388888888888882E-4</v>
      </c>
      <c r="M2041" t="s">
        <v>778</v>
      </c>
      <c r="N2041" t="s">
        <v>1422</v>
      </c>
      <c r="O2041" s="24">
        <v>46133</v>
      </c>
      <c r="P2041">
        <v>605</v>
      </c>
      <c r="Q2041" t="s">
        <v>34</v>
      </c>
      <c r="X2041" t="s">
        <v>3482</v>
      </c>
    </row>
    <row r="2042" spans="1:24" x14ac:dyDescent="0.25">
      <c r="A2042">
        <v>2038</v>
      </c>
      <c r="B2042" t="s">
        <v>28</v>
      </c>
      <c r="C2042" t="s">
        <v>25</v>
      </c>
      <c r="D2042">
        <v>14</v>
      </c>
      <c r="E2042" t="s">
        <v>65</v>
      </c>
      <c r="F2042" t="s">
        <v>492</v>
      </c>
      <c r="G2042">
        <v>3475</v>
      </c>
      <c r="H2042" t="s">
        <v>2104</v>
      </c>
      <c r="I2042" t="s">
        <v>2105</v>
      </c>
      <c r="J2042">
        <v>8</v>
      </c>
      <c r="K2042">
        <v>1</v>
      </c>
      <c r="L2042">
        <v>4.8032407407407407E-3</v>
      </c>
      <c r="M2042" t="s">
        <v>778</v>
      </c>
      <c r="N2042" t="s">
        <v>1422</v>
      </c>
      <c r="O2042" s="24">
        <v>46133</v>
      </c>
      <c r="P2042">
        <v>605</v>
      </c>
      <c r="Q2042" t="s">
        <v>34</v>
      </c>
      <c r="X2042" t="s">
        <v>3482</v>
      </c>
    </row>
    <row r="2043" spans="1:24" x14ac:dyDescent="0.25">
      <c r="A2043">
        <v>2039</v>
      </c>
      <c r="B2043" t="s">
        <v>28</v>
      </c>
      <c r="C2043" t="s">
        <v>25</v>
      </c>
      <c r="D2043">
        <v>14</v>
      </c>
      <c r="E2043" t="s">
        <v>65</v>
      </c>
      <c r="F2043" t="s">
        <v>1598</v>
      </c>
      <c r="G2043">
        <v>3475</v>
      </c>
      <c r="H2043" t="s">
        <v>2106</v>
      </c>
      <c r="I2043" t="s">
        <v>2107</v>
      </c>
      <c r="J2043">
        <v>8</v>
      </c>
      <c r="K2043">
        <v>1</v>
      </c>
      <c r="L2043">
        <v>4.6759259259259254E-3</v>
      </c>
      <c r="M2043" t="s">
        <v>778</v>
      </c>
      <c r="N2043" t="s">
        <v>1422</v>
      </c>
      <c r="O2043" s="24">
        <v>46133</v>
      </c>
      <c r="P2043">
        <v>605</v>
      </c>
      <c r="Q2043" t="s">
        <v>34</v>
      </c>
      <c r="X2043" t="s">
        <v>3482</v>
      </c>
    </row>
    <row r="2044" spans="1:24" x14ac:dyDescent="0.25">
      <c r="A2044">
        <v>2040</v>
      </c>
      <c r="B2044" t="s">
        <v>28</v>
      </c>
      <c r="C2044" t="s">
        <v>25</v>
      </c>
      <c r="D2044">
        <v>14</v>
      </c>
      <c r="E2044" t="s">
        <v>65</v>
      </c>
      <c r="F2044" t="s">
        <v>1599</v>
      </c>
      <c r="G2044">
        <v>3475</v>
      </c>
      <c r="H2044" t="s">
        <v>2108</v>
      </c>
      <c r="I2044" t="s">
        <v>2107</v>
      </c>
      <c r="J2044">
        <v>8</v>
      </c>
      <c r="K2044">
        <v>1</v>
      </c>
      <c r="L2044">
        <v>4.6759259259259254E-3</v>
      </c>
      <c r="M2044" t="s">
        <v>778</v>
      </c>
      <c r="N2044" t="s">
        <v>1422</v>
      </c>
      <c r="O2044" s="24">
        <v>46133</v>
      </c>
      <c r="P2044">
        <v>605</v>
      </c>
      <c r="Q2044" t="s">
        <v>34</v>
      </c>
      <c r="X2044" t="s">
        <v>3482</v>
      </c>
    </row>
    <row r="2045" spans="1:24" x14ac:dyDescent="0.25">
      <c r="A2045">
        <v>2041</v>
      </c>
      <c r="B2045" t="s">
        <v>28</v>
      </c>
      <c r="C2045" t="s">
        <v>25</v>
      </c>
      <c r="D2045">
        <v>14</v>
      </c>
      <c r="E2045" t="s">
        <v>65</v>
      </c>
      <c r="F2045" t="s">
        <v>492</v>
      </c>
      <c r="G2045">
        <v>3476</v>
      </c>
      <c r="H2045" t="s">
        <v>496</v>
      </c>
      <c r="I2045" t="s">
        <v>494</v>
      </c>
      <c r="J2045">
        <v>8</v>
      </c>
      <c r="K2045">
        <v>1</v>
      </c>
      <c r="L2045">
        <v>6.9444444444444441E-3</v>
      </c>
      <c r="M2045" t="s">
        <v>778</v>
      </c>
      <c r="N2045" t="s">
        <v>1422</v>
      </c>
      <c r="O2045" s="24">
        <v>46133</v>
      </c>
      <c r="P2045">
        <v>605</v>
      </c>
      <c r="Q2045" t="s">
        <v>34</v>
      </c>
      <c r="X2045" t="s">
        <v>3483</v>
      </c>
    </row>
    <row r="2046" spans="1:24" x14ac:dyDescent="0.25">
      <c r="A2046">
        <v>2042</v>
      </c>
      <c r="B2046" t="s">
        <v>28</v>
      </c>
      <c r="C2046" t="s">
        <v>25</v>
      </c>
      <c r="D2046">
        <v>14</v>
      </c>
      <c r="E2046" t="s">
        <v>1665</v>
      </c>
      <c r="F2046" t="s">
        <v>498</v>
      </c>
      <c r="G2046">
        <v>3487</v>
      </c>
      <c r="H2046" t="s">
        <v>2110</v>
      </c>
      <c r="I2046" t="s">
        <v>2111</v>
      </c>
      <c r="J2046">
        <v>8</v>
      </c>
      <c r="K2046">
        <v>12</v>
      </c>
      <c r="L2046">
        <v>6.6666666666666662E-3</v>
      </c>
      <c r="M2046" t="s">
        <v>778</v>
      </c>
      <c r="N2046" t="s">
        <v>1337</v>
      </c>
      <c r="O2046" s="24">
        <v>46136</v>
      </c>
      <c r="P2046">
        <v>605</v>
      </c>
      <c r="Q2046" t="s">
        <v>34</v>
      </c>
      <c r="X2046" t="s">
        <v>3484</v>
      </c>
    </row>
    <row r="2047" spans="1:24" x14ac:dyDescent="0.25">
      <c r="A2047">
        <v>2043</v>
      </c>
      <c r="B2047" t="s">
        <v>28</v>
      </c>
      <c r="C2047" t="s">
        <v>25</v>
      </c>
      <c r="D2047">
        <v>14</v>
      </c>
      <c r="E2047" t="s">
        <v>1665</v>
      </c>
      <c r="F2047" t="s">
        <v>115</v>
      </c>
      <c r="G2047">
        <v>3487</v>
      </c>
      <c r="H2047" t="s">
        <v>2113</v>
      </c>
      <c r="I2047" t="s">
        <v>2111</v>
      </c>
      <c r="J2047">
        <v>8</v>
      </c>
      <c r="K2047">
        <v>2</v>
      </c>
      <c r="L2047">
        <v>1.1111111111111111E-3</v>
      </c>
      <c r="M2047" t="s">
        <v>778</v>
      </c>
      <c r="N2047" t="s">
        <v>1337</v>
      </c>
      <c r="O2047" s="24">
        <v>46136</v>
      </c>
      <c r="P2047">
        <v>605</v>
      </c>
      <c r="Q2047" t="s">
        <v>34</v>
      </c>
      <c r="X2047" t="s">
        <v>3484</v>
      </c>
    </row>
    <row r="2048" spans="1:24" x14ac:dyDescent="0.25">
      <c r="A2048">
        <v>2044</v>
      </c>
      <c r="B2048" t="s">
        <v>28</v>
      </c>
      <c r="C2048" t="s">
        <v>25</v>
      </c>
      <c r="D2048">
        <v>14</v>
      </c>
      <c r="E2048" t="s">
        <v>1672</v>
      </c>
      <c r="F2048" t="s">
        <v>115</v>
      </c>
      <c r="G2048">
        <v>3487</v>
      </c>
      <c r="H2048" t="s">
        <v>2087</v>
      </c>
      <c r="I2048" t="s">
        <v>2088</v>
      </c>
      <c r="J2048">
        <v>8</v>
      </c>
      <c r="K2048">
        <v>1</v>
      </c>
      <c r="L2048">
        <v>7.7546296296296293E-4</v>
      </c>
      <c r="M2048" t="s">
        <v>778</v>
      </c>
      <c r="N2048" t="s">
        <v>1337</v>
      </c>
      <c r="O2048" s="24">
        <v>46136</v>
      </c>
      <c r="P2048">
        <v>605</v>
      </c>
      <c r="Q2048" t="s">
        <v>34</v>
      </c>
      <c r="X2048" t="s">
        <v>3484</v>
      </c>
    </row>
    <row r="2049" spans="1:24" x14ac:dyDescent="0.25">
      <c r="A2049">
        <v>2045</v>
      </c>
      <c r="B2049" t="s">
        <v>28</v>
      </c>
      <c r="C2049" t="s">
        <v>25</v>
      </c>
      <c r="D2049">
        <v>14</v>
      </c>
      <c r="E2049" t="s">
        <v>367</v>
      </c>
      <c r="F2049" t="s">
        <v>368</v>
      </c>
      <c r="G2049">
        <v>3487</v>
      </c>
      <c r="H2049" t="s">
        <v>2114</v>
      </c>
      <c r="I2049" t="s">
        <v>2097</v>
      </c>
      <c r="J2049">
        <v>8</v>
      </c>
      <c r="K2049">
        <v>2</v>
      </c>
      <c r="L2049">
        <v>1.2152777777777778E-3</v>
      </c>
      <c r="M2049" t="s">
        <v>778</v>
      </c>
      <c r="N2049" t="s">
        <v>1337</v>
      </c>
      <c r="O2049" s="24">
        <v>46136</v>
      </c>
      <c r="P2049">
        <v>605</v>
      </c>
      <c r="Q2049" t="s">
        <v>34</v>
      </c>
      <c r="X2049" t="s">
        <v>3484</v>
      </c>
    </row>
    <row r="2050" spans="1:24" x14ac:dyDescent="0.25">
      <c r="A2050">
        <v>2046</v>
      </c>
      <c r="B2050" t="s">
        <v>28</v>
      </c>
      <c r="C2050" t="s">
        <v>25</v>
      </c>
      <c r="D2050">
        <v>14</v>
      </c>
      <c r="E2050" t="s">
        <v>65</v>
      </c>
      <c r="F2050" t="s">
        <v>368</v>
      </c>
      <c r="G2050">
        <v>3487</v>
      </c>
      <c r="H2050" t="s">
        <v>2115</v>
      </c>
      <c r="I2050" t="s">
        <v>2116</v>
      </c>
      <c r="J2050">
        <v>8</v>
      </c>
      <c r="K2050">
        <v>6</v>
      </c>
      <c r="L2050">
        <v>1.298611111111111E-2</v>
      </c>
      <c r="M2050" t="s">
        <v>778</v>
      </c>
      <c r="N2050" t="s">
        <v>1337</v>
      </c>
      <c r="O2050" s="24">
        <v>46136</v>
      </c>
      <c r="P2050">
        <v>605</v>
      </c>
      <c r="Q2050" t="s">
        <v>34</v>
      </c>
      <c r="X2050" t="s">
        <v>3484</v>
      </c>
    </row>
    <row r="2051" spans="1:24" x14ac:dyDescent="0.25">
      <c r="A2051">
        <v>2047</v>
      </c>
      <c r="B2051" t="s">
        <v>28</v>
      </c>
      <c r="C2051" t="s">
        <v>25</v>
      </c>
      <c r="D2051">
        <v>14</v>
      </c>
      <c r="E2051" t="s">
        <v>50</v>
      </c>
      <c r="F2051" t="s">
        <v>44</v>
      </c>
      <c r="G2051">
        <v>3497</v>
      </c>
      <c r="H2051" t="s">
        <v>48</v>
      </c>
      <c r="I2051" t="s">
        <v>1119</v>
      </c>
      <c r="J2051">
        <v>8</v>
      </c>
      <c r="K2051">
        <v>23</v>
      </c>
      <c r="L2051">
        <v>2.8287037037037034E-2</v>
      </c>
      <c r="M2051" t="s">
        <v>3079</v>
      </c>
      <c r="X2051" t="s">
        <v>3485</v>
      </c>
    </row>
    <row r="2052" spans="1:24" x14ac:dyDescent="0.25">
      <c r="A2052">
        <v>2048</v>
      </c>
      <c r="B2052" t="s">
        <v>28</v>
      </c>
      <c r="C2052" t="s">
        <v>25</v>
      </c>
      <c r="D2052">
        <v>14</v>
      </c>
      <c r="E2052" t="s">
        <v>51</v>
      </c>
      <c r="F2052" t="s">
        <v>44</v>
      </c>
      <c r="G2052">
        <v>3498</v>
      </c>
      <c r="H2052" t="s">
        <v>48</v>
      </c>
      <c r="I2052" t="s">
        <v>1119</v>
      </c>
      <c r="J2052">
        <v>8</v>
      </c>
      <c r="K2052">
        <v>23</v>
      </c>
      <c r="L2052">
        <v>2.8287037037037034E-2</v>
      </c>
      <c r="M2052" t="s">
        <v>3079</v>
      </c>
      <c r="X2052" t="s">
        <v>3486</v>
      </c>
    </row>
    <row r="2053" spans="1:24" x14ac:dyDescent="0.25">
      <c r="A2053">
        <v>2049</v>
      </c>
      <c r="B2053" t="s">
        <v>28</v>
      </c>
      <c r="C2053" t="s">
        <v>25</v>
      </c>
      <c r="D2053">
        <v>14</v>
      </c>
      <c r="E2053" t="s">
        <v>51</v>
      </c>
      <c r="F2053" t="s">
        <v>44</v>
      </c>
      <c r="G2053">
        <v>3499</v>
      </c>
      <c r="H2053" t="s">
        <v>48</v>
      </c>
      <c r="I2053" t="s">
        <v>1119</v>
      </c>
      <c r="J2053">
        <v>8</v>
      </c>
      <c r="K2053">
        <v>23</v>
      </c>
      <c r="L2053">
        <v>2.8287037037037034E-2</v>
      </c>
      <c r="M2053" t="s">
        <v>3079</v>
      </c>
      <c r="X2053" t="s">
        <v>3487</v>
      </c>
    </row>
    <row r="2054" spans="1:24" x14ac:dyDescent="0.25">
      <c r="A2054">
        <v>2050</v>
      </c>
      <c r="B2054" t="s">
        <v>28</v>
      </c>
      <c r="C2054" t="s">
        <v>25</v>
      </c>
      <c r="D2054">
        <v>14</v>
      </c>
      <c r="E2054" t="s">
        <v>51</v>
      </c>
      <c r="F2054" t="s">
        <v>44</v>
      </c>
      <c r="G2054">
        <v>3500</v>
      </c>
      <c r="H2054" t="s">
        <v>48</v>
      </c>
      <c r="I2054" t="s">
        <v>1119</v>
      </c>
      <c r="J2054">
        <v>8</v>
      </c>
      <c r="K2054">
        <v>23</v>
      </c>
      <c r="L2054">
        <v>2.8287037037037034E-2</v>
      </c>
      <c r="M2054" t="s">
        <v>3079</v>
      </c>
      <c r="X2054" t="s">
        <v>3488</v>
      </c>
    </row>
    <row r="2055" spans="1:24" x14ac:dyDescent="0.25">
      <c r="A2055">
        <v>2051</v>
      </c>
      <c r="B2055" t="s">
        <v>28</v>
      </c>
      <c r="C2055" t="s">
        <v>25</v>
      </c>
      <c r="D2055">
        <v>14</v>
      </c>
      <c r="E2055" t="s">
        <v>51</v>
      </c>
      <c r="F2055" t="s">
        <v>44</v>
      </c>
      <c r="G2055">
        <v>3501</v>
      </c>
      <c r="H2055" t="s">
        <v>48</v>
      </c>
      <c r="I2055" t="s">
        <v>1119</v>
      </c>
      <c r="J2055">
        <v>8</v>
      </c>
      <c r="K2055">
        <v>23</v>
      </c>
      <c r="L2055">
        <v>2.8287037037037034E-2</v>
      </c>
      <c r="M2055" t="s">
        <v>3079</v>
      </c>
      <c r="X2055" t="s">
        <v>3489</v>
      </c>
    </row>
    <row r="2056" spans="1:24" x14ac:dyDescent="0.25">
      <c r="A2056">
        <v>2052</v>
      </c>
      <c r="B2056" t="s">
        <v>28</v>
      </c>
      <c r="C2056" t="s">
        <v>25</v>
      </c>
      <c r="D2056">
        <v>14</v>
      </c>
      <c r="E2056" t="s">
        <v>52</v>
      </c>
      <c r="F2056" t="s">
        <v>44</v>
      </c>
      <c r="G2056">
        <v>3502</v>
      </c>
      <c r="H2056" t="s">
        <v>48</v>
      </c>
      <c r="I2056" t="s">
        <v>1119</v>
      </c>
      <c r="J2056">
        <v>8</v>
      </c>
      <c r="K2056">
        <v>23</v>
      </c>
      <c r="L2056">
        <v>2.8287037037037034E-2</v>
      </c>
      <c r="M2056" t="s">
        <v>3079</v>
      </c>
      <c r="X2056" t="s">
        <v>3490</v>
      </c>
    </row>
    <row r="2057" spans="1:24" x14ac:dyDescent="0.25">
      <c r="A2057">
        <v>2053</v>
      </c>
      <c r="B2057" t="s">
        <v>28</v>
      </c>
      <c r="C2057" t="s">
        <v>25</v>
      </c>
      <c r="D2057">
        <v>14</v>
      </c>
      <c r="E2057" t="s">
        <v>53</v>
      </c>
      <c r="F2057" t="s">
        <v>44</v>
      </c>
      <c r="G2057">
        <v>3503</v>
      </c>
      <c r="H2057" t="s">
        <v>48</v>
      </c>
      <c r="I2057" t="s">
        <v>1119</v>
      </c>
      <c r="J2057">
        <v>8</v>
      </c>
      <c r="K2057">
        <v>23</v>
      </c>
      <c r="L2057">
        <v>2.8287037037037034E-2</v>
      </c>
      <c r="M2057" t="s">
        <v>3079</v>
      </c>
      <c r="X2057" t="s">
        <v>3491</v>
      </c>
    </row>
    <row r="2058" spans="1:24" x14ac:dyDescent="0.25">
      <c r="A2058">
        <v>2054</v>
      </c>
      <c r="B2058" t="s">
        <v>28</v>
      </c>
      <c r="C2058" t="s">
        <v>25</v>
      </c>
      <c r="D2058">
        <v>14</v>
      </c>
      <c r="E2058" t="s">
        <v>53</v>
      </c>
      <c r="F2058" t="s">
        <v>44</v>
      </c>
      <c r="G2058">
        <v>3504</v>
      </c>
      <c r="H2058" t="s">
        <v>48</v>
      </c>
      <c r="I2058" t="s">
        <v>1119</v>
      </c>
      <c r="J2058">
        <v>8</v>
      </c>
      <c r="K2058">
        <v>23</v>
      </c>
      <c r="L2058">
        <v>2.8287037037037034E-2</v>
      </c>
      <c r="M2058" t="s">
        <v>3079</v>
      </c>
      <c r="X2058" t="s">
        <v>3492</v>
      </c>
    </row>
    <row r="2059" spans="1:24" x14ac:dyDescent="0.25">
      <c r="A2059">
        <v>2055</v>
      </c>
      <c r="B2059" t="s">
        <v>28</v>
      </c>
      <c r="C2059" t="s">
        <v>25</v>
      </c>
      <c r="D2059">
        <v>14</v>
      </c>
      <c r="E2059" t="s">
        <v>53</v>
      </c>
      <c r="F2059" t="s">
        <v>44</v>
      </c>
      <c r="G2059">
        <v>3505</v>
      </c>
      <c r="H2059" t="s">
        <v>48</v>
      </c>
      <c r="I2059" t="s">
        <v>1119</v>
      </c>
      <c r="J2059">
        <v>8</v>
      </c>
      <c r="K2059">
        <v>23</v>
      </c>
      <c r="L2059">
        <v>3.3009259259259259E-2</v>
      </c>
      <c r="M2059" t="s">
        <v>3079</v>
      </c>
      <c r="X2059" t="s">
        <v>3493</v>
      </c>
    </row>
    <row r="2060" spans="1:24" x14ac:dyDescent="0.25">
      <c r="A2060">
        <v>2056</v>
      </c>
      <c r="B2060" t="s">
        <v>28</v>
      </c>
      <c r="C2060" t="s">
        <v>25</v>
      </c>
      <c r="D2060">
        <v>14</v>
      </c>
      <c r="E2060" t="s">
        <v>53</v>
      </c>
      <c r="F2060" t="s">
        <v>44</v>
      </c>
      <c r="G2060">
        <v>3506</v>
      </c>
      <c r="H2060" t="s">
        <v>48</v>
      </c>
      <c r="I2060" t="s">
        <v>1119</v>
      </c>
      <c r="J2060">
        <v>8</v>
      </c>
      <c r="K2060">
        <v>23</v>
      </c>
      <c r="L2060">
        <v>3.3009259259259259E-2</v>
      </c>
      <c r="M2060" t="s">
        <v>3079</v>
      </c>
      <c r="X2060" t="s">
        <v>3494</v>
      </c>
    </row>
    <row r="2061" spans="1:24" x14ac:dyDescent="0.25">
      <c r="A2061">
        <v>2057</v>
      </c>
      <c r="B2061" t="s">
        <v>28</v>
      </c>
      <c r="C2061" t="s">
        <v>25</v>
      </c>
      <c r="D2061">
        <v>14</v>
      </c>
      <c r="E2061" t="s">
        <v>53</v>
      </c>
      <c r="F2061" t="s">
        <v>44</v>
      </c>
      <c r="G2061">
        <v>3507</v>
      </c>
      <c r="H2061" t="s">
        <v>48</v>
      </c>
      <c r="I2061" t="s">
        <v>1119</v>
      </c>
      <c r="J2061">
        <v>8</v>
      </c>
      <c r="K2061">
        <v>23</v>
      </c>
      <c r="L2061">
        <v>3.3009259259259259E-2</v>
      </c>
      <c r="M2061" t="s">
        <v>3079</v>
      </c>
      <c r="X2061" t="s">
        <v>3495</v>
      </c>
    </row>
    <row r="2062" spans="1:24" x14ac:dyDescent="0.25">
      <c r="A2062">
        <v>2058</v>
      </c>
      <c r="B2062" t="s">
        <v>28</v>
      </c>
      <c r="C2062" t="s">
        <v>25</v>
      </c>
      <c r="D2062">
        <v>14</v>
      </c>
      <c r="E2062" t="s">
        <v>57</v>
      </c>
      <c r="F2062" t="s">
        <v>44</v>
      </c>
      <c r="G2062">
        <v>3508</v>
      </c>
      <c r="H2062" t="s">
        <v>48</v>
      </c>
      <c r="I2062" t="s">
        <v>1119</v>
      </c>
      <c r="J2062">
        <v>8</v>
      </c>
      <c r="K2062">
        <v>23</v>
      </c>
      <c r="L2062">
        <v>3.3009259259259259E-2</v>
      </c>
      <c r="M2062" t="s">
        <v>3079</v>
      </c>
      <c r="X2062" t="s">
        <v>3496</v>
      </c>
    </row>
    <row r="2063" spans="1:24" x14ac:dyDescent="0.25">
      <c r="A2063">
        <v>2059</v>
      </c>
      <c r="B2063" t="s">
        <v>28</v>
      </c>
      <c r="C2063" t="s">
        <v>25</v>
      </c>
      <c r="D2063">
        <v>14</v>
      </c>
      <c r="E2063" t="s">
        <v>58</v>
      </c>
      <c r="F2063" t="s">
        <v>44</v>
      </c>
      <c r="G2063">
        <v>3509</v>
      </c>
      <c r="H2063" t="s">
        <v>48</v>
      </c>
      <c r="I2063" t="s">
        <v>1119</v>
      </c>
      <c r="J2063">
        <v>8</v>
      </c>
      <c r="K2063">
        <v>23</v>
      </c>
      <c r="L2063">
        <v>3.3009259259259259E-2</v>
      </c>
      <c r="M2063" t="s">
        <v>3079</v>
      </c>
      <c r="X2063" t="s">
        <v>3497</v>
      </c>
    </row>
    <row r="2064" spans="1:24" x14ac:dyDescent="0.25">
      <c r="A2064">
        <v>2060</v>
      </c>
      <c r="B2064" t="s">
        <v>28</v>
      </c>
      <c r="C2064" t="s">
        <v>25</v>
      </c>
      <c r="D2064">
        <v>14</v>
      </c>
      <c r="E2064" t="s">
        <v>58</v>
      </c>
      <c r="F2064" t="s">
        <v>44</v>
      </c>
      <c r="G2064">
        <v>3510</v>
      </c>
      <c r="H2064" t="s">
        <v>48</v>
      </c>
      <c r="I2064" t="s">
        <v>1119</v>
      </c>
      <c r="J2064">
        <v>8</v>
      </c>
      <c r="K2064">
        <v>23</v>
      </c>
      <c r="L2064">
        <v>3.3009259259259259E-2</v>
      </c>
      <c r="M2064" t="s">
        <v>3079</v>
      </c>
      <c r="X2064" t="s">
        <v>3498</v>
      </c>
    </row>
    <row r="2065" spans="1:24" x14ac:dyDescent="0.25">
      <c r="A2065">
        <v>2061</v>
      </c>
      <c r="B2065" t="s">
        <v>28</v>
      </c>
      <c r="C2065" t="s">
        <v>25</v>
      </c>
      <c r="D2065">
        <v>14</v>
      </c>
      <c r="E2065" t="s">
        <v>58</v>
      </c>
      <c r="F2065" t="s">
        <v>44</v>
      </c>
      <c r="G2065">
        <v>3511</v>
      </c>
      <c r="H2065" t="s">
        <v>48</v>
      </c>
      <c r="I2065" t="s">
        <v>1119</v>
      </c>
      <c r="J2065">
        <v>8</v>
      </c>
      <c r="K2065">
        <v>23</v>
      </c>
      <c r="L2065">
        <v>3.3009259259259259E-2</v>
      </c>
      <c r="M2065" t="s">
        <v>3079</v>
      </c>
      <c r="X2065" t="s">
        <v>3499</v>
      </c>
    </row>
    <row r="2066" spans="1:24" x14ac:dyDescent="0.25">
      <c r="A2066">
        <v>2062</v>
      </c>
      <c r="B2066" t="s">
        <v>28</v>
      </c>
      <c r="C2066" t="s">
        <v>25</v>
      </c>
      <c r="D2066">
        <v>14</v>
      </c>
      <c r="E2066" t="s">
        <v>129</v>
      </c>
      <c r="F2066" t="s">
        <v>115</v>
      </c>
      <c r="G2066">
        <v>3798</v>
      </c>
      <c r="H2066" t="s">
        <v>82</v>
      </c>
      <c r="I2066" t="s">
        <v>119</v>
      </c>
      <c r="J2066">
        <v>8</v>
      </c>
      <c r="K2066">
        <v>1</v>
      </c>
      <c r="L2066">
        <v>6.9212962962962961E-3</v>
      </c>
      <c r="M2066" t="s">
        <v>778</v>
      </c>
      <c r="N2066" t="s">
        <v>69</v>
      </c>
      <c r="O2066" s="24">
        <v>46139</v>
      </c>
      <c r="P2066">
        <v>603</v>
      </c>
      <c r="Q2066" t="s">
        <v>34</v>
      </c>
      <c r="X2066" t="s">
        <v>3500</v>
      </c>
    </row>
    <row r="2067" spans="1:24" x14ac:dyDescent="0.25">
      <c r="A2067">
        <v>2063</v>
      </c>
      <c r="B2067" t="s">
        <v>28</v>
      </c>
      <c r="C2067" t="s">
        <v>25</v>
      </c>
      <c r="D2067">
        <v>14</v>
      </c>
      <c r="E2067" t="s">
        <v>131</v>
      </c>
      <c r="F2067" t="s">
        <v>115</v>
      </c>
      <c r="G2067">
        <v>3800</v>
      </c>
      <c r="H2067" t="s">
        <v>83</v>
      </c>
      <c r="I2067" t="s">
        <v>119</v>
      </c>
      <c r="J2067">
        <v>8</v>
      </c>
      <c r="K2067">
        <v>1</v>
      </c>
      <c r="L2067">
        <v>6.9212962962962961E-3</v>
      </c>
      <c r="M2067" t="s">
        <v>778</v>
      </c>
      <c r="N2067" t="s">
        <v>69</v>
      </c>
      <c r="O2067" s="24">
        <v>46139</v>
      </c>
      <c r="P2067">
        <v>603</v>
      </c>
      <c r="Q2067" t="s">
        <v>34</v>
      </c>
      <c r="X2067" t="s">
        <v>3501</v>
      </c>
    </row>
    <row r="2068" spans="1:24" x14ac:dyDescent="0.25">
      <c r="A2068">
        <v>2064</v>
      </c>
      <c r="B2068" t="s">
        <v>28</v>
      </c>
      <c r="C2068" t="s">
        <v>25</v>
      </c>
      <c r="D2068">
        <v>14</v>
      </c>
      <c r="E2068" t="s">
        <v>131</v>
      </c>
      <c r="F2068" t="s">
        <v>498</v>
      </c>
      <c r="G2068">
        <v>3802</v>
      </c>
      <c r="H2068" t="s">
        <v>499</v>
      </c>
      <c r="I2068" t="s">
        <v>500</v>
      </c>
      <c r="J2068">
        <v>8</v>
      </c>
      <c r="K2068">
        <v>1</v>
      </c>
      <c r="L2068">
        <v>6.875E-3</v>
      </c>
      <c r="M2068" t="s">
        <v>778</v>
      </c>
      <c r="N2068" t="s">
        <v>1525</v>
      </c>
      <c r="O2068" s="24">
        <v>46140</v>
      </c>
      <c r="P2068">
        <v>603</v>
      </c>
      <c r="Q2068" t="s">
        <v>34</v>
      </c>
      <c r="X2068" t="s">
        <v>3502</v>
      </c>
    </row>
    <row r="2069" spans="1:24" x14ac:dyDescent="0.25">
      <c r="A2069">
        <v>2065</v>
      </c>
      <c r="B2069" t="s">
        <v>28</v>
      </c>
      <c r="C2069" t="s">
        <v>25</v>
      </c>
      <c r="D2069">
        <v>14</v>
      </c>
      <c r="E2069" t="s">
        <v>114</v>
      </c>
      <c r="F2069" t="s">
        <v>498</v>
      </c>
      <c r="G2069">
        <v>3816</v>
      </c>
      <c r="H2069" t="s">
        <v>502</v>
      </c>
      <c r="I2069" t="s">
        <v>500</v>
      </c>
      <c r="J2069">
        <v>8</v>
      </c>
      <c r="K2069">
        <v>1</v>
      </c>
      <c r="L2069">
        <v>6.875E-3</v>
      </c>
      <c r="M2069" t="s">
        <v>778</v>
      </c>
      <c r="N2069" t="s">
        <v>1525</v>
      </c>
      <c r="O2069" s="24">
        <v>46140</v>
      </c>
      <c r="P2069">
        <v>603</v>
      </c>
      <c r="Q2069" t="s">
        <v>34</v>
      </c>
      <c r="X2069" t="s">
        <v>3503</v>
      </c>
    </row>
    <row r="2070" spans="1:24" x14ac:dyDescent="0.25">
      <c r="A2070">
        <v>2066</v>
      </c>
      <c r="B2070" t="s">
        <v>28</v>
      </c>
      <c r="C2070" t="s">
        <v>25</v>
      </c>
      <c r="D2070">
        <v>14</v>
      </c>
      <c r="E2070" t="s">
        <v>129</v>
      </c>
      <c r="F2070" t="s">
        <v>498</v>
      </c>
      <c r="G2070">
        <v>3819</v>
      </c>
      <c r="H2070" t="s">
        <v>504</v>
      </c>
      <c r="I2070" t="s">
        <v>505</v>
      </c>
      <c r="J2070">
        <v>8</v>
      </c>
      <c r="K2070">
        <v>1</v>
      </c>
      <c r="L2070">
        <v>6.8402777777777776E-3</v>
      </c>
      <c r="M2070" t="s">
        <v>778</v>
      </c>
      <c r="N2070" t="s">
        <v>1525</v>
      </c>
      <c r="O2070" s="24">
        <v>46140</v>
      </c>
      <c r="P2070">
        <v>603</v>
      </c>
      <c r="Q2070" t="s">
        <v>34</v>
      </c>
      <c r="X2070" t="s">
        <v>3504</v>
      </c>
    </row>
    <row r="2071" spans="1:24" x14ac:dyDescent="0.25">
      <c r="A2071">
        <v>2067</v>
      </c>
      <c r="B2071" t="s">
        <v>28</v>
      </c>
      <c r="C2071" t="s">
        <v>25</v>
      </c>
      <c r="D2071">
        <v>14</v>
      </c>
      <c r="E2071" t="s">
        <v>147</v>
      </c>
      <c r="F2071" t="s">
        <v>115</v>
      </c>
      <c r="G2071">
        <v>3980</v>
      </c>
      <c r="H2071" t="s">
        <v>2137</v>
      </c>
      <c r="I2071" t="s">
        <v>2138</v>
      </c>
      <c r="J2071">
        <v>8</v>
      </c>
      <c r="K2071">
        <v>1</v>
      </c>
      <c r="L2071">
        <v>6.122685185185185E-3</v>
      </c>
      <c r="M2071" t="s">
        <v>778</v>
      </c>
      <c r="N2071" t="s">
        <v>1337</v>
      </c>
      <c r="O2071" s="24">
        <v>46136</v>
      </c>
      <c r="P2071">
        <v>605</v>
      </c>
      <c r="Q2071" t="s">
        <v>34</v>
      </c>
      <c r="X2071" t="s">
        <v>3505</v>
      </c>
    </row>
    <row r="2072" spans="1:24" x14ac:dyDescent="0.25">
      <c r="A2072">
        <v>2068</v>
      </c>
      <c r="B2072" t="s">
        <v>28</v>
      </c>
      <c r="C2072" t="s">
        <v>25</v>
      </c>
      <c r="D2072">
        <v>14</v>
      </c>
      <c r="E2072" t="s">
        <v>65</v>
      </c>
      <c r="F2072" t="s">
        <v>1591</v>
      </c>
      <c r="G2072">
        <v>4465</v>
      </c>
      <c r="H2072" t="s">
        <v>2140</v>
      </c>
      <c r="I2072" t="s">
        <v>2141</v>
      </c>
      <c r="J2072">
        <v>19</v>
      </c>
      <c r="K2072">
        <v>1</v>
      </c>
      <c r="L2072">
        <v>4.6296296296296293E-4</v>
      </c>
      <c r="M2072" t="s">
        <v>778</v>
      </c>
      <c r="N2072" t="s">
        <v>1316</v>
      </c>
      <c r="O2072" s="24">
        <v>46132</v>
      </c>
      <c r="P2072">
        <v>606</v>
      </c>
      <c r="Q2072" t="s">
        <v>34</v>
      </c>
      <c r="X2072" t="s">
        <v>3440</v>
      </c>
    </row>
    <row r="2073" spans="1:24" x14ac:dyDescent="0.25">
      <c r="A2073">
        <v>2069</v>
      </c>
      <c r="B2073" t="s">
        <v>28</v>
      </c>
      <c r="C2073" t="s">
        <v>25</v>
      </c>
      <c r="D2073">
        <v>14</v>
      </c>
      <c r="E2073" t="s">
        <v>65</v>
      </c>
      <c r="F2073" t="s">
        <v>1589</v>
      </c>
      <c r="G2073">
        <v>4465</v>
      </c>
      <c r="H2073" t="s">
        <v>2142</v>
      </c>
      <c r="I2073" t="s">
        <v>2143</v>
      </c>
      <c r="J2073">
        <v>19</v>
      </c>
      <c r="K2073">
        <v>5</v>
      </c>
      <c r="L2073">
        <v>2.3611111111111111E-3</v>
      </c>
      <c r="M2073" t="s">
        <v>778</v>
      </c>
      <c r="N2073" t="s">
        <v>1316</v>
      </c>
      <c r="O2073" s="24">
        <v>46132</v>
      </c>
      <c r="P2073">
        <v>606</v>
      </c>
      <c r="Q2073" t="s">
        <v>34</v>
      </c>
      <c r="X2073" t="s">
        <v>3440</v>
      </c>
    </row>
    <row r="2074" spans="1:24" x14ac:dyDescent="0.25">
      <c r="A2074">
        <v>2070</v>
      </c>
      <c r="B2074" t="s">
        <v>28</v>
      </c>
      <c r="C2074" t="s">
        <v>25</v>
      </c>
      <c r="D2074">
        <v>14</v>
      </c>
      <c r="E2074" t="s">
        <v>65</v>
      </c>
      <c r="F2074" t="s">
        <v>1591</v>
      </c>
      <c r="G2074">
        <v>4465</v>
      </c>
      <c r="H2074" t="s">
        <v>2144</v>
      </c>
      <c r="I2074" t="s">
        <v>1616</v>
      </c>
      <c r="J2074">
        <v>19</v>
      </c>
      <c r="K2074">
        <v>5</v>
      </c>
      <c r="L2074">
        <v>3.5069444444444445E-3</v>
      </c>
      <c r="M2074" t="s">
        <v>778</v>
      </c>
      <c r="N2074" t="s">
        <v>1316</v>
      </c>
      <c r="O2074" s="24">
        <v>46132</v>
      </c>
      <c r="P2074">
        <v>606</v>
      </c>
      <c r="Q2074" t="s">
        <v>34</v>
      </c>
      <c r="X2074" t="s">
        <v>3440</v>
      </c>
    </row>
    <row r="2075" spans="1:24" x14ac:dyDescent="0.25">
      <c r="A2075">
        <v>2071</v>
      </c>
      <c r="B2075" t="s">
        <v>28</v>
      </c>
      <c r="C2075" t="s">
        <v>25</v>
      </c>
      <c r="D2075">
        <v>14</v>
      </c>
      <c r="E2075" t="s">
        <v>65</v>
      </c>
      <c r="F2075" t="s">
        <v>1591</v>
      </c>
      <c r="G2075">
        <v>4465</v>
      </c>
      <c r="H2075" t="s">
        <v>2145</v>
      </c>
      <c r="I2075" t="s">
        <v>2146</v>
      </c>
      <c r="J2075">
        <v>19</v>
      </c>
      <c r="K2075">
        <v>5</v>
      </c>
      <c r="L2075">
        <v>2.9629629629629628E-3</v>
      </c>
      <c r="M2075" t="s">
        <v>778</v>
      </c>
      <c r="N2075" t="s">
        <v>1316</v>
      </c>
      <c r="O2075" s="24">
        <v>46132</v>
      </c>
      <c r="P2075">
        <v>606</v>
      </c>
      <c r="Q2075" t="s">
        <v>34</v>
      </c>
      <c r="X2075" t="s">
        <v>3440</v>
      </c>
    </row>
    <row r="2076" spans="1:24" x14ac:dyDescent="0.25">
      <c r="A2076">
        <v>2072</v>
      </c>
      <c r="B2076" t="s">
        <v>28</v>
      </c>
      <c r="C2076" t="s">
        <v>25</v>
      </c>
      <c r="D2076">
        <v>14</v>
      </c>
      <c r="E2076" t="s">
        <v>65</v>
      </c>
      <c r="F2076" t="s">
        <v>512</v>
      </c>
      <c r="G2076">
        <v>4465</v>
      </c>
      <c r="H2076" t="s">
        <v>2147</v>
      </c>
      <c r="I2076" t="s">
        <v>2148</v>
      </c>
      <c r="J2076">
        <v>19</v>
      </c>
      <c r="K2076">
        <v>4</v>
      </c>
      <c r="L2076">
        <v>4.2245370370370371E-3</v>
      </c>
      <c r="M2076" t="s">
        <v>778</v>
      </c>
      <c r="N2076" t="s">
        <v>1316</v>
      </c>
      <c r="O2076" s="24">
        <v>46132</v>
      </c>
      <c r="P2076">
        <v>606</v>
      </c>
      <c r="Q2076" t="s">
        <v>34</v>
      </c>
      <c r="X2076" t="s">
        <v>3440</v>
      </c>
    </row>
    <row r="2077" spans="1:24" x14ac:dyDescent="0.25">
      <c r="A2077">
        <v>2073</v>
      </c>
      <c r="B2077" t="s">
        <v>28</v>
      </c>
      <c r="C2077" t="s">
        <v>25</v>
      </c>
      <c r="D2077">
        <v>14</v>
      </c>
      <c r="E2077" t="s">
        <v>367</v>
      </c>
      <c r="F2077" t="s">
        <v>367</v>
      </c>
      <c r="G2077">
        <v>4465</v>
      </c>
      <c r="H2077" t="s">
        <v>2149</v>
      </c>
      <c r="I2077" t="s">
        <v>2150</v>
      </c>
      <c r="J2077">
        <v>19</v>
      </c>
      <c r="K2077">
        <v>8</v>
      </c>
      <c r="L2077">
        <v>8.912037037037036E-3</v>
      </c>
      <c r="M2077" t="s">
        <v>778</v>
      </c>
      <c r="N2077" t="s">
        <v>1316</v>
      </c>
      <c r="O2077" s="24">
        <v>46132</v>
      </c>
      <c r="P2077">
        <v>606</v>
      </c>
      <c r="Q2077" t="s">
        <v>34</v>
      </c>
      <c r="X2077" t="s">
        <v>3440</v>
      </c>
    </row>
    <row r="2078" spans="1:24" x14ac:dyDescent="0.25">
      <c r="A2078">
        <v>2074</v>
      </c>
      <c r="B2078" t="s">
        <v>28</v>
      </c>
      <c r="C2078" t="s">
        <v>25</v>
      </c>
      <c r="D2078">
        <v>14</v>
      </c>
      <c r="E2078" t="s">
        <v>367</v>
      </c>
      <c r="F2078" t="s">
        <v>367</v>
      </c>
      <c r="G2078">
        <v>4465</v>
      </c>
      <c r="H2078" t="s">
        <v>2151</v>
      </c>
      <c r="I2078" t="s">
        <v>1614</v>
      </c>
      <c r="J2078">
        <v>19</v>
      </c>
      <c r="K2078">
        <v>12</v>
      </c>
      <c r="L2078">
        <v>2.0474537037037038E-2</v>
      </c>
      <c r="M2078" t="s">
        <v>778</v>
      </c>
      <c r="N2078" t="s">
        <v>1316</v>
      </c>
      <c r="O2078" s="24">
        <v>46132</v>
      </c>
      <c r="P2078">
        <v>606</v>
      </c>
      <c r="Q2078" t="s">
        <v>34</v>
      </c>
      <c r="X2078" t="s">
        <v>3440</v>
      </c>
    </row>
    <row r="2079" spans="1:24" x14ac:dyDescent="0.25">
      <c r="A2079">
        <v>2075</v>
      </c>
      <c r="B2079" t="s">
        <v>28</v>
      </c>
      <c r="C2079" t="s">
        <v>25</v>
      </c>
      <c r="D2079">
        <v>14</v>
      </c>
      <c r="E2079" t="s">
        <v>1672</v>
      </c>
      <c r="F2079" t="s">
        <v>512</v>
      </c>
      <c r="G2079">
        <v>3980</v>
      </c>
      <c r="H2079" t="s">
        <v>2152</v>
      </c>
      <c r="I2079" t="s">
        <v>2153</v>
      </c>
      <c r="J2079">
        <v>8</v>
      </c>
      <c r="K2079">
        <v>4</v>
      </c>
      <c r="L2079">
        <v>6.192129629629629E-3</v>
      </c>
      <c r="M2079" t="s">
        <v>778</v>
      </c>
      <c r="N2079" t="s">
        <v>1337</v>
      </c>
      <c r="O2079" s="24">
        <v>46136</v>
      </c>
      <c r="P2079">
        <v>605</v>
      </c>
      <c r="Q2079" t="s">
        <v>34</v>
      </c>
      <c r="X2079" t="s">
        <v>3505</v>
      </c>
    </row>
    <row r="2080" spans="1:24" x14ac:dyDescent="0.25">
      <c r="A2080">
        <v>2076</v>
      </c>
      <c r="B2080" t="s">
        <v>28</v>
      </c>
      <c r="C2080" t="s">
        <v>25</v>
      </c>
      <c r="D2080">
        <v>14</v>
      </c>
      <c r="E2080" t="s">
        <v>367</v>
      </c>
      <c r="F2080" t="s">
        <v>1592</v>
      </c>
      <c r="G2080">
        <v>3980</v>
      </c>
      <c r="H2080" t="s">
        <v>2062</v>
      </c>
      <c r="I2080" t="s">
        <v>2063</v>
      </c>
      <c r="J2080">
        <v>8</v>
      </c>
      <c r="K2080">
        <v>1</v>
      </c>
      <c r="L2080">
        <v>4.3981481481481481E-4</v>
      </c>
      <c r="M2080" t="s">
        <v>778</v>
      </c>
      <c r="N2080" t="s">
        <v>1337</v>
      </c>
      <c r="O2080" s="24">
        <v>46136</v>
      </c>
      <c r="P2080">
        <v>605</v>
      </c>
      <c r="Q2080" t="s">
        <v>34</v>
      </c>
      <c r="X2080" t="s">
        <v>3505</v>
      </c>
    </row>
    <row r="2081" spans="1:24" x14ac:dyDescent="0.25">
      <c r="A2081">
        <v>2077</v>
      </c>
      <c r="B2081" t="s">
        <v>28</v>
      </c>
      <c r="C2081" t="s">
        <v>25</v>
      </c>
      <c r="D2081">
        <v>14</v>
      </c>
      <c r="E2081" t="s">
        <v>367</v>
      </c>
      <c r="F2081" t="s">
        <v>367</v>
      </c>
      <c r="G2081">
        <v>3980</v>
      </c>
      <c r="H2081" t="s">
        <v>2154</v>
      </c>
      <c r="I2081" t="s">
        <v>2155</v>
      </c>
      <c r="J2081">
        <v>8</v>
      </c>
      <c r="K2081">
        <v>1</v>
      </c>
      <c r="L2081">
        <v>7.407407407407407E-4</v>
      </c>
      <c r="M2081" t="s">
        <v>778</v>
      </c>
      <c r="N2081" t="s">
        <v>1337</v>
      </c>
      <c r="O2081" s="24">
        <v>46136</v>
      </c>
      <c r="P2081">
        <v>605</v>
      </c>
      <c r="Q2081" t="s">
        <v>34</v>
      </c>
      <c r="X2081" t="s">
        <v>3505</v>
      </c>
    </row>
    <row r="2082" spans="1:24" x14ac:dyDescent="0.25">
      <c r="A2082">
        <v>2078</v>
      </c>
      <c r="B2082" t="s">
        <v>28</v>
      </c>
      <c r="C2082" t="s">
        <v>25</v>
      </c>
      <c r="D2082">
        <v>14</v>
      </c>
      <c r="E2082" t="s">
        <v>65</v>
      </c>
      <c r="F2082" t="s">
        <v>368</v>
      </c>
      <c r="G2082">
        <v>3980</v>
      </c>
      <c r="H2082" t="s">
        <v>2156</v>
      </c>
      <c r="I2082" t="s">
        <v>2157</v>
      </c>
      <c r="J2082">
        <v>8</v>
      </c>
      <c r="K2082">
        <v>2</v>
      </c>
      <c r="L2082">
        <v>6.7129629629629625E-4</v>
      </c>
      <c r="M2082" t="s">
        <v>778</v>
      </c>
      <c r="N2082" t="s">
        <v>1337</v>
      </c>
      <c r="O2082" s="24">
        <v>46136</v>
      </c>
      <c r="P2082">
        <v>605</v>
      </c>
      <c r="Q2082" t="s">
        <v>34</v>
      </c>
      <c r="X2082" t="s">
        <v>3505</v>
      </c>
    </row>
    <row r="2083" spans="1:24" x14ac:dyDescent="0.25">
      <c r="A2083">
        <v>2079</v>
      </c>
      <c r="B2083" t="s">
        <v>28</v>
      </c>
      <c r="C2083" t="s">
        <v>25</v>
      </c>
      <c r="D2083">
        <v>14</v>
      </c>
      <c r="E2083" t="s">
        <v>150</v>
      </c>
      <c r="F2083" t="s">
        <v>115</v>
      </c>
      <c r="G2083">
        <v>3981</v>
      </c>
      <c r="H2083" t="s">
        <v>2158</v>
      </c>
      <c r="I2083" t="s">
        <v>2138</v>
      </c>
      <c r="J2083">
        <v>8</v>
      </c>
      <c r="K2083">
        <v>1</v>
      </c>
      <c r="L2083">
        <v>6.4120370370370364E-3</v>
      </c>
      <c r="M2083" t="s">
        <v>778</v>
      </c>
      <c r="N2083" t="s">
        <v>1337</v>
      </c>
      <c r="O2083" s="24">
        <v>46136</v>
      </c>
      <c r="P2083">
        <v>605</v>
      </c>
      <c r="Q2083" t="s">
        <v>34</v>
      </c>
      <c r="X2083" t="s">
        <v>3506</v>
      </c>
    </row>
    <row r="2084" spans="1:24" x14ac:dyDescent="0.25">
      <c r="A2084">
        <v>2080</v>
      </c>
      <c r="B2084" t="s">
        <v>28</v>
      </c>
      <c r="C2084" t="s">
        <v>25</v>
      </c>
      <c r="D2084">
        <v>14</v>
      </c>
      <c r="E2084" t="s">
        <v>150</v>
      </c>
      <c r="F2084" t="s">
        <v>512</v>
      </c>
      <c r="G2084">
        <v>3981</v>
      </c>
      <c r="H2084" t="s">
        <v>2160</v>
      </c>
      <c r="I2084" t="s">
        <v>2161</v>
      </c>
      <c r="J2084">
        <v>8</v>
      </c>
      <c r="K2084">
        <v>2</v>
      </c>
      <c r="L2084">
        <v>3.4259259259259256E-3</v>
      </c>
      <c r="M2084" t="s">
        <v>778</v>
      </c>
      <c r="N2084" t="s">
        <v>1337</v>
      </c>
      <c r="O2084" s="24">
        <v>46136</v>
      </c>
      <c r="P2084">
        <v>605</v>
      </c>
      <c r="Q2084" t="s">
        <v>34</v>
      </c>
      <c r="X2084" t="s">
        <v>3506</v>
      </c>
    </row>
    <row r="2085" spans="1:24" x14ac:dyDescent="0.25">
      <c r="A2085">
        <v>2081</v>
      </c>
      <c r="B2085" t="s">
        <v>28</v>
      </c>
      <c r="C2085" t="s">
        <v>25</v>
      </c>
      <c r="D2085">
        <v>14</v>
      </c>
      <c r="E2085" t="s">
        <v>367</v>
      </c>
      <c r="F2085" t="s">
        <v>1593</v>
      </c>
      <c r="G2085">
        <v>3981</v>
      </c>
      <c r="H2085" t="s">
        <v>2060</v>
      </c>
      <c r="I2085" t="s">
        <v>2061</v>
      </c>
      <c r="J2085">
        <v>8</v>
      </c>
      <c r="K2085">
        <v>1</v>
      </c>
      <c r="L2085">
        <v>4.1666666666666664E-4</v>
      </c>
      <c r="M2085" t="s">
        <v>778</v>
      </c>
      <c r="N2085" t="s">
        <v>1337</v>
      </c>
      <c r="O2085" s="24">
        <v>46136</v>
      </c>
      <c r="P2085">
        <v>605</v>
      </c>
      <c r="Q2085" t="s">
        <v>34</v>
      </c>
      <c r="X2085" t="s">
        <v>3506</v>
      </c>
    </row>
    <row r="2086" spans="1:24" x14ac:dyDescent="0.25">
      <c r="A2086">
        <v>2082</v>
      </c>
      <c r="B2086" t="s">
        <v>28</v>
      </c>
      <c r="C2086" t="s">
        <v>25</v>
      </c>
      <c r="D2086">
        <v>14</v>
      </c>
      <c r="E2086" t="s">
        <v>367</v>
      </c>
      <c r="F2086" t="s">
        <v>367</v>
      </c>
      <c r="G2086">
        <v>3981</v>
      </c>
      <c r="H2086" t="s">
        <v>2162</v>
      </c>
      <c r="I2086" t="s">
        <v>2163</v>
      </c>
      <c r="J2086">
        <v>8</v>
      </c>
      <c r="K2086">
        <v>1</v>
      </c>
      <c r="L2086">
        <v>2.2800925925925927E-3</v>
      </c>
      <c r="M2086" t="s">
        <v>778</v>
      </c>
      <c r="N2086" t="s">
        <v>1337</v>
      </c>
      <c r="O2086" s="24">
        <v>46136</v>
      </c>
      <c r="P2086">
        <v>605</v>
      </c>
      <c r="Q2086" t="s">
        <v>34</v>
      </c>
      <c r="X2086" t="s">
        <v>3506</v>
      </c>
    </row>
    <row r="2087" spans="1:24" x14ac:dyDescent="0.25">
      <c r="A2087">
        <v>2083</v>
      </c>
      <c r="B2087" t="s">
        <v>28</v>
      </c>
      <c r="C2087" t="s">
        <v>25</v>
      </c>
      <c r="D2087">
        <v>14</v>
      </c>
      <c r="E2087" t="s">
        <v>65</v>
      </c>
      <c r="F2087" t="s">
        <v>368</v>
      </c>
      <c r="G2087">
        <v>3981</v>
      </c>
      <c r="H2087" t="s">
        <v>2164</v>
      </c>
      <c r="I2087" t="s">
        <v>2165</v>
      </c>
      <c r="J2087">
        <v>8</v>
      </c>
      <c r="K2087">
        <v>1</v>
      </c>
      <c r="L2087">
        <v>1.4120370370370369E-3</v>
      </c>
      <c r="M2087" t="s">
        <v>778</v>
      </c>
      <c r="N2087" t="s">
        <v>1337</v>
      </c>
      <c r="O2087" s="24">
        <v>46136</v>
      </c>
      <c r="P2087">
        <v>605</v>
      </c>
      <c r="Q2087" t="s">
        <v>34</v>
      </c>
      <c r="X2087" t="s">
        <v>3506</v>
      </c>
    </row>
    <row r="2088" spans="1:24" x14ac:dyDescent="0.25">
      <c r="A2088">
        <v>2084</v>
      </c>
      <c r="B2088" t="s">
        <v>28</v>
      </c>
      <c r="C2088" t="s">
        <v>25</v>
      </c>
      <c r="D2088">
        <v>14</v>
      </c>
      <c r="E2088" t="s">
        <v>367</v>
      </c>
      <c r="F2088" t="s">
        <v>427</v>
      </c>
      <c r="G2088">
        <v>3982</v>
      </c>
      <c r="H2088" t="s">
        <v>428</v>
      </c>
      <c r="I2088" t="s">
        <v>429</v>
      </c>
      <c r="J2088">
        <v>8</v>
      </c>
      <c r="K2088">
        <v>1</v>
      </c>
      <c r="L2088">
        <v>6.9212962962962961E-3</v>
      </c>
      <c r="M2088" t="s">
        <v>778</v>
      </c>
      <c r="N2088" t="s">
        <v>1525</v>
      </c>
      <c r="O2088" s="24">
        <v>46140</v>
      </c>
      <c r="P2088">
        <v>603</v>
      </c>
      <c r="Q2088" t="s">
        <v>34</v>
      </c>
      <c r="X2088" t="s">
        <v>3507</v>
      </c>
    </row>
    <row r="2089" spans="1:24" x14ac:dyDescent="0.25">
      <c r="A2089">
        <v>2085</v>
      </c>
      <c r="B2089" t="s">
        <v>28</v>
      </c>
      <c r="C2089" t="s">
        <v>25</v>
      </c>
      <c r="D2089">
        <v>14</v>
      </c>
      <c r="E2089" t="s">
        <v>1665</v>
      </c>
      <c r="F2089" t="s">
        <v>498</v>
      </c>
      <c r="G2089">
        <v>3983</v>
      </c>
      <c r="H2089" t="s">
        <v>2110</v>
      </c>
      <c r="I2089" t="s">
        <v>2111</v>
      </c>
      <c r="J2089">
        <v>8</v>
      </c>
      <c r="K2089">
        <v>2</v>
      </c>
      <c r="L2089">
        <v>1.0416666666666667E-3</v>
      </c>
      <c r="M2089" t="s">
        <v>778</v>
      </c>
      <c r="N2089" t="s">
        <v>1337</v>
      </c>
      <c r="O2089" s="24">
        <v>46136</v>
      </c>
      <c r="P2089">
        <v>605</v>
      </c>
      <c r="Q2089" t="s">
        <v>34</v>
      </c>
      <c r="X2089" t="s">
        <v>3508</v>
      </c>
    </row>
    <row r="2090" spans="1:24" x14ac:dyDescent="0.25">
      <c r="A2090">
        <v>2086</v>
      </c>
      <c r="B2090" t="s">
        <v>28</v>
      </c>
      <c r="C2090" t="s">
        <v>25</v>
      </c>
      <c r="D2090">
        <v>14</v>
      </c>
      <c r="E2090" t="s">
        <v>1588</v>
      </c>
      <c r="F2090" t="s">
        <v>44</v>
      </c>
      <c r="G2090">
        <v>3983</v>
      </c>
      <c r="H2090" t="s">
        <v>1623</v>
      </c>
      <c r="I2090" t="s">
        <v>1624</v>
      </c>
      <c r="J2090">
        <v>8</v>
      </c>
      <c r="K2090">
        <v>1</v>
      </c>
      <c r="L2090">
        <v>1.4930555555555554E-3</v>
      </c>
      <c r="M2090" t="s">
        <v>778</v>
      </c>
      <c r="N2090" t="s">
        <v>1337</v>
      </c>
      <c r="O2090" s="24">
        <v>46136</v>
      </c>
      <c r="P2090">
        <v>605</v>
      </c>
      <c r="Q2090" t="s">
        <v>34</v>
      </c>
      <c r="X2090" t="s">
        <v>3508</v>
      </c>
    </row>
    <row r="2091" spans="1:24" x14ac:dyDescent="0.25">
      <c r="A2091">
        <v>2087</v>
      </c>
      <c r="B2091" t="s">
        <v>28</v>
      </c>
      <c r="C2091" t="s">
        <v>25</v>
      </c>
      <c r="D2091">
        <v>14</v>
      </c>
      <c r="E2091" t="s">
        <v>1588</v>
      </c>
      <c r="F2091" t="s">
        <v>44</v>
      </c>
      <c r="G2091">
        <v>3983</v>
      </c>
      <c r="H2091" t="s">
        <v>2048</v>
      </c>
      <c r="I2091" t="s">
        <v>2049</v>
      </c>
      <c r="J2091">
        <v>8</v>
      </c>
      <c r="K2091">
        <v>1</v>
      </c>
      <c r="L2091">
        <v>1.1342592592592591E-3</v>
      </c>
      <c r="M2091" t="s">
        <v>778</v>
      </c>
      <c r="N2091" t="s">
        <v>1337</v>
      </c>
      <c r="O2091" s="24">
        <v>46136</v>
      </c>
      <c r="P2091">
        <v>605</v>
      </c>
      <c r="Q2091" t="s">
        <v>34</v>
      </c>
      <c r="X2091" t="s">
        <v>3508</v>
      </c>
    </row>
    <row r="2092" spans="1:24" x14ac:dyDescent="0.25">
      <c r="A2092">
        <v>2088</v>
      </c>
      <c r="B2092" t="s">
        <v>28</v>
      </c>
      <c r="C2092" t="s">
        <v>25</v>
      </c>
      <c r="D2092">
        <v>14</v>
      </c>
      <c r="E2092" t="s">
        <v>367</v>
      </c>
      <c r="F2092" t="s">
        <v>1598</v>
      </c>
      <c r="G2092">
        <v>3983</v>
      </c>
      <c r="H2092" t="s">
        <v>2168</v>
      </c>
      <c r="I2092" t="s">
        <v>1634</v>
      </c>
      <c r="J2092">
        <v>8</v>
      </c>
      <c r="K2092">
        <v>1</v>
      </c>
      <c r="L2092">
        <v>6.3657407407407402E-4</v>
      </c>
      <c r="M2092" t="s">
        <v>778</v>
      </c>
      <c r="N2092" t="s">
        <v>1337</v>
      </c>
      <c r="O2092" s="24">
        <v>46136</v>
      </c>
      <c r="P2092">
        <v>605</v>
      </c>
      <c r="Q2092" t="s">
        <v>34</v>
      </c>
      <c r="X2092" t="s">
        <v>3508</v>
      </c>
    </row>
    <row r="2093" spans="1:24" x14ac:dyDescent="0.25">
      <c r="A2093">
        <v>2089</v>
      </c>
      <c r="B2093" t="s">
        <v>28</v>
      </c>
      <c r="C2093" t="s">
        <v>25</v>
      </c>
      <c r="D2093">
        <v>14</v>
      </c>
      <c r="E2093" t="s">
        <v>367</v>
      </c>
      <c r="F2093" t="s">
        <v>368</v>
      </c>
      <c r="G2093">
        <v>3983</v>
      </c>
      <c r="H2093" t="s">
        <v>2169</v>
      </c>
      <c r="I2093" t="s">
        <v>2170</v>
      </c>
      <c r="J2093">
        <v>8</v>
      </c>
      <c r="K2093">
        <v>1</v>
      </c>
      <c r="L2093">
        <v>4.9768518518518521E-4</v>
      </c>
      <c r="M2093" t="s">
        <v>778</v>
      </c>
      <c r="N2093" t="s">
        <v>1337</v>
      </c>
      <c r="O2093" s="24">
        <v>46136</v>
      </c>
      <c r="P2093">
        <v>605</v>
      </c>
      <c r="Q2093" t="s">
        <v>34</v>
      </c>
      <c r="X2093" t="s">
        <v>3508</v>
      </c>
    </row>
    <row r="2094" spans="1:24" x14ac:dyDescent="0.25">
      <c r="A2094">
        <v>2090</v>
      </c>
      <c r="B2094" t="s">
        <v>28</v>
      </c>
      <c r="C2094" t="s">
        <v>25</v>
      </c>
      <c r="D2094">
        <v>14</v>
      </c>
      <c r="E2094" t="s">
        <v>65</v>
      </c>
      <c r="F2094" t="s">
        <v>368</v>
      </c>
      <c r="G2094">
        <v>3983</v>
      </c>
      <c r="H2094" t="s">
        <v>2171</v>
      </c>
      <c r="I2094" t="s">
        <v>2172</v>
      </c>
      <c r="J2094">
        <v>8</v>
      </c>
      <c r="K2094">
        <v>4</v>
      </c>
      <c r="L2094">
        <v>2.0833333333333333E-3</v>
      </c>
      <c r="M2094" t="s">
        <v>778</v>
      </c>
      <c r="N2094" t="s">
        <v>1337</v>
      </c>
      <c r="O2094" s="24">
        <v>46136</v>
      </c>
      <c r="P2094">
        <v>605</v>
      </c>
      <c r="Q2094" t="s">
        <v>34</v>
      </c>
      <c r="X2094" t="s">
        <v>3508</v>
      </c>
    </row>
    <row r="2095" spans="1:24" x14ac:dyDescent="0.25">
      <c r="A2095">
        <v>2091</v>
      </c>
      <c r="B2095" t="s">
        <v>28</v>
      </c>
      <c r="C2095" t="s">
        <v>25</v>
      </c>
      <c r="D2095">
        <v>14</v>
      </c>
      <c r="E2095" t="s">
        <v>65</v>
      </c>
      <c r="F2095" t="s">
        <v>1589</v>
      </c>
      <c r="G2095">
        <v>3983</v>
      </c>
      <c r="H2095" t="s">
        <v>2173</v>
      </c>
      <c r="I2095" t="s">
        <v>2103</v>
      </c>
      <c r="J2095">
        <v>8</v>
      </c>
      <c r="K2095">
        <v>1</v>
      </c>
      <c r="L2095">
        <v>6.134259259259259E-4</v>
      </c>
      <c r="M2095" t="s">
        <v>778</v>
      </c>
      <c r="N2095" t="s">
        <v>1337</v>
      </c>
      <c r="O2095" s="24">
        <v>46136</v>
      </c>
      <c r="P2095">
        <v>605</v>
      </c>
      <c r="Q2095" t="s">
        <v>34</v>
      </c>
      <c r="X2095" t="s">
        <v>3508</v>
      </c>
    </row>
    <row r="2096" spans="1:24" x14ac:dyDescent="0.25">
      <c r="A2096">
        <v>2092</v>
      </c>
      <c r="B2096" t="s">
        <v>28</v>
      </c>
      <c r="C2096" t="s">
        <v>25</v>
      </c>
      <c r="D2096">
        <v>14</v>
      </c>
      <c r="E2096" t="s">
        <v>65</v>
      </c>
      <c r="F2096" t="s">
        <v>1590</v>
      </c>
      <c r="G2096">
        <v>3983</v>
      </c>
      <c r="H2096" t="s">
        <v>2100</v>
      </c>
      <c r="I2096" t="s">
        <v>2101</v>
      </c>
      <c r="J2096">
        <v>8</v>
      </c>
      <c r="K2096">
        <v>1</v>
      </c>
      <c r="L2096">
        <v>5.5555555555555556E-4</v>
      </c>
      <c r="M2096" t="s">
        <v>778</v>
      </c>
      <c r="N2096" t="s">
        <v>1337</v>
      </c>
      <c r="O2096" s="24">
        <v>46136</v>
      </c>
      <c r="P2096">
        <v>605</v>
      </c>
      <c r="Q2096" t="s">
        <v>34</v>
      </c>
      <c r="X2096" t="s">
        <v>3508</v>
      </c>
    </row>
    <row r="2097" spans="1:24" x14ac:dyDescent="0.25">
      <c r="A2097">
        <v>2093</v>
      </c>
      <c r="B2097" t="s">
        <v>28</v>
      </c>
      <c r="C2097" t="s">
        <v>25</v>
      </c>
      <c r="D2097">
        <v>14</v>
      </c>
      <c r="E2097" t="s">
        <v>65</v>
      </c>
      <c r="F2097" t="s">
        <v>1590</v>
      </c>
      <c r="G2097">
        <v>3983</v>
      </c>
      <c r="H2097" t="s">
        <v>2174</v>
      </c>
      <c r="I2097" t="s">
        <v>2175</v>
      </c>
      <c r="J2097">
        <v>8</v>
      </c>
      <c r="K2097">
        <v>1</v>
      </c>
      <c r="L2097">
        <v>3.2870370370370371E-3</v>
      </c>
      <c r="M2097" t="s">
        <v>778</v>
      </c>
      <c r="N2097" t="s">
        <v>1337</v>
      </c>
      <c r="O2097" s="24">
        <v>46136</v>
      </c>
      <c r="P2097">
        <v>605</v>
      </c>
      <c r="Q2097" t="s">
        <v>34</v>
      </c>
      <c r="X2097" t="s">
        <v>3508</v>
      </c>
    </row>
    <row r="2098" spans="1:24" x14ac:dyDescent="0.25">
      <c r="A2098">
        <v>2094</v>
      </c>
      <c r="B2098" t="s">
        <v>28</v>
      </c>
      <c r="C2098" t="s">
        <v>25</v>
      </c>
      <c r="D2098">
        <v>14</v>
      </c>
      <c r="E2098" t="s">
        <v>65</v>
      </c>
      <c r="F2098" t="s">
        <v>1591</v>
      </c>
      <c r="G2098">
        <v>3983</v>
      </c>
      <c r="H2098" t="s">
        <v>2176</v>
      </c>
      <c r="I2098" t="s">
        <v>2177</v>
      </c>
      <c r="J2098">
        <v>8</v>
      </c>
      <c r="K2098">
        <v>1</v>
      </c>
      <c r="L2098">
        <v>5.2083333333333333E-4</v>
      </c>
      <c r="M2098" t="s">
        <v>778</v>
      </c>
      <c r="N2098" t="s">
        <v>1337</v>
      </c>
      <c r="O2098" s="24">
        <v>46136</v>
      </c>
      <c r="P2098">
        <v>605</v>
      </c>
      <c r="Q2098" t="s">
        <v>34</v>
      </c>
      <c r="X2098" t="s">
        <v>3508</v>
      </c>
    </row>
    <row r="2099" spans="1:24" x14ac:dyDescent="0.25">
      <c r="A2099">
        <v>2095</v>
      </c>
      <c r="B2099" t="s">
        <v>28</v>
      </c>
      <c r="C2099" t="s">
        <v>25</v>
      </c>
      <c r="D2099">
        <v>14</v>
      </c>
      <c r="E2099" t="s">
        <v>65</v>
      </c>
      <c r="F2099" t="s">
        <v>66</v>
      </c>
      <c r="G2099">
        <v>3983</v>
      </c>
      <c r="H2099" t="s">
        <v>2178</v>
      </c>
      <c r="I2099" t="s">
        <v>2179</v>
      </c>
      <c r="J2099">
        <v>8</v>
      </c>
      <c r="K2099">
        <v>1</v>
      </c>
      <c r="L2099">
        <v>5.3240740740740744E-4</v>
      </c>
      <c r="M2099" t="s">
        <v>778</v>
      </c>
      <c r="N2099" t="s">
        <v>1337</v>
      </c>
      <c r="O2099" s="24">
        <v>46136</v>
      </c>
      <c r="P2099">
        <v>605</v>
      </c>
      <c r="Q2099" t="s">
        <v>34</v>
      </c>
      <c r="X2099" t="s">
        <v>3508</v>
      </c>
    </row>
    <row r="2100" spans="1:24" x14ac:dyDescent="0.25">
      <c r="A2100">
        <v>2096</v>
      </c>
      <c r="B2100" t="s">
        <v>28</v>
      </c>
      <c r="C2100" t="s">
        <v>25</v>
      </c>
      <c r="D2100">
        <v>14</v>
      </c>
      <c r="E2100" t="s">
        <v>65</v>
      </c>
      <c r="F2100" t="s">
        <v>66</v>
      </c>
      <c r="G2100">
        <v>3983</v>
      </c>
      <c r="H2100" t="s">
        <v>2180</v>
      </c>
      <c r="I2100" t="s">
        <v>2181</v>
      </c>
      <c r="J2100">
        <v>8</v>
      </c>
      <c r="K2100">
        <v>1</v>
      </c>
      <c r="L2100">
        <v>5.4398148148148144E-4</v>
      </c>
      <c r="M2100" t="s">
        <v>778</v>
      </c>
      <c r="N2100" t="s">
        <v>1337</v>
      </c>
      <c r="O2100" s="24">
        <v>46136</v>
      </c>
      <c r="P2100">
        <v>605</v>
      </c>
      <c r="Q2100" t="s">
        <v>34</v>
      </c>
      <c r="X2100" t="s">
        <v>3508</v>
      </c>
    </row>
    <row r="2101" spans="1:24" x14ac:dyDescent="0.25">
      <c r="A2101">
        <v>2097</v>
      </c>
      <c r="B2101" t="s">
        <v>28</v>
      </c>
      <c r="C2101" t="s">
        <v>25</v>
      </c>
      <c r="D2101">
        <v>14</v>
      </c>
      <c r="E2101" t="s">
        <v>550</v>
      </c>
      <c r="F2101" t="s">
        <v>512</v>
      </c>
      <c r="G2101">
        <v>3983</v>
      </c>
      <c r="H2101" t="s">
        <v>2182</v>
      </c>
      <c r="I2101" t="s">
        <v>2183</v>
      </c>
      <c r="J2101">
        <v>8</v>
      </c>
      <c r="K2101">
        <v>1</v>
      </c>
      <c r="L2101">
        <v>5.7175925925925927E-3</v>
      </c>
      <c r="M2101" t="s">
        <v>778</v>
      </c>
      <c r="N2101" t="s">
        <v>1337</v>
      </c>
      <c r="O2101" s="24">
        <v>46136</v>
      </c>
      <c r="P2101">
        <v>605</v>
      </c>
      <c r="Q2101" t="s">
        <v>34</v>
      </c>
      <c r="X2101" t="s">
        <v>3508</v>
      </c>
    </row>
    <row r="2102" spans="1:24" x14ac:dyDescent="0.25">
      <c r="A2102">
        <v>2098</v>
      </c>
      <c r="B2102" t="s">
        <v>28</v>
      </c>
      <c r="C2102" t="s">
        <v>25</v>
      </c>
      <c r="D2102">
        <v>14</v>
      </c>
      <c r="E2102" t="s">
        <v>114</v>
      </c>
      <c r="F2102" t="s">
        <v>115</v>
      </c>
      <c r="G2102">
        <v>3984</v>
      </c>
      <c r="H2102" t="s">
        <v>2184</v>
      </c>
      <c r="I2102" t="s">
        <v>2138</v>
      </c>
      <c r="J2102">
        <v>8</v>
      </c>
      <c r="K2102">
        <v>1</v>
      </c>
      <c r="L2102">
        <v>6.4236111111111108E-3</v>
      </c>
      <c r="M2102" t="s">
        <v>3079</v>
      </c>
      <c r="X2102" t="s">
        <v>3509</v>
      </c>
    </row>
    <row r="2103" spans="1:24" x14ac:dyDescent="0.25">
      <c r="A2103">
        <v>2099</v>
      </c>
      <c r="B2103" t="s">
        <v>28</v>
      </c>
      <c r="C2103" t="s">
        <v>25</v>
      </c>
      <c r="D2103">
        <v>14</v>
      </c>
      <c r="E2103" t="s">
        <v>150</v>
      </c>
      <c r="F2103" t="s">
        <v>512</v>
      </c>
      <c r="G2103">
        <v>3984</v>
      </c>
      <c r="H2103" t="s">
        <v>2160</v>
      </c>
      <c r="I2103" t="s">
        <v>2161</v>
      </c>
      <c r="J2103">
        <v>8</v>
      </c>
      <c r="K2103">
        <v>2</v>
      </c>
      <c r="L2103">
        <v>3.2523148148148147E-3</v>
      </c>
      <c r="M2103" t="s">
        <v>3079</v>
      </c>
      <c r="X2103" t="s">
        <v>3509</v>
      </c>
    </row>
    <row r="2104" spans="1:24" x14ac:dyDescent="0.25">
      <c r="A2104">
        <v>2100</v>
      </c>
      <c r="B2104" t="s">
        <v>28</v>
      </c>
      <c r="C2104" t="s">
        <v>25</v>
      </c>
      <c r="D2104">
        <v>14</v>
      </c>
      <c r="E2104" t="s">
        <v>65</v>
      </c>
      <c r="F2104" t="s">
        <v>368</v>
      </c>
      <c r="G2104">
        <v>3984</v>
      </c>
      <c r="H2104" t="s">
        <v>2171</v>
      </c>
      <c r="I2104" t="s">
        <v>2172</v>
      </c>
      <c r="J2104">
        <v>8</v>
      </c>
      <c r="K2104">
        <v>1</v>
      </c>
      <c r="L2104">
        <v>5.6712962962962956E-4</v>
      </c>
      <c r="M2104" t="s">
        <v>3079</v>
      </c>
      <c r="X2104" t="s">
        <v>3509</v>
      </c>
    </row>
    <row r="2105" spans="1:24" x14ac:dyDescent="0.25">
      <c r="A2105">
        <v>2101</v>
      </c>
      <c r="B2105" t="s">
        <v>28</v>
      </c>
      <c r="C2105" t="s">
        <v>25</v>
      </c>
      <c r="D2105">
        <v>14</v>
      </c>
      <c r="E2105" t="s">
        <v>65</v>
      </c>
      <c r="F2105" t="s">
        <v>1589</v>
      </c>
      <c r="G2105">
        <v>3984</v>
      </c>
      <c r="H2105" t="s">
        <v>2186</v>
      </c>
      <c r="I2105" t="s">
        <v>2187</v>
      </c>
      <c r="J2105">
        <v>8</v>
      </c>
      <c r="K2105">
        <v>1</v>
      </c>
      <c r="L2105">
        <v>1.6319444444444443E-3</v>
      </c>
      <c r="M2105" t="s">
        <v>3079</v>
      </c>
      <c r="X2105" t="s">
        <v>3509</v>
      </c>
    </row>
    <row r="2106" spans="1:24" x14ac:dyDescent="0.25">
      <c r="A2106">
        <v>2102</v>
      </c>
      <c r="B2106" t="s">
        <v>28</v>
      </c>
      <c r="C2106" t="s">
        <v>25</v>
      </c>
      <c r="D2106">
        <v>14</v>
      </c>
      <c r="E2106" t="s">
        <v>65</v>
      </c>
      <c r="F2106" t="s">
        <v>1591</v>
      </c>
      <c r="G2106">
        <v>3984</v>
      </c>
      <c r="H2106" t="s">
        <v>2188</v>
      </c>
      <c r="I2106" t="s">
        <v>2189</v>
      </c>
      <c r="J2106">
        <v>8</v>
      </c>
      <c r="K2106">
        <v>1</v>
      </c>
      <c r="L2106">
        <v>1.6319444444444443E-3</v>
      </c>
      <c r="M2106" t="s">
        <v>3079</v>
      </c>
      <c r="X2106" t="s">
        <v>3509</v>
      </c>
    </row>
    <row r="2107" spans="1:24" x14ac:dyDescent="0.25">
      <c r="A2107">
        <v>2103</v>
      </c>
      <c r="B2107" t="s">
        <v>28</v>
      </c>
      <c r="C2107" t="s">
        <v>25</v>
      </c>
      <c r="D2107">
        <v>14</v>
      </c>
      <c r="E2107" t="s">
        <v>65</v>
      </c>
      <c r="F2107" t="s">
        <v>512</v>
      </c>
      <c r="G2107">
        <v>3984</v>
      </c>
      <c r="H2107" t="s">
        <v>2190</v>
      </c>
      <c r="I2107" t="s">
        <v>2191</v>
      </c>
      <c r="J2107">
        <v>8</v>
      </c>
      <c r="K2107">
        <v>1</v>
      </c>
      <c r="L2107">
        <v>8.9120370370370362E-4</v>
      </c>
      <c r="M2107" t="s">
        <v>3079</v>
      </c>
      <c r="X2107" t="s">
        <v>3509</v>
      </c>
    </row>
    <row r="2108" spans="1:24" x14ac:dyDescent="0.25">
      <c r="A2108">
        <v>2104</v>
      </c>
      <c r="B2108" t="s">
        <v>28</v>
      </c>
      <c r="C2108" t="s">
        <v>25</v>
      </c>
      <c r="D2108">
        <v>14</v>
      </c>
      <c r="E2108" t="s">
        <v>1665</v>
      </c>
      <c r="F2108" t="s">
        <v>498</v>
      </c>
      <c r="G2108">
        <v>3986</v>
      </c>
      <c r="H2108" t="s">
        <v>2192</v>
      </c>
      <c r="I2108" t="s">
        <v>2193</v>
      </c>
      <c r="J2108">
        <v>8</v>
      </c>
      <c r="K2108">
        <v>1</v>
      </c>
      <c r="L2108">
        <v>5.7870370370370367E-3</v>
      </c>
      <c r="M2108" t="s">
        <v>778</v>
      </c>
      <c r="N2108" t="s">
        <v>1549</v>
      </c>
      <c r="O2108" s="24">
        <v>46140</v>
      </c>
      <c r="P2108">
        <v>605</v>
      </c>
      <c r="Q2108" t="s">
        <v>34</v>
      </c>
      <c r="X2108" t="s">
        <v>3510</v>
      </c>
    </row>
    <row r="2109" spans="1:24" x14ac:dyDescent="0.25">
      <c r="A2109">
        <v>2105</v>
      </c>
      <c r="B2109" t="s">
        <v>28</v>
      </c>
      <c r="C2109" t="s">
        <v>25</v>
      </c>
      <c r="D2109">
        <v>14</v>
      </c>
      <c r="E2109" t="s">
        <v>65</v>
      </c>
      <c r="F2109" t="s">
        <v>65</v>
      </c>
      <c r="G2109">
        <v>3986</v>
      </c>
      <c r="H2109" t="s">
        <v>2092</v>
      </c>
      <c r="I2109" t="s">
        <v>2093</v>
      </c>
      <c r="J2109">
        <v>8</v>
      </c>
      <c r="K2109">
        <v>3</v>
      </c>
      <c r="L2109">
        <v>2.0138888888888888E-3</v>
      </c>
      <c r="M2109" t="s">
        <v>778</v>
      </c>
      <c r="N2109" t="s">
        <v>1549</v>
      </c>
      <c r="O2109" s="24">
        <v>46140</v>
      </c>
      <c r="P2109">
        <v>605</v>
      </c>
      <c r="Q2109" t="s">
        <v>34</v>
      </c>
      <c r="X2109" t="s">
        <v>3510</v>
      </c>
    </row>
    <row r="2110" spans="1:24" x14ac:dyDescent="0.25">
      <c r="A2110">
        <v>2106</v>
      </c>
      <c r="B2110" t="s">
        <v>28</v>
      </c>
      <c r="C2110" t="s">
        <v>25</v>
      </c>
      <c r="D2110">
        <v>14</v>
      </c>
      <c r="E2110" t="s">
        <v>2195</v>
      </c>
      <c r="F2110" t="s">
        <v>44</v>
      </c>
      <c r="G2110">
        <v>3986</v>
      </c>
      <c r="H2110" t="s">
        <v>54</v>
      </c>
      <c r="I2110" t="s">
        <v>1119</v>
      </c>
      <c r="J2110">
        <v>8</v>
      </c>
      <c r="K2110">
        <v>1</v>
      </c>
      <c r="L2110">
        <v>1.2962962962962963E-3</v>
      </c>
      <c r="M2110" t="s">
        <v>778</v>
      </c>
      <c r="N2110" t="s">
        <v>1549</v>
      </c>
      <c r="O2110" s="24">
        <v>46140</v>
      </c>
      <c r="P2110">
        <v>605</v>
      </c>
      <c r="Q2110" t="s">
        <v>34</v>
      </c>
      <c r="X2110" t="s">
        <v>3510</v>
      </c>
    </row>
    <row r="2111" spans="1:24" x14ac:dyDescent="0.25">
      <c r="A2111">
        <v>2107</v>
      </c>
      <c r="B2111" t="s">
        <v>28</v>
      </c>
      <c r="C2111" t="s">
        <v>25</v>
      </c>
      <c r="D2111">
        <v>14</v>
      </c>
      <c r="E2111" t="s">
        <v>511</v>
      </c>
      <c r="F2111" t="s">
        <v>512</v>
      </c>
      <c r="G2111">
        <v>3990</v>
      </c>
      <c r="H2111" t="s">
        <v>513</v>
      </c>
      <c r="I2111" t="s">
        <v>119</v>
      </c>
      <c r="J2111">
        <v>8</v>
      </c>
      <c r="K2111">
        <v>1</v>
      </c>
      <c r="L2111">
        <v>6.9212962962962961E-3</v>
      </c>
      <c r="M2111" t="s">
        <v>778</v>
      </c>
      <c r="N2111" t="s">
        <v>1504</v>
      </c>
      <c r="O2111" s="24">
        <v>46141</v>
      </c>
      <c r="P2111">
        <v>603</v>
      </c>
      <c r="Q2111" t="s">
        <v>34</v>
      </c>
      <c r="X2111" t="s">
        <v>3511</v>
      </c>
    </row>
    <row r="2112" spans="1:24" x14ac:dyDescent="0.25">
      <c r="A2112">
        <v>2108</v>
      </c>
      <c r="B2112" t="s">
        <v>28</v>
      </c>
      <c r="C2112" t="s">
        <v>25</v>
      </c>
      <c r="D2112">
        <v>14</v>
      </c>
      <c r="E2112" t="s">
        <v>1588</v>
      </c>
      <c r="F2112" t="s">
        <v>512</v>
      </c>
      <c r="G2112">
        <v>3993</v>
      </c>
      <c r="H2112" t="s">
        <v>2197</v>
      </c>
      <c r="I2112" t="s">
        <v>2198</v>
      </c>
      <c r="J2112">
        <v>8</v>
      </c>
      <c r="K2112">
        <v>1</v>
      </c>
      <c r="L2112">
        <v>5.9953703703703705E-3</v>
      </c>
      <c r="M2112" t="s">
        <v>778</v>
      </c>
      <c r="N2112" t="s">
        <v>1549</v>
      </c>
      <c r="O2112" s="24">
        <v>46140</v>
      </c>
      <c r="P2112">
        <v>605</v>
      </c>
      <c r="Q2112" t="s">
        <v>34</v>
      </c>
      <c r="X2112" t="s">
        <v>3512</v>
      </c>
    </row>
    <row r="2113" spans="1:24" x14ac:dyDescent="0.25">
      <c r="A2113">
        <v>2109</v>
      </c>
      <c r="B2113" t="s">
        <v>28</v>
      </c>
      <c r="C2113" t="s">
        <v>25</v>
      </c>
      <c r="D2113">
        <v>14</v>
      </c>
      <c r="E2113" t="s">
        <v>367</v>
      </c>
      <c r="F2113" t="s">
        <v>512</v>
      </c>
      <c r="G2113">
        <v>3993</v>
      </c>
      <c r="H2113" t="s">
        <v>2200</v>
      </c>
      <c r="I2113" t="s">
        <v>2201</v>
      </c>
      <c r="J2113">
        <v>8</v>
      </c>
      <c r="K2113">
        <v>1</v>
      </c>
      <c r="L2113">
        <v>1.2037037037037036E-3</v>
      </c>
      <c r="M2113" t="s">
        <v>778</v>
      </c>
      <c r="N2113" t="s">
        <v>1549</v>
      </c>
      <c r="O2113" s="24">
        <v>46140</v>
      </c>
      <c r="P2113">
        <v>605</v>
      </c>
      <c r="Q2113" t="s">
        <v>34</v>
      </c>
      <c r="X2113" t="s">
        <v>3512</v>
      </c>
    </row>
    <row r="2114" spans="1:24" x14ac:dyDescent="0.25">
      <c r="A2114">
        <v>2110</v>
      </c>
      <c r="B2114" t="s">
        <v>28</v>
      </c>
      <c r="C2114" t="s">
        <v>25</v>
      </c>
      <c r="D2114">
        <v>14</v>
      </c>
      <c r="E2114" t="s">
        <v>2195</v>
      </c>
      <c r="F2114" t="s">
        <v>44</v>
      </c>
      <c r="G2114">
        <v>3993</v>
      </c>
      <c r="H2114" t="s">
        <v>48</v>
      </c>
      <c r="I2114" t="s">
        <v>1119</v>
      </c>
      <c r="J2114">
        <v>8</v>
      </c>
      <c r="K2114">
        <v>1</v>
      </c>
      <c r="L2114">
        <v>1.4930555555555554E-3</v>
      </c>
      <c r="M2114" t="s">
        <v>778</v>
      </c>
      <c r="N2114" t="s">
        <v>1549</v>
      </c>
      <c r="O2114" s="24">
        <v>46140</v>
      </c>
      <c r="P2114">
        <v>605</v>
      </c>
      <c r="Q2114" t="s">
        <v>34</v>
      </c>
      <c r="X2114" t="s">
        <v>3512</v>
      </c>
    </row>
    <row r="2115" spans="1:24" x14ac:dyDescent="0.25">
      <c r="A2115">
        <v>2111</v>
      </c>
      <c r="B2115" t="s">
        <v>28</v>
      </c>
      <c r="C2115" t="s">
        <v>25</v>
      </c>
      <c r="D2115">
        <v>14</v>
      </c>
      <c r="E2115" t="s">
        <v>1588</v>
      </c>
      <c r="F2115" t="s">
        <v>512</v>
      </c>
      <c r="G2115">
        <v>3994</v>
      </c>
      <c r="H2115" t="s">
        <v>2197</v>
      </c>
      <c r="I2115" t="s">
        <v>2198</v>
      </c>
      <c r="J2115">
        <v>8</v>
      </c>
      <c r="K2115">
        <v>1</v>
      </c>
      <c r="L2115">
        <v>5.9953703703703705E-3</v>
      </c>
      <c r="M2115" t="s">
        <v>778</v>
      </c>
      <c r="N2115" t="s">
        <v>1337</v>
      </c>
      <c r="O2115" s="24">
        <v>46136</v>
      </c>
      <c r="P2115">
        <v>605</v>
      </c>
      <c r="Q2115" t="s">
        <v>34</v>
      </c>
      <c r="X2115" t="s">
        <v>3513</v>
      </c>
    </row>
    <row r="2116" spans="1:24" x14ac:dyDescent="0.25">
      <c r="A2116">
        <v>2112</v>
      </c>
      <c r="B2116" t="s">
        <v>28</v>
      </c>
      <c r="C2116" t="s">
        <v>25</v>
      </c>
      <c r="D2116">
        <v>14</v>
      </c>
      <c r="E2116" t="s">
        <v>367</v>
      </c>
      <c r="F2116" t="s">
        <v>512</v>
      </c>
      <c r="G2116">
        <v>3994</v>
      </c>
      <c r="H2116" t="s">
        <v>2203</v>
      </c>
      <c r="I2116" t="s">
        <v>2204</v>
      </c>
      <c r="J2116">
        <v>8</v>
      </c>
      <c r="K2116">
        <v>1</v>
      </c>
      <c r="L2116">
        <v>1.2152777777777778E-3</v>
      </c>
      <c r="M2116" t="s">
        <v>778</v>
      </c>
      <c r="N2116" t="s">
        <v>1337</v>
      </c>
      <c r="O2116" s="24">
        <v>46136</v>
      </c>
      <c r="P2116">
        <v>605</v>
      </c>
      <c r="Q2116" t="s">
        <v>34</v>
      </c>
      <c r="X2116" t="s">
        <v>3513</v>
      </c>
    </row>
    <row r="2117" spans="1:24" x14ac:dyDescent="0.25">
      <c r="A2117">
        <v>2113</v>
      </c>
      <c r="B2117" t="s">
        <v>28</v>
      </c>
      <c r="C2117" t="s">
        <v>25</v>
      </c>
      <c r="D2117">
        <v>14</v>
      </c>
      <c r="E2117" t="s">
        <v>2195</v>
      </c>
      <c r="F2117" t="s">
        <v>44</v>
      </c>
      <c r="G2117">
        <v>3994</v>
      </c>
      <c r="H2117" t="s">
        <v>48</v>
      </c>
      <c r="I2117" t="s">
        <v>1119</v>
      </c>
      <c r="J2117">
        <v>8</v>
      </c>
      <c r="K2117">
        <v>1</v>
      </c>
      <c r="L2117">
        <v>1.4930555555555554E-3</v>
      </c>
      <c r="M2117" t="s">
        <v>778</v>
      </c>
      <c r="N2117" t="s">
        <v>1337</v>
      </c>
      <c r="O2117" s="24">
        <v>46136</v>
      </c>
      <c r="P2117">
        <v>605</v>
      </c>
      <c r="Q2117" t="s">
        <v>34</v>
      </c>
      <c r="X2117" t="s">
        <v>3513</v>
      </c>
    </row>
    <row r="2118" spans="1:24" x14ac:dyDescent="0.25">
      <c r="A2118">
        <v>2114</v>
      </c>
      <c r="B2118" t="s">
        <v>28</v>
      </c>
      <c r="C2118" t="s">
        <v>25</v>
      </c>
      <c r="D2118">
        <v>14</v>
      </c>
      <c r="E2118" t="s">
        <v>1588</v>
      </c>
      <c r="F2118" t="s">
        <v>512</v>
      </c>
      <c r="G2118">
        <v>3995</v>
      </c>
      <c r="H2118" t="s">
        <v>2197</v>
      </c>
      <c r="I2118" t="s">
        <v>2198</v>
      </c>
      <c r="J2118">
        <v>8</v>
      </c>
      <c r="K2118">
        <v>1</v>
      </c>
      <c r="L2118">
        <v>5.9837962962962961E-3</v>
      </c>
      <c r="M2118" t="s">
        <v>778</v>
      </c>
      <c r="N2118" t="s">
        <v>1549</v>
      </c>
      <c r="O2118" s="24">
        <v>46140</v>
      </c>
      <c r="P2118">
        <v>605</v>
      </c>
      <c r="Q2118" t="s">
        <v>34</v>
      </c>
      <c r="X2118" t="s">
        <v>3514</v>
      </c>
    </row>
    <row r="2119" spans="1:24" x14ac:dyDescent="0.25">
      <c r="A2119">
        <v>2115</v>
      </c>
      <c r="B2119" t="s">
        <v>28</v>
      </c>
      <c r="C2119" t="s">
        <v>25</v>
      </c>
      <c r="D2119">
        <v>14</v>
      </c>
      <c r="E2119" t="s">
        <v>367</v>
      </c>
      <c r="F2119" t="s">
        <v>512</v>
      </c>
      <c r="G2119">
        <v>3995</v>
      </c>
      <c r="H2119" t="s">
        <v>2203</v>
      </c>
      <c r="I2119" t="s">
        <v>2204</v>
      </c>
      <c r="J2119">
        <v>8</v>
      </c>
      <c r="K2119">
        <v>1</v>
      </c>
      <c r="L2119">
        <v>1.2037037037037036E-3</v>
      </c>
      <c r="M2119" t="s">
        <v>778</v>
      </c>
      <c r="N2119" t="s">
        <v>1549</v>
      </c>
      <c r="O2119" s="24">
        <v>46140</v>
      </c>
      <c r="P2119">
        <v>605</v>
      </c>
      <c r="Q2119" t="s">
        <v>34</v>
      </c>
      <c r="X2119" t="s">
        <v>3514</v>
      </c>
    </row>
    <row r="2120" spans="1:24" x14ac:dyDescent="0.25">
      <c r="A2120">
        <v>2116</v>
      </c>
      <c r="B2120" t="s">
        <v>28</v>
      </c>
      <c r="C2120" t="s">
        <v>25</v>
      </c>
      <c r="D2120">
        <v>14</v>
      </c>
      <c r="E2120" t="s">
        <v>2195</v>
      </c>
      <c r="F2120" t="s">
        <v>44</v>
      </c>
      <c r="G2120">
        <v>3995</v>
      </c>
      <c r="H2120" t="s">
        <v>48</v>
      </c>
      <c r="I2120" t="s">
        <v>1119</v>
      </c>
      <c r="J2120">
        <v>8</v>
      </c>
      <c r="K2120">
        <v>1</v>
      </c>
      <c r="L2120">
        <v>1.4930555555555554E-3</v>
      </c>
      <c r="M2120" t="s">
        <v>778</v>
      </c>
      <c r="N2120" t="s">
        <v>1549</v>
      </c>
      <c r="O2120" s="24">
        <v>46140</v>
      </c>
      <c r="P2120">
        <v>605</v>
      </c>
      <c r="Q2120" t="s">
        <v>34</v>
      </c>
      <c r="X2120" t="s">
        <v>3514</v>
      </c>
    </row>
    <row r="2121" spans="1:24" x14ac:dyDescent="0.25">
      <c r="A2121">
        <v>2117</v>
      </c>
      <c r="B2121" t="s">
        <v>28</v>
      </c>
      <c r="C2121" t="s">
        <v>25</v>
      </c>
      <c r="D2121">
        <v>14</v>
      </c>
      <c r="E2121" t="s">
        <v>511</v>
      </c>
      <c r="F2121" t="s">
        <v>512</v>
      </c>
      <c r="G2121">
        <v>3996</v>
      </c>
      <c r="H2121" t="s">
        <v>513</v>
      </c>
      <c r="I2121" t="s">
        <v>119</v>
      </c>
      <c r="J2121">
        <v>8</v>
      </c>
      <c r="K2121">
        <v>1</v>
      </c>
      <c r="L2121">
        <v>6.9212962962962961E-3</v>
      </c>
      <c r="M2121" t="s">
        <v>778</v>
      </c>
      <c r="N2121" t="s">
        <v>1504</v>
      </c>
      <c r="O2121" s="24">
        <v>46141</v>
      </c>
      <c r="P2121">
        <v>603</v>
      </c>
      <c r="Q2121" t="s">
        <v>34</v>
      </c>
      <c r="X2121" t="s">
        <v>3515</v>
      </c>
    </row>
    <row r="2122" spans="1:24" x14ac:dyDescent="0.25">
      <c r="A2122">
        <v>2118</v>
      </c>
      <c r="B2122" t="s">
        <v>28</v>
      </c>
      <c r="C2122" t="s">
        <v>25</v>
      </c>
      <c r="D2122">
        <v>14</v>
      </c>
      <c r="E2122" t="s">
        <v>511</v>
      </c>
      <c r="F2122" t="s">
        <v>512</v>
      </c>
      <c r="G2122">
        <v>3997</v>
      </c>
      <c r="H2122" t="s">
        <v>513</v>
      </c>
      <c r="I2122" t="s">
        <v>119</v>
      </c>
      <c r="J2122">
        <v>8</v>
      </c>
      <c r="K2122">
        <v>1</v>
      </c>
      <c r="L2122">
        <v>6.9212962962962961E-3</v>
      </c>
      <c r="M2122" t="s">
        <v>778</v>
      </c>
      <c r="N2122" t="s">
        <v>1504</v>
      </c>
      <c r="O2122" s="24">
        <v>46141</v>
      </c>
      <c r="P2122">
        <v>603</v>
      </c>
      <c r="Q2122" t="s">
        <v>34</v>
      </c>
      <c r="X2122" t="s">
        <v>3516</v>
      </c>
    </row>
    <row r="2123" spans="1:24" x14ac:dyDescent="0.25">
      <c r="A2123">
        <v>2119</v>
      </c>
      <c r="B2123" t="s">
        <v>28</v>
      </c>
      <c r="C2123" t="s">
        <v>25</v>
      </c>
      <c r="D2123">
        <v>14</v>
      </c>
      <c r="E2123" t="s">
        <v>511</v>
      </c>
      <c r="F2123" t="s">
        <v>512</v>
      </c>
      <c r="G2123">
        <v>3998</v>
      </c>
      <c r="H2123" t="s">
        <v>513</v>
      </c>
      <c r="I2123" t="s">
        <v>119</v>
      </c>
      <c r="J2123">
        <v>8</v>
      </c>
      <c r="K2123">
        <v>1</v>
      </c>
      <c r="L2123">
        <v>6.9212962962962961E-3</v>
      </c>
      <c r="M2123" t="s">
        <v>778</v>
      </c>
      <c r="N2123" t="s">
        <v>1504</v>
      </c>
      <c r="O2123" s="24">
        <v>46141</v>
      </c>
      <c r="P2123">
        <v>603</v>
      </c>
      <c r="Q2123" t="s">
        <v>34</v>
      </c>
      <c r="X2123" t="s">
        <v>3517</v>
      </c>
    </row>
    <row r="2124" spans="1:24" x14ac:dyDescent="0.25">
      <c r="A2124">
        <v>2120</v>
      </c>
      <c r="B2124" t="s">
        <v>28</v>
      </c>
      <c r="C2124" t="s">
        <v>25</v>
      </c>
      <c r="D2124">
        <v>14</v>
      </c>
      <c r="E2124" t="s">
        <v>511</v>
      </c>
      <c r="F2124" t="s">
        <v>512</v>
      </c>
      <c r="G2124">
        <v>3999</v>
      </c>
      <c r="H2124" t="s">
        <v>513</v>
      </c>
      <c r="I2124" t="s">
        <v>119</v>
      </c>
      <c r="J2124">
        <v>8</v>
      </c>
      <c r="K2124">
        <v>1</v>
      </c>
      <c r="L2124">
        <v>6.9212962962962961E-3</v>
      </c>
      <c r="M2124" t="s">
        <v>778</v>
      </c>
      <c r="N2124" t="s">
        <v>1504</v>
      </c>
      <c r="O2124" s="24">
        <v>46141</v>
      </c>
      <c r="P2124">
        <v>603</v>
      </c>
      <c r="Q2124" t="s">
        <v>34</v>
      </c>
      <c r="X2124" t="s">
        <v>3518</v>
      </c>
    </row>
    <row r="2125" spans="1:24" x14ac:dyDescent="0.25">
      <c r="A2125">
        <v>2121</v>
      </c>
      <c r="B2125" t="s">
        <v>28</v>
      </c>
      <c r="C2125" t="s">
        <v>25</v>
      </c>
      <c r="D2125">
        <v>14</v>
      </c>
      <c r="E2125" t="s">
        <v>511</v>
      </c>
      <c r="F2125" t="s">
        <v>512</v>
      </c>
      <c r="G2125">
        <v>4000</v>
      </c>
      <c r="H2125" t="s">
        <v>513</v>
      </c>
      <c r="I2125" t="s">
        <v>119</v>
      </c>
      <c r="J2125">
        <v>8</v>
      </c>
      <c r="K2125">
        <v>1</v>
      </c>
      <c r="L2125">
        <v>6.9212962962962961E-3</v>
      </c>
      <c r="M2125" t="s">
        <v>778</v>
      </c>
      <c r="N2125" t="s">
        <v>1504</v>
      </c>
      <c r="O2125" s="24">
        <v>46141</v>
      </c>
      <c r="P2125">
        <v>603</v>
      </c>
      <c r="Q2125" t="s">
        <v>34</v>
      </c>
      <c r="X2125" t="s">
        <v>3519</v>
      </c>
    </row>
    <row r="2126" spans="1:24" x14ac:dyDescent="0.25">
      <c r="A2126">
        <v>2122</v>
      </c>
      <c r="B2126" t="s">
        <v>28</v>
      </c>
      <c r="C2126" t="s">
        <v>25</v>
      </c>
      <c r="D2126">
        <v>14</v>
      </c>
      <c r="E2126" t="s">
        <v>511</v>
      </c>
      <c r="F2126" t="s">
        <v>512</v>
      </c>
      <c r="G2126">
        <v>4001</v>
      </c>
      <c r="H2126" t="s">
        <v>513</v>
      </c>
      <c r="I2126" t="s">
        <v>119</v>
      </c>
      <c r="J2126">
        <v>8</v>
      </c>
      <c r="K2126">
        <v>1</v>
      </c>
      <c r="L2126">
        <v>6.9212962962962961E-3</v>
      </c>
      <c r="M2126" t="s">
        <v>778</v>
      </c>
      <c r="N2126" t="s">
        <v>1422</v>
      </c>
      <c r="O2126" s="24">
        <v>46133</v>
      </c>
      <c r="P2126">
        <v>605</v>
      </c>
      <c r="Q2126" t="s">
        <v>34</v>
      </c>
      <c r="X2126" t="s">
        <v>3520</v>
      </c>
    </row>
    <row r="2127" spans="1:24" x14ac:dyDescent="0.25">
      <c r="A2127">
        <v>2123</v>
      </c>
      <c r="B2127" t="s">
        <v>28</v>
      </c>
      <c r="C2127" t="s">
        <v>25</v>
      </c>
      <c r="D2127">
        <v>14</v>
      </c>
      <c r="E2127" t="s">
        <v>65</v>
      </c>
      <c r="F2127" t="s">
        <v>368</v>
      </c>
      <c r="G2127">
        <v>4006</v>
      </c>
      <c r="H2127" t="s">
        <v>521</v>
      </c>
      <c r="I2127" t="s">
        <v>522</v>
      </c>
      <c r="J2127">
        <v>8</v>
      </c>
      <c r="K2127">
        <v>1</v>
      </c>
      <c r="L2127">
        <v>6.8055555555555551E-3</v>
      </c>
      <c r="M2127" t="s">
        <v>778</v>
      </c>
      <c r="N2127" t="s">
        <v>1525</v>
      </c>
      <c r="O2127" s="24">
        <v>46140</v>
      </c>
      <c r="P2127">
        <v>603</v>
      </c>
      <c r="Q2127" t="s">
        <v>34</v>
      </c>
      <c r="X2127" t="s">
        <v>3521</v>
      </c>
    </row>
    <row r="2128" spans="1:24" x14ac:dyDescent="0.25">
      <c r="A2128">
        <v>2124</v>
      </c>
      <c r="B2128" t="s">
        <v>28</v>
      </c>
      <c r="C2128" t="s">
        <v>25</v>
      </c>
      <c r="D2128">
        <v>14</v>
      </c>
      <c r="E2128" t="s">
        <v>1672</v>
      </c>
      <c r="F2128" t="s">
        <v>498</v>
      </c>
      <c r="G2128">
        <v>4007</v>
      </c>
      <c r="H2128" t="s">
        <v>2055</v>
      </c>
      <c r="I2128" t="s">
        <v>2056</v>
      </c>
      <c r="J2128">
        <v>8</v>
      </c>
      <c r="K2128">
        <v>2</v>
      </c>
      <c r="L2128">
        <v>1.4583333333333332E-3</v>
      </c>
      <c r="M2128" t="s">
        <v>778</v>
      </c>
      <c r="N2128" t="s">
        <v>1337</v>
      </c>
      <c r="O2128" s="24">
        <v>46136</v>
      </c>
      <c r="P2128">
        <v>605</v>
      </c>
      <c r="Q2128" t="s">
        <v>34</v>
      </c>
      <c r="X2128" t="s">
        <v>3522</v>
      </c>
    </row>
    <row r="2129" spans="1:24" x14ac:dyDescent="0.25">
      <c r="A2129">
        <v>2125</v>
      </c>
      <c r="B2129" t="s">
        <v>28</v>
      </c>
      <c r="C2129" t="s">
        <v>25</v>
      </c>
      <c r="D2129">
        <v>14</v>
      </c>
      <c r="E2129" t="s">
        <v>147</v>
      </c>
      <c r="F2129" t="s">
        <v>512</v>
      </c>
      <c r="G2129">
        <v>4007</v>
      </c>
      <c r="H2129" t="s">
        <v>2214</v>
      </c>
      <c r="I2129" t="s">
        <v>1620</v>
      </c>
      <c r="J2129">
        <v>8</v>
      </c>
      <c r="K2129">
        <v>1</v>
      </c>
      <c r="L2129">
        <v>4.7800925925925927E-3</v>
      </c>
      <c r="M2129" t="s">
        <v>778</v>
      </c>
      <c r="N2129" t="s">
        <v>1337</v>
      </c>
      <c r="O2129" s="24">
        <v>46136</v>
      </c>
      <c r="P2129">
        <v>605</v>
      </c>
      <c r="Q2129" t="s">
        <v>34</v>
      </c>
      <c r="X2129" t="s">
        <v>3522</v>
      </c>
    </row>
    <row r="2130" spans="1:24" x14ac:dyDescent="0.25">
      <c r="A2130">
        <v>2126</v>
      </c>
      <c r="B2130" t="s">
        <v>28</v>
      </c>
      <c r="C2130" t="s">
        <v>25</v>
      </c>
      <c r="D2130">
        <v>14</v>
      </c>
      <c r="E2130" t="s">
        <v>1588</v>
      </c>
      <c r="F2130" t="s">
        <v>44</v>
      </c>
      <c r="G2130">
        <v>4007</v>
      </c>
      <c r="H2130" t="s">
        <v>2215</v>
      </c>
      <c r="I2130" t="s">
        <v>2216</v>
      </c>
      <c r="J2130">
        <v>8</v>
      </c>
      <c r="K2130">
        <v>1</v>
      </c>
      <c r="L2130">
        <v>1.3888888888888887E-3</v>
      </c>
      <c r="M2130" t="s">
        <v>778</v>
      </c>
      <c r="N2130" t="s">
        <v>1337</v>
      </c>
      <c r="O2130" s="24">
        <v>46136</v>
      </c>
      <c r="P2130">
        <v>605</v>
      </c>
      <c r="Q2130" t="s">
        <v>34</v>
      </c>
      <c r="X2130" t="s">
        <v>3522</v>
      </c>
    </row>
    <row r="2131" spans="1:24" x14ac:dyDescent="0.25">
      <c r="A2131">
        <v>2127</v>
      </c>
      <c r="B2131" t="s">
        <v>28</v>
      </c>
      <c r="C2131" t="s">
        <v>25</v>
      </c>
      <c r="D2131">
        <v>14</v>
      </c>
      <c r="E2131" t="s">
        <v>1588</v>
      </c>
      <c r="F2131" t="s">
        <v>44</v>
      </c>
      <c r="G2131">
        <v>4007</v>
      </c>
      <c r="H2131" t="s">
        <v>2217</v>
      </c>
      <c r="I2131" t="s">
        <v>2049</v>
      </c>
      <c r="J2131">
        <v>8</v>
      </c>
      <c r="K2131">
        <v>1</v>
      </c>
      <c r="L2131">
        <v>1.0995370370370369E-3</v>
      </c>
      <c r="M2131" t="s">
        <v>778</v>
      </c>
      <c r="N2131" t="s">
        <v>1337</v>
      </c>
      <c r="O2131" s="24">
        <v>46136</v>
      </c>
      <c r="P2131">
        <v>605</v>
      </c>
      <c r="Q2131" t="s">
        <v>34</v>
      </c>
      <c r="X2131" t="s">
        <v>3522</v>
      </c>
    </row>
    <row r="2132" spans="1:24" x14ac:dyDescent="0.25">
      <c r="A2132">
        <v>2128</v>
      </c>
      <c r="B2132" t="s">
        <v>28</v>
      </c>
      <c r="C2132" t="s">
        <v>25</v>
      </c>
      <c r="D2132">
        <v>14</v>
      </c>
      <c r="E2132" t="s">
        <v>367</v>
      </c>
      <c r="F2132" t="s">
        <v>1593</v>
      </c>
      <c r="G2132">
        <v>4007</v>
      </c>
      <c r="H2132" t="s">
        <v>2060</v>
      </c>
      <c r="I2132" t="s">
        <v>2061</v>
      </c>
      <c r="J2132">
        <v>8</v>
      </c>
      <c r="K2132">
        <v>1</v>
      </c>
      <c r="L2132">
        <v>3.4722222222222218E-4</v>
      </c>
      <c r="M2132" t="s">
        <v>778</v>
      </c>
      <c r="N2132" t="s">
        <v>1337</v>
      </c>
      <c r="O2132" s="24">
        <v>46136</v>
      </c>
      <c r="P2132">
        <v>605</v>
      </c>
      <c r="Q2132" t="s">
        <v>34</v>
      </c>
      <c r="X2132" t="s">
        <v>3522</v>
      </c>
    </row>
    <row r="2133" spans="1:24" x14ac:dyDescent="0.25">
      <c r="A2133">
        <v>2129</v>
      </c>
      <c r="B2133" t="s">
        <v>28</v>
      </c>
      <c r="C2133" t="s">
        <v>25</v>
      </c>
      <c r="D2133">
        <v>14</v>
      </c>
      <c r="E2133" t="s">
        <v>65</v>
      </c>
      <c r="F2133" t="s">
        <v>65</v>
      </c>
      <c r="G2133">
        <v>4007</v>
      </c>
      <c r="H2133" t="s">
        <v>2218</v>
      </c>
      <c r="I2133" t="s">
        <v>2219</v>
      </c>
      <c r="J2133">
        <v>8</v>
      </c>
      <c r="K2133">
        <v>6</v>
      </c>
      <c r="L2133">
        <v>3.0902777777777777E-3</v>
      </c>
      <c r="M2133" t="s">
        <v>778</v>
      </c>
      <c r="N2133" t="s">
        <v>1337</v>
      </c>
      <c r="O2133" s="24">
        <v>46136</v>
      </c>
      <c r="P2133">
        <v>605</v>
      </c>
      <c r="Q2133" t="s">
        <v>34</v>
      </c>
      <c r="X2133" t="s">
        <v>3522</v>
      </c>
    </row>
    <row r="2134" spans="1:24" x14ac:dyDescent="0.25">
      <c r="A2134">
        <v>2130</v>
      </c>
      <c r="B2134" t="s">
        <v>28</v>
      </c>
      <c r="C2134" t="s">
        <v>25</v>
      </c>
      <c r="D2134">
        <v>14</v>
      </c>
      <c r="E2134" t="s">
        <v>65</v>
      </c>
      <c r="F2134" t="s">
        <v>65</v>
      </c>
      <c r="G2134">
        <v>4007</v>
      </c>
      <c r="H2134" t="s">
        <v>2092</v>
      </c>
      <c r="I2134" t="s">
        <v>2093</v>
      </c>
      <c r="J2134">
        <v>8</v>
      </c>
      <c r="K2134">
        <v>1</v>
      </c>
      <c r="L2134">
        <v>5.4398148148148144E-4</v>
      </c>
      <c r="M2134" t="s">
        <v>778</v>
      </c>
      <c r="N2134" t="s">
        <v>1337</v>
      </c>
      <c r="O2134" s="24">
        <v>46136</v>
      </c>
      <c r="P2134">
        <v>605</v>
      </c>
      <c r="Q2134" t="s">
        <v>34</v>
      </c>
      <c r="X2134" t="s">
        <v>3522</v>
      </c>
    </row>
    <row r="2135" spans="1:24" x14ac:dyDescent="0.25">
      <c r="A2135">
        <v>2131</v>
      </c>
      <c r="B2135" t="s">
        <v>28</v>
      </c>
      <c r="C2135" t="s">
        <v>25</v>
      </c>
      <c r="D2135">
        <v>14</v>
      </c>
      <c r="E2135" t="s">
        <v>65</v>
      </c>
      <c r="F2135" t="s">
        <v>65</v>
      </c>
      <c r="G2135">
        <v>4007</v>
      </c>
      <c r="H2135" t="s">
        <v>2083</v>
      </c>
      <c r="I2135" t="s">
        <v>2084</v>
      </c>
      <c r="J2135">
        <v>8</v>
      </c>
      <c r="K2135">
        <v>8</v>
      </c>
      <c r="L2135">
        <v>3.3333333333333331E-3</v>
      </c>
      <c r="M2135" t="s">
        <v>778</v>
      </c>
      <c r="N2135" t="s">
        <v>1337</v>
      </c>
      <c r="O2135" s="24">
        <v>46136</v>
      </c>
      <c r="P2135">
        <v>605</v>
      </c>
      <c r="Q2135" t="s">
        <v>34</v>
      </c>
      <c r="X2135" t="s">
        <v>3522</v>
      </c>
    </row>
    <row r="2136" spans="1:24" x14ac:dyDescent="0.25">
      <c r="A2136">
        <v>2132</v>
      </c>
      <c r="B2136" t="s">
        <v>28</v>
      </c>
      <c r="C2136" t="s">
        <v>25</v>
      </c>
      <c r="D2136">
        <v>14</v>
      </c>
      <c r="E2136" t="s">
        <v>65</v>
      </c>
      <c r="F2136" t="s">
        <v>368</v>
      </c>
      <c r="G2136">
        <v>4007</v>
      </c>
      <c r="H2136" t="s">
        <v>2220</v>
      </c>
      <c r="I2136" t="s">
        <v>2221</v>
      </c>
      <c r="J2136">
        <v>8</v>
      </c>
      <c r="K2136">
        <v>10</v>
      </c>
      <c r="L2136">
        <v>5.7870370370370367E-3</v>
      </c>
      <c r="M2136" t="s">
        <v>778</v>
      </c>
      <c r="N2136" t="s">
        <v>1337</v>
      </c>
      <c r="O2136" s="24">
        <v>46136</v>
      </c>
      <c r="P2136">
        <v>605</v>
      </c>
      <c r="Q2136" t="s">
        <v>34</v>
      </c>
      <c r="X2136" t="s">
        <v>3522</v>
      </c>
    </row>
    <row r="2137" spans="1:24" x14ac:dyDescent="0.25">
      <c r="A2137">
        <v>2133</v>
      </c>
      <c r="B2137" t="s">
        <v>28</v>
      </c>
      <c r="C2137" t="s">
        <v>25</v>
      </c>
      <c r="D2137">
        <v>14</v>
      </c>
      <c r="E2137" t="s">
        <v>65</v>
      </c>
      <c r="F2137" t="s">
        <v>44</v>
      </c>
      <c r="G2137">
        <v>4007</v>
      </c>
      <c r="H2137" t="s">
        <v>2222</v>
      </c>
      <c r="I2137" t="s">
        <v>2216</v>
      </c>
      <c r="J2137">
        <v>8</v>
      </c>
      <c r="K2137">
        <v>1</v>
      </c>
      <c r="L2137">
        <v>1.3888888888888887E-3</v>
      </c>
      <c r="M2137" t="s">
        <v>778</v>
      </c>
      <c r="N2137" t="s">
        <v>1337</v>
      </c>
      <c r="O2137" s="24">
        <v>46136</v>
      </c>
      <c r="P2137">
        <v>605</v>
      </c>
      <c r="Q2137" t="s">
        <v>34</v>
      </c>
      <c r="X2137" t="s">
        <v>3522</v>
      </c>
    </row>
    <row r="2138" spans="1:24" x14ac:dyDescent="0.25">
      <c r="A2138">
        <v>2134</v>
      </c>
      <c r="B2138" t="s">
        <v>28</v>
      </c>
      <c r="C2138" t="s">
        <v>25</v>
      </c>
      <c r="D2138">
        <v>14</v>
      </c>
      <c r="E2138" t="s">
        <v>65</v>
      </c>
      <c r="F2138" t="s">
        <v>368</v>
      </c>
      <c r="G2138">
        <v>4007</v>
      </c>
      <c r="H2138" t="s">
        <v>2223</v>
      </c>
      <c r="I2138" t="s">
        <v>2224</v>
      </c>
      <c r="J2138">
        <v>8</v>
      </c>
      <c r="K2138">
        <v>1</v>
      </c>
      <c r="L2138">
        <v>1.5856481481481481E-3</v>
      </c>
      <c r="M2138" t="s">
        <v>778</v>
      </c>
      <c r="N2138" t="s">
        <v>1337</v>
      </c>
      <c r="O2138" s="24">
        <v>46136</v>
      </c>
      <c r="P2138">
        <v>605</v>
      </c>
      <c r="Q2138" t="s">
        <v>34</v>
      </c>
      <c r="X2138" t="s">
        <v>3522</v>
      </c>
    </row>
    <row r="2139" spans="1:24" x14ac:dyDescent="0.25">
      <c r="A2139">
        <v>2135</v>
      </c>
      <c r="B2139" t="s">
        <v>28</v>
      </c>
      <c r="C2139" t="s">
        <v>25</v>
      </c>
      <c r="D2139">
        <v>14</v>
      </c>
      <c r="E2139" t="s">
        <v>65</v>
      </c>
      <c r="F2139" t="s">
        <v>1590</v>
      </c>
      <c r="G2139">
        <v>4007</v>
      </c>
      <c r="H2139" t="s">
        <v>2102</v>
      </c>
      <c r="I2139" t="s">
        <v>2103</v>
      </c>
      <c r="J2139">
        <v>8</v>
      </c>
      <c r="K2139">
        <v>1</v>
      </c>
      <c r="L2139">
        <v>6.0185185185185179E-4</v>
      </c>
      <c r="M2139" t="s">
        <v>778</v>
      </c>
      <c r="N2139" t="s">
        <v>1337</v>
      </c>
      <c r="O2139" s="24">
        <v>46136</v>
      </c>
      <c r="P2139">
        <v>605</v>
      </c>
      <c r="Q2139" t="s">
        <v>34</v>
      </c>
      <c r="X2139" t="s">
        <v>3522</v>
      </c>
    </row>
    <row r="2140" spans="1:24" x14ac:dyDescent="0.25">
      <c r="A2140">
        <v>2136</v>
      </c>
      <c r="B2140" t="s">
        <v>28</v>
      </c>
      <c r="C2140" t="s">
        <v>25</v>
      </c>
      <c r="D2140">
        <v>14</v>
      </c>
      <c r="E2140" t="s">
        <v>65</v>
      </c>
      <c r="F2140" t="s">
        <v>66</v>
      </c>
      <c r="G2140">
        <v>4007</v>
      </c>
      <c r="H2140" t="s">
        <v>2180</v>
      </c>
      <c r="I2140" t="s">
        <v>2181</v>
      </c>
      <c r="J2140">
        <v>8</v>
      </c>
      <c r="K2140">
        <v>3</v>
      </c>
      <c r="L2140">
        <v>1.5972222222222221E-3</v>
      </c>
      <c r="M2140" t="s">
        <v>778</v>
      </c>
      <c r="N2140" t="s">
        <v>1337</v>
      </c>
      <c r="O2140" s="24">
        <v>46136</v>
      </c>
      <c r="P2140">
        <v>605</v>
      </c>
      <c r="Q2140" t="s">
        <v>34</v>
      </c>
      <c r="X2140" t="s">
        <v>3522</v>
      </c>
    </row>
    <row r="2141" spans="1:24" x14ac:dyDescent="0.25">
      <c r="A2141">
        <v>2137</v>
      </c>
      <c r="B2141" t="s">
        <v>28</v>
      </c>
      <c r="C2141" t="s">
        <v>25</v>
      </c>
      <c r="D2141">
        <v>14</v>
      </c>
      <c r="E2141" t="s">
        <v>1665</v>
      </c>
      <c r="F2141" t="s">
        <v>512</v>
      </c>
      <c r="G2141">
        <v>4008</v>
      </c>
      <c r="H2141" t="s">
        <v>2225</v>
      </c>
      <c r="I2141" t="s">
        <v>2226</v>
      </c>
      <c r="J2141">
        <v>8</v>
      </c>
      <c r="K2141">
        <v>1</v>
      </c>
      <c r="L2141">
        <v>1.8287037037037037E-3</v>
      </c>
      <c r="M2141" t="s">
        <v>3079</v>
      </c>
      <c r="X2141" t="s">
        <v>3523</v>
      </c>
    </row>
    <row r="2142" spans="1:24" x14ac:dyDescent="0.25">
      <c r="A2142">
        <v>2138</v>
      </c>
      <c r="B2142" t="s">
        <v>28</v>
      </c>
      <c r="C2142" t="s">
        <v>25</v>
      </c>
      <c r="D2142">
        <v>14</v>
      </c>
      <c r="E2142" t="s">
        <v>1672</v>
      </c>
      <c r="F2142" t="s">
        <v>115</v>
      </c>
      <c r="G2142">
        <v>4008</v>
      </c>
      <c r="H2142" t="s">
        <v>2087</v>
      </c>
      <c r="I2142" t="s">
        <v>2088</v>
      </c>
      <c r="J2142">
        <v>8</v>
      </c>
      <c r="K2142">
        <v>1</v>
      </c>
      <c r="L2142">
        <v>8.4490740740740739E-4</v>
      </c>
      <c r="M2142" t="s">
        <v>3079</v>
      </c>
      <c r="X2142" t="s">
        <v>3523</v>
      </c>
    </row>
    <row r="2143" spans="1:24" x14ac:dyDescent="0.25">
      <c r="A2143">
        <v>2139</v>
      </c>
      <c r="B2143" t="s">
        <v>28</v>
      </c>
      <c r="C2143" t="s">
        <v>25</v>
      </c>
      <c r="D2143">
        <v>14</v>
      </c>
      <c r="E2143" t="s">
        <v>1665</v>
      </c>
      <c r="F2143" t="s">
        <v>512</v>
      </c>
      <c r="G2143">
        <v>4008</v>
      </c>
      <c r="H2143" t="s">
        <v>2228</v>
      </c>
      <c r="I2143" t="s">
        <v>2153</v>
      </c>
      <c r="J2143">
        <v>8</v>
      </c>
      <c r="K2143">
        <v>1</v>
      </c>
      <c r="L2143">
        <v>1.6319444444444443E-3</v>
      </c>
      <c r="M2143" t="s">
        <v>3079</v>
      </c>
      <c r="X2143" t="s">
        <v>3523</v>
      </c>
    </row>
    <row r="2144" spans="1:24" x14ac:dyDescent="0.25">
      <c r="A2144">
        <v>2140</v>
      </c>
      <c r="B2144" t="s">
        <v>28</v>
      </c>
      <c r="C2144" t="s">
        <v>25</v>
      </c>
      <c r="D2144">
        <v>14</v>
      </c>
      <c r="E2144" t="s">
        <v>367</v>
      </c>
      <c r="F2144" t="s">
        <v>512</v>
      </c>
      <c r="G2144">
        <v>4008</v>
      </c>
      <c r="H2144" t="s">
        <v>2229</v>
      </c>
      <c r="I2144" t="s">
        <v>2230</v>
      </c>
      <c r="J2144">
        <v>8</v>
      </c>
      <c r="K2144">
        <v>2</v>
      </c>
      <c r="L2144">
        <v>3.2754629629629627E-3</v>
      </c>
      <c r="M2144" t="s">
        <v>3079</v>
      </c>
      <c r="X2144" t="s">
        <v>3523</v>
      </c>
    </row>
    <row r="2145" spans="1:24" x14ac:dyDescent="0.25">
      <c r="A2145">
        <v>2141</v>
      </c>
      <c r="B2145" t="s">
        <v>28</v>
      </c>
      <c r="C2145" t="s">
        <v>25</v>
      </c>
      <c r="D2145">
        <v>14</v>
      </c>
      <c r="E2145" t="s">
        <v>367</v>
      </c>
      <c r="F2145" t="s">
        <v>512</v>
      </c>
      <c r="G2145">
        <v>4008</v>
      </c>
      <c r="H2145" t="s">
        <v>2231</v>
      </c>
      <c r="I2145" t="s">
        <v>2232</v>
      </c>
      <c r="J2145">
        <v>8</v>
      </c>
      <c r="K2145">
        <v>2</v>
      </c>
      <c r="L2145">
        <v>3.2754629629629627E-3</v>
      </c>
      <c r="M2145" t="s">
        <v>3079</v>
      </c>
      <c r="X2145" t="s">
        <v>3523</v>
      </c>
    </row>
    <row r="2146" spans="1:24" x14ac:dyDescent="0.25">
      <c r="A2146">
        <v>2142</v>
      </c>
      <c r="B2146" t="s">
        <v>28</v>
      </c>
      <c r="C2146" t="s">
        <v>25</v>
      </c>
      <c r="D2146">
        <v>14</v>
      </c>
      <c r="E2146" t="s">
        <v>65</v>
      </c>
      <c r="F2146" t="s">
        <v>368</v>
      </c>
      <c r="G2146">
        <v>4008</v>
      </c>
      <c r="H2146" t="s">
        <v>2220</v>
      </c>
      <c r="I2146" t="s">
        <v>2221</v>
      </c>
      <c r="J2146">
        <v>8</v>
      </c>
      <c r="K2146">
        <v>2</v>
      </c>
      <c r="L2146">
        <v>1.3888888888888887E-3</v>
      </c>
      <c r="M2146" t="s">
        <v>3079</v>
      </c>
      <c r="X2146" t="s">
        <v>3523</v>
      </c>
    </row>
    <row r="2147" spans="1:24" x14ac:dyDescent="0.25">
      <c r="A2147">
        <v>2143</v>
      </c>
      <c r="B2147" t="s">
        <v>28</v>
      </c>
      <c r="C2147" t="s">
        <v>25</v>
      </c>
      <c r="D2147">
        <v>14</v>
      </c>
      <c r="E2147" t="s">
        <v>65</v>
      </c>
      <c r="F2147" t="s">
        <v>368</v>
      </c>
      <c r="G2147">
        <v>4008</v>
      </c>
      <c r="H2147" t="s">
        <v>1625</v>
      </c>
      <c r="I2147" t="s">
        <v>1626</v>
      </c>
      <c r="J2147">
        <v>8</v>
      </c>
      <c r="K2147">
        <v>5</v>
      </c>
      <c r="L2147">
        <v>4.5023148148148149E-3</v>
      </c>
      <c r="M2147" t="s">
        <v>3079</v>
      </c>
      <c r="X2147" t="s">
        <v>3523</v>
      </c>
    </row>
    <row r="2148" spans="1:24" x14ac:dyDescent="0.25">
      <c r="A2148">
        <v>2144</v>
      </c>
      <c r="B2148" t="s">
        <v>28</v>
      </c>
      <c r="C2148" t="s">
        <v>25</v>
      </c>
      <c r="D2148">
        <v>14</v>
      </c>
      <c r="E2148" t="s">
        <v>65</v>
      </c>
      <c r="F2148" t="s">
        <v>44</v>
      </c>
      <c r="G2148">
        <v>4008</v>
      </c>
      <c r="H2148" t="s">
        <v>2233</v>
      </c>
      <c r="I2148" t="s">
        <v>2216</v>
      </c>
      <c r="J2148">
        <v>8</v>
      </c>
      <c r="K2148">
        <v>1</v>
      </c>
      <c r="L2148">
        <v>1.6666666666666666E-3</v>
      </c>
      <c r="M2148" t="s">
        <v>3079</v>
      </c>
      <c r="X2148" t="s">
        <v>3523</v>
      </c>
    </row>
    <row r="2149" spans="1:24" x14ac:dyDescent="0.25">
      <c r="A2149">
        <v>2145</v>
      </c>
      <c r="B2149" t="s">
        <v>28</v>
      </c>
      <c r="C2149" t="s">
        <v>25</v>
      </c>
      <c r="D2149">
        <v>14</v>
      </c>
      <c r="E2149" t="s">
        <v>367</v>
      </c>
      <c r="F2149" t="s">
        <v>427</v>
      </c>
      <c r="G2149">
        <v>4008</v>
      </c>
      <c r="H2149" t="s">
        <v>2234</v>
      </c>
      <c r="I2149" t="s">
        <v>2235</v>
      </c>
      <c r="J2149">
        <v>8</v>
      </c>
      <c r="K2149">
        <v>1</v>
      </c>
      <c r="L2149">
        <v>5.6944444444444438E-3</v>
      </c>
      <c r="M2149" t="s">
        <v>3079</v>
      </c>
      <c r="X2149" t="s">
        <v>3523</v>
      </c>
    </row>
    <row r="2150" spans="1:24" x14ac:dyDescent="0.25">
      <c r="A2150">
        <v>2146</v>
      </c>
      <c r="B2150" t="s">
        <v>28</v>
      </c>
      <c r="C2150" t="s">
        <v>25</v>
      </c>
      <c r="D2150">
        <v>14</v>
      </c>
      <c r="E2150" t="s">
        <v>2195</v>
      </c>
      <c r="F2150" t="s">
        <v>44</v>
      </c>
      <c r="G2150">
        <v>4008</v>
      </c>
      <c r="H2150" t="s">
        <v>45</v>
      </c>
      <c r="I2150" t="s">
        <v>1119</v>
      </c>
      <c r="J2150">
        <v>8</v>
      </c>
      <c r="K2150">
        <v>1</v>
      </c>
      <c r="L2150">
        <v>1.4004629629629629E-3</v>
      </c>
      <c r="M2150" t="s">
        <v>3079</v>
      </c>
      <c r="X2150" t="s">
        <v>3523</v>
      </c>
    </row>
    <row r="2151" spans="1:24" x14ac:dyDescent="0.25">
      <c r="A2151">
        <v>2147</v>
      </c>
      <c r="B2151" t="s">
        <v>28</v>
      </c>
      <c r="C2151" t="s">
        <v>25</v>
      </c>
      <c r="D2151">
        <v>14</v>
      </c>
      <c r="E2151" t="s">
        <v>367</v>
      </c>
      <c r="F2151" t="s">
        <v>1594</v>
      </c>
      <c r="G2151">
        <v>4009</v>
      </c>
      <c r="H2151" t="s">
        <v>2236</v>
      </c>
      <c r="I2151" t="s">
        <v>2237</v>
      </c>
      <c r="J2151">
        <v>8</v>
      </c>
      <c r="K2151">
        <v>1</v>
      </c>
      <c r="L2151">
        <v>3.7615740740740739E-3</v>
      </c>
      <c r="M2151" t="s">
        <v>3079</v>
      </c>
      <c r="X2151" t="s">
        <v>3524</v>
      </c>
    </row>
    <row r="2152" spans="1:24" x14ac:dyDescent="0.25">
      <c r="A2152">
        <v>2148</v>
      </c>
      <c r="B2152" t="s">
        <v>28</v>
      </c>
      <c r="C2152" t="s">
        <v>25</v>
      </c>
      <c r="D2152">
        <v>14</v>
      </c>
      <c r="E2152" t="s">
        <v>367</v>
      </c>
      <c r="F2152" t="s">
        <v>1599</v>
      </c>
      <c r="G2152">
        <v>4009</v>
      </c>
      <c r="H2152" t="s">
        <v>2239</v>
      </c>
      <c r="I2152" t="s">
        <v>2240</v>
      </c>
      <c r="J2152">
        <v>8</v>
      </c>
      <c r="K2152">
        <v>1</v>
      </c>
      <c r="L2152">
        <v>2.1643518518518518E-3</v>
      </c>
      <c r="M2152" t="s">
        <v>3079</v>
      </c>
      <c r="X2152" t="s">
        <v>3524</v>
      </c>
    </row>
    <row r="2153" spans="1:24" x14ac:dyDescent="0.25">
      <c r="A2153">
        <v>2149</v>
      </c>
      <c r="B2153" t="s">
        <v>28</v>
      </c>
      <c r="C2153" t="s">
        <v>25</v>
      </c>
      <c r="D2153">
        <v>14</v>
      </c>
      <c r="E2153" t="s">
        <v>65</v>
      </c>
      <c r="F2153" t="s">
        <v>368</v>
      </c>
      <c r="G2153">
        <v>4009</v>
      </c>
      <c r="H2153" t="s">
        <v>2156</v>
      </c>
      <c r="I2153" t="s">
        <v>2157</v>
      </c>
      <c r="J2153">
        <v>8</v>
      </c>
      <c r="K2153">
        <v>9</v>
      </c>
      <c r="L2153">
        <v>2.7777777777777775E-3</v>
      </c>
      <c r="M2153" t="s">
        <v>3079</v>
      </c>
      <c r="X2153" t="s">
        <v>3524</v>
      </c>
    </row>
    <row r="2154" spans="1:24" x14ac:dyDescent="0.25">
      <c r="A2154">
        <v>2150</v>
      </c>
      <c r="B2154" t="s">
        <v>28</v>
      </c>
      <c r="C2154" t="s">
        <v>25</v>
      </c>
      <c r="D2154">
        <v>14</v>
      </c>
      <c r="E2154" t="s">
        <v>65</v>
      </c>
      <c r="F2154" t="s">
        <v>66</v>
      </c>
      <c r="G2154">
        <v>4009</v>
      </c>
      <c r="H2154" t="s">
        <v>2180</v>
      </c>
      <c r="I2154" t="s">
        <v>2181</v>
      </c>
      <c r="J2154">
        <v>8</v>
      </c>
      <c r="K2154">
        <v>4</v>
      </c>
      <c r="L2154">
        <v>2.1990740740740738E-3</v>
      </c>
      <c r="M2154" t="s">
        <v>3079</v>
      </c>
      <c r="X2154" t="s">
        <v>3524</v>
      </c>
    </row>
    <row r="2155" spans="1:24" x14ac:dyDescent="0.25">
      <c r="A2155">
        <v>2151</v>
      </c>
      <c r="B2155" t="s">
        <v>28</v>
      </c>
      <c r="C2155" t="s">
        <v>25</v>
      </c>
      <c r="D2155">
        <v>14</v>
      </c>
      <c r="E2155" t="s">
        <v>65</v>
      </c>
      <c r="F2155" t="s">
        <v>368</v>
      </c>
      <c r="G2155">
        <v>4010</v>
      </c>
      <c r="H2155" t="s">
        <v>524</v>
      </c>
      <c r="I2155" t="s">
        <v>522</v>
      </c>
      <c r="J2155">
        <v>8</v>
      </c>
      <c r="K2155">
        <v>1</v>
      </c>
      <c r="L2155">
        <v>6.875E-3</v>
      </c>
      <c r="M2155" t="s">
        <v>778</v>
      </c>
      <c r="N2155" t="s">
        <v>1525</v>
      </c>
      <c r="O2155" s="24">
        <v>46140</v>
      </c>
      <c r="P2155">
        <v>603</v>
      </c>
      <c r="Q2155" t="s">
        <v>34</v>
      </c>
      <c r="X2155" t="s">
        <v>3525</v>
      </c>
    </row>
    <row r="2156" spans="1:24" x14ac:dyDescent="0.25">
      <c r="A2156">
        <v>2152</v>
      </c>
      <c r="B2156" t="s">
        <v>28</v>
      </c>
      <c r="C2156" t="s">
        <v>25</v>
      </c>
      <c r="D2156">
        <v>14</v>
      </c>
      <c r="E2156" t="s">
        <v>65</v>
      </c>
      <c r="F2156" t="s">
        <v>368</v>
      </c>
      <c r="G2156">
        <v>4011</v>
      </c>
      <c r="H2156" t="s">
        <v>524</v>
      </c>
      <c r="I2156" t="s">
        <v>522</v>
      </c>
      <c r="J2156">
        <v>8</v>
      </c>
      <c r="K2156">
        <v>1</v>
      </c>
      <c r="L2156">
        <v>6.875E-3</v>
      </c>
      <c r="M2156" t="s">
        <v>778</v>
      </c>
      <c r="N2156" t="s">
        <v>1525</v>
      </c>
      <c r="O2156" s="24">
        <v>46140</v>
      </c>
      <c r="P2156">
        <v>603</v>
      </c>
      <c r="Q2156" t="s">
        <v>34</v>
      </c>
      <c r="X2156" t="s">
        <v>3526</v>
      </c>
    </row>
    <row r="2157" spans="1:24" x14ac:dyDescent="0.25">
      <c r="A2157">
        <v>2153</v>
      </c>
      <c r="B2157" t="s">
        <v>28</v>
      </c>
      <c r="C2157" t="s">
        <v>25</v>
      </c>
      <c r="D2157">
        <v>14</v>
      </c>
      <c r="E2157" t="s">
        <v>65</v>
      </c>
      <c r="F2157" t="s">
        <v>368</v>
      </c>
      <c r="G2157">
        <v>4012</v>
      </c>
      <c r="H2157" t="s">
        <v>524</v>
      </c>
      <c r="I2157" t="s">
        <v>522</v>
      </c>
      <c r="J2157">
        <v>8</v>
      </c>
      <c r="K2157">
        <v>1</v>
      </c>
      <c r="L2157">
        <v>6.875E-3</v>
      </c>
      <c r="M2157" t="s">
        <v>778</v>
      </c>
      <c r="N2157" t="s">
        <v>1525</v>
      </c>
      <c r="O2157" s="24">
        <v>46140</v>
      </c>
      <c r="P2157">
        <v>603</v>
      </c>
      <c r="Q2157" t="s">
        <v>34</v>
      </c>
      <c r="X2157" t="s">
        <v>3527</v>
      </c>
    </row>
    <row r="2158" spans="1:24" x14ac:dyDescent="0.25">
      <c r="A2158">
        <v>2154</v>
      </c>
      <c r="B2158" t="s">
        <v>28</v>
      </c>
      <c r="C2158" t="s">
        <v>25</v>
      </c>
      <c r="D2158">
        <v>14</v>
      </c>
      <c r="E2158" t="s">
        <v>65</v>
      </c>
      <c r="F2158" t="s">
        <v>368</v>
      </c>
      <c r="G2158">
        <v>4013</v>
      </c>
      <c r="H2158" t="s">
        <v>524</v>
      </c>
      <c r="I2158" t="s">
        <v>522</v>
      </c>
      <c r="J2158">
        <v>8</v>
      </c>
      <c r="K2158">
        <v>1</v>
      </c>
      <c r="L2158">
        <v>6.875E-3</v>
      </c>
      <c r="M2158" t="s">
        <v>778</v>
      </c>
      <c r="N2158" t="s">
        <v>1525</v>
      </c>
      <c r="O2158" s="24">
        <v>46140</v>
      </c>
      <c r="P2158">
        <v>603</v>
      </c>
      <c r="Q2158" t="s">
        <v>34</v>
      </c>
      <c r="X2158" t="s">
        <v>3528</v>
      </c>
    </row>
    <row r="2159" spans="1:24" x14ac:dyDescent="0.25">
      <c r="A2159">
        <v>2155</v>
      </c>
      <c r="B2159" t="s">
        <v>28</v>
      </c>
      <c r="C2159" t="s">
        <v>25</v>
      </c>
      <c r="D2159">
        <v>14</v>
      </c>
      <c r="E2159" t="s">
        <v>65</v>
      </c>
      <c r="F2159" t="s">
        <v>368</v>
      </c>
      <c r="G2159">
        <v>4014</v>
      </c>
      <c r="H2159" t="s">
        <v>524</v>
      </c>
      <c r="I2159" t="s">
        <v>522</v>
      </c>
      <c r="J2159">
        <v>8</v>
      </c>
      <c r="K2159">
        <v>1</v>
      </c>
      <c r="L2159">
        <v>6.875E-3</v>
      </c>
      <c r="M2159" t="s">
        <v>778</v>
      </c>
      <c r="N2159" t="s">
        <v>1525</v>
      </c>
      <c r="O2159" s="24">
        <v>46140</v>
      </c>
      <c r="P2159">
        <v>603</v>
      </c>
      <c r="Q2159" t="s">
        <v>34</v>
      </c>
      <c r="X2159" t="s">
        <v>3529</v>
      </c>
    </row>
    <row r="2160" spans="1:24" x14ac:dyDescent="0.25">
      <c r="A2160">
        <v>2156</v>
      </c>
      <c r="B2160" t="s">
        <v>28</v>
      </c>
      <c r="C2160" t="s">
        <v>25</v>
      </c>
      <c r="D2160">
        <v>14</v>
      </c>
      <c r="E2160" t="s">
        <v>367</v>
      </c>
      <c r="F2160" t="s">
        <v>427</v>
      </c>
      <c r="G2160">
        <v>4017</v>
      </c>
      <c r="H2160" t="s">
        <v>2246</v>
      </c>
      <c r="I2160" t="s">
        <v>2247</v>
      </c>
      <c r="J2160">
        <v>8</v>
      </c>
      <c r="K2160">
        <v>1</v>
      </c>
      <c r="L2160">
        <v>1.3888888888888887E-3</v>
      </c>
      <c r="M2160" t="s">
        <v>3079</v>
      </c>
      <c r="X2160" t="s">
        <v>3530</v>
      </c>
    </row>
    <row r="2161" spans="1:24" x14ac:dyDescent="0.25">
      <c r="A2161">
        <v>2157</v>
      </c>
      <c r="B2161" t="s">
        <v>28</v>
      </c>
      <c r="C2161" t="s">
        <v>25</v>
      </c>
      <c r="D2161">
        <v>14</v>
      </c>
      <c r="E2161" t="s">
        <v>367</v>
      </c>
      <c r="F2161" t="s">
        <v>1598</v>
      </c>
      <c r="G2161">
        <v>4017</v>
      </c>
      <c r="H2161" t="s">
        <v>2249</v>
      </c>
      <c r="I2161" t="s">
        <v>2240</v>
      </c>
      <c r="J2161">
        <v>8</v>
      </c>
      <c r="K2161">
        <v>1</v>
      </c>
      <c r="L2161">
        <v>2.6041666666666665E-3</v>
      </c>
      <c r="M2161" t="s">
        <v>3079</v>
      </c>
      <c r="X2161" t="s">
        <v>3530</v>
      </c>
    </row>
    <row r="2162" spans="1:24" x14ac:dyDescent="0.25">
      <c r="A2162">
        <v>2158</v>
      </c>
      <c r="B2162" t="s">
        <v>28</v>
      </c>
      <c r="C2162" t="s">
        <v>25</v>
      </c>
      <c r="D2162">
        <v>14</v>
      </c>
      <c r="E2162" t="s">
        <v>65</v>
      </c>
      <c r="F2162" t="s">
        <v>1590</v>
      </c>
      <c r="G2162">
        <v>4017</v>
      </c>
      <c r="H2162" t="s">
        <v>2102</v>
      </c>
      <c r="I2162" t="s">
        <v>2103</v>
      </c>
      <c r="J2162">
        <v>8</v>
      </c>
      <c r="K2162">
        <v>2</v>
      </c>
      <c r="L2162">
        <v>1.2962962962962963E-3</v>
      </c>
      <c r="M2162" t="s">
        <v>3079</v>
      </c>
      <c r="X2162" t="s">
        <v>3530</v>
      </c>
    </row>
    <row r="2163" spans="1:24" x14ac:dyDescent="0.25">
      <c r="A2163">
        <v>2159</v>
      </c>
      <c r="B2163" t="s">
        <v>28</v>
      </c>
      <c r="C2163" t="s">
        <v>25</v>
      </c>
      <c r="D2163">
        <v>14</v>
      </c>
      <c r="E2163" t="s">
        <v>65</v>
      </c>
      <c r="F2163" t="s">
        <v>66</v>
      </c>
      <c r="G2163">
        <v>4017</v>
      </c>
      <c r="H2163" t="s">
        <v>2250</v>
      </c>
      <c r="I2163" t="s">
        <v>2251</v>
      </c>
      <c r="J2163">
        <v>8</v>
      </c>
      <c r="K2163">
        <v>1</v>
      </c>
      <c r="L2163">
        <v>2.5115740740740741E-3</v>
      </c>
      <c r="M2163" t="s">
        <v>3079</v>
      </c>
      <c r="X2163" t="s">
        <v>3530</v>
      </c>
    </row>
    <row r="2164" spans="1:24" x14ac:dyDescent="0.25">
      <c r="A2164">
        <v>2160</v>
      </c>
      <c r="B2164" t="s">
        <v>28</v>
      </c>
      <c r="C2164" t="s">
        <v>25</v>
      </c>
      <c r="D2164">
        <v>14</v>
      </c>
      <c r="E2164" t="s">
        <v>65</v>
      </c>
      <c r="F2164" t="s">
        <v>66</v>
      </c>
      <c r="G2164">
        <v>4017</v>
      </c>
      <c r="H2164" t="s">
        <v>2252</v>
      </c>
      <c r="I2164" t="s">
        <v>2253</v>
      </c>
      <c r="J2164">
        <v>8</v>
      </c>
      <c r="K2164">
        <v>1</v>
      </c>
      <c r="L2164">
        <v>7.2916666666666659E-4</v>
      </c>
      <c r="M2164" t="s">
        <v>3079</v>
      </c>
      <c r="X2164" t="s">
        <v>3530</v>
      </c>
    </row>
    <row r="2165" spans="1:24" x14ac:dyDescent="0.25">
      <c r="A2165">
        <v>2161</v>
      </c>
      <c r="B2165" t="s">
        <v>28</v>
      </c>
      <c r="C2165" t="s">
        <v>25</v>
      </c>
      <c r="D2165">
        <v>14</v>
      </c>
      <c r="E2165" t="s">
        <v>65</v>
      </c>
      <c r="F2165" t="s">
        <v>66</v>
      </c>
      <c r="G2165">
        <v>4017</v>
      </c>
      <c r="H2165" t="s">
        <v>2180</v>
      </c>
      <c r="I2165" t="s">
        <v>2181</v>
      </c>
      <c r="J2165">
        <v>8</v>
      </c>
      <c r="K2165">
        <v>3</v>
      </c>
      <c r="L2165">
        <v>1.724537037037037E-3</v>
      </c>
      <c r="M2165" t="s">
        <v>3079</v>
      </c>
      <c r="X2165" t="s">
        <v>3530</v>
      </c>
    </row>
    <row r="2166" spans="1:24" x14ac:dyDescent="0.25">
      <c r="A2166">
        <v>2162</v>
      </c>
      <c r="B2166" t="s">
        <v>28</v>
      </c>
      <c r="C2166" t="s">
        <v>25</v>
      </c>
      <c r="D2166">
        <v>14</v>
      </c>
      <c r="E2166" t="s">
        <v>65</v>
      </c>
      <c r="F2166" t="s">
        <v>1597</v>
      </c>
      <c r="G2166">
        <v>4017</v>
      </c>
      <c r="H2166" t="s">
        <v>2254</v>
      </c>
      <c r="I2166" t="s">
        <v>2255</v>
      </c>
      <c r="J2166">
        <v>8</v>
      </c>
      <c r="K2166">
        <v>1</v>
      </c>
      <c r="L2166">
        <v>2.7893518518518519E-3</v>
      </c>
      <c r="M2166" t="s">
        <v>3079</v>
      </c>
      <c r="X2166" t="s">
        <v>3530</v>
      </c>
    </row>
    <row r="2167" spans="1:24" x14ac:dyDescent="0.25">
      <c r="A2167">
        <v>2163</v>
      </c>
      <c r="B2167" t="s">
        <v>28</v>
      </c>
      <c r="C2167" t="s">
        <v>25</v>
      </c>
      <c r="D2167">
        <v>14</v>
      </c>
      <c r="E2167" t="s">
        <v>1665</v>
      </c>
      <c r="F2167" t="s">
        <v>512</v>
      </c>
      <c r="G2167">
        <v>4021</v>
      </c>
      <c r="H2167" t="s">
        <v>2225</v>
      </c>
      <c r="I2167" t="s">
        <v>2226</v>
      </c>
      <c r="J2167">
        <v>8</v>
      </c>
      <c r="K2167">
        <v>5</v>
      </c>
      <c r="L2167">
        <v>8.7499999999999991E-3</v>
      </c>
      <c r="M2167" t="s">
        <v>3079</v>
      </c>
      <c r="X2167" t="s">
        <v>3531</v>
      </c>
    </row>
    <row r="2168" spans="1:24" x14ac:dyDescent="0.25">
      <c r="A2168">
        <v>2164</v>
      </c>
      <c r="B2168" t="s">
        <v>28</v>
      </c>
      <c r="C2168" t="s">
        <v>25</v>
      </c>
      <c r="D2168">
        <v>14</v>
      </c>
      <c r="E2168" t="s">
        <v>1588</v>
      </c>
      <c r="F2168" t="s">
        <v>44</v>
      </c>
      <c r="G2168">
        <v>4021</v>
      </c>
      <c r="H2168" t="s">
        <v>2217</v>
      </c>
      <c r="I2168" t="s">
        <v>2049</v>
      </c>
      <c r="J2168">
        <v>8</v>
      </c>
      <c r="K2168">
        <v>1</v>
      </c>
      <c r="L2168">
        <v>1.261574074074074E-3</v>
      </c>
      <c r="M2168" t="s">
        <v>3079</v>
      </c>
      <c r="X2168" t="s">
        <v>3531</v>
      </c>
    </row>
    <row r="2169" spans="1:24" x14ac:dyDescent="0.25">
      <c r="A2169">
        <v>2165</v>
      </c>
      <c r="B2169" t="s">
        <v>28</v>
      </c>
      <c r="C2169" t="s">
        <v>25</v>
      </c>
      <c r="D2169">
        <v>14</v>
      </c>
      <c r="E2169" t="s">
        <v>65</v>
      </c>
      <c r="F2169" t="s">
        <v>368</v>
      </c>
      <c r="G2169">
        <v>4021</v>
      </c>
      <c r="H2169" t="s">
        <v>1625</v>
      </c>
      <c r="I2169" t="s">
        <v>1626</v>
      </c>
      <c r="J2169">
        <v>8</v>
      </c>
      <c r="K2169">
        <v>2</v>
      </c>
      <c r="L2169">
        <v>1.7129629629629628E-3</v>
      </c>
      <c r="M2169" t="s">
        <v>3079</v>
      </c>
      <c r="X2169" t="s">
        <v>3531</v>
      </c>
    </row>
    <row r="2170" spans="1:24" x14ac:dyDescent="0.25">
      <c r="A2170">
        <v>2166</v>
      </c>
      <c r="B2170" t="s">
        <v>28</v>
      </c>
      <c r="C2170" t="s">
        <v>25</v>
      </c>
      <c r="D2170">
        <v>14</v>
      </c>
      <c r="E2170" t="s">
        <v>65</v>
      </c>
      <c r="F2170" t="s">
        <v>1590</v>
      </c>
      <c r="G2170">
        <v>4021</v>
      </c>
      <c r="H2170" t="s">
        <v>2257</v>
      </c>
      <c r="I2170" t="s">
        <v>2258</v>
      </c>
      <c r="J2170">
        <v>8</v>
      </c>
      <c r="K2170">
        <v>1</v>
      </c>
      <c r="L2170">
        <v>4.3981481481481476E-3</v>
      </c>
      <c r="M2170" t="s">
        <v>3079</v>
      </c>
      <c r="X2170" t="s">
        <v>3531</v>
      </c>
    </row>
    <row r="2171" spans="1:24" x14ac:dyDescent="0.25">
      <c r="A2171">
        <v>2167</v>
      </c>
      <c r="B2171" t="s">
        <v>28</v>
      </c>
      <c r="C2171" t="s">
        <v>25</v>
      </c>
      <c r="D2171">
        <v>14</v>
      </c>
      <c r="E2171" t="s">
        <v>65</v>
      </c>
      <c r="F2171" t="s">
        <v>66</v>
      </c>
      <c r="G2171">
        <v>4021</v>
      </c>
      <c r="H2171" t="s">
        <v>2180</v>
      </c>
      <c r="I2171" t="s">
        <v>2181</v>
      </c>
      <c r="J2171">
        <v>8</v>
      </c>
      <c r="K2171">
        <v>4</v>
      </c>
      <c r="L2171">
        <v>2.4421296296296296E-3</v>
      </c>
      <c r="M2171" t="s">
        <v>3079</v>
      </c>
      <c r="X2171" t="s">
        <v>3531</v>
      </c>
    </row>
    <row r="2172" spans="1:24" x14ac:dyDescent="0.25">
      <c r="A2172">
        <v>2168</v>
      </c>
      <c r="B2172" t="s">
        <v>28</v>
      </c>
      <c r="C2172" t="s">
        <v>25</v>
      </c>
      <c r="D2172">
        <v>14</v>
      </c>
      <c r="E2172" t="s">
        <v>2259</v>
      </c>
      <c r="F2172" t="s">
        <v>44</v>
      </c>
      <c r="G2172">
        <v>4021</v>
      </c>
      <c r="H2172" t="s">
        <v>54</v>
      </c>
      <c r="I2172" t="s">
        <v>1119</v>
      </c>
      <c r="J2172">
        <v>8</v>
      </c>
      <c r="K2172">
        <v>2</v>
      </c>
      <c r="L2172">
        <v>2.4305555555555556E-3</v>
      </c>
      <c r="M2172" t="s">
        <v>3079</v>
      </c>
      <c r="X2172" t="s">
        <v>3531</v>
      </c>
    </row>
    <row r="2173" spans="1:24" x14ac:dyDescent="0.25">
      <c r="A2173">
        <v>2169</v>
      </c>
      <c r="B2173" t="s">
        <v>28</v>
      </c>
      <c r="C2173" t="s">
        <v>25</v>
      </c>
      <c r="D2173">
        <v>14</v>
      </c>
      <c r="E2173" t="s">
        <v>1665</v>
      </c>
      <c r="F2173" t="s">
        <v>115</v>
      </c>
      <c r="G2173">
        <v>4026</v>
      </c>
      <c r="H2173" t="s">
        <v>2113</v>
      </c>
      <c r="I2173" t="s">
        <v>2111</v>
      </c>
      <c r="J2173">
        <v>8</v>
      </c>
      <c r="K2173">
        <v>1</v>
      </c>
      <c r="L2173">
        <v>5.2083333333333333E-4</v>
      </c>
      <c r="M2173" t="s">
        <v>778</v>
      </c>
      <c r="N2173" t="s">
        <v>1422</v>
      </c>
      <c r="O2173" s="24">
        <v>46133</v>
      </c>
      <c r="P2173">
        <v>605</v>
      </c>
      <c r="Q2173" t="s">
        <v>34</v>
      </c>
      <c r="X2173" t="s">
        <v>3532</v>
      </c>
    </row>
    <row r="2174" spans="1:24" x14ac:dyDescent="0.25">
      <c r="A2174">
        <v>2170</v>
      </c>
      <c r="B2174" t="s">
        <v>28</v>
      </c>
      <c r="C2174" t="s">
        <v>25</v>
      </c>
      <c r="D2174">
        <v>14</v>
      </c>
      <c r="E2174" t="s">
        <v>367</v>
      </c>
      <c r="F2174" t="s">
        <v>1593</v>
      </c>
      <c r="G2174">
        <v>4026</v>
      </c>
      <c r="H2174" t="s">
        <v>2060</v>
      </c>
      <c r="I2174" t="s">
        <v>2061</v>
      </c>
      <c r="J2174">
        <v>8</v>
      </c>
      <c r="K2174">
        <v>2</v>
      </c>
      <c r="L2174">
        <v>7.407407407407407E-4</v>
      </c>
      <c r="M2174" t="s">
        <v>778</v>
      </c>
      <c r="N2174" t="s">
        <v>1422</v>
      </c>
      <c r="O2174" s="24">
        <v>46133</v>
      </c>
      <c r="P2174">
        <v>605</v>
      </c>
      <c r="Q2174" t="s">
        <v>34</v>
      </c>
      <c r="X2174" t="s">
        <v>3532</v>
      </c>
    </row>
    <row r="2175" spans="1:24" x14ac:dyDescent="0.25">
      <c r="A2175">
        <v>2171</v>
      </c>
      <c r="B2175" t="s">
        <v>28</v>
      </c>
      <c r="C2175" t="s">
        <v>25</v>
      </c>
      <c r="D2175">
        <v>14</v>
      </c>
      <c r="E2175" t="s">
        <v>367</v>
      </c>
      <c r="F2175" t="s">
        <v>1592</v>
      </c>
      <c r="G2175">
        <v>4026</v>
      </c>
      <c r="H2175" t="s">
        <v>2062</v>
      </c>
      <c r="I2175" t="s">
        <v>2063</v>
      </c>
      <c r="J2175">
        <v>8</v>
      </c>
      <c r="K2175">
        <v>1</v>
      </c>
      <c r="L2175">
        <v>4.0509259259259258E-4</v>
      </c>
      <c r="M2175" t="s">
        <v>778</v>
      </c>
      <c r="N2175" t="s">
        <v>1422</v>
      </c>
      <c r="O2175" s="24">
        <v>46133</v>
      </c>
      <c r="P2175">
        <v>605</v>
      </c>
      <c r="Q2175" t="s">
        <v>34</v>
      </c>
      <c r="X2175" t="s">
        <v>3532</v>
      </c>
    </row>
    <row r="2176" spans="1:24" x14ac:dyDescent="0.25">
      <c r="A2176">
        <v>2172</v>
      </c>
      <c r="B2176" t="s">
        <v>28</v>
      </c>
      <c r="C2176" t="s">
        <v>25</v>
      </c>
      <c r="D2176">
        <v>14</v>
      </c>
      <c r="E2176" t="s">
        <v>65</v>
      </c>
      <c r="F2176" t="s">
        <v>368</v>
      </c>
      <c r="G2176">
        <v>4026</v>
      </c>
      <c r="H2176" t="s">
        <v>2171</v>
      </c>
      <c r="I2176" t="s">
        <v>2172</v>
      </c>
      <c r="J2176">
        <v>8</v>
      </c>
      <c r="K2176">
        <v>1</v>
      </c>
      <c r="L2176">
        <v>5.2083333333333333E-4</v>
      </c>
      <c r="M2176" t="s">
        <v>778</v>
      </c>
      <c r="N2176" t="s">
        <v>1422</v>
      </c>
      <c r="O2176" s="24">
        <v>46133</v>
      </c>
      <c r="P2176">
        <v>605</v>
      </c>
      <c r="Q2176" t="s">
        <v>34</v>
      </c>
      <c r="X2176" t="s">
        <v>3532</v>
      </c>
    </row>
    <row r="2177" spans="1:24" x14ac:dyDescent="0.25">
      <c r="A2177">
        <v>2173</v>
      </c>
      <c r="B2177" t="s">
        <v>28</v>
      </c>
      <c r="C2177" t="s">
        <v>25</v>
      </c>
      <c r="D2177">
        <v>14</v>
      </c>
      <c r="E2177" t="s">
        <v>65</v>
      </c>
      <c r="F2177" t="s">
        <v>1589</v>
      </c>
      <c r="G2177">
        <v>4026</v>
      </c>
      <c r="H2177" t="s">
        <v>2261</v>
      </c>
      <c r="I2177" t="s">
        <v>2262</v>
      </c>
      <c r="J2177">
        <v>8</v>
      </c>
      <c r="K2177">
        <v>1</v>
      </c>
      <c r="L2177">
        <v>3.1828703703703702E-3</v>
      </c>
      <c r="M2177" t="s">
        <v>778</v>
      </c>
      <c r="N2177" t="s">
        <v>1422</v>
      </c>
      <c r="O2177" s="24">
        <v>46133</v>
      </c>
      <c r="P2177">
        <v>605</v>
      </c>
      <c r="Q2177" t="s">
        <v>34</v>
      </c>
      <c r="X2177" t="s">
        <v>3532</v>
      </c>
    </row>
    <row r="2178" spans="1:24" x14ac:dyDescent="0.25">
      <c r="A2178">
        <v>2174</v>
      </c>
      <c r="B2178" t="s">
        <v>28</v>
      </c>
      <c r="C2178" t="s">
        <v>25</v>
      </c>
      <c r="D2178">
        <v>14</v>
      </c>
      <c r="E2178" t="s">
        <v>65</v>
      </c>
      <c r="F2178" t="s">
        <v>1590</v>
      </c>
      <c r="G2178">
        <v>4026</v>
      </c>
      <c r="H2178" t="s">
        <v>2263</v>
      </c>
      <c r="I2178" t="s">
        <v>2258</v>
      </c>
      <c r="J2178">
        <v>8</v>
      </c>
      <c r="K2178">
        <v>1</v>
      </c>
      <c r="L2178">
        <v>4.0393518518518513E-3</v>
      </c>
      <c r="M2178" t="s">
        <v>778</v>
      </c>
      <c r="N2178" t="s">
        <v>1422</v>
      </c>
      <c r="O2178" s="24">
        <v>46133</v>
      </c>
      <c r="P2178">
        <v>605</v>
      </c>
      <c r="Q2178" t="s">
        <v>34</v>
      </c>
      <c r="X2178" t="s">
        <v>3532</v>
      </c>
    </row>
    <row r="2179" spans="1:24" x14ac:dyDescent="0.25">
      <c r="A2179">
        <v>2175</v>
      </c>
      <c r="B2179" t="s">
        <v>28</v>
      </c>
      <c r="C2179" t="s">
        <v>25</v>
      </c>
      <c r="D2179">
        <v>14</v>
      </c>
      <c r="E2179" t="s">
        <v>65</v>
      </c>
      <c r="F2179" t="s">
        <v>1599</v>
      </c>
      <c r="G2179">
        <v>4026</v>
      </c>
      <c r="H2179" t="s">
        <v>2264</v>
      </c>
      <c r="I2179" t="s">
        <v>2226</v>
      </c>
      <c r="J2179">
        <v>8</v>
      </c>
      <c r="K2179">
        <v>1</v>
      </c>
      <c r="L2179">
        <v>1.7013888888888888E-3</v>
      </c>
      <c r="M2179" t="s">
        <v>778</v>
      </c>
      <c r="N2179" t="s">
        <v>1422</v>
      </c>
      <c r="O2179" s="24">
        <v>46133</v>
      </c>
      <c r="P2179">
        <v>605</v>
      </c>
      <c r="Q2179" t="s">
        <v>34</v>
      </c>
      <c r="X2179" t="s">
        <v>3532</v>
      </c>
    </row>
    <row r="2180" spans="1:24" x14ac:dyDescent="0.25">
      <c r="A2180">
        <v>2176</v>
      </c>
      <c r="B2180" t="s">
        <v>28</v>
      </c>
      <c r="C2180" t="s">
        <v>25</v>
      </c>
      <c r="D2180">
        <v>14</v>
      </c>
      <c r="E2180" t="s">
        <v>131</v>
      </c>
      <c r="F2180" t="s">
        <v>512</v>
      </c>
      <c r="G2180">
        <v>4027</v>
      </c>
      <c r="H2180" t="s">
        <v>84</v>
      </c>
      <c r="I2180" t="s">
        <v>770</v>
      </c>
      <c r="J2180">
        <v>8</v>
      </c>
      <c r="K2180">
        <v>1</v>
      </c>
      <c r="L2180">
        <v>8.9351851851851849E-3</v>
      </c>
      <c r="M2180" t="s">
        <v>778</v>
      </c>
      <c r="N2180" t="s">
        <v>69</v>
      </c>
      <c r="O2180" s="24">
        <v>46139</v>
      </c>
      <c r="P2180">
        <v>603</v>
      </c>
      <c r="Q2180" t="s">
        <v>34</v>
      </c>
      <c r="X2180" t="s">
        <v>3533</v>
      </c>
    </row>
    <row r="2181" spans="1:24" x14ac:dyDescent="0.25">
      <c r="A2181">
        <v>2177</v>
      </c>
      <c r="B2181" t="s">
        <v>28</v>
      </c>
      <c r="C2181" t="s">
        <v>25</v>
      </c>
      <c r="D2181">
        <v>14</v>
      </c>
      <c r="E2181" t="s">
        <v>1672</v>
      </c>
      <c r="F2181" t="s">
        <v>115</v>
      </c>
      <c r="G2181">
        <v>4052</v>
      </c>
      <c r="H2181" t="s">
        <v>2266</v>
      </c>
      <c r="I2181" t="s">
        <v>2267</v>
      </c>
      <c r="J2181">
        <v>8</v>
      </c>
      <c r="K2181">
        <v>1</v>
      </c>
      <c r="L2181">
        <v>5.8680555555555552E-3</v>
      </c>
      <c r="M2181" t="s">
        <v>778</v>
      </c>
      <c r="N2181" t="s">
        <v>1337</v>
      </c>
      <c r="O2181" s="24">
        <v>46136</v>
      </c>
      <c r="P2181">
        <v>605</v>
      </c>
      <c r="Q2181" t="s">
        <v>34</v>
      </c>
      <c r="X2181" t="s">
        <v>3534</v>
      </c>
    </row>
    <row r="2182" spans="1:24" x14ac:dyDescent="0.25">
      <c r="A2182">
        <v>2178</v>
      </c>
      <c r="B2182" t="s">
        <v>28</v>
      </c>
      <c r="C2182" t="s">
        <v>25</v>
      </c>
      <c r="D2182">
        <v>14</v>
      </c>
      <c r="E2182" t="s">
        <v>367</v>
      </c>
      <c r="F2182" t="s">
        <v>427</v>
      </c>
      <c r="G2182">
        <v>4052</v>
      </c>
      <c r="H2182" t="s">
        <v>2269</v>
      </c>
      <c r="I2182" t="s">
        <v>2270</v>
      </c>
      <c r="J2182">
        <v>8</v>
      </c>
      <c r="K2182">
        <v>1</v>
      </c>
      <c r="L2182">
        <v>1.8055555555555555E-3</v>
      </c>
      <c r="M2182" t="s">
        <v>778</v>
      </c>
      <c r="N2182" t="s">
        <v>1337</v>
      </c>
      <c r="O2182" s="24">
        <v>46136</v>
      </c>
      <c r="P2182">
        <v>605</v>
      </c>
      <c r="Q2182" t="s">
        <v>34</v>
      </c>
      <c r="X2182" t="s">
        <v>3534</v>
      </c>
    </row>
    <row r="2183" spans="1:24" x14ac:dyDescent="0.25">
      <c r="A2183">
        <v>2179</v>
      </c>
      <c r="B2183" t="s">
        <v>28</v>
      </c>
      <c r="C2183" t="s">
        <v>25</v>
      </c>
      <c r="D2183">
        <v>14</v>
      </c>
      <c r="E2183" t="s">
        <v>367</v>
      </c>
      <c r="F2183" t="s">
        <v>427</v>
      </c>
      <c r="G2183">
        <v>4052</v>
      </c>
      <c r="H2183" t="s">
        <v>2271</v>
      </c>
      <c r="I2183" t="s">
        <v>2270</v>
      </c>
      <c r="J2183">
        <v>8</v>
      </c>
      <c r="K2183">
        <v>2</v>
      </c>
      <c r="L2183">
        <v>3.49537037037037E-3</v>
      </c>
      <c r="M2183" t="s">
        <v>778</v>
      </c>
      <c r="N2183" t="s">
        <v>1337</v>
      </c>
      <c r="O2183" s="24">
        <v>46136</v>
      </c>
      <c r="P2183">
        <v>605</v>
      </c>
      <c r="Q2183" t="s">
        <v>34</v>
      </c>
      <c r="X2183" t="s">
        <v>3534</v>
      </c>
    </row>
    <row r="2184" spans="1:24" x14ac:dyDescent="0.25">
      <c r="A2184">
        <v>2180</v>
      </c>
      <c r="B2184" t="s">
        <v>28</v>
      </c>
      <c r="C2184" t="s">
        <v>25</v>
      </c>
      <c r="D2184">
        <v>14</v>
      </c>
      <c r="E2184" t="s">
        <v>367</v>
      </c>
      <c r="F2184" t="s">
        <v>1594</v>
      </c>
      <c r="G2184">
        <v>4052</v>
      </c>
      <c r="H2184" t="s">
        <v>2272</v>
      </c>
      <c r="I2184" t="s">
        <v>2273</v>
      </c>
      <c r="J2184">
        <v>8</v>
      </c>
      <c r="K2184">
        <v>1</v>
      </c>
      <c r="L2184">
        <v>2.0486111111111109E-3</v>
      </c>
      <c r="M2184" t="s">
        <v>778</v>
      </c>
      <c r="N2184" t="s">
        <v>1337</v>
      </c>
      <c r="O2184" s="24">
        <v>46136</v>
      </c>
      <c r="P2184">
        <v>605</v>
      </c>
      <c r="Q2184" t="s">
        <v>34</v>
      </c>
      <c r="X2184" t="s">
        <v>3534</v>
      </c>
    </row>
    <row r="2185" spans="1:24" x14ac:dyDescent="0.25">
      <c r="A2185">
        <v>2181</v>
      </c>
      <c r="B2185" t="s">
        <v>28</v>
      </c>
      <c r="C2185" t="s">
        <v>25</v>
      </c>
      <c r="D2185">
        <v>14</v>
      </c>
      <c r="E2185" t="s">
        <v>65</v>
      </c>
      <c r="F2185" t="s">
        <v>368</v>
      </c>
      <c r="G2185">
        <v>4052</v>
      </c>
      <c r="H2185" t="s">
        <v>2171</v>
      </c>
      <c r="I2185" t="s">
        <v>2172</v>
      </c>
      <c r="J2185">
        <v>8</v>
      </c>
      <c r="K2185">
        <v>2</v>
      </c>
      <c r="L2185">
        <v>1.2268518518518518E-3</v>
      </c>
      <c r="M2185" t="s">
        <v>778</v>
      </c>
      <c r="N2185" t="s">
        <v>1337</v>
      </c>
      <c r="O2185" s="24">
        <v>46136</v>
      </c>
      <c r="P2185">
        <v>605</v>
      </c>
      <c r="Q2185" t="s">
        <v>34</v>
      </c>
      <c r="X2185" t="s">
        <v>3534</v>
      </c>
    </row>
    <row r="2186" spans="1:24" x14ac:dyDescent="0.25">
      <c r="A2186">
        <v>2182</v>
      </c>
      <c r="B2186" t="s">
        <v>28</v>
      </c>
      <c r="C2186" t="s">
        <v>25</v>
      </c>
      <c r="D2186">
        <v>14</v>
      </c>
      <c r="E2186" t="s">
        <v>65</v>
      </c>
      <c r="F2186" t="s">
        <v>368</v>
      </c>
      <c r="G2186">
        <v>4052</v>
      </c>
      <c r="H2186" t="s">
        <v>1629</v>
      </c>
      <c r="I2186" t="s">
        <v>1630</v>
      </c>
      <c r="J2186">
        <v>8</v>
      </c>
      <c r="K2186">
        <v>1</v>
      </c>
      <c r="L2186">
        <v>9.9537037037037042E-4</v>
      </c>
      <c r="M2186" t="s">
        <v>778</v>
      </c>
      <c r="N2186" t="s">
        <v>1337</v>
      </c>
      <c r="O2186" s="24">
        <v>46136</v>
      </c>
      <c r="P2186">
        <v>605</v>
      </c>
      <c r="Q2186" t="s">
        <v>34</v>
      </c>
      <c r="X2186" t="s">
        <v>3534</v>
      </c>
    </row>
    <row r="2187" spans="1:24" x14ac:dyDescent="0.25">
      <c r="A2187">
        <v>2183</v>
      </c>
      <c r="B2187" t="s">
        <v>28</v>
      </c>
      <c r="C2187" t="s">
        <v>25</v>
      </c>
      <c r="D2187">
        <v>14</v>
      </c>
      <c r="E2187" t="s">
        <v>65</v>
      </c>
      <c r="F2187" t="s">
        <v>66</v>
      </c>
      <c r="G2187">
        <v>4052</v>
      </c>
      <c r="H2187" t="s">
        <v>2180</v>
      </c>
      <c r="I2187" t="s">
        <v>2181</v>
      </c>
      <c r="J2187">
        <v>8</v>
      </c>
      <c r="K2187">
        <v>2</v>
      </c>
      <c r="L2187">
        <v>1.2962962962962963E-3</v>
      </c>
      <c r="M2187" t="s">
        <v>778</v>
      </c>
      <c r="N2187" t="s">
        <v>1337</v>
      </c>
      <c r="O2187" s="24">
        <v>46136</v>
      </c>
      <c r="P2187">
        <v>605</v>
      </c>
      <c r="Q2187" t="s">
        <v>34</v>
      </c>
      <c r="X2187" t="s">
        <v>3534</v>
      </c>
    </row>
    <row r="2188" spans="1:24" x14ac:dyDescent="0.25">
      <c r="A2188">
        <v>2184</v>
      </c>
      <c r="B2188" t="s">
        <v>28</v>
      </c>
      <c r="C2188" t="s">
        <v>25</v>
      </c>
      <c r="D2188">
        <v>14</v>
      </c>
      <c r="E2188" t="s">
        <v>1665</v>
      </c>
      <c r="F2188" t="s">
        <v>498</v>
      </c>
      <c r="G2188">
        <v>4053</v>
      </c>
      <c r="H2188" t="s">
        <v>2110</v>
      </c>
      <c r="I2188" t="s">
        <v>2111</v>
      </c>
      <c r="J2188">
        <v>8</v>
      </c>
      <c r="K2188">
        <v>2</v>
      </c>
      <c r="L2188">
        <v>1.2037037037037036E-3</v>
      </c>
      <c r="M2188" t="s">
        <v>778</v>
      </c>
      <c r="N2188" t="s">
        <v>69</v>
      </c>
      <c r="O2188" s="24">
        <v>46139</v>
      </c>
      <c r="P2188">
        <v>603</v>
      </c>
      <c r="Q2188" t="s">
        <v>34</v>
      </c>
      <c r="X2188" t="s">
        <v>3535</v>
      </c>
    </row>
    <row r="2189" spans="1:24" x14ac:dyDescent="0.25">
      <c r="A2189">
        <v>2185</v>
      </c>
      <c r="B2189" t="s">
        <v>28</v>
      </c>
      <c r="C2189" t="s">
        <v>25</v>
      </c>
      <c r="D2189">
        <v>14</v>
      </c>
      <c r="E2189" t="s">
        <v>1588</v>
      </c>
      <c r="F2189" t="s">
        <v>44</v>
      </c>
      <c r="G2189">
        <v>4053</v>
      </c>
      <c r="H2189" t="s">
        <v>2275</v>
      </c>
      <c r="I2189" t="s">
        <v>2216</v>
      </c>
      <c r="J2189">
        <v>8</v>
      </c>
      <c r="K2189">
        <v>1</v>
      </c>
      <c r="L2189">
        <v>1.9212962962962962E-3</v>
      </c>
      <c r="M2189" t="s">
        <v>778</v>
      </c>
      <c r="N2189" t="s">
        <v>69</v>
      </c>
      <c r="O2189" s="24">
        <v>46139</v>
      </c>
      <c r="P2189">
        <v>603</v>
      </c>
      <c r="Q2189" t="s">
        <v>34</v>
      </c>
      <c r="X2189" t="s">
        <v>3535</v>
      </c>
    </row>
    <row r="2190" spans="1:24" x14ac:dyDescent="0.25">
      <c r="A2190">
        <v>2186</v>
      </c>
      <c r="B2190" t="s">
        <v>28</v>
      </c>
      <c r="C2190" t="s">
        <v>25</v>
      </c>
      <c r="D2190">
        <v>14</v>
      </c>
      <c r="E2190" t="s">
        <v>367</v>
      </c>
      <c r="F2190" t="s">
        <v>427</v>
      </c>
      <c r="G2190">
        <v>4053</v>
      </c>
      <c r="H2190" t="s">
        <v>2276</v>
      </c>
      <c r="I2190" t="s">
        <v>2270</v>
      </c>
      <c r="J2190">
        <v>8</v>
      </c>
      <c r="K2190">
        <v>1</v>
      </c>
      <c r="L2190">
        <v>1.6435185185185185E-3</v>
      </c>
      <c r="M2190" t="s">
        <v>778</v>
      </c>
      <c r="N2190" t="s">
        <v>69</v>
      </c>
      <c r="O2190" s="24">
        <v>46139</v>
      </c>
      <c r="P2190">
        <v>603</v>
      </c>
      <c r="Q2190" t="s">
        <v>34</v>
      </c>
      <c r="X2190" t="s">
        <v>3535</v>
      </c>
    </row>
    <row r="2191" spans="1:24" x14ac:dyDescent="0.25">
      <c r="A2191">
        <v>2187</v>
      </c>
      <c r="B2191" t="s">
        <v>28</v>
      </c>
      <c r="C2191" t="s">
        <v>25</v>
      </c>
      <c r="D2191">
        <v>14</v>
      </c>
      <c r="E2191" t="s">
        <v>1672</v>
      </c>
      <c r="F2191" t="s">
        <v>115</v>
      </c>
      <c r="G2191">
        <v>4053</v>
      </c>
      <c r="H2191" t="s">
        <v>2277</v>
      </c>
      <c r="I2191" t="s">
        <v>2278</v>
      </c>
      <c r="J2191">
        <v>8</v>
      </c>
      <c r="K2191">
        <v>1</v>
      </c>
      <c r="L2191">
        <v>7.5231481481481477E-3</v>
      </c>
      <c r="M2191" t="s">
        <v>778</v>
      </c>
      <c r="N2191" t="s">
        <v>69</v>
      </c>
      <c r="O2191" s="24">
        <v>46139</v>
      </c>
      <c r="P2191">
        <v>603</v>
      </c>
      <c r="Q2191" t="s">
        <v>34</v>
      </c>
      <c r="X2191" t="s">
        <v>3535</v>
      </c>
    </row>
    <row r="2192" spans="1:24" x14ac:dyDescent="0.25">
      <c r="A2192">
        <v>2188</v>
      </c>
      <c r="B2192" t="s">
        <v>28</v>
      </c>
      <c r="C2192" t="s">
        <v>25</v>
      </c>
      <c r="D2192">
        <v>14</v>
      </c>
      <c r="E2192" t="s">
        <v>367</v>
      </c>
      <c r="F2192" t="s">
        <v>1594</v>
      </c>
      <c r="G2192">
        <v>4054</v>
      </c>
      <c r="H2192" t="s">
        <v>2272</v>
      </c>
      <c r="I2192" t="s">
        <v>2273</v>
      </c>
      <c r="J2192">
        <v>8</v>
      </c>
      <c r="K2192">
        <v>1</v>
      </c>
      <c r="L2192">
        <v>1.9791666666666664E-3</v>
      </c>
      <c r="M2192" t="s">
        <v>3079</v>
      </c>
      <c r="X2192" t="s">
        <v>3536</v>
      </c>
    </row>
    <row r="2193" spans="1:24" x14ac:dyDescent="0.25">
      <c r="A2193">
        <v>2189</v>
      </c>
      <c r="B2193" t="s">
        <v>28</v>
      </c>
      <c r="C2193" t="s">
        <v>25</v>
      </c>
      <c r="D2193">
        <v>14</v>
      </c>
      <c r="E2193" t="s">
        <v>367</v>
      </c>
      <c r="F2193" t="s">
        <v>1594</v>
      </c>
      <c r="G2193">
        <v>4054</v>
      </c>
      <c r="H2193" t="s">
        <v>2280</v>
      </c>
      <c r="I2193" t="s">
        <v>2273</v>
      </c>
      <c r="J2193">
        <v>8</v>
      </c>
      <c r="K2193">
        <v>3</v>
      </c>
      <c r="L2193">
        <v>5.7407407407407407E-3</v>
      </c>
      <c r="M2193" t="s">
        <v>3079</v>
      </c>
      <c r="X2193" t="s">
        <v>3536</v>
      </c>
    </row>
    <row r="2194" spans="1:24" x14ac:dyDescent="0.25">
      <c r="A2194">
        <v>2190</v>
      </c>
      <c r="B2194" t="s">
        <v>28</v>
      </c>
      <c r="C2194" t="s">
        <v>25</v>
      </c>
      <c r="D2194">
        <v>14</v>
      </c>
      <c r="E2194" t="s">
        <v>65</v>
      </c>
      <c r="F2194" t="s">
        <v>368</v>
      </c>
      <c r="G2194">
        <v>4054</v>
      </c>
      <c r="H2194" t="s">
        <v>2281</v>
      </c>
      <c r="I2194" t="s">
        <v>2282</v>
      </c>
      <c r="J2194">
        <v>8</v>
      </c>
      <c r="K2194">
        <v>1</v>
      </c>
      <c r="L2194">
        <v>6.5277777777777773E-3</v>
      </c>
      <c r="M2194" t="s">
        <v>3079</v>
      </c>
      <c r="X2194" t="s">
        <v>3536</v>
      </c>
    </row>
    <row r="2195" spans="1:24" x14ac:dyDescent="0.25">
      <c r="A2195">
        <v>2191</v>
      </c>
      <c r="B2195" t="s">
        <v>28</v>
      </c>
      <c r="C2195" t="s">
        <v>25</v>
      </c>
      <c r="D2195">
        <v>14</v>
      </c>
      <c r="E2195" t="s">
        <v>65</v>
      </c>
      <c r="F2195" t="s">
        <v>44</v>
      </c>
      <c r="G2195">
        <v>4054</v>
      </c>
      <c r="H2195" t="s">
        <v>2283</v>
      </c>
      <c r="I2195" t="s">
        <v>2284</v>
      </c>
      <c r="J2195">
        <v>8</v>
      </c>
      <c r="K2195">
        <v>1</v>
      </c>
      <c r="L2195">
        <v>1.6550925925925926E-3</v>
      </c>
      <c r="M2195" t="s">
        <v>3079</v>
      </c>
      <c r="X2195" t="s">
        <v>3536</v>
      </c>
    </row>
    <row r="2196" spans="1:24" x14ac:dyDescent="0.25">
      <c r="A2196">
        <v>2192</v>
      </c>
      <c r="B2196" t="s">
        <v>28</v>
      </c>
      <c r="C2196" t="s">
        <v>25</v>
      </c>
      <c r="D2196">
        <v>14</v>
      </c>
      <c r="E2196" t="s">
        <v>65</v>
      </c>
      <c r="F2196" t="s">
        <v>1590</v>
      </c>
      <c r="G2196">
        <v>4054</v>
      </c>
      <c r="H2196" t="s">
        <v>2285</v>
      </c>
      <c r="I2196" t="s">
        <v>2286</v>
      </c>
      <c r="J2196">
        <v>8</v>
      </c>
      <c r="K2196">
        <v>1</v>
      </c>
      <c r="L2196">
        <v>2.1180555555555553E-3</v>
      </c>
      <c r="M2196" t="s">
        <v>3079</v>
      </c>
      <c r="X2196" t="s">
        <v>3536</v>
      </c>
    </row>
    <row r="2197" spans="1:24" x14ac:dyDescent="0.25">
      <c r="A2197">
        <v>2193</v>
      </c>
      <c r="B2197" t="s">
        <v>28</v>
      </c>
      <c r="C2197" t="s">
        <v>25</v>
      </c>
      <c r="D2197">
        <v>14</v>
      </c>
      <c r="E2197" t="s">
        <v>65</v>
      </c>
      <c r="F2197" t="s">
        <v>1590</v>
      </c>
      <c r="G2197">
        <v>4054</v>
      </c>
      <c r="H2197" t="s">
        <v>2287</v>
      </c>
      <c r="I2197" t="s">
        <v>2286</v>
      </c>
      <c r="J2197">
        <v>8</v>
      </c>
      <c r="K2197">
        <v>1</v>
      </c>
      <c r="L2197">
        <v>1.7939814814814815E-3</v>
      </c>
      <c r="M2197" t="s">
        <v>3079</v>
      </c>
      <c r="X2197" t="s">
        <v>3536</v>
      </c>
    </row>
    <row r="2198" spans="1:24" x14ac:dyDescent="0.25">
      <c r="A2198">
        <v>2194</v>
      </c>
      <c r="B2198" t="s">
        <v>28</v>
      </c>
      <c r="C2198" t="s">
        <v>25</v>
      </c>
      <c r="D2198">
        <v>14</v>
      </c>
      <c r="E2198" t="s">
        <v>65</v>
      </c>
      <c r="F2198" t="s">
        <v>66</v>
      </c>
      <c r="G2198">
        <v>4054</v>
      </c>
      <c r="H2198" t="s">
        <v>2288</v>
      </c>
      <c r="I2198" t="s">
        <v>2289</v>
      </c>
      <c r="J2198">
        <v>8</v>
      </c>
      <c r="K2198">
        <v>2</v>
      </c>
      <c r="L2198">
        <v>2.4768518518518516E-3</v>
      </c>
      <c r="M2198" t="s">
        <v>3079</v>
      </c>
      <c r="X2198" t="s">
        <v>3536</v>
      </c>
    </row>
    <row r="2199" spans="1:24" x14ac:dyDescent="0.25">
      <c r="A2199">
        <v>2195</v>
      </c>
      <c r="B2199" t="s">
        <v>28</v>
      </c>
      <c r="C2199" t="s">
        <v>25</v>
      </c>
      <c r="D2199">
        <v>14</v>
      </c>
      <c r="E2199" t="s">
        <v>1665</v>
      </c>
      <c r="F2199" t="s">
        <v>115</v>
      </c>
      <c r="G2199">
        <v>4056</v>
      </c>
      <c r="H2199" t="s">
        <v>2113</v>
      </c>
      <c r="I2199" t="s">
        <v>2111</v>
      </c>
      <c r="J2199">
        <v>8</v>
      </c>
      <c r="K2199">
        <v>1</v>
      </c>
      <c r="L2199">
        <v>5.9027777777777778E-4</v>
      </c>
      <c r="M2199" t="s">
        <v>3079</v>
      </c>
      <c r="X2199" t="s">
        <v>3537</v>
      </c>
    </row>
    <row r="2200" spans="1:24" x14ac:dyDescent="0.25">
      <c r="A2200">
        <v>2196</v>
      </c>
      <c r="B2200" t="s">
        <v>28</v>
      </c>
      <c r="C2200" t="s">
        <v>25</v>
      </c>
      <c r="D2200">
        <v>14</v>
      </c>
      <c r="E2200" t="s">
        <v>1672</v>
      </c>
      <c r="F2200" t="s">
        <v>115</v>
      </c>
      <c r="G2200">
        <v>4056</v>
      </c>
      <c r="H2200" t="s">
        <v>2087</v>
      </c>
      <c r="I2200" t="s">
        <v>2088</v>
      </c>
      <c r="J2200">
        <v>8</v>
      </c>
      <c r="K2200">
        <v>2</v>
      </c>
      <c r="L2200">
        <v>1.6782407407407408E-3</v>
      </c>
      <c r="M2200" t="s">
        <v>3079</v>
      </c>
      <c r="X2200" t="s">
        <v>3537</v>
      </c>
    </row>
    <row r="2201" spans="1:24" x14ac:dyDescent="0.25">
      <c r="A2201">
        <v>2197</v>
      </c>
      <c r="B2201" t="s">
        <v>28</v>
      </c>
      <c r="C2201" t="s">
        <v>25</v>
      </c>
      <c r="D2201">
        <v>14</v>
      </c>
      <c r="E2201" t="s">
        <v>367</v>
      </c>
      <c r="F2201" t="s">
        <v>1599</v>
      </c>
      <c r="G2201">
        <v>4056</v>
      </c>
      <c r="H2201" t="s">
        <v>1633</v>
      </c>
      <c r="I2201" t="s">
        <v>1634</v>
      </c>
      <c r="J2201">
        <v>8</v>
      </c>
      <c r="K2201">
        <v>1</v>
      </c>
      <c r="L2201">
        <v>7.2916666666666659E-4</v>
      </c>
      <c r="M2201" t="s">
        <v>3079</v>
      </c>
      <c r="X2201" t="s">
        <v>3537</v>
      </c>
    </row>
    <row r="2202" spans="1:24" x14ac:dyDescent="0.25">
      <c r="A2202">
        <v>2198</v>
      </c>
      <c r="B2202" t="s">
        <v>28</v>
      </c>
      <c r="C2202" t="s">
        <v>25</v>
      </c>
      <c r="D2202">
        <v>14</v>
      </c>
      <c r="E2202" t="s">
        <v>65</v>
      </c>
      <c r="F2202" t="s">
        <v>1599</v>
      </c>
      <c r="G2202">
        <v>4056</v>
      </c>
      <c r="H2202" t="s">
        <v>2291</v>
      </c>
      <c r="I2202" t="s">
        <v>2292</v>
      </c>
      <c r="J2202">
        <v>8</v>
      </c>
      <c r="K2202">
        <v>1</v>
      </c>
      <c r="L2202">
        <v>4.6643518518518518E-3</v>
      </c>
      <c r="M2202" t="s">
        <v>3079</v>
      </c>
      <c r="X2202" t="s">
        <v>3537</v>
      </c>
    </row>
    <row r="2203" spans="1:24" x14ac:dyDescent="0.25">
      <c r="A2203">
        <v>2199</v>
      </c>
      <c r="B2203" t="s">
        <v>28</v>
      </c>
      <c r="C2203" t="s">
        <v>25</v>
      </c>
      <c r="D2203">
        <v>14</v>
      </c>
      <c r="E2203" t="s">
        <v>2293</v>
      </c>
      <c r="F2203" t="s">
        <v>44</v>
      </c>
      <c r="G2203">
        <v>4056</v>
      </c>
      <c r="H2203" t="s">
        <v>45</v>
      </c>
      <c r="I2203" t="s">
        <v>1119</v>
      </c>
      <c r="J2203">
        <v>8</v>
      </c>
      <c r="K2203">
        <v>4</v>
      </c>
      <c r="L2203">
        <v>5.5092592592592589E-3</v>
      </c>
      <c r="M2203" t="s">
        <v>3079</v>
      </c>
      <c r="X2203" t="s">
        <v>3537</v>
      </c>
    </row>
    <row r="2204" spans="1:24" x14ac:dyDescent="0.25">
      <c r="A2204">
        <v>2200</v>
      </c>
      <c r="B2204" t="s">
        <v>28</v>
      </c>
      <c r="C2204" t="s">
        <v>25</v>
      </c>
      <c r="D2204">
        <v>14</v>
      </c>
      <c r="E2204" t="s">
        <v>65</v>
      </c>
      <c r="F2204" t="s">
        <v>368</v>
      </c>
      <c r="G2204">
        <v>4057</v>
      </c>
      <c r="H2204" t="s">
        <v>1625</v>
      </c>
      <c r="I2204" t="s">
        <v>1626</v>
      </c>
      <c r="J2204">
        <v>8</v>
      </c>
      <c r="K2204">
        <v>2</v>
      </c>
      <c r="L2204">
        <v>1.7129629629629628E-3</v>
      </c>
      <c r="M2204" t="s">
        <v>778</v>
      </c>
      <c r="N2204" t="s">
        <v>1337</v>
      </c>
      <c r="O2204" s="24">
        <v>46136</v>
      </c>
      <c r="P2204">
        <v>605</v>
      </c>
      <c r="Q2204" t="s">
        <v>34</v>
      </c>
      <c r="X2204" t="s">
        <v>3538</v>
      </c>
    </row>
    <row r="2205" spans="1:24" x14ac:dyDescent="0.25">
      <c r="A2205">
        <v>2201</v>
      </c>
      <c r="B2205" t="s">
        <v>28</v>
      </c>
      <c r="C2205" t="s">
        <v>25</v>
      </c>
      <c r="D2205">
        <v>14</v>
      </c>
      <c r="E2205" t="s">
        <v>511</v>
      </c>
      <c r="F2205" t="s">
        <v>512</v>
      </c>
      <c r="G2205">
        <v>4057</v>
      </c>
      <c r="H2205" t="s">
        <v>2295</v>
      </c>
      <c r="I2205" t="s">
        <v>2183</v>
      </c>
      <c r="J2205">
        <v>8</v>
      </c>
      <c r="K2205">
        <v>1</v>
      </c>
      <c r="L2205">
        <v>5.7175925925925927E-3</v>
      </c>
      <c r="M2205" t="s">
        <v>778</v>
      </c>
      <c r="N2205" t="s">
        <v>1337</v>
      </c>
      <c r="O2205" s="24">
        <v>46136</v>
      </c>
      <c r="P2205">
        <v>605</v>
      </c>
      <c r="Q2205" t="s">
        <v>34</v>
      </c>
      <c r="X2205" t="s">
        <v>3538</v>
      </c>
    </row>
    <row r="2206" spans="1:24" x14ac:dyDescent="0.25">
      <c r="A2206">
        <v>2202</v>
      </c>
      <c r="B2206" t="s">
        <v>28</v>
      </c>
      <c r="C2206" t="s">
        <v>25</v>
      </c>
      <c r="D2206">
        <v>14</v>
      </c>
      <c r="E2206" t="s">
        <v>367</v>
      </c>
      <c r="F2206" t="s">
        <v>1599</v>
      </c>
      <c r="G2206">
        <v>4057</v>
      </c>
      <c r="H2206" t="s">
        <v>1633</v>
      </c>
      <c r="I2206" t="s">
        <v>1634</v>
      </c>
      <c r="J2206">
        <v>8</v>
      </c>
      <c r="K2206">
        <v>1</v>
      </c>
      <c r="L2206">
        <v>7.0601851851851847E-4</v>
      </c>
      <c r="M2206" t="s">
        <v>778</v>
      </c>
      <c r="N2206" t="s">
        <v>1337</v>
      </c>
      <c r="O2206" s="24">
        <v>46136</v>
      </c>
      <c r="P2206">
        <v>605</v>
      </c>
      <c r="Q2206" t="s">
        <v>34</v>
      </c>
      <c r="X2206" t="s">
        <v>3538</v>
      </c>
    </row>
    <row r="2207" spans="1:24" x14ac:dyDescent="0.25">
      <c r="A2207">
        <v>2203</v>
      </c>
      <c r="B2207" t="s">
        <v>28</v>
      </c>
      <c r="C2207" t="s">
        <v>25</v>
      </c>
      <c r="D2207">
        <v>14</v>
      </c>
      <c r="E2207" t="s">
        <v>65</v>
      </c>
      <c r="F2207" t="s">
        <v>66</v>
      </c>
      <c r="G2207">
        <v>4057</v>
      </c>
      <c r="H2207" t="s">
        <v>2180</v>
      </c>
      <c r="I2207" t="s">
        <v>2181</v>
      </c>
      <c r="J2207">
        <v>8</v>
      </c>
      <c r="K2207">
        <v>2</v>
      </c>
      <c r="L2207">
        <v>1.2152777777777778E-3</v>
      </c>
      <c r="M2207" t="s">
        <v>778</v>
      </c>
      <c r="N2207" t="s">
        <v>1337</v>
      </c>
      <c r="O2207" s="24">
        <v>46136</v>
      </c>
      <c r="P2207">
        <v>605</v>
      </c>
      <c r="Q2207" t="s">
        <v>34</v>
      </c>
      <c r="X2207" t="s">
        <v>3538</v>
      </c>
    </row>
    <row r="2208" spans="1:24" x14ac:dyDescent="0.25">
      <c r="A2208">
        <v>2204</v>
      </c>
      <c r="B2208" t="s">
        <v>28</v>
      </c>
      <c r="C2208" t="s">
        <v>25</v>
      </c>
      <c r="D2208">
        <v>14</v>
      </c>
      <c r="E2208" t="s">
        <v>2296</v>
      </c>
      <c r="F2208" t="s">
        <v>44</v>
      </c>
      <c r="G2208">
        <v>4057</v>
      </c>
      <c r="H2208" t="s">
        <v>54</v>
      </c>
      <c r="I2208" t="s">
        <v>1119</v>
      </c>
      <c r="J2208">
        <v>8</v>
      </c>
      <c r="K2208">
        <v>6</v>
      </c>
      <c r="L2208">
        <v>7.3032407407407404E-3</v>
      </c>
      <c r="M2208" t="s">
        <v>778</v>
      </c>
      <c r="N2208" t="s">
        <v>1337</v>
      </c>
      <c r="O2208" s="24">
        <v>46136</v>
      </c>
      <c r="P2208">
        <v>605</v>
      </c>
      <c r="Q2208" t="s">
        <v>34</v>
      </c>
      <c r="X2208" t="s">
        <v>3538</v>
      </c>
    </row>
    <row r="2209" spans="1:24" x14ac:dyDescent="0.25">
      <c r="A2209">
        <v>2205</v>
      </c>
      <c r="B2209" t="s">
        <v>28</v>
      </c>
      <c r="C2209" t="s">
        <v>25</v>
      </c>
      <c r="D2209">
        <v>14</v>
      </c>
      <c r="E2209" t="s">
        <v>1672</v>
      </c>
      <c r="F2209" t="s">
        <v>512</v>
      </c>
      <c r="G2209">
        <v>4058</v>
      </c>
      <c r="H2209" t="s">
        <v>2297</v>
      </c>
      <c r="I2209" t="s">
        <v>2226</v>
      </c>
      <c r="J2209">
        <v>8</v>
      </c>
      <c r="K2209">
        <v>4</v>
      </c>
      <c r="L2209">
        <v>7.4074074074074068E-3</v>
      </c>
      <c r="M2209" t="s">
        <v>778</v>
      </c>
      <c r="N2209" t="s">
        <v>1422</v>
      </c>
      <c r="O2209" s="24">
        <v>46133</v>
      </c>
      <c r="P2209">
        <v>605</v>
      </c>
      <c r="Q2209" t="s">
        <v>34</v>
      </c>
      <c r="X2209" t="s">
        <v>3539</v>
      </c>
    </row>
    <row r="2210" spans="1:24" x14ac:dyDescent="0.25">
      <c r="A2210">
        <v>2206</v>
      </c>
      <c r="B2210" t="s">
        <v>28</v>
      </c>
      <c r="C2210" t="s">
        <v>25</v>
      </c>
      <c r="D2210">
        <v>14</v>
      </c>
      <c r="E2210" t="s">
        <v>1672</v>
      </c>
      <c r="F2210" t="s">
        <v>115</v>
      </c>
      <c r="G2210">
        <v>4058</v>
      </c>
      <c r="H2210" t="s">
        <v>2087</v>
      </c>
      <c r="I2210" t="s">
        <v>2088</v>
      </c>
      <c r="J2210">
        <v>8</v>
      </c>
      <c r="K2210">
        <v>1</v>
      </c>
      <c r="L2210">
        <v>8.5648148148148139E-4</v>
      </c>
      <c r="M2210" t="s">
        <v>778</v>
      </c>
      <c r="N2210" t="s">
        <v>1422</v>
      </c>
      <c r="O2210" s="24">
        <v>46133</v>
      </c>
      <c r="P2210">
        <v>605</v>
      </c>
      <c r="Q2210" t="s">
        <v>34</v>
      </c>
      <c r="X2210" t="s">
        <v>3539</v>
      </c>
    </row>
    <row r="2211" spans="1:24" x14ac:dyDescent="0.25">
      <c r="A2211">
        <v>2207</v>
      </c>
      <c r="B2211" t="s">
        <v>28</v>
      </c>
      <c r="C2211" t="s">
        <v>25</v>
      </c>
      <c r="D2211">
        <v>14</v>
      </c>
      <c r="E2211" t="s">
        <v>1672</v>
      </c>
      <c r="F2211" t="s">
        <v>498</v>
      </c>
      <c r="G2211">
        <v>4058</v>
      </c>
      <c r="H2211" t="s">
        <v>2299</v>
      </c>
      <c r="I2211" t="s">
        <v>2300</v>
      </c>
      <c r="J2211">
        <v>8</v>
      </c>
      <c r="K2211">
        <v>2</v>
      </c>
      <c r="L2211">
        <v>3.8425925925925923E-3</v>
      </c>
      <c r="M2211" t="s">
        <v>778</v>
      </c>
      <c r="N2211" t="s">
        <v>1422</v>
      </c>
      <c r="O2211" s="24">
        <v>46133</v>
      </c>
      <c r="P2211">
        <v>605</v>
      </c>
      <c r="Q2211" t="s">
        <v>34</v>
      </c>
      <c r="X2211" t="s">
        <v>3539</v>
      </c>
    </row>
    <row r="2212" spans="1:24" x14ac:dyDescent="0.25">
      <c r="A2212">
        <v>2208</v>
      </c>
      <c r="B2212" t="s">
        <v>28</v>
      </c>
      <c r="C2212" t="s">
        <v>25</v>
      </c>
      <c r="D2212">
        <v>14</v>
      </c>
      <c r="E2212" t="s">
        <v>1672</v>
      </c>
      <c r="F2212" t="s">
        <v>498</v>
      </c>
      <c r="G2212">
        <v>4058</v>
      </c>
      <c r="H2212" t="s">
        <v>2055</v>
      </c>
      <c r="I2212" t="s">
        <v>2056</v>
      </c>
      <c r="J2212">
        <v>8</v>
      </c>
      <c r="K2212">
        <v>1</v>
      </c>
      <c r="L2212">
        <v>8.7962962962962962E-4</v>
      </c>
      <c r="M2212" t="s">
        <v>778</v>
      </c>
      <c r="N2212" t="s">
        <v>1422</v>
      </c>
      <c r="O2212" s="24">
        <v>46133</v>
      </c>
      <c r="P2212">
        <v>605</v>
      </c>
      <c r="Q2212" t="s">
        <v>34</v>
      </c>
      <c r="X2212" t="s">
        <v>3539</v>
      </c>
    </row>
    <row r="2213" spans="1:24" x14ac:dyDescent="0.25">
      <c r="A2213">
        <v>2209</v>
      </c>
      <c r="B2213" t="s">
        <v>28</v>
      </c>
      <c r="C2213" t="s">
        <v>25</v>
      </c>
      <c r="D2213">
        <v>14</v>
      </c>
      <c r="E2213" t="s">
        <v>65</v>
      </c>
      <c r="F2213" t="s">
        <v>1590</v>
      </c>
      <c r="G2213">
        <v>4058</v>
      </c>
      <c r="H2213" t="s">
        <v>2301</v>
      </c>
      <c r="I2213" t="s">
        <v>2302</v>
      </c>
      <c r="J2213">
        <v>8</v>
      </c>
      <c r="K2213">
        <v>1</v>
      </c>
      <c r="L2213">
        <v>3.6458333333333334E-3</v>
      </c>
      <c r="M2213" t="s">
        <v>778</v>
      </c>
      <c r="N2213" t="s">
        <v>1422</v>
      </c>
      <c r="O2213" s="24">
        <v>46133</v>
      </c>
      <c r="P2213">
        <v>605</v>
      </c>
      <c r="Q2213" t="s">
        <v>34</v>
      </c>
      <c r="X2213" t="s">
        <v>3539</v>
      </c>
    </row>
    <row r="2214" spans="1:24" x14ac:dyDescent="0.25">
      <c r="A2214">
        <v>2210</v>
      </c>
      <c r="B2214" t="s">
        <v>28</v>
      </c>
      <c r="C2214" t="s">
        <v>25</v>
      </c>
      <c r="D2214">
        <v>14</v>
      </c>
      <c r="E2214" t="s">
        <v>65</v>
      </c>
      <c r="F2214" t="s">
        <v>66</v>
      </c>
      <c r="G2214">
        <v>4058</v>
      </c>
      <c r="H2214" t="s">
        <v>2303</v>
      </c>
      <c r="I2214" t="s">
        <v>2304</v>
      </c>
      <c r="J2214">
        <v>8</v>
      </c>
      <c r="K2214">
        <v>1</v>
      </c>
      <c r="L2214">
        <v>2.1296296296296298E-3</v>
      </c>
      <c r="M2214" t="s">
        <v>778</v>
      </c>
      <c r="N2214" t="s">
        <v>1422</v>
      </c>
      <c r="O2214" s="24">
        <v>46133</v>
      </c>
      <c r="P2214">
        <v>605</v>
      </c>
      <c r="Q2214" t="s">
        <v>34</v>
      </c>
      <c r="X2214" t="s">
        <v>3539</v>
      </c>
    </row>
    <row r="2215" spans="1:24" x14ac:dyDescent="0.25">
      <c r="A2215">
        <v>2211</v>
      </c>
      <c r="B2215" t="s">
        <v>28</v>
      </c>
      <c r="C2215" t="s">
        <v>25</v>
      </c>
      <c r="D2215">
        <v>14</v>
      </c>
      <c r="E2215" t="s">
        <v>65</v>
      </c>
      <c r="F2215" t="s">
        <v>1599</v>
      </c>
      <c r="G2215">
        <v>4058</v>
      </c>
      <c r="H2215" t="s">
        <v>2305</v>
      </c>
      <c r="I2215" t="s">
        <v>2306</v>
      </c>
      <c r="J2215">
        <v>8</v>
      </c>
      <c r="K2215">
        <v>1</v>
      </c>
      <c r="L2215">
        <v>8.3333333333333328E-4</v>
      </c>
      <c r="M2215" t="s">
        <v>778</v>
      </c>
      <c r="N2215" t="s">
        <v>1422</v>
      </c>
      <c r="O2215" s="24">
        <v>46133</v>
      </c>
      <c r="P2215">
        <v>605</v>
      </c>
      <c r="Q2215" t="s">
        <v>34</v>
      </c>
      <c r="X2215" t="s">
        <v>3539</v>
      </c>
    </row>
    <row r="2216" spans="1:24" x14ac:dyDescent="0.25">
      <c r="A2216">
        <v>2212</v>
      </c>
      <c r="B2216" t="s">
        <v>28</v>
      </c>
      <c r="C2216" t="s">
        <v>25</v>
      </c>
      <c r="D2216">
        <v>14</v>
      </c>
      <c r="E2216" t="s">
        <v>2094</v>
      </c>
      <c r="F2216" t="s">
        <v>44</v>
      </c>
      <c r="G2216">
        <v>4058</v>
      </c>
      <c r="H2216" t="s">
        <v>54</v>
      </c>
      <c r="I2216" t="s">
        <v>1119</v>
      </c>
      <c r="J2216">
        <v>8</v>
      </c>
      <c r="K2216">
        <v>3</v>
      </c>
      <c r="L2216">
        <v>3.8657407407407408E-3</v>
      </c>
      <c r="M2216" t="s">
        <v>778</v>
      </c>
      <c r="N2216" t="s">
        <v>1422</v>
      </c>
      <c r="O2216" s="24">
        <v>46133</v>
      </c>
      <c r="P2216">
        <v>605</v>
      </c>
      <c r="Q2216" t="s">
        <v>34</v>
      </c>
      <c r="X2216" t="s">
        <v>3539</v>
      </c>
    </row>
    <row r="2217" spans="1:24" x14ac:dyDescent="0.25">
      <c r="A2217">
        <v>2213</v>
      </c>
      <c r="B2217" t="s">
        <v>28</v>
      </c>
      <c r="C2217" t="s">
        <v>25</v>
      </c>
      <c r="D2217">
        <v>14</v>
      </c>
      <c r="E2217" t="s">
        <v>114</v>
      </c>
      <c r="F2217" t="s">
        <v>512</v>
      </c>
      <c r="G2217">
        <v>4059</v>
      </c>
      <c r="H2217" t="s">
        <v>2307</v>
      </c>
      <c r="I2217" t="s">
        <v>1620</v>
      </c>
      <c r="J2217">
        <v>8</v>
      </c>
      <c r="K2217">
        <v>1</v>
      </c>
      <c r="L2217">
        <v>5.7754629629629631E-3</v>
      </c>
      <c r="M2217" t="s">
        <v>778</v>
      </c>
      <c r="N2217" t="s">
        <v>1337</v>
      </c>
      <c r="O2217" s="24">
        <v>46136</v>
      </c>
      <c r="P2217">
        <v>605</v>
      </c>
      <c r="Q2217" t="s">
        <v>34</v>
      </c>
      <c r="X2217" t="s">
        <v>3540</v>
      </c>
    </row>
    <row r="2218" spans="1:24" x14ac:dyDescent="0.25">
      <c r="A2218">
        <v>2214</v>
      </c>
      <c r="B2218" t="s">
        <v>28</v>
      </c>
      <c r="C2218" t="s">
        <v>25</v>
      </c>
      <c r="D2218">
        <v>14</v>
      </c>
      <c r="E2218" t="s">
        <v>1672</v>
      </c>
      <c r="F2218" t="s">
        <v>115</v>
      </c>
      <c r="G2218">
        <v>4059</v>
      </c>
      <c r="H2218" t="s">
        <v>2309</v>
      </c>
      <c r="I2218" t="s">
        <v>2310</v>
      </c>
      <c r="J2218">
        <v>8</v>
      </c>
      <c r="K2218">
        <v>1</v>
      </c>
      <c r="L2218">
        <v>1.8518518518518517E-3</v>
      </c>
      <c r="M2218" t="s">
        <v>778</v>
      </c>
      <c r="N2218" t="s">
        <v>1337</v>
      </c>
      <c r="O2218" s="24">
        <v>46136</v>
      </c>
      <c r="P2218">
        <v>605</v>
      </c>
      <c r="Q2218" t="s">
        <v>34</v>
      </c>
      <c r="X2218" t="s">
        <v>3540</v>
      </c>
    </row>
    <row r="2219" spans="1:24" x14ac:dyDescent="0.25">
      <c r="A2219">
        <v>2215</v>
      </c>
      <c r="B2219" t="s">
        <v>28</v>
      </c>
      <c r="C2219" t="s">
        <v>25</v>
      </c>
      <c r="D2219">
        <v>14</v>
      </c>
      <c r="E2219" t="s">
        <v>1665</v>
      </c>
      <c r="F2219" t="s">
        <v>498</v>
      </c>
      <c r="G2219">
        <v>4059</v>
      </c>
      <c r="H2219" t="s">
        <v>2311</v>
      </c>
      <c r="I2219" t="s">
        <v>2300</v>
      </c>
      <c r="J2219">
        <v>8</v>
      </c>
      <c r="K2219">
        <v>3</v>
      </c>
      <c r="L2219">
        <v>5.6944444444444438E-3</v>
      </c>
      <c r="M2219" t="s">
        <v>778</v>
      </c>
      <c r="N2219" t="s">
        <v>1337</v>
      </c>
      <c r="O2219" s="24">
        <v>46136</v>
      </c>
      <c r="P2219">
        <v>605</v>
      </c>
      <c r="Q2219" t="s">
        <v>34</v>
      </c>
      <c r="X2219" t="s">
        <v>3540</v>
      </c>
    </row>
    <row r="2220" spans="1:24" x14ac:dyDescent="0.25">
      <c r="A2220">
        <v>2216</v>
      </c>
      <c r="B2220" t="s">
        <v>28</v>
      </c>
      <c r="C2220" t="s">
        <v>25</v>
      </c>
      <c r="D2220">
        <v>14</v>
      </c>
      <c r="E2220" t="s">
        <v>1672</v>
      </c>
      <c r="F2220" t="s">
        <v>498</v>
      </c>
      <c r="G2220">
        <v>4059</v>
      </c>
      <c r="H2220" t="s">
        <v>2055</v>
      </c>
      <c r="I2220" t="s">
        <v>2056</v>
      </c>
      <c r="J2220">
        <v>8</v>
      </c>
      <c r="K2220">
        <v>2</v>
      </c>
      <c r="L2220">
        <v>1.747685185185185E-3</v>
      </c>
      <c r="M2220" t="s">
        <v>778</v>
      </c>
      <c r="N2220" t="s">
        <v>1337</v>
      </c>
      <c r="O2220" s="24">
        <v>46136</v>
      </c>
      <c r="P2220">
        <v>605</v>
      </c>
      <c r="Q2220" t="s">
        <v>34</v>
      </c>
      <c r="X2220" t="s">
        <v>3540</v>
      </c>
    </row>
    <row r="2221" spans="1:24" x14ac:dyDescent="0.25">
      <c r="A2221">
        <v>2217</v>
      </c>
      <c r="B2221" t="s">
        <v>28</v>
      </c>
      <c r="C2221" t="s">
        <v>25</v>
      </c>
      <c r="D2221">
        <v>14</v>
      </c>
      <c r="E2221" t="s">
        <v>1665</v>
      </c>
      <c r="F2221" t="s">
        <v>512</v>
      </c>
      <c r="G2221">
        <v>4059</v>
      </c>
      <c r="H2221" t="s">
        <v>2228</v>
      </c>
      <c r="I2221" t="s">
        <v>2153</v>
      </c>
      <c r="J2221">
        <v>8</v>
      </c>
      <c r="K2221">
        <v>1</v>
      </c>
      <c r="L2221">
        <v>1.6319444444444443E-3</v>
      </c>
      <c r="M2221" t="s">
        <v>778</v>
      </c>
      <c r="N2221" t="s">
        <v>1337</v>
      </c>
      <c r="O2221" s="24">
        <v>46136</v>
      </c>
      <c r="P2221">
        <v>605</v>
      </c>
      <c r="Q2221" t="s">
        <v>34</v>
      </c>
      <c r="X2221" t="s">
        <v>3540</v>
      </c>
    </row>
    <row r="2222" spans="1:24" x14ac:dyDescent="0.25">
      <c r="A2222">
        <v>2218</v>
      </c>
      <c r="B2222" t="s">
        <v>28</v>
      </c>
      <c r="C2222" t="s">
        <v>25</v>
      </c>
      <c r="D2222">
        <v>14</v>
      </c>
      <c r="E2222" t="s">
        <v>367</v>
      </c>
      <c r="F2222" t="s">
        <v>427</v>
      </c>
      <c r="G2222">
        <v>4059</v>
      </c>
      <c r="H2222" t="s">
        <v>2312</v>
      </c>
      <c r="I2222" t="s">
        <v>2270</v>
      </c>
      <c r="J2222">
        <v>8</v>
      </c>
      <c r="K2222">
        <v>1</v>
      </c>
      <c r="L2222">
        <v>1.6550925925925926E-3</v>
      </c>
      <c r="M2222" t="s">
        <v>778</v>
      </c>
      <c r="N2222" t="s">
        <v>1337</v>
      </c>
      <c r="O2222" s="24">
        <v>46136</v>
      </c>
      <c r="P2222">
        <v>605</v>
      </c>
      <c r="Q2222" t="s">
        <v>34</v>
      </c>
      <c r="X2222" t="s">
        <v>3540</v>
      </c>
    </row>
    <row r="2223" spans="1:24" x14ac:dyDescent="0.25">
      <c r="A2223">
        <v>2219</v>
      </c>
      <c r="B2223" t="s">
        <v>28</v>
      </c>
      <c r="C2223" t="s">
        <v>25</v>
      </c>
      <c r="D2223">
        <v>14</v>
      </c>
      <c r="E2223" t="s">
        <v>65</v>
      </c>
      <c r="F2223" t="s">
        <v>1590</v>
      </c>
      <c r="G2223">
        <v>4059</v>
      </c>
      <c r="H2223" t="s">
        <v>2102</v>
      </c>
      <c r="I2223" t="s">
        <v>2103</v>
      </c>
      <c r="J2223">
        <v>8</v>
      </c>
      <c r="K2223">
        <v>1</v>
      </c>
      <c r="L2223">
        <v>7.1759259259259259E-4</v>
      </c>
      <c r="M2223" t="s">
        <v>778</v>
      </c>
      <c r="N2223" t="s">
        <v>1337</v>
      </c>
      <c r="O2223" s="24">
        <v>46136</v>
      </c>
      <c r="P2223">
        <v>605</v>
      </c>
      <c r="Q2223" t="s">
        <v>34</v>
      </c>
      <c r="X2223" t="s">
        <v>3540</v>
      </c>
    </row>
    <row r="2224" spans="1:24" x14ac:dyDescent="0.25">
      <c r="A2224">
        <v>2220</v>
      </c>
      <c r="B2224" t="s">
        <v>28</v>
      </c>
      <c r="C2224" t="s">
        <v>25</v>
      </c>
      <c r="D2224">
        <v>14</v>
      </c>
      <c r="E2224" t="s">
        <v>65</v>
      </c>
      <c r="F2224" t="s">
        <v>1590</v>
      </c>
      <c r="G2224">
        <v>4059</v>
      </c>
      <c r="H2224" t="s">
        <v>2313</v>
      </c>
      <c r="I2224" t="s">
        <v>2314</v>
      </c>
      <c r="J2224">
        <v>8</v>
      </c>
      <c r="K2224">
        <v>1</v>
      </c>
      <c r="L2224">
        <v>7.5231481481481482E-4</v>
      </c>
      <c r="M2224" t="s">
        <v>778</v>
      </c>
      <c r="N2224" t="s">
        <v>1337</v>
      </c>
      <c r="O2224" s="24">
        <v>46136</v>
      </c>
      <c r="P2224">
        <v>605</v>
      </c>
      <c r="Q2224" t="s">
        <v>34</v>
      </c>
      <c r="X2224" t="s">
        <v>3540</v>
      </c>
    </row>
    <row r="2225" spans="1:24" x14ac:dyDescent="0.25">
      <c r="A2225">
        <v>2221</v>
      </c>
      <c r="B2225" t="s">
        <v>28</v>
      </c>
      <c r="C2225" t="s">
        <v>25</v>
      </c>
      <c r="D2225">
        <v>14</v>
      </c>
      <c r="E2225" t="s">
        <v>65</v>
      </c>
      <c r="F2225" t="s">
        <v>1591</v>
      </c>
      <c r="G2225">
        <v>4059</v>
      </c>
      <c r="H2225" t="s">
        <v>2315</v>
      </c>
      <c r="I2225" t="s">
        <v>2099</v>
      </c>
      <c r="J2225">
        <v>8</v>
      </c>
      <c r="K2225">
        <v>1</v>
      </c>
      <c r="L2225">
        <v>6.5972222222222224E-4</v>
      </c>
      <c r="M2225" t="s">
        <v>778</v>
      </c>
      <c r="N2225" t="s">
        <v>1337</v>
      </c>
      <c r="O2225" s="24">
        <v>46136</v>
      </c>
      <c r="P2225">
        <v>605</v>
      </c>
      <c r="Q2225" t="s">
        <v>34</v>
      </c>
      <c r="X2225" t="s">
        <v>3540</v>
      </c>
    </row>
    <row r="2226" spans="1:24" x14ac:dyDescent="0.25">
      <c r="A2226">
        <v>2222</v>
      </c>
      <c r="B2226" t="s">
        <v>28</v>
      </c>
      <c r="C2226" t="s">
        <v>25</v>
      </c>
      <c r="D2226">
        <v>14</v>
      </c>
      <c r="E2226" t="s">
        <v>2195</v>
      </c>
      <c r="F2226" t="s">
        <v>44</v>
      </c>
      <c r="G2226">
        <v>4059</v>
      </c>
      <c r="H2226" t="s">
        <v>48</v>
      </c>
      <c r="I2226" t="s">
        <v>1119</v>
      </c>
      <c r="J2226">
        <v>8</v>
      </c>
      <c r="K2226">
        <v>1</v>
      </c>
      <c r="L2226">
        <v>1.4351851851851852E-3</v>
      </c>
      <c r="M2226" t="s">
        <v>778</v>
      </c>
      <c r="N2226" t="s">
        <v>1337</v>
      </c>
      <c r="O2226" s="24">
        <v>46136</v>
      </c>
      <c r="P2226">
        <v>605</v>
      </c>
      <c r="Q2226" t="s">
        <v>34</v>
      </c>
      <c r="X2226" t="s">
        <v>3540</v>
      </c>
    </row>
    <row r="2227" spans="1:24" x14ac:dyDescent="0.25">
      <c r="A2227">
        <v>2223</v>
      </c>
      <c r="B2227" t="s">
        <v>28</v>
      </c>
      <c r="C2227" t="s">
        <v>25</v>
      </c>
      <c r="D2227">
        <v>14</v>
      </c>
      <c r="E2227" t="s">
        <v>65</v>
      </c>
      <c r="F2227" t="s">
        <v>1590</v>
      </c>
      <c r="G2227">
        <v>4060</v>
      </c>
      <c r="H2227" t="s">
        <v>2316</v>
      </c>
      <c r="I2227" t="s">
        <v>2286</v>
      </c>
      <c r="J2227">
        <v>8</v>
      </c>
      <c r="K2227">
        <v>1</v>
      </c>
      <c r="L2227">
        <v>1.8518518518518517E-3</v>
      </c>
      <c r="M2227" t="s">
        <v>3079</v>
      </c>
      <c r="X2227" t="s">
        <v>3541</v>
      </c>
    </row>
    <row r="2228" spans="1:24" x14ac:dyDescent="0.25">
      <c r="A2228">
        <v>2224</v>
      </c>
      <c r="B2228" t="s">
        <v>28</v>
      </c>
      <c r="C2228" t="s">
        <v>25</v>
      </c>
      <c r="D2228">
        <v>14</v>
      </c>
      <c r="E2228" t="s">
        <v>65</v>
      </c>
      <c r="F2228" t="s">
        <v>1596</v>
      </c>
      <c r="G2228">
        <v>4060</v>
      </c>
      <c r="H2228" t="s">
        <v>2318</v>
      </c>
      <c r="I2228" t="s">
        <v>2319</v>
      </c>
      <c r="J2228">
        <v>8</v>
      </c>
      <c r="K2228">
        <v>1</v>
      </c>
      <c r="L2228">
        <v>2.2453703703703702E-3</v>
      </c>
      <c r="M2228" t="s">
        <v>3079</v>
      </c>
      <c r="X2228" t="s">
        <v>3541</v>
      </c>
    </row>
    <row r="2229" spans="1:24" x14ac:dyDescent="0.25">
      <c r="A2229">
        <v>2225</v>
      </c>
      <c r="B2229" t="s">
        <v>28</v>
      </c>
      <c r="C2229" t="s">
        <v>25</v>
      </c>
      <c r="D2229">
        <v>14</v>
      </c>
      <c r="E2229" t="s">
        <v>129</v>
      </c>
      <c r="F2229" t="s">
        <v>512</v>
      </c>
      <c r="G2229">
        <v>4060</v>
      </c>
      <c r="H2229" t="s">
        <v>2320</v>
      </c>
      <c r="I2229" t="s">
        <v>2321</v>
      </c>
      <c r="J2229">
        <v>8</v>
      </c>
      <c r="K2229">
        <v>1</v>
      </c>
      <c r="L2229">
        <v>1.6435185185185185E-3</v>
      </c>
      <c r="M2229" t="s">
        <v>3079</v>
      </c>
      <c r="X2229" t="s">
        <v>3541</v>
      </c>
    </row>
    <row r="2230" spans="1:24" x14ac:dyDescent="0.25">
      <c r="A2230">
        <v>2226</v>
      </c>
      <c r="B2230" t="s">
        <v>28</v>
      </c>
      <c r="C2230" t="s">
        <v>25</v>
      </c>
      <c r="D2230">
        <v>14</v>
      </c>
      <c r="E2230" t="s">
        <v>367</v>
      </c>
      <c r="F2230" t="s">
        <v>368</v>
      </c>
      <c r="G2230">
        <v>4060</v>
      </c>
      <c r="H2230" t="s">
        <v>2322</v>
      </c>
      <c r="I2230" t="s">
        <v>2323</v>
      </c>
      <c r="J2230">
        <v>8</v>
      </c>
      <c r="K2230">
        <v>1</v>
      </c>
      <c r="L2230">
        <v>1.5856481481481481E-3</v>
      </c>
      <c r="M2230" t="s">
        <v>3079</v>
      </c>
      <c r="X2230" t="s">
        <v>3541</v>
      </c>
    </row>
    <row r="2231" spans="1:24" x14ac:dyDescent="0.25">
      <c r="A2231">
        <v>2227</v>
      </c>
      <c r="B2231" t="s">
        <v>28</v>
      </c>
      <c r="C2231" t="s">
        <v>25</v>
      </c>
      <c r="D2231">
        <v>14</v>
      </c>
      <c r="E2231" t="s">
        <v>367</v>
      </c>
      <c r="F2231" t="s">
        <v>367</v>
      </c>
      <c r="G2231">
        <v>4060</v>
      </c>
      <c r="H2231" t="s">
        <v>2324</v>
      </c>
      <c r="I2231" t="s">
        <v>2325</v>
      </c>
      <c r="J2231">
        <v>8</v>
      </c>
      <c r="K2231">
        <v>1</v>
      </c>
      <c r="L2231">
        <v>1.3541666666666667E-3</v>
      </c>
      <c r="M2231" t="s">
        <v>3079</v>
      </c>
      <c r="X2231" t="s">
        <v>3541</v>
      </c>
    </row>
    <row r="2232" spans="1:24" x14ac:dyDescent="0.25">
      <c r="A2232">
        <v>2228</v>
      </c>
      <c r="B2232" t="s">
        <v>28</v>
      </c>
      <c r="C2232" t="s">
        <v>25</v>
      </c>
      <c r="D2232">
        <v>14</v>
      </c>
      <c r="E2232" t="s">
        <v>367</v>
      </c>
      <c r="F2232" t="s">
        <v>1594</v>
      </c>
      <c r="G2232">
        <v>4060</v>
      </c>
      <c r="H2232" t="s">
        <v>2326</v>
      </c>
      <c r="I2232" t="s">
        <v>2327</v>
      </c>
      <c r="J2232">
        <v>8</v>
      </c>
      <c r="K2232">
        <v>1</v>
      </c>
      <c r="L2232">
        <v>3.6111111111111109E-3</v>
      </c>
      <c r="M2232" t="s">
        <v>3079</v>
      </c>
      <c r="X2232" t="s">
        <v>3541</v>
      </c>
    </row>
    <row r="2233" spans="1:24" x14ac:dyDescent="0.25">
      <c r="A2233">
        <v>2229</v>
      </c>
      <c r="B2233" t="s">
        <v>28</v>
      </c>
      <c r="C2233" t="s">
        <v>25</v>
      </c>
      <c r="D2233">
        <v>14</v>
      </c>
      <c r="E2233" t="s">
        <v>1665</v>
      </c>
      <c r="F2233" t="s">
        <v>115</v>
      </c>
      <c r="G2233">
        <v>4060</v>
      </c>
      <c r="H2233" t="s">
        <v>2113</v>
      </c>
      <c r="I2233" t="s">
        <v>2111</v>
      </c>
      <c r="J2233">
        <v>8</v>
      </c>
      <c r="K2233">
        <v>1</v>
      </c>
      <c r="L2233">
        <v>6.0185185185185179E-4</v>
      </c>
      <c r="M2233" t="s">
        <v>3079</v>
      </c>
      <c r="X2233" t="s">
        <v>3541</v>
      </c>
    </row>
    <row r="2234" spans="1:24" x14ac:dyDescent="0.25">
      <c r="A2234">
        <v>2230</v>
      </c>
      <c r="B2234" t="s">
        <v>28</v>
      </c>
      <c r="C2234" t="s">
        <v>25</v>
      </c>
      <c r="D2234">
        <v>14</v>
      </c>
      <c r="E2234" t="s">
        <v>1672</v>
      </c>
      <c r="F2234" t="s">
        <v>498</v>
      </c>
      <c r="G2234">
        <v>4060</v>
      </c>
      <c r="H2234" t="s">
        <v>2055</v>
      </c>
      <c r="I2234" t="s">
        <v>2056</v>
      </c>
      <c r="J2234">
        <v>8</v>
      </c>
      <c r="K2234">
        <v>3</v>
      </c>
      <c r="L2234">
        <v>2.6273148148148145E-3</v>
      </c>
      <c r="M2234" t="s">
        <v>3079</v>
      </c>
      <c r="X2234" t="s">
        <v>3541</v>
      </c>
    </row>
    <row r="2235" spans="1:24" x14ac:dyDescent="0.25">
      <c r="A2235">
        <v>2231</v>
      </c>
      <c r="B2235" t="s">
        <v>28</v>
      </c>
      <c r="C2235" t="s">
        <v>25</v>
      </c>
      <c r="D2235">
        <v>14</v>
      </c>
      <c r="E2235" t="s">
        <v>367</v>
      </c>
      <c r="F2235" t="s">
        <v>367</v>
      </c>
      <c r="G2235">
        <v>4060</v>
      </c>
      <c r="H2235" t="s">
        <v>2328</v>
      </c>
      <c r="I2235" t="s">
        <v>2329</v>
      </c>
      <c r="J2235">
        <v>8</v>
      </c>
      <c r="K2235">
        <v>1</v>
      </c>
      <c r="L2235">
        <v>6.9444444444444436E-4</v>
      </c>
      <c r="M2235" t="s">
        <v>3079</v>
      </c>
      <c r="X2235" t="s">
        <v>3541</v>
      </c>
    </row>
    <row r="2236" spans="1:24" x14ac:dyDescent="0.25">
      <c r="A2236">
        <v>2232</v>
      </c>
      <c r="B2236" t="s">
        <v>28</v>
      </c>
      <c r="C2236" t="s">
        <v>25</v>
      </c>
      <c r="D2236">
        <v>14</v>
      </c>
      <c r="E2236" t="s">
        <v>1665</v>
      </c>
      <c r="F2236" t="s">
        <v>115</v>
      </c>
      <c r="G2236">
        <v>4063</v>
      </c>
      <c r="H2236" t="s">
        <v>2113</v>
      </c>
      <c r="I2236" t="s">
        <v>2111</v>
      </c>
      <c r="J2236">
        <v>8</v>
      </c>
      <c r="K2236">
        <v>2</v>
      </c>
      <c r="L2236">
        <v>1.1689814814814813E-3</v>
      </c>
      <c r="M2236" t="s">
        <v>3079</v>
      </c>
      <c r="X2236" t="s">
        <v>3542</v>
      </c>
    </row>
    <row r="2237" spans="1:24" x14ac:dyDescent="0.25">
      <c r="A2237">
        <v>2233</v>
      </c>
      <c r="B2237" t="s">
        <v>28</v>
      </c>
      <c r="C2237" t="s">
        <v>25</v>
      </c>
      <c r="D2237">
        <v>14</v>
      </c>
      <c r="E2237" t="s">
        <v>1665</v>
      </c>
      <c r="F2237" t="s">
        <v>512</v>
      </c>
      <c r="G2237">
        <v>4063</v>
      </c>
      <c r="H2237" t="s">
        <v>2225</v>
      </c>
      <c r="I2237" t="s">
        <v>2226</v>
      </c>
      <c r="J2237">
        <v>8</v>
      </c>
      <c r="K2237">
        <v>1</v>
      </c>
      <c r="L2237">
        <v>1.7708333333333332E-3</v>
      </c>
      <c r="M2237" t="s">
        <v>3079</v>
      </c>
      <c r="X2237" t="s">
        <v>3542</v>
      </c>
    </row>
    <row r="2238" spans="1:24" x14ac:dyDescent="0.25">
      <c r="A2238">
        <v>2234</v>
      </c>
      <c r="B2238" t="s">
        <v>28</v>
      </c>
      <c r="C2238" t="s">
        <v>25</v>
      </c>
      <c r="D2238">
        <v>14</v>
      </c>
      <c r="E2238" t="s">
        <v>1672</v>
      </c>
      <c r="F2238" t="s">
        <v>512</v>
      </c>
      <c r="G2238">
        <v>4063</v>
      </c>
      <c r="H2238" t="s">
        <v>2297</v>
      </c>
      <c r="I2238" t="s">
        <v>2226</v>
      </c>
      <c r="J2238">
        <v>8</v>
      </c>
      <c r="K2238">
        <v>3</v>
      </c>
      <c r="L2238">
        <v>5.324074074074074E-3</v>
      </c>
      <c r="M2238" t="s">
        <v>3079</v>
      </c>
      <c r="X2238" t="s">
        <v>3542</v>
      </c>
    </row>
    <row r="2239" spans="1:24" x14ac:dyDescent="0.25">
      <c r="A2239">
        <v>2235</v>
      </c>
      <c r="B2239" t="s">
        <v>28</v>
      </c>
      <c r="C2239" t="s">
        <v>25</v>
      </c>
      <c r="D2239">
        <v>14</v>
      </c>
      <c r="E2239" t="s">
        <v>367</v>
      </c>
      <c r="F2239" t="s">
        <v>1592</v>
      </c>
      <c r="G2239">
        <v>4063</v>
      </c>
      <c r="H2239" t="s">
        <v>2062</v>
      </c>
      <c r="I2239" t="s">
        <v>2063</v>
      </c>
      <c r="J2239">
        <v>8</v>
      </c>
      <c r="K2239">
        <v>2</v>
      </c>
      <c r="L2239">
        <v>9.0277777777777774E-4</v>
      </c>
      <c r="M2239" t="s">
        <v>3079</v>
      </c>
      <c r="X2239" t="s">
        <v>3542</v>
      </c>
    </row>
    <row r="2240" spans="1:24" x14ac:dyDescent="0.25">
      <c r="A2240">
        <v>2236</v>
      </c>
      <c r="B2240" t="s">
        <v>28</v>
      </c>
      <c r="C2240" t="s">
        <v>25</v>
      </c>
      <c r="D2240">
        <v>14</v>
      </c>
      <c r="E2240" t="s">
        <v>367</v>
      </c>
      <c r="F2240" t="s">
        <v>368</v>
      </c>
      <c r="G2240">
        <v>4063</v>
      </c>
      <c r="H2240" t="s">
        <v>2331</v>
      </c>
      <c r="I2240" t="s">
        <v>2332</v>
      </c>
      <c r="J2240">
        <v>8</v>
      </c>
      <c r="K2240">
        <v>1</v>
      </c>
      <c r="L2240">
        <v>5.393518518518518E-3</v>
      </c>
      <c r="M2240" t="s">
        <v>3079</v>
      </c>
      <c r="X2240" t="s">
        <v>3542</v>
      </c>
    </row>
    <row r="2241" spans="1:24" x14ac:dyDescent="0.25">
      <c r="A2241">
        <v>2237</v>
      </c>
      <c r="B2241" t="s">
        <v>28</v>
      </c>
      <c r="C2241" t="s">
        <v>25</v>
      </c>
      <c r="D2241">
        <v>14</v>
      </c>
      <c r="E2241" t="s">
        <v>65</v>
      </c>
      <c r="F2241" t="s">
        <v>66</v>
      </c>
      <c r="G2241">
        <v>4063</v>
      </c>
      <c r="H2241" t="s">
        <v>2333</v>
      </c>
      <c r="I2241" t="s">
        <v>2253</v>
      </c>
      <c r="J2241">
        <v>8</v>
      </c>
      <c r="K2241">
        <v>1</v>
      </c>
      <c r="L2241">
        <v>7.8703703703703705E-4</v>
      </c>
      <c r="M2241" t="s">
        <v>3079</v>
      </c>
      <c r="X2241" t="s">
        <v>3542</v>
      </c>
    </row>
    <row r="2242" spans="1:24" x14ac:dyDescent="0.25">
      <c r="A2242">
        <v>2238</v>
      </c>
      <c r="B2242" t="s">
        <v>28</v>
      </c>
      <c r="C2242" t="s">
        <v>25</v>
      </c>
      <c r="D2242">
        <v>14</v>
      </c>
      <c r="E2242" t="s">
        <v>65</v>
      </c>
      <c r="F2242" t="s">
        <v>66</v>
      </c>
      <c r="G2242">
        <v>4063</v>
      </c>
      <c r="H2242" t="s">
        <v>2180</v>
      </c>
      <c r="I2242" t="s">
        <v>2181</v>
      </c>
      <c r="J2242">
        <v>8</v>
      </c>
      <c r="K2242">
        <v>4</v>
      </c>
      <c r="L2242">
        <v>2.4768518518518516E-3</v>
      </c>
      <c r="M2242" t="s">
        <v>3079</v>
      </c>
      <c r="X2242" t="s">
        <v>3542</v>
      </c>
    </row>
    <row r="2243" spans="1:24" x14ac:dyDescent="0.25">
      <c r="A2243">
        <v>2239</v>
      </c>
      <c r="B2243" t="s">
        <v>28</v>
      </c>
      <c r="C2243" t="s">
        <v>25</v>
      </c>
      <c r="D2243">
        <v>14</v>
      </c>
      <c r="E2243" t="s">
        <v>65</v>
      </c>
      <c r="F2243" t="s">
        <v>66</v>
      </c>
      <c r="G2243">
        <v>4063</v>
      </c>
      <c r="H2243" t="s">
        <v>2334</v>
      </c>
      <c r="I2243" t="s">
        <v>2335</v>
      </c>
      <c r="J2243">
        <v>8</v>
      </c>
      <c r="K2243">
        <v>1</v>
      </c>
      <c r="L2243">
        <v>1.6550925925925926E-3</v>
      </c>
      <c r="M2243" t="s">
        <v>3079</v>
      </c>
      <c r="X2243" t="s">
        <v>3542</v>
      </c>
    </row>
    <row r="2244" spans="1:24" x14ac:dyDescent="0.25">
      <c r="A2244">
        <v>2240</v>
      </c>
      <c r="B2244" t="s">
        <v>28</v>
      </c>
      <c r="C2244" t="s">
        <v>25</v>
      </c>
      <c r="D2244">
        <v>14</v>
      </c>
      <c r="E2244" t="s">
        <v>65</v>
      </c>
      <c r="F2244" t="s">
        <v>66</v>
      </c>
      <c r="G2244">
        <v>4063</v>
      </c>
      <c r="H2244" t="s">
        <v>2336</v>
      </c>
      <c r="I2244" t="s">
        <v>2335</v>
      </c>
      <c r="J2244">
        <v>8</v>
      </c>
      <c r="K2244">
        <v>1</v>
      </c>
      <c r="L2244">
        <v>1.6550925925925926E-3</v>
      </c>
      <c r="M2244" t="s">
        <v>3079</v>
      </c>
      <c r="X2244" t="s">
        <v>3542</v>
      </c>
    </row>
    <row r="2245" spans="1:24" x14ac:dyDescent="0.25">
      <c r="A2245">
        <v>2241</v>
      </c>
      <c r="B2245" t="s">
        <v>28</v>
      </c>
      <c r="C2245" t="s">
        <v>25</v>
      </c>
      <c r="D2245">
        <v>14</v>
      </c>
      <c r="E2245" t="s">
        <v>2195</v>
      </c>
      <c r="F2245" t="s">
        <v>44</v>
      </c>
      <c r="G2245">
        <v>4063</v>
      </c>
      <c r="H2245" t="s">
        <v>48</v>
      </c>
      <c r="I2245" t="s">
        <v>1119</v>
      </c>
      <c r="J2245">
        <v>8</v>
      </c>
      <c r="K2245">
        <v>1</v>
      </c>
      <c r="L2245">
        <v>1.3888888888888887E-3</v>
      </c>
      <c r="M2245" t="s">
        <v>3079</v>
      </c>
      <c r="X2245" t="s">
        <v>3542</v>
      </c>
    </row>
    <row r="2246" spans="1:24" x14ac:dyDescent="0.25">
      <c r="A2246">
        <v>2242</v>
      </c>
      <c r="B2246" t="s">
        <v>28</v>
      </c>
      <c r="C2246" t="s">
        <v>25</v>
      </c>
      <c r="D2246">
        <v>14</v>
      </c>
      <c r="E2246" t="s">
        <v>65</v>
      </c>
      <c r="F2246" t="s">
        <v>512</v>
      </c>
      <c r="G2246">
        <v>4068</v>
      </c>
      <c r="H2246" t="s">
        <v>2337</v>
      </c>
      <c r="I2246" t="s">
        <v>2286</v>
      </c>
      <c r="J2246">
        <v>8</v>
      </c>
      <c r="K2246">
        <v>1</v>
      </c>
      <c r="L2246">
        <v>1.4814814814814814E-3</v>
      </c>
      <c r="M2246" t="s">
        <v>3079</v>
      </c>
      <c r="X2246" t="s">
        <v>3543</v>
      </c>
    </row>
    <row r="2247" spans="1:24" x14ac:dyDescent="0.25">
      <c r="A2247">
        <v>2243</v>
      </c>
      <c r="B2247" t="s">
        <v>28</v>
      </c>
      <c r="C2247" t="s">
        <v>25</v>
      </c>
      <c r="D2247">
        <v>14</v>
      </c>
      <c r="E2247" t="s">
        <v>65</v>
      </c>
      <c r="F2247" t="s">
        <v>1598</v>
      </c>
      <c r="G2247">
        <v>4068</v>
      </c>
      <c r="H2247" t="s">
        <v>2339</v>
      </c>
      <c r="I2247" t="s">
        <v>2226</v>
      </c>
      <c r="J2247">
        <v>8</v>
      </c>
      <c r="K2247">
        <v>1</v>
      </c>
      <c r="L2247">
        <v>1.7592592592592592E-3</v>
      </c>
      <c r="M2247" t="s">
        <v>3079</v>
      </c>
      <c r="X2247" t="s">
        <v>3543</v>
      </c>
    </row>
    <row r="2248" spans="1:24" x14ac:dyDescent="0.25">
      <c r="A2248">
        <v>2244</v>
      </c>
      <c r="B2248" t="s">
        <v>28</v>
      </c>
      <c r="C2248" t="s">
        <v>25</v>
      </c>
      <c r="D2248">
        <v>14</v>
      </c>
      <c r="E2248" t="s">
        <v>1665</v>
      </c>
      <c r="F2248" t="s">
        <v>115</v>
      </c>
      <c r="G2248">
        <v>4068</v>
      </c>
      <c r="H2248" t="s">
        <v>2113</v>
      </c>
      <c r="I2248" t="s">
        <v>2111</v>
      </c>
      <c r="J2248">
        <v>8</v>
      </c>
      <c r="K2248">
        <v>2</v>
      </c>
      <c r="L2248">
        <v>1.0879629629629629E-3</v>
      </c>
      <c r="M2248" t="s">
        <v>3079</v>
      </c>
      <c r="X2248" t="s">
        <v>3543</v>
      </c>
    </row>
    <row r="2249" spans="1:24" x14ac:dyDescent="0.25">
      <c r="A2249">
        <v>2245</v>
      </c>
      <c r="B2249" t="s">
        <v>28</v>
      </c>
      <c r="C2249" t="s">
        <v>25</v>
      </c>
      <c r="D2249">
        <v>14</v>
      </c>
      <c r="E2249" t="s">
        <v>1672</v>
      </c>
      <c r="F2249" t="s">
        <v>498</v>
      </c>
      <c r="G2249">
        <v>4068</v>
      </c>
      <c r="H2249" t="s">
        <v>2299</v>
      </c>
      <c r="I2249" t="s">
        <v>2300</v>
      </c>
      <c r="J2249">
        <v>8</v>
      </c>
      <c r="K2249">
        <v>2</v>
      </c>
      <c r="L2249">
        <v>3.4259259259259256E-3</v>
      </c>
      <c r="M2249" t="s">
        <v>3079</v>
      </c>
      <c r="X2249" t="s">
        <v>3543</v>
      </c>
    </row>
    <row r="2250" spans="1:24" x14ac:dyDescent="0.25">
      <c r="A2250">
        <v>2246</v>
      </c>
      <c r="B2250" t="s">
        <v>28</v>
      </c>
      <c r="C2250" t="s">
        <v>25</v>
      </c>
      <c r="D2250">
        <v>14</v>
      </c>
      <c r="E2250" t="s">
        <v>1588</v>
      </c>
      <c r="F2250" t="s">
        <v>44</v>
      </c>
      <c r="G2250">
        <v>4068</v>
      </c>
      <c r="H2250" t="s">
        <v>1623</v>
      </c>
      <c r="I2250" t="s">
        <v>1624</v>
      </c>
      <c r="J2250">
        <v>8</v>
      </c>
      <c r="K2250">
        <v>1</v>
      </c>
      <c r="L2250">
        <v>1.5740740740740741E-3</v>
      </c>
      <c r="M2250" t="s">
        <v>3079</v>
      </c>
      <c r="X2250" t="s">
        <v>3543</v>
      </c>
    </row>
    <row r="2251" spans="1:24" x14ac:dyDescent="0.25">
      <c r="A2251">
        <v>2247</v>
      </c>
      <c r="B2251" t="s">
        <v>28</v>
      </c>
      <c r="C2251" t="s">
        <v>25</v>
      </c>
      <c r="D2251">
        <v>14</v>
      </c>
      <c r="E2251" t="s">
        <v>367</v>
      </c>
      <c r="F2251" t="s">
        <v>1598</v>
      </c>
      <c r="G2251">
        <v>4068</v>
      </c>
      <c r="H2251" t="s">
        <v>2340</v>
      </c>
      <c r="I2251" t="s">
        <v>2341</v>
      </c>
      <c r="J2251">
        <v>8</v>
      </c>
      <c r="K2251">
        <v>1</v>
      </c>
      <c r="L2251">
        <v>2.2337962962962962E-3</v>
      </c>
      <c r="M2251" t="s">
        <v>3079</v>
      </c>
      <c r="X2251" t="s">
        <v>3543</v>
      </c>
    </row>
    <row r="2252" spans="1:24" x14ac:dyDescent="0.25">
      <c r="A2252">
        <v>2248</v>
      </c>
      <c r="B2252" t="s">
        <v>28</v>
      </c>
      <c r="C2252" t="s">
        <v>25</v>
      </c>
      <c r="D2252">
        <v>14</v>
      </c>
      <c r="E2252" t="s">
        <v>367</v>
      </c>
      <c r="F2252" t="s">
        <v>1599</v>
      </c>
      <c r="G2252">
        <v>4068</v>
      </c>
      <c r="H2252" t="s">
        <v>2342</v>
      </c>
      <c r="I2252" t="s">
        <v>2341</v>
      </c>
      <c r="J2252">
        <v>8</v>
      </c>
      <c r="K2252">
        <v>1</v>
      </c>
      <c r="L2252">
        <v>2.2337962962962962E-3</v>
      </c>
      <c r="M2252" t="s">
        <v>3079</v>
      </c>
      <c r="X2252" t="s">
        <v>3543</v>
      </c>
    </row>
    <row r="2253" spans="1:24" x14ac:dyDescent="0.25">
      <c r="A2253">
        <v>2249</v>
      </c>
      <c r="B2253" t="s">
        <v>28</v>
      </c>
      <c r="C2253" t="s">
        <v>25</v>
      </c>
      <c r="D2253">
        <v>14</v>
      </c>
      <c r="E2253" t="s">
        <v>65</v>
      </c>
      <c r="F2253" t="s">
        <v>1589</v>
      </c>
      <c r="G2253">
        <v>4068</v>
      </c>
      <c r="H2253" t="s">
        <v>2343</v>
      </c>
      <c r="I2253" t="s">
        <v>2344</v>
      </c>
      <c r="J2253">
        <v>8</v>
      </c>
      <c r="K2253">
        <v>1</v>
      </c>
      <c r="L2253">
        <v>2.9166666666666664E-3</v>
      </c>
      <c r="M2253" t="s">
        <v>3079</v>
      </c>
      <c r="X2253" t="s">
        <v>3543</v>
      </c>
    </row>
    <row r="2254" spans="1:24" x14ac:dyDescent="0.25">
      <c r="A2254">
        <v>2250</v>
      </c>
      <c r="B2254" t="s">
        <v>28</v>
      </c>
      <c r="C2254" t="s">
        <v>25</v>
      </c>
      <c r="D2254">
        <v>14</v>
      </c>
      <c r="E2254" t="s">
        <v>65</v>
      </c>
      <c r="F2254" t="s">
        <v>1591</v>
      </c>
      <c r="G2254">
        <v>4068</v>
      </c>
      <c r="H2254" t="s">
        <v>2345</v>
      </c>
      <c r="I2254" t="s">
        <v>2346</v>
      </c>
      <c r="J2254">
        <v>8</v>
      </c>
      <c r="K2254">
        <v>1</v>
      </c>
      <c r="L2254">
        <v>1.5624999999999999E-3</v>
      </c>
      <c r="M2254" t="s">
        <v>3079</v>
      </c>
      <c r="X2254" t="s">
        <v>3543</v>
      </c>
    </row>
    <row r="2255" spans="1:24" x14ac:dyDescent="0.25">
      <c r="A2255">
        <v>2251</v>
      </c>
      <c r="B2255" t="s">
        <v>28</v>
      </c>
      <c r="C2255" t="s">
        <v>25</v>
      </c>
      <c r="D2255">
        <v>14</v>
      </c>
      <c r="E2255" t="s">
        <v>65</v>
      </c>
      <c r="F2255" t="s">
        <v>1596</v>
      </c>
      <c r="G2255">
        <v>4068</v>
      </c>
      <c r="H2255" t="s">
        <v>2347</v>
      </c>
      <c r="I2255" t="s">
        <v>2226</v>
      </c>
      <c r="J2255">
        <v>8</v>
      </c>
      <c r="K2255">
        <v>1</v>
      </c>
      <c r="L2255">
        <v>1.7592592592592592E-3</v>
      </c>
      <c r="M2255" t="s">
        <v>3079</v>
      </c>
      <c r="X2255" t="s">
        <v>3543</v>
      </c>
    </row>
    <row r="2256" spans="1:24" x14ac:dyDescent="0.25">
      <c r="A2256">
        <v>2252</v>
      </c>
      <c r="B2256" t="s">
        <v>28</v>
      </c>
      <c r="C2256" t="s">
        <v>25</v>
      </c>
      <c r="D2256">
        <v>14</v>
      </c>
      <c r="E2256" t="s">
        <v>65</v>
      </c>
      <c r="F2256" t="s">
        <v>1597</v>
      </c>
      <c r="G2256">
        <v>4068</v>
      </c>
      <c r="H2256" t="s">
        <v>2348</v>
      </c>
      <c r="I2256" t="s">
        <v>2226</v>
      </c>
      <c r="J2256">
        <v>8</v>
      </c>
      <c r="K2256">
        <v>1</v>
      </c>
      <c r="L2256">
        <v>1.7592592592592592E-3</v>
      </c>
      <c r="M2256" t="s">
        <v>3079</v>
      </c>
      <c r="X2256" t="s">
        <v>3543</v>
      </c>
    </row>
    <row r="2257" spans="1:24" x14ac:dyDescent="0.25">
      <c r="A2257">
        <v>2253</v>
      </c>
      <c r="B2257" t="s">
        <v>28</v>
      </c>
      <c r="C2257" t="s">
        <v>25</v>
      </c>
      <c r="D2257">
        <v>14</v>
      </c>
      <c r="E2257" t="s">
        <v>65</v>
      </c>
      <c r="F2257" t="s">
        <v>368</v>
      </c>
      <c r="G2257">
        <v>4069</v>
      </c>
      <c r="H2257" t="s">
        <v>2349</v>
      </c>
      <c r="I2257" t="s">
        <v>2116</v>
      </c>
      <c r="J2257">
        <v>8</v>
      </c>
      <c r="K2257">
        <v>1</v>
      </c>
      <c r="L2257">
        <v>2.1874999999999998E-3</v>
      </c>
      <c r="M2257" t="s">
        <v>778</v>
      </c>
      <c r="N2257" t="s">
        <v>1337</v>
      </c>
      <c r="O2257" s="24">
        <v>46136</v>
      </c>
      <c r="P2257">
        <v>605</v>
      </c>
      <c r="Q2257" t="s">
        <v>34</v>
      </c>
      <c r="X2257" t="s">
        <v>3544</v>
      </c>
    </row>
    <row r="2258" spans="1:24" x14ac:dyDescent="0.25">
      <c r="A2258">
        <v>2254</v>
      </c>
      <c r="B2258" t="s">
        <v>28</v>
      </c>
      <c r="C2258" t="s">
        <v>25</v>
      </c>
      <c r="D2258">
        <v>14</v>
      </c>
      <c r="E2258" t="s">
        <v>65</v>
      </c>
      <c r="F2258" t="s">
        <v>1591</v>
      </c>
      <c r="G2258">
        <v>4069</v>
      </c>
      <c r="H2258" t="s">
        <v>2351</v>
      </c>
      <c r="I2258" t="s">
        <v>2344</v>
      </c>
      <c r="J2258">
        <v>8</v>
      </c>
      <c r="K2258">
        <v>1</v>
      </c>
      <c r="L2258">
        <v>3.0208333333333333E-3</v>
      </c>
      <c r="M2258" t="s">
        <v>778</v>
      </c>
      <c r="N2258" t="s">
        <v>1337</v>
      </c>
      <c r="O2258" s="24">
        <v>46136</v>
      </c>
      <c r="P2258">
        <v>605</v>
      </c>
      <c r="Q2258" t="s">
        <v>34</v>
      </c>
      <c r="X2258" t="s">
        <v>3544</v>
      </c>
    </row>
    <row r="2259" spans="1:24" x14ac:dyDescent="0.25">
      <c r="A2259">
        <v>2255</v>
      </c>
      <c r="B2259" t="s">
        <v>28</v>
      </c>
      <c r="C2259" t="s">
        <v>25</v>
      </c>
      <c r="D2259">
        <v>14</v>
      </c>
      <c r="E2259" t="s">
        <v>1588</v>
      </c>
      <c r="F2259" t="s">
        <v>44</v>
      </c>
      <c r="G2259">
        <v>4069</v>
      </c>
      <c r="H2259" t="s">
        <v>2057</v>
      </c>
      <c r="I2259" t="s">
        <v>2049</v>
      </c>
      <c r="J2259">
        <v>8</v>
      </c>
      <c r="K2259">
        <v>1</v>
      </c>
      <c r="L2259">
        <v>1.2384259259259258E-3</v>
      </c>
      <c r="M2259" t="s">
        <v>778</v>
      </c>
      <c r="N2259" t="s">
        <v>1337</v>
      </c>
      <c r="O2259" s="24">
        <v>46136</v>
      </c>
      <c r="P2259">
        <v>605</v>
      </c>
      <c r="Q2259" t="s">
        <v>34</v>
      </c>
      <c r="X2259" t="s">
        <v>3544</v>
      </c>
    </row>
    <row r="2260" spans="1:24" x14ac:dyDescent="0.25">
      <c r="A2260">
        <v>2256</v>
      </c>
      <c r="B2260" t="s">
        <v>28</v>
      </c>
      <c r="C2260" t="s">
        <v>25</v>
      </c>
      <c r="D2260">
        <v>14</v>
      </c>
      <c r="E2260" t="s">
        <v>367</v>
      </c>
      <c r="F2260" t="s">
        <v>1598</v>
      </c>
      <c r="G2260">
        <v>4069</v>
      </c>
      <c r="H2260" t="s">
        <v>2168</v>
      </c>
      <c r="I2260" t="s">
        <v>1634</v>
      </c>
      <c r="J2260">
        <v>8</v>
      </c>
      <c r="K2260">
        <v>1</v>
      </c>
      <c r="L2260">
        <v>6.9444444444444436E-4</v>
      </c>
      <c r="M2260" t="s">
        <v>778</v>
      </c>
      <c r="N2260" t="s">
        <v>1337</v>
      </c>
      <c r="O2260" s="24">
        <v>46136</v>
      </c>
      <c r="P2260">
        <v>605</v>
      </c>
      <c r="Q2260" t="s">
        <v>34</v>
      </c>
      <c r="X2260" t="s">
        <v>3544</v>
      </c>
    </row>
    <row r="2261" spans="1:24" x14ac:dyDescent="0.25">
      <c r="A2261">
        <v>2257</v>
      </c>
      <c r="B2261" t="s">
        <v>28</v>
      </c>
      <c r="C2261" t="s">
        <v>25</v>
      </c>
      <c r="D2261">
        <v>14</v>
      </c>
      <c r="E2261" t="s">
        <v>1665</v>
      </c>
      <c r="F2261" t="s">
        <v>115</v>
      </c>
      <c r="G2261">
        <v>4069</v>
      </c>
      <c r="H2261" t="s">
        <v>2113</v>
      </c>
      <c r="I2261" t="s">
        <v>2111</v>
      </c>
      <c r="J2261">
        <v>8</v>
      </c>
      <c r="K2261">
        <v>7</v>
      </c>
      <c r="L2261">
        <v>3.9699074074074072E-3</v>
      </c>
      <c r="M2261" t="s">
        <v>778</v>
      </c>
      <c r="N2261" t="s">
        <v>1337</v>
      </c>
      <c r="O2261" s="24">
        <v>46136</v>
      </c>
      <c r="P2261">
        <v>605</v>
      </c>
      <c r="Q2261" t="s">
        <v>34</v>
      </c>
      <c r="X2261" t="s">
        <v>3544</v>
      </c>
    </row>
    <row r="2262" spans="1:24" x14ac:dyDescent="0.25">
      <c r="A2262">
        <v>2258</v>
      </c>
      <c r="B2262" t="s">
        <v>28</v>
      </c>
      <c r="C2262" t="s">
        <v>25</v>
      </c>
      <c r="D2262">
        <v>14</v>
      </c>
      <c r="E2262" t="s">
        <v>1672</v>
      </c>
      <c r="F2262" t="s">
        <v>498</v>
      </c>
      <c r="G2262">
        <v>4069</v>
      </c>
      <c r="H2262" t="s">
        <v>2299</v>
      </c>
      <c r="I2262" t="s">
        <v>2300</v>
      </c>
      <c r="J2262">
        <v>8</v>
      </c>
      <c r="K2262">
        <v>4</v>
      </c>
      <c r="L2262">
        <v>7.129629629629629E-3</v>
      </c>
      <c r="M2262" t="s">
        <v>778</v>
      </c>
      <c r="N2262" t="s">
        <v>1337</v>
      </c>
      <c r="O2262" s="24">
        <v>46136</v>
      </c>
      <c r="P2262">
        <v>605</v>
      </c>
      <c r="Q2262" t="s">
        <v>34</v>
      </c>
      <c r="X2262" t="s">
        <v>3544</v>
      </c>
    </row>
    <row r="2263" spans="1:24" x14ac:dyDescent="0.25">
      <c r="A2263">
        <v>2259</v>
      </c>
      <c r="B2263" t="s">
        <v>28</v>
      </c>
      <c r="C2263" t="s">
        <v>25</v>
      </c>
      <c r="D2263">
        <v>14</v>
      </c>
      <c r="E2263" t="s">
        <v>147</v>
      </c>
      <c r="F2263" t="s">
        <v>512</v>
      </c>
      <c r="G2263">
        <v>4069</v>
      </c>
      <c r="H2263" t="s">
        <v>2352</v>
      </c>
      <c r="I2263" t="s">
        <v>2161</v>
      </c>
      <c r="J2263">
        <v>8</v>
      </c>
      <c r="K2263">
        <v>4</v>
      </c>
      <c r="L2263">
        <v>6.4930555555555549E-3</v>
      </c>
      <c r="M2263" t="s">
        <v>778</v>
      </c>
      <c r="N2263" t="s">
        <v>1337</v>
      </c>
      <c r="O2263" s="24">
        <v>46136</v>
      </c>
      <c r="P2263">
        <v>605</v>
      </c>
      <c r="Q2263" t="s">
        <v>34</v>
      </c>
      <c r="X2263" t="s">
        <v>3544</v>
      </c>
    </row>
    <row r="2264" spans="1:24" x14ac:dyDescent="0.25">
      <c r="A2264">
        <v>2260</v>
      </c>
      <c r="B2264" t="s">
        <v>28</v>
      </c>
      <c r="C2264" t="s">
        <v>25</v>
      </c>
      <c r="D2264">
        <v>14</v>
      </c>
      <c r="E2264" t="s">
        <v>152</v>
      </c>
      <c r="F2264" t="s">
        <v>152</v>
      </c>
      <c r="G2264">
        <v>4071</v>
      </c>
      <c r="H2264" t="s">
        <v>153</v>
      </c>
      <c r="I2264" t="s">
        <v>119</v>
      </c>
      <c r="J2264">
        <v>8</v>
      </c>
      <c r="K2264">
        <v>1</v>
      </c>
      <c r="L2264">
        <v>6.9097222222222216E-3</v>
      </c>
      <c r="M2264" t="s">
        <v>778</v>
      </c>
      <c r="N2264" t="s">
        <v>1525</v>
      </c>
      <c r="O2264" s="24">
        <v>46140</v>
      </c>
      <c r="P2264">
        <v>603</v>
      </c>
      <c r="Q2264" t="s">
        <v>34</v>
      </c>
      <c r="X2264" t="s">
        <v>3545</v>
      </c>
    </row>
    <row r="2265" spans="1:24" x14ac:dyDescent="0.25">
      <c r="A2265">
        <v>2261</v>
      </c>
      <c r="B2265" t="s">
        <v>28</v>
      </c>
      <c r="C2265" t="s">
        <v>25</v>
      </c>
      <c r="D2265">
        <v>14</v>
      </c>
      <c r="E2265" t="s">
        <v>530</v>
      </c>
      <c r="F2265" t="s">
        <v>512</v>
      </c>
      <c r="G2265">
        <v>4073</v>
      </c>
      <c r="H2265" t="s">
        <v>531</v>
      </c>
      <c r="I2265" t="s">
        <v>119</v>
      </c>
      <c r="J2265">
        <v>8</v>
      </c>
      <c r="K2265">
        <v>1</v>
      </c>
      <c r="L2265">
        <v>6.9212962962962961E-3</v>
      </c>
      <c r="M2265" t="s">
        <v>778</v>
      </c>
      <c r="N2265" t="s">
        <v>1504</v>
      </c>
      <c r="O2265" s="24">
        <v>46141</v>
      </c>
      <c r="P2265">
        <v>603</v>
      </c>
      <c r="Q2265" t="s">
        <v>34</v>
      </c>
      <c r="X2265" t="s">
        <v>3546</v>
      </c>
    </row>
    <row r="2266" spans="1:24" x14ac:dyDescent="0.25">
      <c r="A2266">
        <v>2262</v>
      </c>
      <c r="B2266" t="s">
        <v>28</v>
      </c>
      <c r="C2266" t="s">
        <v>25</v>
      </c>
      <c r="D2266">
        <v>14</v>
      </c>
      <c r="E2266" t="s">
        <v>1672</v>
      </c>
      <c r="F2266" t="s">
        <v>115</v>
      </c>
      <c r="G2266">
        <v>4074</v>
      </c>
      <c r="H2266" t="s">
        <v>2309</v>
      </c>
      <c r="I2266" t="s">
        <v>2310</v>
      </c>
      <c r="J2266">
        <v>8</v>
      </c>
      <c r="K2266">
        <v>3</v>
      </c>
      <c r="L2266">
        <v>5.8217592592592592E-3</v>
      </c>
      <c r="M2266" t="s">
        <v>778</v>
      </c>
      <c r="N2266" t="s">
        <v>1337</v>
      </c>
      <c r="O2266" s="24">
        <v>46136</v>
      </c>
      <c r="P2266">
        <v>605</v>
      </c>
      <c r="Q2266" t="s">
        <v>34</v>
      </c>
      <c r="X2266" t="s">
        <v>3547</v>
      </c>
    </row>
    <row r="2267" spans="1:24" x14ac:dyDescent="0.25">
      <c r="A2267">
        <v>2263</v>
      </c>
      <c r="B2267" t="s">
        <v>28</v>
      </c>
      <c r="C2267" t="s">
        <v>25</v>
      </c>
      <c r="D2267">
        <v>14</v>
      </c>
      <c r="E2267" t="s">
        <v>1665</v>
      </c>
      <c r="F2267" t="s">
        <v>498</v>
      </c>
      <c r="G2267">
        <v>4074</v>
      </c>
      <c r="H2267" t="s">
        <v>2311</v>
      </c>
      <c r="I2267" t="s">
        <v>2300</v>
      </c>
      <c r="J2267">
        <v>8</v>
      </c>
      <c r="K2267">
        <v>3</v>
      </c>
      <c r="L2267">
        <v>5.9490740740740736E-3</v>
      </c>
      <c r="M2267" t="s">
        <v>778</v>
      </c>
      <c r="N2267" t="s">
        <v>1337</v>
      </c>
      <c r="O2267" s="24">
        <v>46136</v>
      </c>
      <c r="P2267">
        <v>605</v>
      </c>
      <c r="Q2267" t="s">
        <v>34</v>
      </c>
      <c r="X2267" t="s">
        <v>3547</v>
      </c>
    </row>
    <row r="2268" spans="1:24" x14ac:dyDescent="0.25">
      <c r="A2268">
        <v>2264</v>
      </c>
      <c r="B2268" t="s">
        <v>28</v>
      </c>
      <c r="C2268" t="s">
        <v>25</v>
      </c>
      <c r="D2268">
        <v>14</v>
      </c>
      <c r="E2268" t="s">
        <v>1665</v>
      </c>
      <c r="F2268" t="s">
        <v>115</v>
      </c>
      <c r="G2268">
        <v>4074</v>
      </c>
      <c r="H2268" t="s">
        <v>2356</v>
      </c>
      <c r="I2268" t="s">
        <v>2310</v>
      </c>
      <c r="J2268">
        <v>8</v>
      </c>
      <c r="K2268">
        <v>2</v>
      </c>
      <c r="L2268">
        <v>3.8194444444444443E-3</v>
      </c>
      <c r="M2268" t="s">
        <v>778</v>
      </c>
      <c r="N2268" t="s">
        <v>1337</v>
      </c>
      <c r="O2268" s="24">
        <v>46136</v>
      </c>
      <c r="P2268">
        <v>605</v>
      </c>
      <c r="Q2268" t="s">
        <v>34</v>
      </c>
      <c r="X2268" t="s">
        <v>3547</v>
      </c>
    </row>
    <row r="2269" spans="1:24" x14ac:dyDescent="0.25">
      <c r="A2269">
        <v>2265</v>
      </c>
      <c r="B2269" t="s">
        <v>28</v>
      </c>
      <c r="C2269" t="s">
        <v>25</v>
      </c>
      <c r="D2269">
        <v>14</v>
      </c>
      <c r="E2269" t="s">
        <v>530</v>
      </c>
      <c r="F2269" t="s">
        <v>512</v>
      </c>
      <c r="G2269">
        <v>4074</v>
      </c>
      <c r="H2269" t="s">
        <v>2357</v>
      </c>
      <c r="I2269" t="s">
        <v>2183</v>
      </c>
      <c r="J2269">
        <v>8</v>
      </c>
      <c r="K2269">
        <v>1</v>
      </c>
      <c r="L2269">
        <v>6.2615740740740739E-3</v>
      </c>
      <c r="M2269" t="s">
        <v>778</v>
      </c>
      <c r="N2269" t="s">
        <v>1337</v>
      </c>
      <c r="O2269" s="24">
        <v>46136</v>
      </c>
      <c r="P2269">
        <v>605</v>
      </c>
      <c r="Q2269" t="s">
        <v>34</v>
      </c>
      <c r="X2269" t="s">
        <v>3547</v>
      </c>
    </row>
    <row r="2270" spans="1:24" x14ac:dyDescent="0.25">
      <c r="A2270">
        <v>2266</v>
      </c>
      <c r="B2270" t="s">
        <v>28</v>
      </c>
      <c r="C2270" t="s">
        <v>25</v>
      </c>
      <c r="D2270">
        <v>14</v>
      </c>
      <c r="E2270" t="s">
        <v>530</v>
      </c>
      <c r="F2270" t="s">
        <v>512</v>
      </c>
      <c r="G2270">
        <v>4075</v>
      </c>
      <c r="H2270" t="s">
        <v>531</v>
      </c>
      <c r="I2270" t="s">
        <v>119</v>
      </c>
      <c r="J2270">
        <v>8</v>
      </c>
      <c r="K2270">
        <v>1</v>
      </c>
      <c r="L2270">
        <v>6.9212962962962961E-3</v>
      </c>
      <c r="M2270" t="s">
        <v>778</v>
      </c>
      <c r="N2270" t="s">
        <v>1504</v>
      </c>
      <c r="O2270" s="24">
        <v>46141</v>
      </c>
      <c r="P2270">
        <v>603</v>
      </c>
      <c r="Q2270" t="s">
        <v>34</v>
      </c>
      <c r="X2270" t="s">
        <v>3548</v>
      </c>
    </row>
    <row r="2271" spans="1:24" x14ac:dyDescent="0.25">
      <c r="A2271">
        <v>2267</v>
      </c>
      <c r="B2271" t="s">
        <v>28</v>
      </c>
      <c r="C2271" t="s">
        <v>25</v>
      </c>
      <c r="D2271">
        <v>14</v>
      </c>
      <c r="E2271" t="s">
        <v>530</v>
      </c>
      <c r="F2271" t="s">
        <v>512</v>
      </c>
      <c r="G2271">
        <v>4076</v>
      </c>
      <c r="H2271" t="s">
        <v>531</v>
      </c>
      <c r="I2271" t="s">
        <v>119</v>
      </c>
      <c r="J2271">
        <v>8</v>
      </c>
      <c r="K2271">
        <v>1</v>
      </c>
      <c r="L2271">
        <v>6.9212962962962961E-3</v>
      </c>
      <c r="M2271" t="s">
        <v>778</v>
      </c>
      <c r="N2271" t="s">
        <v>1504</v>
      </c>
      <c r="O2271" s="24">
        <v>46141</v>
      </c>
      <c r="P2271">
        <v>603</v>
      </c>
      <c r="Q2271" t="s">
        <v>34</v>
      </c>
      <c r="X2271" t="s">
        <v>3549</v>
      </c>
    </row>
    <row r="2272" spans="1:24" x14ac:dyDescent="0.25">
      <c r="A2272">
        <v>2268</v>
      </c>
      <c r="B2272" t="s">
        <v>28</v>
      </c>
      <c r="C2272" t="s">
        <v>25</v>
      </c>
      <c r="D2272">
        <v>14</v>
      </c>
      <c r="E2272" t="s">
        <v>530</v>
      </c>
      <c r="F2272" t="s">
        <v>512</v>
      </c>
      <c r="G2272">
        <v>4077</v>
      </c>
      <c r="H2272" t="s">
        <v>531</v>
      </c>
      <c r="I2272" t="s">
        <v>119</v>
      </c>
      <c r="J2272">
        <v>8</v>
      </c>
      <c r="K2272">
        <v>1</v>
      </c>
      <c r="L2272">
        <v>6.9212962962962961E-3</v>
      </c>
      <c r="M2272" t="s">
        <v>778</v>
      </c>
      <c r="N2272" t="s">
        <v>1504</v>
      </c>
      <c r="O2272" s="24">
        <v>46141</v>
      </c>
      <c r="P2272">
        <v>603</v>
      </c>
      <c r="Q2272" t="s">
        <v>34</v>
      </c>
      <c r="X2272" t="s">
        <v>3550</v>
      </c>
    </row>
    <row r="2273" spans="1:24" x14ac:dyDescent="0.25">
      <c r="A2273">
        <v>2269</v>
      </c>
      <c r="B2273" t="s">
        <v>28</v>
      </c>
      <c r="C2273" t="s">
        <v>25</v>
      </c>
      <c r="D2273">
        <v>14</v>
      </c>
      <c r="E2273" t="s">
        <v>530</v>
      </c>
      <c r="F2273" t="s">
        <v>512</v>
      </c>
      <c r="G2273">
        <v>4078</v>
      </c>
      <c r="H2273" t="s">
        <v>531</v>
      </c>
      <c r="I2273" t="s">
        <v>119</v>
      </c>
      <c r="J2273">
        <v>8</v>
      </c>
      <c r="K2273">
        <v>1</v>
      </c>
      <c r="L2273">
        <v>6.9212962962962961E-3</v>
      </c>
      <c r="M2273" t="s">
        <v>778</v>
      </c>
      <c r="N2273" t="s">
        <v>1504</v>
      </c>
      <c r="O2273" s="24">
        <v>46141</v>
      </c>
      <c r="P2273">
        <v>603</v>
      </c>
      <c r="Q2273" t="s">
        <v>34</v>
      </c>
      <c r="X2273" t="s">
        <v>3551</v>
      </c>
    </row>
    <row r="2274" spans="1:24" x14ac:dyDescent="0.25">
      <c r="A2274">
        <v>2270</v>
      </c>
      <c r="B2274" t="s">
        <v>28</v>
      </c>
      <c r="C2274" t="s">
        <v>25</v>
      </c>
      <c r="D2274">
        <v>14</v>
      </c>
      <c r="E2274" t="s">
        <v>530</v>
      </c>
      <c r="F2274" t="s">
        <v>512</v>
      </c>
      <c r="G2274">
        <v>4079</v>
      </c>
      <c r="H2274" t="s">
        <v>531</v>
      </c>
      <c r="I2274" t="s">
        <v>119</v>
      </c>
      <c r="J2274">
        <v>8</v>
      </c>
      <c r="K2274">
        <v>1</v>
      </c>
      <c r="L2274">
        <v>6.9212962962962961E-3</v>
      </c>
      <c r="M2274" t="s">
        <v>778</v>
      </c>
      <c r="N2274" t="s">
        <v>1504</v>
      </c>
      <c r="O2274" s="24">
        <v>46141</v>
      </c>
      <c r="P2274">
        <v>603</v>
      </c>
      <c r="Q2274" t="s">
        <v>34</v>
      </c>
      <c r="X2274" t="s">
        <v>3552</v>
      </c>
    </row>
    <row r="2275" spans="1:24" x14ac:dyDescent="0.25">
      <c r="A2275">
        <v>2271</v>
      </c>
      <c r="B2275" t="s">
        <v>28</v>
      </c>
      <c r="C2275" t="s">
        <v>25</v>
      </c>
      <c r="D2275">
        <v>14</v>
      </c>
      <c r="E2275" t="s">
        <v>530</v>
      </c>
      <c r="F2275" t="s">
        <v>512</v>
      </c>
      <c r="G2275">
        <v>4080</v>
      </c>
      <c r="H2275" t="s">
        <v>531</v>
      </c>
      <c r="I2275" t="s">
        <v>119</v>
      </c>
      <c r="J2275">
        <v>8</v>
      </c>
      <c r="K2275">
        <v>1</v>
      </c>
      <c r="L2275">
        <v>6.9212962962962961E-3</v>
      </c>
      <c r="M2275" t="s">
        <v>778</v>
      </c>
      <c r="N2275" t="s">
        <v>1504</v>
      </c>
      <c r="O2275" s="24">
        <v>46141</v>
      </c>
      <c r="P2275">
        <v>603</v>
      </c>
      <c r="Q2275" t="s">
        <v>34</v>
      </c>
      <c r="X2275" t="s">
        <v>3553</v>
      </c>
    </row>
    <row r="2276" spans="1:24" x14ac:dyDescent="0.25">
      <c r="A2276">
        <v>2272</v>
      </c>
      <c r="B2276" t="s">
        <v>28</v>
      </c>
      <c r="C2276" t="s">
        <v>25</v>
      </c>
      <c r="D2276">
        <v>14</v>
      </c>
      <c r="E2276" t="s">
        <v>530</v>
      </c>
      <c r="F2276" t="s">
        <v>44</v>
      </c>
      <c r="G2276">
        <v>4081</v>
      </c>
      <c r="H2276" t="s">
        <v>2364</v>
      </c>
      <c r="I2276" t="s">
        <v>2284</v>
      </c>
      <c r="J2276">
        <v>8</v>
      </c>
      <c r="K2276">
        <v>2</v>
      </c>
      <c r="L2276">
        <v>3.2291666666666666E-3</v>
      </c>
      <c r="M2276" t="s">
        <v>778</v>
      </c>
      <c r="N2276" t="s">
        <v>69</v>
      </c>
      <c r="O2276" s="24">
        <v>46139</v>
      </c>
      <c r="P2276">
        <v>603</v>
      </c>
      <c r="Q2276" t="s">
        <v>34</v>
      </c>
      <c r="X2276" t="s">
        <v>3554</v>
      </c>
    </row>
    <row r="2277" spans="1:24" x14ac:dyDescent="0.25">
      <c r="A2277">
        <v>2273</v>
      </c>
      <c r="B2277" t="s">
        <v>28</v>
      </c>
      <c r="C2277" t="s">
        <v>25</v>
      </c>
      <c r="D2277">
        <v>14</v>
      </c>
      <c r="E2277" t="s">
        <v>129</v>
      </c>
      <c r="F2277" t="s">
        <v>115</v>
      </c>
      <c r="G2277">
        <v>4081</v>
      </c>
      <c r="H2277" t="s">
        <v>2366</v>
      </c>
      <c r="I2277" t="s">
        <v>116</v>
      </c>
      <c r="J2277">
        <v>8</v>
      </c>
      <c r="K2277">
        <v>1</v>
      </c>
      <c r="L2277">
        <v>7.4074074074074068E-3</v>
      </c>
      <c r="M2277" t="s">
        <v>778</v>
      </c>
      <c r="N2277" t="s">
        <v>69</v>
      </c>
      <c r="O2277" s="24">
        <v>46139</v>
      </c>
      <c r="P2277">
        <v>603</v>
      </c>
      <c r="Q2277" t="s">
        <v>34</v>
      </c>
      <c r="X2277" t="s">
        <v>3554</v>
      </c>
    </row>
    <row r="2278" spans="1:24" x14ac:dyDescent="0.25">
      <c r="A2278">
        <v>2274</v>
      </c>
      <c r="B2278" t="s">
        <v>28</v>
      </c>
      <c r="C2278" t="s">
        <v>25</v>
      </c>
      <c r="D2278">
        <v>14</v>
      </c>
      <c r="E2278" t="s">
        <v>129</v>
      </c>
      <c r="F2278" t="s">
        <v>498</v>
      </c>
      <c r="G2278">
        <v>4084</v>
      </c>
      <c r="H2278" t="s">
        <v>539</v>
      </c>
      <c r="I2278" t="s">
        <v>500</v>
      </c>
      <c r="J2278">
        <v>8</v>
      </c>
      <c r="K2278">
        <v>1</v>
      </c>
      <c r="L2278">
        <v>6.875E-3</v>
      </c>
      <c r="M2278" t="s">
        <v>778</v>
      </c>
      <c r="N2278" t="s">
        <v>1525</v>
      </c>
      <c r="O2278" s="24">
        <v>46140</v>
      </c>
      <c r="P2278">
        <v>603</v>
      </c>
      <c r="Q2278" t="s">
        <v>34</v>
      </c>
      <c r="X2278" t="s">
        <v>3555</v>
      </c>
    </row>
    <row r="2279" spans="1:24" x14ac:dyDescent="0.25">
      <c r="A2279">
        <v>2275</v>
      </c>
      <c r="B2279" t="s">
        <v>28</v>
      </c>
      <c r="C2279" t="s">
        <v>25</v>
      </c>
      <c r="D2279">
        <v>14</v>
      </c>
      <c r="E2279" t="s">
        <v>147</v>
      </c>
      <c r="F2279" t="s">
        <v>512</v>
      </c>
      <c r="G2279">
        <v>4085</v>
      </c>
      <c r="H2279" t="s">
        <v>2352</v>
      </c>
      <c r="I2279" t="s">
        <v>2161</v>
      </c>
      <c r="J2279">
        <v>8</v>
      </c>
      <c r="K2279">
        <v>3</v>
      </c>
      <c r="L2279">
        <v>5.0925925925925921E-3</v>
      </c>
      <c r="M2279" t="s">
        <v>778</v>
      </c>
      <c r="N2279" t="s">
        <v>1337</v>
      </c>
      <c r="O2279" s="24">
        <v>46136</v>
      </c>
      <c r="P2279">
        <v>605</v>
      </c>
      <c r="Q2279" t="s">
        <v>34</v>
      </c>
      <c r="X2279" t="s">
        <v>3556</v>
      </c>
    </row>
    <row r="2280" spans="1:24" x14ac:dyDescent="0.25">
      <c r="A2280">
        <v>2276</v>
      </c>
      <c r="B2280" t="s">
        <v>28</v>
      </c>
      <c r="C2280" t="s">
        <v>25</v>
      </c>
      <c r="D2280">
        <v>14</v>
      </c>
      <c r="E2280" t="s">
        <v>133</v>
      </c>
      <c r="F2280" t="s">
        <v>115</v>
      </c>
      <c r="G2280">
        <v>4085</v>
      </c>
      <c r="H2280" t="s">
        <v>2369</v>
      </c>
      <c r="I2280" t="s">
        <v>2138</v>
      </c>
      <c r="J2280">
        <v>8</v>
      </c>
      <c r="K2280">
        <v>1</v>
      </c>
      <c r="L2280">
        <v>6.7013888888888887E-3</v>
      </c>
      <c r="M2280" t="s">
        <v>778</v>
      </c>
      <c r="N2280" t="s">
        <v>1337</v>
      </c>
      <c r="O2280" s="24">
        <v>46136</v>
      </c>
      <c r="P2280">
        <v>605</v>
      </c>
      <c r="Q2280" t="s">
        <v>34</v>
      </c>
      <c r="X2280" t="s">
        <v>3556</v>
      </c>
    </row>
    <row r="2281" spans="1:24" x14ac:dyDescent="0.25">
      <c r="A2281">
        <v>2277</v>
      </c>
      <c r="B2281" t="s">
        <v>28</v>
      </c>
      <c r="C2281" t="s">
        <v>25</v>
      </c>
      <c r="D2281">
        <v>14</v>
      </c>
      <c r="E2281" t="s">
        <v>129</v>
      </c>
      <c r="F2281" t="s">
        <v>512</v>
      </c>
      <c r="G2281">
        <v>4085</v>
      </c>
      <c r="H2281" t="s">
        <v>2370</v>
      </c>
      <c r="I2281" t="s">
        <v>2371</v>
      </c>
      <c r="J2281">
        <v>8</v>
      </c>
      <c r="K2281">
        <v>1</v>
      </c>
      <c r="L2281">
        <v>1.8634259259259259E-3</v>
      </c>
      <c r="M2281" t="s">
        <v>778</v>
      </c>
      <c r="N2281" t="s">
        <v>1337</v>
      </c>
      <c r="O2281" s="24">
        <v>46136</v>
      </c>
      <c r="P2281">
        <v>605</v>
      </c>
      <c r="Q2281" t="s">
        <v>34</v>
      </c>
      <c r="X2281" t="s">
        <v>3556</v>
      </c>
    </row>
    <row r="2282" spans="1:24" x14ac:dyDescent="0.25">
      <c r="A2282">
        <v>2278</v>
      </c>
      <c r="B2282" t="s">
        <v>28</v>
      </c>
      <c r="C2282" t="s">
        <v>25</v>
      </c>
      <c r="D2282">
        <v>14</v>
      </c>
      <c r="E2282" t="s">
        <v>1672</v>
      </c>
      <c r="F2282" t="s">
        <v>512</v>
      </c>
      <c r="G2282">
        <v>4087</v>
      </c>
      <c r="H2282" t="s">
        <v>2297</v>
      </c>
      <c r="I2282" t="s">
        <v>2226</v>
      </c>
      <c r="J2282">
        <v>8</v>
      </c>
      <c r="K2282">
        <v>3</v>
      </c>
      <c r="L2282">
        <v>5.6944444444444438E-3</v>
      </c>
      <c r="M2282" t="s">
        <v>778</v>
      </c>
      <c r="N2282" t="s">
        <v>1337</v>
      </c>
      <c r="O2282" s="24">
        <v>46136</v>
      </c>
      <c r="P2282">
        <v>605</v>
      </c>
      <c r="Q2282" t="s">
        <v>34</v>
      </c>
      <c r="X2282" t="s">
        <v>3557</v>
      </c>
    </row>
    <row r="2283" spans="1:24" x14ac:dyDescent="0.25">
      <c r="A2283">
        <v>2279</v>
      </c>
      <c r="B2283" t="s">
        <v>28</v>
      </c>
      <c r="C2283" t="s">
        <v>25</v>
      </c>
      <c r="D2283">
        <v>14</v>
      </c>
      <c r="E2283" t="s">
        <v>1672</v>
      </c>
      <c r="F2283" t="s">
        <v>498</v>
      </c>
      <c r="G2283">
        <v>4087</v>
      </c>
      <c r="H2283" t="s">
        <v>2055</v>
      </c>
      <c r="I2283" t="s">
        <v>2056</v>
      </c>
      <c r="J2283">
        <v>8</v>
      </c>
      <c r="K2283">
        <v>3</v>
      </c>
      <c r="L2283">
        <v>2.7199074074074074E-3</v>
      </c>
      <c r="M2283" t="s">
        <v>778</v>
      </c>
      <c r="N2283" t="s">
        <v>1337</v>
      </c>
      <c r="O2283" s="24">
        <v>46136</v>
      </c>
      <c r="P2283">
        <v>605</v>
      </c>
      <c r="Q2283" t="s">
        <v>34</v>
      </c>
      <c r="X2283" t="s">
        <v>3557</v>
      </c>
    </row>
    <row r="2284" spans="1:24" x14ac:dyDescent="0.25">
      <c r="A2284">
        <v>2280</v>
      </c>
      <c r="B2284" t="s">
        <v>28</v>
      </c>
      <c r="C2284" t="s">
        <v>25</v>
      </c>
      <c r="D2284">
        <v>14</v>
      </c>
      <c r="E2284" t="s">
        <v>367</v>
      </c>
      <c r="F2284" t="s">
        <v>367</v>
      </c>
      <c r="G2284">
        <v>4087</v>
      </c>
      <c r="H2284" t="s">
        <v>2373</v>
      </c>
      <c r="I2284" t="s">
        <v>2155</v>
      </c>
      <c r="J2284">
        <v>8</v>
      </c>
      <c r="K2284">
        <v>1</v>
      </c>
      <c r="L2284">
        <v>8.2175925925925927E-4</v>
      </c>
      <c r="M2284" t="s">
        <v>778</v>
      </c>
      <c r="N2284" t="s">
        <v>1337</v>
      </c>
      <c r="O2284" s="24">
        <v>46136</v>
      </c>
      <c r="P2284">
        <v>605</v>
      </c>
      <c r="Q2284" t="s">
        <v>34</v>
      </c>
      <c r="X2284" t="s">
        <v>3557</v>
      </c>
    </row>
    <row r="2285" spans="1:24" x14ac:dyDescent="0.25">
      <c r="A2285">
        <v>2281</v>
      </c>
      <c r="B2285" t="s">
        <v>28</v>
      </c>
      <c r="C2285" t="s">
        <v>25</v>
      </c>
      <c r="D2285">
        <v>14</v>
      </c>
      <c r="E2285" t="s">
        <v>1665</v>
      </c>
      <c r="F2285" t="s">
        <v>115</v>
      </c>
      <c r="G2285">
        <v>4087</v>
      </c>
      <c r="H2285" t="s">
        <v>2374</v>
      </c>
      <c r="I2285" t="s">
        <v>2267</v>
      </c>
      <c r="J2285">
        <v>8</v>
      </c>
      <c r="K2285">
        <v>1</v>
      </c>
      <c r="L2285">
        <v>5.9375000000000001E-3</v>
      </c>
      <c r="M2285" t="s">
        <v>778</v>
      </c>
      <c r="N2285" t="s">
        <v>1337</v>
      </c>
      <c r="O2285" s="24">
        <v>46136</v>
      </c>
      <c r="P2285">
        <v>605</v>
      </c>
      <c r="Q2285" t="s">
        <v>34</v>
      </c>
      <c r="X2285" t="s">
        <v>3557</v>
      </c>
    </row>
    <row r="2286" spans="1:24" x14ac:dyDescent="0.25">
      <c r="A2286">
        <v>2282</v>
      </c>
      <c r="B2286" t="s">
        <v>28</v>
      </c>
      <c r="C2286" t="s">
        <v>25</v>
      </c>
      <c r="D2286">
        <v>14</v>
      </c>
      <c r="E2286" t="s">
        <v>367</v>
      </c>
      <c r="F2286" t="s">
        <v>368</v>
      </c>
      <c r="G2286">
        <v>4089</v>
      </c>
      <c r="H2286" t="s">
        <v>2375</v>
      </c>
      <c r="I2286" t="s">
        <v>2376</v>
      </c>
      <c r="J2286">
        <v>8</v>
      </c>
      <c r="K2286">
        <v>1</v>
      </c>
      <c r="L2286">
        <v>1.8287037037037037E-3</v>
      </c>
      <c r="M2286" t="s">
        <v>778</v>
      </c>
      <c r="N2286" t="s">
        <v>1525</v>
      </c>
      <c r="O2286" s="24">
        <v>46140</v>
      </c>
      <c r="P2286">
        <v>603</v>
      </c>
      <c r="Q2286" t="s">
        <v>34</v>
      </c>
      <c r="X2286" t="s">
        <v>3558</v>
      </c>
    </row>
    <row r="2287" spans="1:24" x14ac:dyDescent="0.25">
      <c r="A2287">
        <v>2283</v>
      </c>
      <c r="B2287" t="s">
        <v>28</v>
      </c>
      <c r="C2287" t="s">
        <v>25</v>
      </c>
      <c r="D2287">
        <v>14</v>
      </c>
      <c r="E2287" t="s">
        <v>133</v>
      </c>
      <c r="F2287" t="s">
        <v>498</v>
      </c>
      <c r="G2287">
        <v>4089</v>
      </c>
      <c r="H2287" t="s">
        <v>784</v>
      </c>
      <c r="I2287" t="s">
        <v>560</v>
      </c>
      <c r="J2287">
        <v>8</v>
      </c>
      <c r="K2287">
        <v>1</v>
      </c>
      <c r="L2287">
        <v>6.7939814814814816E-3</v>
      </c>
      <c r="M2287" t="s">
        <v>778</v>
      </c>
      <c r="N2287" t="s">
        <v>1525</v>
      </c>
      <c r="O2287" s="24">
        <v>46140</v>
      </c>
      <c r="P2287">
        <v>603</v>
      </c>
      <c r="Q2287" t="s">
        <v>34</v>
      </c>
      <c r="X2287" t="s">
        <v>3558</v>
      </c>
    </row>
    <row r="2288" spans="1:24" x14ac:dyDescent="0.25">
      <c r="A2288">
        <v>2284</v>
      </c>
      <c r="B2288" t="s">
        <v>28</v>
      </c>
      <c r="C2288" t="s">
        <v>25</v>
      </c>
      <c r="D2288">
        <v>14</v>
      </c>
      <c r="E2288" t="s">
        <v>1672</v>
      </c>
      <c r="F2288" t="s">
        <v>115</v>
      </c>
      <c r="G2288">
        <v>4090</v>
      </c>
      <c r="H2288" t="s">
        <v>2087</v>
      </c>
      <c r="I2288" t="s">
        <v>2088</v>
      </c>
      <c r="J2288">
        <v>8</v>
      </c>
      <c r="K2288">
        <v>2</v>
      </c>
      <c r="L2288">
        <v>1.7939814814814815E-3</v>
      </c>
      <c r="M2288" t="s">
        <v>778</v>
      </c>
      <c r="N2288" t="s">
        <v>1337</v>
      </c>
      <c r="O2288" s="24">
        <v>46136</v>
      </c>
      <c r="P2288">
        <v>605</v>
      </c>
      <c r="Q2288" t="s">
        <v>34</v>
      </c>
      <c r="X2288" t="s">
        <v>3559</v>
      </c>
    </row>
    <row r="2289" spans="1:24" x14ac:dyDescent="0.25">
      <c r="A2289">
        <v>2285</v>
      </c>
      <c r="B2289" t="s">
        <v>28</v>
      </c>
      <c r="C2289" t="s">
        <v>25</v>
      </c>
      <c r="D2289">
        <v>14</v>
      </c>
      <c r="E2289" t="s">
        <v>129</v>
      </c>
      <c r="F2289" t="s">
        <v>512</v>
      </c>
      <c r="G2289">
        <v>4090</v>
      </c>
      <c r="H2289" t="s">
        <v>2379</v>
      </c>
      <c r="I2289" t="s">
        <v>2380</v>
      </c>
      <c r="J2289">
        <v>8</v>
      </c>
      <c r="K2289">
        <v>1</v>
      </c>
      <c r="L2289">
        <v>5.9490740740740736E-3</v>
      </c>
      <c r="M2289" t="s">
        <v>778</v>
      </c>
      <c r="N2289" t="s">
        <v>1337</v>
      </c>
      <c r="O2289" s="24">
        <v>46136</v>
      </c>
      <c r="P2289">
        <v>605</v>
      </c>
      <c r="Q2289" t="s">
        <v>34</v>
      </c>
      <c r="X2289" t="s">
        <v>3559</v>
      </c>
    </row>
    <row r="2290" spans="1:24" x14ac:dyDescent="0.25">
      <c r="A2290">
        <v>2286</v>
      </c>
      <c r="B2290" t="s">
        <v>28</v>
      </c>
      <c r="C2290" t="s">
        <v>25</v>
      </c>
      <c r="D2290">
        <v>14</v>
      </c>
      <c r="E2290" t="s">
        <v>530</v>
      </c>
      <c r="F2290" t="s">
        <v>44</v>
      </c>
      <c r="G2290">
        <v>4090</v>
      </c>
      <c r="H2290" t="s">
        <v>2381</v>
      </c>
      <c r="I2290" t="s">
        <v>2216</v>
      </c>
      <c r="J2290">
        <v>8</v>
      </c>
      <c r="K2290">
        <v>1</v>
      </c>
      <c r="L2290">
        <v>1.747685185185185E-3</v>
      </c>
      <c r="M2290" t="s">
        <v>778</v>
      </c>
      <c r="N2290" t="s">
        <v>1337</v>
      </c>
      <c r="O2290" s="24">
        <v>46136</v>
      </c>
      <c r="P2290">
        <v>605</v>
      </c>
      <c r="Q2290" t="s">
        <v>34</v>
      </c>
      <c r="X2290" t="s">
        <v>3559</v>
      </c>
    </row>
    <row r="2291" spans="1:24" x14ac:dyDescent="0.25">
      <c r="A2291">
        <v>2287</v>
      </c>
      <c r="B2291" t="s">
        <v>28</v>
      </c>
      <c r="C2291" t="s">
        <v>25</v>
      </c>
      <c r="D2291">
        <v>14</v>
      </c>
      <c r="E2291" t="s">
        <v>530</v>
      </c>
      <c r="F2291" t="s">
        <v>44</v>
      </c>
      <c r="G2291">
        <v>4090</v>
      </c>
      <c r="H2291" t="s">
        <v>2382</v>
      </c>
      <c r="I2291" t="s">
        <v>2216</v>
      </c>
      <c r="J2291">
        <v>8</v>
      </c>
      <c r="K2291">
        <v>1</v>
      </c>
      <c r="L2291">
        <v>1.747685185185185E-3</v>
      </c>
      <c r="M2291" t="s">
        <v>778</v>
      </c>
      <c r="N2291" t="s">
        <v>1337</v>
      </c>
      <c r="O2291" s="24">
        <v>46136</v>
      </c>
      <c r="P2291">
        <v>605</v>
      </c>
      <c r="Q2291" t="s">
        <v>34</v>
      </c>
      <c r="X2291" t="s">
        <v>3559</v>
      </c>
    </row>
    <row r="2292" spans="1:24" x14ac:dyDescent="0.25">
      <c r="A2292">
        <v>2288</v>
      </c>
      <c r="B2292" t="s">
        <v>28</v>
      </c>
      <c r="C2292" t="s">
        <v>25</v>
      </c>
      <c r="D2292">
        <v>14</v>
      </c>
      <c r="E2292" t="s">
        <v>530</v>
      </c>
      <c r="F2292" t="s">
        <v>44</v>
      </c>
      <c r="G2292">
        <v>4090</v>
      </c>
      <c r="H2292" t="s">
        <v>2383</v>
      </c>
      <c r="I2292" t="s">
        <v>2384</v>
      </c>
      <c r="J2292">
        <v>8</v>
      </c>
      <c r="K2292">
        <v>2</v>
      </c>
      <c r="L2292">
        <v>3.2638888888888887E-3</v>
      </c>
      <c r="M2292" t="s">
        <v>778</v>
      </c>
      <c r="N2292" t="s">
        <v>1337</v>
      </c>
      <c r="O2292" s="24">
        <v>46136</v>
      </c>
      <c r="P2292">
        <v>605</v>
      </c>
      <c r="Q2292" t="s">
        <v>34</v>
      </c>
      <c r="X2292" t="s">
        <v>3559</v>
      </c>
    </row>
    <row r="2293" spans="1:24" x14ac:dyDescent="0.25">
      <c r="A2293">
        <v>2289</v>
      </c>
      <c r="B2293" t="s">
        <v>28</v>
      </c>
      <c r="C2293" t="s">
        <v>25</v>
      </c>
      <c r="D2293">
        <v>14</v>
      </c>
      <c r="E2293" t="s">
        <v>131</v>
      </c>
      <c r="F2293" t="s">
        <v>498</v>
      </c>
      <c r="G2293">
        <v>4092</v>
      </c>
      <c r="H2293" t="s">
        <v>541</v>
      </c>
      <c r="I2293" t="s">
        <v>505</v>
      </c>
      <c r="J2293">
        <v>8</v>
      </c>
      <c r="K2293">
        <v>1</v>
      </c>
      <c r="L2293">
        <v>6.8402777777777776E-3</v>
      </c>
      <c r="M2293" t="s">
        <v>778</v>
      </c>
      <c r="N2293" t="s">
        <v>1525</v>
      </c>
      <c r="O2293" s="24">
        <v>46140</v>
      </c>
      <c r="P2293">
        <v>603</v>
      </c>
      <c r="Q2293" t="s">
        <v>34</v>
      </c>
      <c r="X2293" t="s">
        <v>3560</v>
      </c>
    </row>
    <row r="2294" spans="1:24" x14ac:dyDescent="0.25">
      <c r="A2294">
        <v>2290</v>
      </c>
      <c r="B2294" t="s">
        <v>28</v>
      </c>
      <c r="C2294" t="s">
        <v>25</v>
      </c>
      <c r="D2294">
        <v>14</v>
      </c>
      <c r="E2294" t="s">
        <v>1672</v>
      </c>
      <c r="F2294" t="s">
        <v>115</v>
      </c>
      <c r="G2294">
        <v>4094</v>
      </c>
      <c r="H2294" t="s">
        <v>2087</v>
      </c>
      <c r="I2294" t="s">
        <v>2088</v>
      </c>
      <c r="J2294">
        <v>8</v>
      </c>
      <c r="K2294">
        <v>2</v>
      </c>
      <c r="L2294">
        <v>1.8055555555555555E-3</v>
      </c>
      <c r="M2294" t="s">
        <v>778</v>
      </c>
      <c r="N2294" t="s">
        <v>1337</v>
      </c>
      <c r="O2294" s="24">
        <v>46136</v>
      </c>
      <c r="P2294">
        <v>605</v>
      </c>
      <c r="Q2294" t="s">
        <v>34</v>
      </c>
      <c r="X2294" t="s">
        <v>3561</v>
      </c>
    </row>
    <row r="2295" spans="1:24" x14ac:dyDescent="0.25">
      <c r="A2295">
        <v>2291</v>
      </c>
      <c r="B2295" t="s">
        <v>28</v>
      </c>
      <c r="C2295" t="s">
        <v>25</v>
      </c>
      <c r="D2295">
        <v>14</v>
      </c>
      <c r="E2295" t="s">
        <v>1672</v>
      </c>
      <c r="F2295" t="s">
        <v>498</v>
      </c>
      <c r="G2295">
        <v>4094</v>
      </c>
      <c r="H2295" t="s">
        <v>2299</v>
      </c>
      <c r="I2295" t="s">
        <v>2300</v>
      </c>
      <c r="J2295">
        <v>8</v>
      </c>
      <c r="K2295">
        <v>3</v>
      </c>
      <c r="L2295">
        <v>6.0300925925925921E-3</v>
      </c>
      <c r="M2295" t="s">
        <v>778</v>
      </c>
      <c r="N2295" t="s">
        <v>1337</v>
      </c>
      <c r="O2295" s="24">
        <v>46136</v>
      </c>
      <c r="P2295">
        <v>605</v>
      </c>
      <c r="Q2295" t="s">
        <v>34</v>
      </c>
      <c r="X2295" t="s">
        <v>3561</v>
      </c>
    </row>
    <row r="2296" spans="1:24" x14ac:dyDescent="0.25">
      <c r="A2296">
        <v>2292</v>
      </c>
      <c r="B2296" t="s">
        <v>28</v>
      </c>
      <c r="C2296" t="s">
        <v>25</v>
      </c>
      <c r="D2296">
        <v>14</v>
      </c>
      <c r="E2296" t="s">
        <v>131</v>
      </c>
      <c r="F2296" t="s">
        <v>115</v>
      </c>
      <c r="G2296">
        <v>4094</v>
      </c>
      <c r="H2296" t="s">
        <v>2387</v>
      </c>
      <c r="I2296" t="s">
        <v>2138</v>
      </c>
      <c r="J2296">
        <v>8</v>
      </c>
      <c r="K2296">
        <v>1</v>
      </c>
      <c r="L2296">
        <v>6.2384259259259259E-3</v>
      </c>
      <c r="M2296" t="s">
        <v>778</v>
      </c>
      <c r="N2296" t="s">
        <v>1337</v>
      </c>
      <c r="O2296" s="24">
        <v>46136</v>
      </c>
      <c r="P2296">
        <v>605</v>
      </c>
      <c r="Q2296" t="s">
        <v>34</v>
      </c>
      <c r="X2296" t="s">
        <v>3561</v>
      </c>
    </row>
    <row r="2297" spans="1:24" x14ac:dyDescent="0.25">
      <c r="A2297">
        <v>2293</v>
      </c>
      <c r="B2297" t="s">
        <v>28</v>
      </c>
      <c r="C2297" t="s">
        <v>25</v>
      </c>
      <c r="D2297">
        <v>14</v>
      </c>
      <c r="E2297" t="s">
        <v>1672</v>
      </c>
      <c r="F2297" t="s">
        <v>512</v>
      </c>
      <c r="G2297">
        <v>4095</v>
      </c>
      <c r="H2297" t="s">
        <v>2297</v>
      </c>
      <c r="I2297" t="s">
        <v>2226</v>
      </c>
      <c r="J2297">
        <v>8</v>
      </c>
      <c r="K2297">
        <v>2</v>
      </c>
      <c r="L2297">
        <v>3.3333333333333331E-3</v>
      </c>
      <c r="M2297" t="s">
        <v>778</v>
      </c>
      <c r="N2297" t="s">
        <v>1337</v>
      </c>
      <c r="O2297" s="24">
        <v>46136</v>
      </c>
      <c r="P2297">
        <v>605</v>
      </c>
      <c r="Q2297" t="s">
        <v>34</v>
      </c>
      <c r="X2297" t="s">
        <v>3562</v>
      </c>
    </row>
    <row r="2298" spans="1:24" x14ac:dyDescent="0.25">
      <c r="A2298">
        <v>2294</v>
      </c>
      <c r="B2298" t="s">
        <v>28</v>
      </c>
      <c r="C2298" t="s">
        <v>25</v>
      </c>
      <c r="D2298">
        <v>14</v>
      </c>
      <c r="E2298" t="s">
        <v>1672</v>
      </c>
      <c r="F2298" t="s">
        <v>115</v>
      </c>
      <c r="G2298">
        <v>4095</v>
      </c>
      <c r="H2298" t="s">
        <v>2087</v>
      </c>
      <c r="I2298" t="s">
        <v>2088</v>
      </c>
      <c r="J2298">
        <v>8</v>
      </c>
      <c r="K2298">
        <v>1</v>
      </c>
      <c r="L2298">
        <v>7.7546296296296293E-4</v>
      </c>
      <c r="M2298" t="s">
        <v>778</v>
      </c>
      <c r="N2298" t="s">
        <v>1337</v>
      </c>
      <c r="O2298" s="24">
        <v>46136</v>
      </c>
      <c r="P2298">
        <v>605</v>
      </c>
      <c r="Q2298" t="s">
        <v>34</v>
      </c>
      <c r="X2298" t="s">
        <v>3562</v>
      </c>
    </row>
    <row r="2299" spans="1:24" x14ac:dyDescent="0.25">
      <c r="A2299">
        <v>2295</v>
      </c>
      <c r="B2299" t="s">
        <v>28</v>
      </c>
      <c r="C2299" t="s">
        <v>25</v>
      </c>
      <c r="D2299">
        <v>14</v>
      </c>
      <c r="E2299" t="s">
        <v>147</v>
      </c>
      <c r="F2299" t="s">
        <v>512</v>
      </c>
      <c r="G2299">
        <v>4095</v>
      </c>
      <c r="H2299" t="s">
        <v>2352</v>
      </c>
      <c r="I2299" t="s">
        <v>2161</v>
      </c>
      <c r="J2299">
        <v>8</v>
      </c>
      <c r="K2299">
        <v>4</v>
      </c>
      <c r="L2299">
        <v>6.2847222222222219E-3</v>
      </c>
      <c r="M2299" t="s">
        <v>778</v>
      </c>
      <c r="N2299" t="s">
        <v>1337</v>
      </c>
      <c r="O2299" s="24">
        <v>46136</v>
      </c>
      <c r="P2299">
        <v>605</v>
      </c>
      <c r="Q2299" t="s">
        <v>34</v>
      </c>
      <c r="X2299" t="s">
        <v>3562</v>
      </c>
    </row>
    <row r="2300" spans="1:24" x14ac:dyDescent="0.25">
      <c r="A2300">
        <v>2296</v>
      </c>
      <c r="B2300" t="s">
        <v>28</v>
      </c>
      <c r="C2300" t="s">
        <v>25</v>
      </c>
      <c r="D2300">
        <v>14</v>
      </c>
      <c r="E2300" t="s">
        <v>1665</v>
      </c>
      <c r="F2300" t="s">
        <v>512</v>
      </c>
      <c r="G2300">
        <v>4095</v>
      </c>
      <c r="H2300" t="s">
        <v>2228</v>
      </c>
      <c r="I2300" t="s">
        <v>2153</v>
      </c>
      <c r="J2300">
        <v>8</v>
      </c>
      <c r="K2300">
        <v>2</v>
      </c>
      <c r="L2300">
        <v>2.9745370370370368E-3</v>
      </c>
      <c r="M2300" t="s">
        <v>778</v>
      </c>
      <c r="N2300" t="s">
        <v>1337</v>
      </c>
      <c r="O2300" s="24">
        <v>46136</v>
      </c>
      <c r="P2300">
        <v>605</v>
      </c>
      <c r="Q2300" t="s">
        <v>34</v>
      </c>
      <c r="X2300" t="s">
        <v>3562</v>
      </c>
    </row>
    <row r="2301" spans="1:24" x14ac:dyDescent="0.25">
      <c r="A2301">
        <v>2297</v>
      </c>
      <c r="B2301" t="s">
        <v>28</v>
      </c>
      <c r="C2301" t="s">
        <v>25</v>
      </c>
      <c r="D2301">
        <v>14</v>
      </c>
      <c r="E2301" t="s">
        <v>65</v>
      </c>
      <c r="F2301" t="s">
        <v>65</v>
      </c>
      <c r="G2301">
        <v>4095</v>
      </c>
      <c r="H2301" t="s">
        <v>2083</v>
      </c>
      <c r="I2301" t="s">
        <v>2084</v>
      </c>
      <c r="J2301">
        <v>8</v>
      </c>
      <c r="K2301">
        <v>11</v>
      </c>
      <c r="L2301">
        <v>5.0000000000000001E-3</v>
      </c>
      <c r="M2301" t="s">
        <v>778</v>
      </c>
      <c r="N2301" t="s">
        <v>1337</v>
      </c>
      <c r="O2301" s="24">
        <v>46136</v>
      </c>
      <c r="P2301">
        <v>605</v>
      </c>
      <c r="Q2301" t="s">
        <v>34</v>
      </c>
      <c r="X2301" t="s">
        <v>3562</v>
      </c>
    </row>
    <row r="2302" spans="1:24" x14ac:dyDescent="0.25">
      <c r="A2302">
        <v>2298</v>
      </c>
      <c r="B2302" t="s">
        <v>28</v>
      </c>
      <c r="C2302" t="s">
        <v>25</v>
      </c>
      <c r="D2302">
        <v>14</v>
      </c>
      <c r="E2302" t="s">
        <v>65</v>
      </c>
      <c r="F2302" t="s">
        <v>368</v>
      </c>
      <c r="G2302">
        <v>4095</v>
      </c>
      <c r="H2302" t="s">
        <v>2389</v>
      </c>
      <c r="I2302" t="s">
        <v>2165</v>
      </c>
      <c r="J2302">
        <v>8</v>
      </c>
      <c r="K2302">
        <v>1</v>
      </c>
      <c r="L2302">
        <v>1.1111111111111111E-3</v>
      </c>
      <c r="M2302" t="s">
        <v>778</v>
      </c>
      <c r="N2302" t="s">
        <v>1337</v>
      </c>
      <c r="O2302" s="24">
        <v>46136</v>
      </c>
      <c r="P2302">
        <v>605</v>
      </c>
      <c r="Q2302" t="s">
        <v>34</v>
      </c>
      <c r="X2302" t="s">
        <v>3562</v>
      </c>
    </row>
    <row r="2303" spans="1:24" x14ac:dyDescent="0.25">
      <c r="A2303">
        <v>2299</v>
      </c>
      <c r="B2303" t="s">
        <v>28</v>
      </c>
      <c r="C2303" t="s">
        <v>25</v>
      </c>
      <c r="D2303">
        <v>14</v>
      </c>
      <c r="E2303" t="s">
        <v>65</v>
      </c>
      <c r="F2303" t="s">
        <v>1590</v>
      </c>
      <c r="G2303">
        <v>4095</v>
      </c>
      <c r="H2303" t="s">
        <v>2390</v>
      </c>
      <c r="I2303" t="s">
        <v>2391</v>
      </c>
      <c r="J2303">
        <v>8</v>
      </c>
      <c r="K2303">
        <v>1</v>
      </c>
      <c r="L2303">
        <v>6.8287037037037036E-4</v>
      </c>
      <c r="M2303" t="s">
        <v>778</v>
      </c>
      <c r="N2303" t="s">
        <v>1337</v>
      </c>
      <c r="O2303" s="24">
        <v>46136</v>
      </c>
      <c r="P2303">
        <v>605</v>
      </c>
      <c r="Q2303" t="s">
        <v>34</v>
      </c>
      <c r="X2303" t="s">
        <v>3562</v>
      </c>
    </row>
    <row r="2304" spans="1:24" x14ac:dyDescent="0.25">
      <c r="A2304">
        <v>2300</v>
      </c>
      <c r="B2304" t="s">
        <v>28</v>
      </c>
      <c r="C2304" t="s">
        <v>25</v>
      </c>
      <c r="D2304">
        <v>14</v>
      </c>
      <c r="E2304" t="s">
        <v>65</v>
      </c>
      <c r="F2304" t="s">
        <v>1590</v>
      </c>
      <c r="G2304">
        <v>4095</v>
      </c>
      <c r="H2304" t="s">
        <v>2392</v>
      </c>
      <c r="I2304" t="s">
        <v>2391</v>
      </c>
      <c r="J2304">
        <v>8</v>
      </c>
      <c r="K2304">
        <v>1</v>
      </c>
      <c r="L2304">
        <v>6.9444444444444436E-4</v>
      </c>
      <c r="M2304" t="s">
        <v>778</v>
      </c>
      <c r="N2304" t="s">
        <v>1337</v>
      </c>
      <c r="O2304" s="24">
        <v>46136</v>
      </c>
      <c r="P2304">
        <v>605</v>
      </c>
      <c r="Q2304" t="s">
        <v>34</v>
      </c>
      <c r="X2304" t="s">
        <v>3562</v>
      </c>
    </row>
    <row r="2305" spans="1:24" x14ac:dyDescent="0.25">
      <c r="A2305">
        <v>2301</v>
      </c>
      <c r="B2305" t="s">
        <v>28</v>
      </c>
      <c r="C2305" t="s">
        <v>25</v>
      </c>
      <c r="D2305">
        <v>14</v>
      </c>
      <c r="E2305" t="s">
        <v>131</v>
      </c>
      <c r="F2305" t="s">
        <v>512</v>
      </c>
      <c r="G2305">
        <v>4095</v>
      </c>
      <c r="H2305" t="s">
        <v>2393</v>
      </c>
      <c r="I2305" t="s">
        <v>2321</v>
      </c>
      <c r="J2305">
        <v>8</v>
      </c>
      <c r="K2305">
        <v>1</v>
      </c>
      <c r="L2305">
        <v>1.4814814814814814E-3</v>
      </c>
      <c r="M2305" t="s">
        <v>778</v>
      </c>
      <c r="N2305" t="s">
        <v>1337</v>
      </c>
      <c r="O2305" s="24">
        <v>46136</v>
      </c>
      <c r="P2305">
        <v>605</v>
      </c>
      <c r="Q2305" t="s">
        <v>34</v>
      </c>
      <c r="X2305" t="s">
        <v>3562</v>
      </c>
    </row>
    <row r="2306" spans="1:24" x14ac:dyDescent="0.25">
      <c r="A2306">
        <v>2302</v>
      </c>
      <c r="B2306" t="s">
        <v>28</v>
      </c>
      <c r="C2306" t="s">
        <v>25</v>
      </c>
      <c r="D2306">
        <v>14</v>
      </c>
      <c r="E2306" t="s">
        <v>114</v>
      </c>
      <c r="F2306" t="s">
        <v>512</v>
      </c>
      <c r="G2306">
        <v>4095</v>
      </c>
      <c r="H2306" t="s">
        <v>2394</v>
      </c>
      <c r="I2306" t="s">
        <v>2161</v>
      </c>
      <c r="J2306">
        <v>8</v>
      </c>
      <c r="K2306">
        <v>5</v>
      </c>
      <c r="L2306">
        <v>7.858796296296296E-3</v>
      </c>
      <c r="M2306" t="s">
        <v>778</v>
      </c>
      <c r="N2306" t="s">
        <v>1337</v>
      </c>
      <c r="O2306" s="24">
        <v>46136</v>
      </c>
      <c r="P2306">
        <v>605</v>
      </c>
      <c r="Q2306" t="s">
        <v>34</v>
      </c>
      <c r="X2306" t="s">
        <v>3562</v>
      </c>
    </row>
    <row r="2307" spans="1:24" x14ac:dyDescent="0.25">
      <c r="A2307">
        <v>2303</v>
      </c>
      <c r="B2307" t="s">
        <v>28</v>
      </c>
      <c r="C2307" t="s">
        <v>25</v>
      </c>
      <c r="D2307">
        <v>14</v>
      </c>
      <c r="E2307" t="s">
        <v>2395</v>
      </c>
      <c r="F2307" t="s">
        <v>44</v>
      </c>
      <c r="G2307">
        <v>4095</v>
      </c>
      <c r="H2307" t="s">
        <v>48</v>
      </c>
      <c r="I2307" t="s">
        <v>1119</v>
      </c>
      <c r="J2307">
        <v>8</v>
      </c>
      <c r="K2307">
        <v>1</v>
      </c>
      <c r="L2307">
        <v>1.3078703703703703E-3</v>
      </c>
      <c r="M2307" t="s">
        <v>778</v>
      </c>
      <c r="N2307" t="s">
        <v>1337</v>
      </c>
      <c r="O2307" s="24">
        <v>46136</v>
      </c>
      <c r="P2307">
        <v>605</v>
      </c>
      <c r="Q2307" t="s">
        <v>34</v>
      </c>
      <c r="X2307" t="s">
        <v>3562</v>
      </c>
    </row>
    <row r="2308" spans="1:24" x14ac:dyDescent="0.25">
      <c r="A2308">
        <v>2304</v>
      </c>
      <c r="B2308" t="s">
        <v>28</v>
      </c>
      <c r="C2308" t="s">
        <v>25</v>
      </c>
      <c r="D2308">
        <v>14</v>
      </c>
      <c r="E2308" t="s">
        <v>150</v>
      </c>
      <c r="F2308" t="s">
        <v>115</v>
      </c>
      <c r="G2308">
        <v>4096</v>
      </c>
      <c r="H2308" t="s">
        <v>87</v>
      </c>
      <c r="I2308" t="s">
        <v>116</v>
      </c>
      <c r="J2308">
        <v>8</v>
      </c>
      <c r="K2308">
        <v>1</v>
      </c>
      <c r="L2308">
        <v>7.7546296296296295E-3</v>
      </c>
      <c r="M2308" t="s">
        <v>778</v>
      </c>
      <c r="N2308" t="s">
        <v>69</v>
      </c>
      <c r="O2308" s="24">
        <v>46139</v>
      </c>
      <c r="P2308">
        <v>603</v>
      </c>
      <c r="Q2308" t="s">
        <v>34</v>
      </c>
      <c r="X2308" t="s">
        <v>3563</v>
      </c>
    </row>
    <row r="2309" spans="1:24" x14ac:dyDescent="0.25">
      <c r="A2309">
        <v>2305</v>
      </c>
      <c r="B2309" t="s">
        <v>28</v>
      </c>
      <c r="C2309" t="s">
        <v>25</v>
      </c>
      <c r="D2309">
        <v>14</v>
      </c>
      <c r="E2309" t="s">
        <v>2397</v>
      </c>
      <c r="F2309" t="s">
        <v>44</v>
      </c>
      <c r="G2309">
        <v>4098</v>
      </c>
      <c r="H2309" t="s">
        <v>48</v>
      </c>
      <c r="I2309" t="s">
        <v>1119</v>
      </c>
      <c r="J2309">
        <v>8</v>
      </c>
      <c r="K2309">
        <v>10</v>
      </c>
      <c r="L2309">
        <v>1.3229166666666667E-2</v>
      </c>
      <c r="M2309" t="s">
        <v>3079</v>
      </c>
      <c r="X2309" t="s">
        <v>3564</v>
      </c>
    </row>
    <row r="2310" spans="1:24" x14ac:dyDescent="0.25">
      <c r="A2310">
        <v>2306</v>
      </c>
      <c r="B2310" t="s">
        <v>28</v>
      </c>
      <c r="C2310" t="s">
        <v>25</v>
      </c>
      <c r="D2310">
        <v>14</v>
      </c>
      <c r="E2310" t="s">
        <v>2399</v>
      </c>
      <c r="F2310" t="s">
        <v>44</v>
      </c>
      <c r="G2310">
        <v>4098</v>
      </c>
      <c r="H2310" t="s">
        <v>45</v>
      </c>
      <c r="I2310" t="s">
        <v>1119</v>
      </c>
      <c r="J2310">
        <v>8</v>
      </c>
      <c r="K2310">
        <v>13</v>
      </c>
      <c r="L2310">
        <v>1.6736111111111111E-2</v>
      </c>
      <c r="M2310" t="s">
        <v>3079</v>
      </c>
      <c r="X2310" t="s">
        <v>3564</v>
      </c>
    </row>
    <row r="2311" spans="1:24" x14ac:dyDescent="0.25">
      <c r="A2311">
        <v>2307</v>
      </c>
      <c r="B2311" t="s">
        <v>28</v>
      </c>
      <c r="C2311" t="s">
        <v>25</v>
      </c>
      <c r="D2311">
        <v>14</v>
      </c>
      <c r="E2311" t="s">
        <v>46</v>
      </c>
      <c r="F2311" t="s">
        <v>44</v>
      </c>
      <c r="G2311">
        <v>4099</v>
      </c>
      <c r="H2311" t="s">
        <v>45</v>
      </c>
      <c r="I2311" t="s">
        <v>1119</v>
      </c>
      <c r="J2311">
        <v>8</v>
      </c>
      <c r="K2311">
        <v>23</v>
      </c>
      <c r="L2311">
        <v>2.8969907407407406E-2</v>
      </c>
      <c r="M2311" t="s">
        <v>3079</v>
      </c>
      <c r="X2311" t="s">
        <v>3565</v>
      </c>
    </row>
    <row r="2312" spans="1:24" x14ac:dyDescent="0.25">
      <c r="A2312">
        <v>2308</v>
      </c>
      <c r="B2312" t="s">
        <v>28</v>
      </c>
      <c r="C2312" t="s">
        <v>25</v>
      </c>
      <c r="D2312">
        <v>14</v>
      </c>
      <c r="E2312" t="s">
        <v>49</v>
      </c>
      <c r="F2312" t="s">
        <v>44</v>
      </c>
      <c r="G2312">
        <v>4101</v>
      </c>
      <c r="H2312" t="s">
        <v>48</v>
      </c>
      <c r="I2312" t="s">
        <v>1119</v>
      </c>
      <c r="J2312">
        <v>8</v>
      </c>
      <c r="K2312">
        <v>23</v>
      </c>
      <c r="L2312">
        <v>2.8287037037037034E-2</v>
      </c>
      <c r="M2312" t="s">
        <v>3079</v>
      </c>
      <c r="X2312" t="s">
        <v>3566</v>
      </c>
    </row>
    <row r="2313" spans="1:24" x14ac:dyDescent="0.25">
      <c r="A2313">
        <v>2309</v>
      </c>
      <c r="B2313" t="s">
        <v>28</v>
      </c>
      <c r="C2313" t="s">
        <v>25</v>
      </c>
      <c r="D2313">
        <v>14</v>
      </c>
      <c r="E2313" t="s">
        <v>49</v>
      </c>
      <c r="F2313" t="s">
        <v>44</v>
      </c>
      <c r="G2313">
        <v>4102</v>
      </c>
      <c r="H2313" t="s">
        <v>48</v>
      </c>
      <c r="I2313" t="s">
        <v>1119</v>
      </c>
      <c r="J2313">
        <v>8</v>
      </c>
      <c r="K2313">
        <v>23</v>
      </c>
      <c r="L2313">
        <v>2.8287037037037034E-2</v>
      </c>
      <c r="M2313" t="s">
        <v>3079</v>
      </c>
      <c r="X2313" t="s">
        <v>3567</v>
      </c>
    </row>
    <row r="2314" spans="1:24" x14ac:dyDescent="0.25">
      <c r="A2314">
        <v>2310</v>
      </c>
      <c r="B2314" t="s">
        <v>28</v>
      </c>
      <c r="C2314" t="s">
        <v>25</v>
      </c>
      <c r="D2314">
        <v>14</v>
      </c>
      <c r="E2314" t="s">
        <v>49</v>
      </c>
      <c r="F2314" t="s">
        <v>44</v>
      </c>
      <c r="G2314">
        <v>4118</v>
      </c>
      <c r="H2314" t="s">
        <v>48</v>
      </c>
      <c r="I2314" t="s">
        <v>1119</v>
      </c>
      <c r="J2314">
        <v>8</v>
      </c>
      <c r="K2314">
        <v>23</v>
      </c>
      <c r="L2314">
        <v>2.8287037037037034E-2</v>
      </c>
      <c r="M2314" t="s">
        <v>3079</v>
      </c>
      <c r="X2314" t="s">
        <v>3568</v>
      </c>
    </row>
    <row r="2315" spans="1:24" x14ac:dyDescent="0.25">
      <c r="A2315">
        <v>2311</v>
      </c>
      <c r="B2315" t="s">
        <v>28</v>
      </c>
      <c r="C2315" t="s">
        <v>25</v>
      </c>
      <c r="D2315">
        <v>14</v>
      </c>
      <c r="E2315" t="s">
        <v>65</v>
      </c>
      <c r="F2315" t="s">
        <v>65</v>
      </c>
      <c r="G2315">
        <v>4246</v>
      </c>
      <c r="H2315" t="s">
        <v>2083</v>
      </c>
      <c r="I2315" t="s">
        <v>2084</v>
      </c>
      <c r="J2315">
        <v>8</v>
      </c>
      <c r="K2315">
        <v>1</v>
      </c>
      <c r="L2315">
        <v>4.5138888888888887E-4</v>
      </c>
      <c r="M2315" t="s">
        <v>778</v>
      </c>
      <c r="N2315" t="s">
        <v>1525</v>
      </c>
      <c r="O2315" s="24">
        <v>46140</v>
      </c>
      <c r="P2315">
        <v>603</v>
      </c>
      <c r="Q2315" t="s">
        <v>34</v>
      </c>
      <c r="X2315" t="s">
        <v>3569</v>
      </c>
    </row>
    <row r="2316" spans="1:24" x14ac:dyDescent="0.25">
      <c r="A2316">
        <v>2312</v>
      </c>
      <c r="B2316" t="s">
        <v>28</v>
      </c>
      <c r="C2316" t="s">
        <v>25</v>
      </c>
      <c r="D2316">
        <v>14</v>
      </c>
      <c r="E2316" t="s">
        <v>65</v>
      </c>
      <c r="F2316" t="s">
        <v>368</v>
      </c>
      <c r="G2316">
        <v>4246</v>
      </c>
      <c r="H2316" t="s">
        <v>2405</v>
      </c>
      <c r="I2316" t="s">
        <v>2406</v>
      </c>
      <c r="J2316">
        <v>8</v>
      </c>
      <c r="K2316">
        <v>1</v>
      </c>
      <c r="L2316">
        <v>5.2083333333333333E-4</v>
      </c>
      <c r="M2316" t="s">
        <v>778</v>
      </c>
      <c r="N2316" t="s">
        <v>1525</v>
      </c>
      <c r="O2316" s="24">
        <v>46140</v>
      </c>
      <c r="P2316">
        <v>603</v>
      </c>
      <c r="Q2316" t="s">
        <v>34</v>
      </c>
      <c r="X2316" t="s">
        <v>3569</v>
      </c>
    </row>
    <row r="2317" spans="1:24" x14ac:dyDescent="0.25">
      <c r="A2317">
        <v>2313</v>
      </c>
      <c r="B2317" t="s">
        <v>28</v>
      </c>
      <c r="C2317" t="s">
        <v>25</v>
      </c>
      <c r="D2317">
        <v>14</v>
      </c>
      <c r="E2317" t="s">
        <v>65</v>
      </c>
      <c r="F2317" t="s">
        <v>368</v>
      </c>
      <c r="G2317">
        <v>4246</v>
      </c>
      <c r="H2317" t="s">
        <v>2407</v>
      </c>
      <c r="I2317" t="s">
        <v>2408</v>
      </c>
      <c r="J2317">
        <v>8</v>
      </c>
      <c r="K2317">
        <v>1</v>
      </c>
      <c r="L2317">
        <v>6.4004629629629628E-3</v>
      </c>
      <c r="M2317" t="s">
        <v>778</v>
      </c>
      <c r="N2317" t="s">
        <v>1525</v>
      </c>
      <c r="O2317" s="24">
        <v>46140</v>
      </c>
      <c r="P2317">
        <v>603</v>
      </c>
      <c r="Q2317" t="s">
        <v>34</v>
      </c>
      <c r="X2317" t="s">
        <v>3569</v>
      </c>
    </row>
    <row r="2318" spans="1:24" x14ac:dyDescent="0.25">
      <c r="A2318">
        <v>2314</v>
      </c>
      <c r="B2318" t="s">
        <v>28</v>
      </c>
      <c r="C2318" t="s">
        <v>25</v>
      </c>
      <c r="D2318">
        <v>14</v>
      </c>
      <c r="E2318" t="s">
        <v>367</v>
      </c>
      <c r="F2318" t="s">
        <v>1598</v>
      </c>
      <c r="G2318">
        <v>4249</v>
      </c>
      <c r="H2318" t="s">
        <v>2168</v>
      </c>
      <c r="I2318" t="s">
        <v>1634</v>
      </c>
      <c r="J2318">
        <v>8</v>
      </c>
      <c r="K2318">
        <v>1</v>
      </c>
      <c r="L2318">
        <v>6.8287037037037036E-4</v>
      </c>
      <c r="M2318" t="s">
        <v>778</v>
      </c>
      <c r="N2318" t="s">
        <v>1525</v>
      </c>
      <c r="O2318" s="24">
        <v>46140</v>
      </c>
      <c r="P2318">
        <v>603</v>
      </c>
      <c r="Q2318" t="s">
        <v>34</v>
      </c>
      <c r="X2318" t="s">
        <v>3570</v>
      </c>
    </row>
    <row r="2319" spans="1:24" x14ac:dyDescent="0.25">
      <c r="A2319">
        <v>2315</v>
      </c>
      <c r="B2319" t="s">
        <v>28</v>
      </c>
      <c r="C2319" t="s">
        <v>25</v>
      </c>
      <c r="D2319">
        <v>14</v>
      </c>
      <c r="E2319" t="s">
        <v>367</v>
      </c>
      <c r="F2319" t="s">
        <v>1593</v>
      </c>
      <c r="G2319">
        <v>4249</v>
      </c>
      <c r="H2319" t="s">
        <v>2046</v>
      </c>
      <c r="I2319" t="s">
        <v>2047</v>
      </c>
      <c r="J2319">
        <v>8</v>
      </c>
      <c r="K2319">
        <v>1</v>
      </c>
      <c r="L2319">
        <v>5.6712962962962956E-4</v>
      </c>
      <c r="M2319" t="s">
        <v>778</v>
      </c>
      <c r="N2319" t="s">
        <v>1525</v>
      </c>
      <c r="O2319" s="24">
        <v>46140</v>
      </c>
      <c r="P2319">
        <v>603</v>
      </c>
      <c r="Q2319" t="s">
        <v>34</v>
      </c>
      <c r="X2319" t="s">
        <v>3570</v>
      </c>
    </row>
    <row r="2320" spans="1:24" x14ac:dyDescent="0.25">
      <c r="A2320">
        <v>2316</v>
      </c>
      <c r="B2320" t="s">
        <v>28</v>
      </c>
      <c r="C2320" t="s">
        <v>25</v>
      </c>
      <c r="D2320">
        <v>14</v>
      </c>
      <c r="E2320" t="s">
        <v>367</v>
      </c>
      <c r="F2320" t="s">
        <v>1593</v>
      </c>
      <c r="G2320">
        <v>4249</v>
      </c>
      <c r="H2320" t="s">
        <v>2060</v>
      </c>
      <c r="I2320" t="s">
        <v>2061</v>
      </c>
      <c r="J2320">
        <v>8</v>
      </c>
      <c r="K2320">
        <v>1</v>
      </c>
      <c r="L2320">
        <v>3.8194444444444441E-4</v>
      </c>
      <c r="M2320" t="s">
        <v>778</v>
      </c>
      <c r="N2320" t="s">
        <v>1525</v>
      </c>
      <c r="O2320" s="24">
        <v>46140</v>
      </c>
      <c r="P2320">
        <v>603</v>
      </c>
      <c r="Q2320" t="s">
        <v>34</v>
      </c>
      <c r="X2320" t="s">
        <v>3570</v>
      </c>
    </row>
    <row r="2321" spans="1:24" x14ac:dyDescent="0.25">
      <c r="A2321">
        <v>2317</v>
      </c>
      <c r="B2321" t="s">
        <v>28</v>
      </c>
      <c r="C2321" t="s">
        <v>25</v>
      </c>
      <c r="D2321">
        <v>14</v>
      </c>
      <c r="E2321" t="s">
        <v>367</v>
      </c>
      <c r="F2321" t="s">
        <v>1592</v>
      </c>
      <c r="G2321">
        <v>4249</v>
      </c>
      <c r="H2321" t="s">
        <v>2062</v>
      </c>
      <c r="I2321" t="s">
        <v>2063</v>
      </c>
      <c r="J2321">
        <v>8</v>
      </c>
      <c r="K2321">
        <v>2</v>
      </c>
      <c r="L2321">
        <v>8.4490740740740739E-4</v>
      </c>
      <c r="M2321" t="s">
        <v>778</v>
      </c>
      <c r="N2321" t="s">
        <v>1525</v>
      </c>
      <c r="O2321" s="24">
        <v>46140</v>
      </c>
      <c r="P2321">
        <v>603</v>
      </c>
      <c r="Q2321" t="s">
        <v>34</v>
      </c>
      <c r="X2321" t="s">
        <v>3570</v>
      </c>
    </row>
    <row r="2322" spans="1:24" x14ac:dyDescent="0.25">
      <c r="A2322">
        <v>2318</v>
      </c>
      <c r="B2322" t="s">
        <v>28</v>
      </c>
      <c r="C2322" t="s">
        <v>25</v>
      </c>
      <c r="D2322">
        <v>14</v>
      </c>
      <c r="E2322" t="s">
        <v>367</v>
      </c>
      <c r="F2322" t="s">
        <v>1594</v>
      </c>
      <c r="G2322">
        <v>4249</v>
      </c>
      <c r="H2322" t="s">
        <v>2410</v>
      </c>
      <c r="I2322" t="s">
        <v>494</v>
      </c>
      <c r="J2322">
        <v>8</v>
      </c>
      <c r="K2322">
        <v>1</v>
      </c>
      <c r="L2322">
        <v>6.192129629629629E-3</v>
      </c>
      <c r="M2322" t="s">
        <v>778</v>
      </c>
      <c r="N2322" t="s">
        <v>1525</v>
      </c>
      <c r="O2322" s="24">
        <v>46140</v>
      </c>
      <c r="P2322">
        <v>603</v>
      </c>
      <c r="Q2322" t="s">
        <v>34</v>
      </c>
      <c r="X2322" t="s">
        <v>3570</v>
      </c>
    </row>
    <row r="2323" spans="1:24" x14ac:dyDescent="0.25">
      <c r="A2323">
        <v>2319</v>
      </c>
      <c r="B2323" t="s">
        <v>28</v>
      </c>
      <c r="C2323" t="s">
        <v>25</v>
      </c>
      <c r="D2323">
        <v>14</v>
      </c>
      <c r="E2323" t="s">
        <v>65</v>
      </c>
      <c r="F2323" t="s">
        <v>65</v>
      </c>
      <c r="G2323">
        <v>4249</v>
      </c>
      <c r="H2323" t="s">
        <v>2066</v>
      </c>
      <c r="I2323" t="s">
        <v>2067</v>
      </c>
      <c r="J2323">
        <v>8</v>
      </c>
      <c r="K2323">
        <v>1</v>
      </c>
      <c r="L2323">
        <v>6.7129629629629625E-4</v>
      </c>
      <c r="M2323" t="s">
        <v>778</v>
      </c>
      <c r="N2323" t="s">
        <v>1525</v>
      </c>
      <c r="O2323" s="24">
        <v>46140</v>
      </c>
      <c r="P2323">
        <v>603</v>
      </c>
      <c r="Q2323" t="s">
        <v>34</v>
      </c>
      <c r="X2323" t="s">
        <v>3570</v>
      </c>
    </row>
    <row r="2324" spans="1:24" x14ac:dyDescent="0.25">
      <c r="A2324">
        <v>2320</v>
      </c>
      <c r="B2324" t="s">
        <v>28</v>
      </c>
      <c r="C2324" t="s">
        <v>25</v>
      </c>
      <c r="D2324">
        <v>14</v>
      </c>
      <c r="E2324" t="s">
        <v>65</v>
      </c>
      <c r="F2324" t="s">
        <v>368</v>
      </c>
      <c r="G2324">
        <v>4249</v>
      </c>
      <c r="H2324" t="s">
        <v>2220</v>
      </c>
      <c r="I2324" t="s">
        <v>2221</v>
      </c>
      <c r="J2324">
        <v>8</v>
      </c>
      <c r="K2324">
        <v>1</v>
      </c>
      <c r="L2324">
        <v>6.2500000000000001E-4</v>
      </c>
      <c r="M2324" t="s">
        <v>778</v>
      </c>
      <c r="N2324" t="s">
        <v>1525</v>
      </c>
      <c r="O2324" s="24">
        <v>46140</v>
      </c>
      <c r="P2324">
        <v>603</v>
      </c>
      <c r="Q2324" t="s">
        <v>34</v>
      </c>
      <c r="X2324" t="s">
        <v>3570</v>
      </c>
    </row>
    <row r="2325" spans="1:24" x14ac:dyDescent="0.25">
      <c r="A2325">
        <v>2321</v>
      </c>
      <c r="B2325" t="s">
        <v>28</v>
      </c>
      <c r="C2325" t="s">
        <v>25</v>
      </c>
      <c r="D2325">
        <v>14</v>
      </c>
      <c r="E2325" t="s">
        <v>65</v>
      </c>
      <c r="F2325" t="s">
        <v>1590</v>
      </c>
      <c r="G2325">
        <v>4249</v>
      </c>
      <c r="H2325" t="s">
        <v>2411</v>
      </c>
      <c r="I2325" t="s">
        <v>2412</v>
      </c>
      <c r="J2325">
        <v>8</v>
      </c>
      <c r="K2325">
        <v>1</v>
      </c>
      <c r="L2325">
        <v>8.9120370370370362E-4</v>
      </c>
      <c r="M2325" t="s">
        <v>778</v>
      </c>
      <c r="N2325" t="s">
        <v>1525</v>
      </c>
      <c r="O2325" s="24">
        <v>46140</v>
      </c>
      <c r="P2325">
        <v>603</v>
      </c>
      <c r="Q2325" t="s">
        <v>34</v>
      </c>
      <c r="X2325" t="s">
        <v>3570</v>
      </c>
    </row>
    <row r="2326" spans="1:24" x14ac:dyDescent="0.25">
      <c r="A2326">
        <v>2322</v>
      </c>
      <c r="B2326" t="s">
        <v>28</v>
      </c>
      <c r="C2326" t="s">
        <v>25</v>
      </c>
      <c r="D2326">
        <v>14</v>
      </c>
      <c r="E2326" t="s">
        <v>1588</v>
      </c>
      <c r="F2326" t="s">
        <v>512</v>
      </c>
      <c r="G2326">
        <v>4251</v>
      </c>
      <c r="H2326" t="s">
        <v>2413</v>
      </c>
      <c r="I2326" t="s">
        <v>2414</v>
      </c>
      <c r="J2326">
        <v>8</v>
      </c>
      <c r="K2326">
        <v>1</v>
      </c>
      <c r="L2326">
        <v>5.3240740740740744E-4</v>
      </c>
      <c r="M2326" t="s">
        <v>3079</v>
      </c>
      <c r="X2326" t="s">
        <v>3571</v>
      </c>
    </row>
    <row r="2327" spans="1:24" x14ac:dyDescent="0.25">
      <c r="A2327">
        <v>2323</v>
      </c>
      <c r="B2327" t="s">
        <v>28</v>
      </c>
      <c r="C2327" t="s">
        <v>25</v>
      </c>
      <c r="D2327">
        <v>14</v>
      </c>
      <c r="E2327" t="s">
        <v>367</v>
      </c>
      <c r="F2327" t="s">
        <v>367</v>
      </c>
      <c r="G2327">
        <v>4251</v>
      </c>
      <c r="H2327" t="s">
        <v>2416</v>
      </c>
      <c r="I2327" t="s">
        <v>2329</v>
      </c>
      <c r="J2327">
        <v>8</v>
      </c>
      <c r="K2327">
        <v>1</v>
      </c>
      <c r="L2327">
        <v>6.9444444444444436E-4</v>
      </c>
      <c r="M2327" t="s">
        <v>3079</v>
      </c>
      <c r="X2327" t="s">
        <v>3571</v>
      </c>
    </row>
    <row r="2328" spans="1:24" x14ac:dyDescent="0.25">
      <c r="A2328">
        <v>2324</v>
      </c>
      <c r="B2328" t="s">
        <v>28</v>
      </c>
      <c r="C2328" t="s">
        <v>25</v>
      </c>
      <c r="D2328">
        <v>14</v>
      </c>
      <c r="E2328" t="s">
        <v>367</v>
      </c>
      <c r="F2328" t="s">
        <v>367</v>
      </c>
      <c r="G2328">
        <v>4251</v>
      </c>
      <c r="H2328" t="s">
        <v>2328</v>
      </c>
      <c r="I2328" t="s">
        <v>2329</v>
      </c>
      <c r="J2328">
        <v>8</v>
      </c>
      <c r="K2328">
        <v>1</v>
      </c>
      <c r="L2328">
        <v>6.8287037037037036E-4</v>
      </c>
      <c r="M2328" t="s">
        <v>3079</v>
      </c>
      <c r="X2328" t="s">
        <v>3571</v>
      </c>
    </row>
    <row r="2329" spans="1:24" x14ac:dyDescent="0.25">
      <c r="A2329">
        <v>2325</v>
      </c>
      <c r="B2329" t="s">
        <v>28</v>
      </c>
      <c r="C2329" t="s">
        <v>25</v>
      </c>
      <c r="D2329">
        <v>14</v>
      </c>
      <c r="E2329" t="s">
        <v>367</v>
      </c>
      <c r="F2329" t="s">
        <v>427</v>
      </c>
      <c r="G2329">
        <v>4251</v>
      </c>
      <c r="H2329" t="s">
        <v>2417</v>
      </c>
      <c r="I2329" t="s">
        <v>2418</v>
      </c>
      <c r="J2329">
        <v>8</v>
      </c>
      <c r="K2329">
        <v>1</v>
      </c>
      <c r="L2329">
        <v>1.9675925925925924E-3</v>
      </c>
      <c r="M2329" t="s">
        <v>3079</v>
      </c>
      <c r="X2329" t="s">
        <v>3571</v>
      </c>
    </row>
    <row r="2330" spans="1:24" x14ac:dyDescent="0.25">
      <c r="A2330">
        <v>2326</v>
      </c>
      <c r="B2330" t="s">
        <v>28</v>
      </c>
      <c r="C2330" t="s">
        <v>25</v>
      </c>
      <c r="D2330">
        <v>14</v>
      </c>
      <c r="E2330" t="s">
        <v>65</v>
      </c>
      <c r="F2330" t="s">
        <v>66</v>
      </c>
      <c r="G2330">
        <v>4251</v>
      </c>
      <c r="H2330" t="s">
        <v>2178</v>
      </c>
      <c r="I2330" t="s">
        <v>2179</v>
      </c>
      <c r="J2330">
        <v>8</v>
      </c>
      <c r="K2330">
        <v>2</v>
      </c>
      <c r="L2330">
        <v>1.2268518518518518E-3</v>
      </c>
      <c r="M2330" t="s">
        <v>3079</v>
      </c>
      <c r="X2330" t="s">
        <v>3571</v>
      </c>
    </row>
    <row r="2331" spans="1:24" x14ac:dyDescent="0.25">
      <c r="A2331">
        <v>2327</v>
      </c>
      <c r="B2331" t="s">
        <v>28</v>
      </c>
      <c r="C2331" t="s">
        <v>25</v>
      </c>
      <c r="D2331">
        <v>14</v>
      </c>
      <c r="E2331" t="s">
        <v>65</v>
      </c>
      <c r="F2331" t="s">
        <v>66</v>
      </c>
      <c r="G2331">
        <v>4251</v>
      </c>
      <c r="H2331" t="s">
        <v>2180</v>
      </c>
      <c r="I2331" t="s">
        <v>2181</v>
      </c>
      <c r="J2331">
        <v>8</v>
      </c>
      <c r="K2331">
        <v>4</v>
      </c>
      <c r="L2331">
        <v>2.5000000000000001E-3</v>
      </c>
      <c r="M2331" t="s">
        <v>3079</v>
      </c>
      <c r="X2331" t="s">
        <v>3571</v>
      </c>
    </row>
    <row r="2332" spans="1:24" x14ac:dyDescent="0.25">
      <c r="A2332">
        <v>2328</v>
      </c>
      <c r="B2332" t="s">
        <v>28</v>
      </c>
      <c r="C2332" t="s">
        <v>25</v>
      </c>
      <c r="D2332">
        <v>14</v>
      </c>
      <c r="E2332" t="s">
        <v>65</v>
      </c>
      <c r="F2332" t="s">
        <v>492</v>
      </c>
      <c r="G2332">
        <v>4251</v>
      </c>
      <c r="H2332" t="s">
        <v>2419</v>
      </c>
      <c r="I2332" t="s">
        <v>2420</v>
      </c>
      <c r="J2332">
        <v>8</v>
      </c>
      <c r="K2332">
        <v>1</v>
      </c>
      <c r="L2332">
        <v>1.5046296296296296E-3</v>
      </c>
      <c r="M2332" t="s">
        <v>3079</v>
      </c>
      <c r="X2332" t="s">
        <v>3571</v>
      </c>
    </row>
    <row r="2333" spans="1:24" x14ac:dyDescent="0.25">
      <c r="A2333">
        <v>2329</v>
      </c>
      <c r="B2333" t="s">
        <v>28</v>
      </c>
      <c r="C2333" t="s">
        <v>25</v>
      </c>
      <c r="D2333">
        <v>14</v>
      </c>
      <c r="E2333" t="s">
        <v>65</v>
      </c>
      <c r="F2333" t="s">
        <v>492</v>
      </c>
      <c r="G2333">
        <v>4251</v>
      </c>
      <c r="H2333" t="s">
        <v>2421</v>
      </c>
      <c r="I2333" t="s">
        <v>2422</v>
      </c>
      <c r="J2333">
        <v>8</v>
      </c>
      <c r="K2333">
        <v>1</v>
      </c>
      <c r="L2333">
        <v>1.5046296296296296E-3</v>
      </c>
      <c r="M2333" t="s">
        <v>3079</v>
      </c>
      <c r="X2333" t="s">
        <v>3571</v>
      </c>
    </row>
    <row r="2334" spans="1:24" x14ac:dyDescent="0.25">
      <c r="A2334">
        <v>2330</v>
      </c>
      <c r="B2334" t="s">
        <v>28</v>
      </c>
      <c r="C2334" t="s">
        <v>25</v>
      </c>
      <c r="D2334">
        <v>14</v>
      </c>
      <c r="E2334" t="s">
        <v>65</v>
      </c>
      <c r="F2334" t="s">
        <v>1599</v>
      </c>
      <c r="G2334">
        <v>4251</v>
      </c>
      <c r="H2334" t="s">
        <v>2423</v>
      </c>
      <c r="I2334" t="s">
        <v>2424</v>
      </c>
      <c r="J2334">
        <v>8</v>
      </c>
      <c r="K2334">
        <v>1</v>
      </c>
      <c r="L2334">
        <v>3.5532407407407405E-3</v>
      </c>
      <c r="M2334" t="s">
        <v>3079</v>
      </c>
      <c r="X2334" t="s">
        <v>3571</v>
      </c>
    </row>
    <row r="2335" spans="1:24" x14ac:dyDescent="0.25">
      <c r="A2335">
        <v>2331</v>
      </c>
      <c r="B2335" t="s">
        <v>28</v>
      </c>
      <c r="C2335" t="s">
        <v>25</v>
      </c>
      <c r="D2335">
        <v>14</v>
      </c>
      <c r="E2335" t="s">
        <v>65</v>
      </c>
      <c r="F2335" t="s">
        <v>1598</v>
      </c>
      <c r="G2335">
        <v>4251</v>
      </c>
      <c r="H2335" t="s">
        <v>2425</v>
      </c>
      <c r="I2335" t="s">
        <v>2426</v>
      </c>
      <c r="J2335">
        <v>8</v>
      </c>
      <c r="K2335">
        <v>1</v>
      </c>
      <c r="L2335">
        <v>3.5648148148148145E-3</v>
      </c>
      <c r="M2335" t="s">
        <v>3079</v>
      </c>
      <c r="X2335" t="s">
        <v>3571</v>
      </c>
    </row>
    <row r="2336" spans="1:24" x14ac:dyDescent="0.25">
      <c r="A2336">
        <v>2332</v>
      </c>
      <c r="B2336" t="s">
        <v>28</v>
      </c>
      <c r="C2336" t="s">
        <v>25</v>
      </c>
      <c r="D2336">
        <v>14</v>
      </c>
      <c r="E2336" t="s">
        <v>1665</v>
      </c>
      <c r="F2336" t="s">
        <v>498</v>
      </c>
      <c r="G2336">
        <v>4252</v>
      </c>
      <c r="H2336" t="s">
        <v>2110</v>
      </c>
      <c r="I2336" t="s">
        <v>2111</v>
      </c>
      <c r="J2336">
        <v>8</v>
      </c>
      <c r="K2336">
        <v>2</v>
      </c>
      <c r="L2336">
        <v>1.261574074074074E-3</v>
      </c>
      <c r="M2336" t="s">
        <v>778</v>
      </c>
      <c r="N2336" t="s">
        <v>69</v>
      </c>
      <c r="O2336" s="24">
        <v>46139</v>
      </c>
      <c r="P2336">
        <v>603</v>
      </c>
      <c r="Q2336" t="s">
        <v>34</v>
      </c>
      <c r="X2336" t="s">
        <v>3572</v>
      </c>
    </row>
    <row r="2337" spans="1:24" x14ac:dyDescent="0.25">
      <c r="A2337">
        <v>2333</v>
      </c>
      <c r="B2337" t="s">
        <v>28</v>
      </c>
      <c r="C2337" t="s">
        <v>25</v>
      </c>
      <c r="D2337">
        <v>14</v>
      </c>
      <c r="E2337" t="s">
        <v>1672</v>
      </c>
      <c r="F2337" t="s">
        <v>498</v>
      </c>
      <c r="G2337">
        <v>4252</v>
      </c>
      <c r="H2337" t="s">
        <v>2055</v>
      </c>
      <c r="I2337" t="s">
        <v>2056</v>
      </c>
      <c r="J2337">
        <v>8</v>
      </c>
      <c r="K2337">
        <v>1</v>
      </c>
      <c r="L2337">
        <v>9.1435185185185185E-4</v>
      </c>
      <c r="M2337" t="s">
        <v>778</v>
      </c>
      <c r="N2337" t="s">
        <v>69</v>
      </c>
      <c r="O2337" s="24">
        <v>46139</v>
      </c>
      <c r="P2337">
        <v>603</v>
      </c>
      <c r="Q2337" t="s">
        <v>34</v>
      </c>
      <c r="X2337" t="s">
        <v>3572</v>
      </c>
    </row>
    <row r="2338" spans="1:24" x14ac:dyDescent="0.25">
      <c r="A2338">
        <v>2334</v>
      </c>
      <c r="B2338" t="s">
        <v>28</v>
      </c>
      <c r="C2338" t="s">
        <v>25</v>
      </c>
      <c r="D2338">
        <v>14</v>
      </c>
      <c r="E2338" t="s">
        <v>367</v>
      </c>
      <c r="F2338" t="s">
        <v>367</v>
      </c>
      <c r="G2338">
        <v>4252</v>
      </c>
      <c r="H2338" t="s">
        <v>2328</v>
      </c>
      <c r="I2338" t="s">
        <v>2329</v>
      </c>
      <c r="J2338">
        <v>8</v>
      </c>
      <c r="K2338">
        <v>1</v>
      </c>
      <c r="L2338">
        <v>7.2916666666666659E-4</v>
      </c>
      <c r="M2338" t="s">
        <v>778</v>
      </c>
      <c r="N2338" t="s">
        <v>69</v>
      </c>
      <c r="O2338" s="24">
        <v>46139</v>
      </c>
      <c r="P2338">
        <v>603</v>
      </c>
      <c r="Q2338" t="s">
        <v>34</v>
      </c>
      <c r="X2338" t="s">
        <v>3572</v>
      </c>
    </row>
    <row r="2339" spans="1:24" x14ac:dyDescent="0.25">
      <c r="A2339">
        <v>2335</v>
      </c>
      <c r="B2339" t="s">
        <v>28</v>
      </c>
      <c r="C2339" t="s">
        <v>25</v>
      </c>
      <c r="D2339">
        <v>14</v>
      </c>
      <c r="E2339" t="s">
        <v>65</v>
      </c>
      <c r="F2339" t="s">
        <v>1591</v>
      </c>
      <c r="G2339">
        <v>4252</v>
      </c>
      <c r="H2339" t="s">
        <v>2428</v>
      </c>
      <c r="I2339" t="s">
        <v>2191</v>
      </c>
      <c r="J2339">
        <v>8</v>
      </c>
      <c r="K2339">
        <v>1</v>
      </c>
      <c r="L2339">
        <v>8.5648148148148139E-4</v>
      </c>
      <c r="M2339" t="s">
        <v>778</v>
      </c>
      <c r="N2339" t="s">
        <v>69</v>
      </c>
      <c r="O2339" s="24">
        <v>46139</v>
      </c>
      <c r="P2339">
        <v>603</v>
      </c>
      <c r="Q2339" t="s">
        <v>34</v>
      </c>
      <c r="X2339" t="s">
        <v>3572</v>
      </c>
    </row>
    <row r="2340" spans="1:24" x14ac:dyDescent="0.25">
      <c r="A2340">
        <v>2336</v>
      </c>
      <c r="B2340" t="s">
        <v>28</v>
      </c>
      <c r="C2340" t="s">
        <v>25</v>
      </c>
      <c r="D2340">
        <v>14</v>
      </c>
      <c r="E2340" t="s">
        <v>65</v>
      </c>
      <c r="F2340" t="s">
        <v>1598</v>
      </c>
      <c r="G2340">
        <v>4252</v>
      </c>
      <c r="H2340" t="s">
        <v>2429</v>
      </c>
      <c r="I2340" t="s">
        <v>2306</v>
      </c>
      <c r="J2340">
        <v>8</v>
      </c>
      <c r="K2340">
        <v>1</v>
      </c>
      <c r="L2340">
        <v>8.5648148148148139E-4</v>
      </c>
      <c r="M2340" t="s">
        <v>778</v>
      </c>
      <c r="N2340" t="s">
        <v>69</v>
      </c>
      <c r="O2340" s="24">
        <v>46139</v>
      </c>
      <c r="P2340">
        <v>603</v>
      </c>
      <c r="Q2340" t="s">
        <v>34</v>
      </c>
      <c r="X2340" t="s">
        <v>3572</v>
      </c>
    </row>
    <row r="2341" spans="1:24" x14ac:dyDescent="0.25">
      <c r="A2341">
        <v>2337</v>
      </c>
      <c r="B2341" t="s">
        <v>28</v>
      </c>
      <c r="C2341" t="s">
        <v>25</v>
      </c>
      <c r="D2341">
        <v>14</v>
      </c>
      <c r="E2341" t="s">
        <v>2430</v>
      </c>
      <c r="F2341" t="s">
        <v>44</v>
      </c>
      <c r="G2341">
        <v>4252</v>
      </c>
      <c r="H2341" t="s">
        <v>54</v>
      </c>
      <c r="I2341" t="s">
        <v>1119</v>
      </c>
      <c r="J2341">
        <v>8</v>
      </c>
      <c r="K2341">
        <v>1</v>
      </c>
      <c r="L2341">
        <v>1.3310185185185185E-3</v>
      </c>
      <c r="M2341" t="s">
        <v>778</v>
      </c>
      <c r="N2341" t="s">
        <v>69</v>
      </c>
      <c r="O2341" s="24">
        <v>46139</v>
      </c>
      <c r="P2341">
        <v>603</v>
      </c>
      <c r="Q2341" t="s">
        <v>34</v>
      </c>
      <c r="X2341" t="s">
        <v>3572</v>
      </c>
    </row>
    <row r="2342" spans="1:24" x14ac:dyDescent="0.25">
      <c r="A2342">
        <v>2338</v>
      </c>
      <c r="B2342" t="s">
        <v>28</v>
      </c>
      <c r="C2342" t="s">
        <v>25</v>
      </c>
      <c r="D2342">
        <v>14</v>
      </c>
      <c r="E2342" t="s">
        <v>1665</v>
      </c>
      <c r="F2342" t="s">
        <v>115</v>
      </c>
      <c r="G2342">
        <v>4252</v>
      </c>
      <c r="H2342" t="s">
        <v>2431</v>
      </c>
      <c r="I2342" t="s">
        <v>2278</v>
      </c>
      <c r="J2342">
        <v>8</v>
      </c>
      <c r="K2342">
        <v>1</v>
      </c>
      <c r="L2342">
        <v>6.8634259259259256E-3</v>
      </c>
      <c r="M2342" t="s">
        <v>778</v>
      </c>
      <c r="N2342" t="s">
        <v>69</v>
      </c>
      <c r="O2342" s="24">
        <v>46139</v>
      </c>
      <c r="P2342">
        <v>603</v>
      </c>
      <c r="Q2342" t="s">
        <v>34</v>
      </c>
      <c r="X2342" t="s">
        <v>3572</v>
      </c>
    </row>
    <row r="2343" spans="1:24" x14ac:dyDescent="0.25">
      <c r="A2343">
        <v>2339</v>
      </c>
      <c r="B2343" t="s">
        <v>28</v>
      </c>
      <c r="C2343" t="s">
        <v>25</v>
      </c>
      <c r="D2343">
        <v>14</v>
      </c>
      <c r="E2343" t="s">
        <v>1665</v>
      </c>
      <c r="F2343" t="s">
        <v>498</v>
      </c>
      <c r="G2343">
        <v>4253</v>
      </c>
      <c r="H2343" t="s">
        <v>2110</v>
      </c>
      <c r="I2343" t="s">
        <v>2111</v>
      </c>
      <c r="J2343">
        <v>8</v>
      </c>
      <c r="K2343">
        <v>7</v>
      </c>
      <c r="L2343">
        <v>3.7615740740740739E-3</v>
      </c>
      <c r="M2343" t="s">
        <v>3079</v>
      </c>
      <c r="X2343" t="s">
        <v>3573</v>
      </c>
    </row>
    <row r="2344" spans="1:24" x14ac:dyDescent="0.25">
      <c r="A2344">
        <v>2340</v>
      </c>
      <c r="B2344" t="s">
        <v>28</v>
      </c>
      <c r="C2344" t="s">
        <v>25</v>
      </c>
      <c r="D2344">
        <v>14</v>
      </c>
      <c r="E2344" t="s">
        <v>367</v>
      </c>
      <c r="F2344" t="s">
        <v>1593</v>
      </c>
      <c r="G2344">
        <v>4253</v>
      </c>
      <c r="H2344" t="s">
        <v>2046</v>
      </c>
      <c r="I2344" t="s">
        <v>2047</v>
      </c>
      <c r="J2344">
        <v>8</v>
      </c>
      <c r="K2344">
        <v>2</v>
      </c>
      <c r="L2344">
        <v>1.0995370370370369E-3</v>
      </c>
      <c r="M2344" t="s">
        <v>3079</v>
      </c>
      <c r="X2344" t="s">
        <v>3573</v>
      </c>
    </row>
    <row r="2345" spans="1:24" x14ac:dyDescent="0.25">
      <c r="A2345">
        <v>2341</v>
      </c>
      <c r="B2345" t="s">
        <v>28</v>
      </c>
      <c r="C2345" t="s">
        <v>25</v>
      </c>
      <c r="D2345">
        <v>14</v>
      </c>
      <c r="E2345" t="s">
        <v>367</v>
      </c>
      <c r="F2345" t="s">
        <v>1594</v>
      </c>
      <c r="G2345">
        <v>4253</v>
      </c>
      <c r="H2345" t="s">
        <v>2433</v>
      </c>
      <c r="I2345" t="s">
        <v>2434</v>
      </c>
      <c r="J2345">
        <v>8</v>
      </c>
      <c r="K2345">
        <v>1</v>
      </c>
      <c r="L2345">
        <v>3.1828703703703702E-3</v>
      </c>
      <c r="M2345" t="s">
        <v>3079</v>
      </c>
      <c r="X2345" t="s">
        <v>3573</v>
      </c>
    </row>
    <row r="2346" spans="1:24" x14ac:dyDescent="0.25">
      <c r="A2346">
        <v>2342</v>
      </c>
      <c r="B2346" t="s">
        <v>28</v>
      </c>
      <c r="C2346" t="s">
        <v>25</v>
      </c>
      <c r="D2346">
        <v>14</v>
      </c>
      <c r="E2346" t="s">
        <v>65</v>
      </c>
      <c r="F2346" t="s">
        <v>1589</v>
      </c>
      <c r="G2346">
        <v>4253</v>
      </c>
      <c r="H2346" t="s">
        <v>2435</v>
      </c>
      <c r="I2346" t="s">
        <v>2436</v>
      </c>
      <c r="J2346">
        <v>8</v>
      </c>
      <c r="K2346">
        <v>1</v>
      </c>
      <c r="L2346">
        <v>1.5393518518518519E-3</v>
      </c>
      <c r="M2346" t="s">
        <v>3079</v>
      </c>
      <c r="X2346" t="s">
        <v>3573</v>
      </c>
    </row>
    <row r="2347" spans="1:24" x14ac:dyDescent="0.25">
      <c r="A2347">
        <v>2343</v>
      </c>
      <c r="B2347" t="s">
        <v>28</v>
      </c>
      <c r="C2347" t="s">
        <v>25</v>
      </c>
      <c r="D2347">
        <v>14</v>
      </c>
      <c r="E2347" t="s">
        <v>65</v>
      </c>
      <c r="F2347" t="s">
        <v>1591</v>
      </c>
      <c r="G2347">
        <v>4253</v>
      </c>
      <c r="H2347" t="s">
        <v>2437</v>
      </c>
      <c r="I2347" t="s">
        <v>2262</v>
      </c>
      <c r="J2347">
        <v>8</v>
      </c>
      <c r="K2347">
        <v>1</v>
      </c>
      <c r="L2347">
        <v>3.2291666666666666E-3</v>
      </c>
      <c r="M2347" t="s">
        <v>3079</v>
      </c>
      <c r="X2347" t="s">
        <v>3573</v>
      </c>
    </row>
    <row r="2348" spans="1:24" x14ac:dyDescent="0.25">
      <c r="A2348">
        <v>2344</v>
      </c>
      <c r="B2348" t="s">
        <v>28</v>
      </c>
      <c r="C2348" t="s">
        <v>25</v>
      </c>
      <c r="D2348">
        <v>14</v>
      </c>
      <c r="E2348" t="s">
        <v>65</v>
      </c>
      <c r="F2348" t="s">
        <v>1597</v>
      </c>
      <c r="G2348">
        <v>4253</v>
      </c>
      <c r="H2348" t="s">
        <v>2438</v>
      </c>
      <c r="I2348" t="s">
        <v>2319</v>
      </c>
      <c r="J2348">
        <v>8</v>
      </c>
      <c r="K2348">
        <v>1</v>
      </c>
      <c r="L2348">
        <v>2.3032407407407407E-3</v>
      </c>
      <c r="M2348" t="s">
        <v>3079</v>
      </c>
      <c r="X2348" t="s">
        <v>3573</v>
      </c>
    </row>
    <row r="2349" spans="1:24" x14ac:dyDescent="0.25">
      <c r="A2349">
        <v>2345</v>
      </c>
      <c r="B2349" t="s">
        <v>28</v>
      </c>
      <c r="C2349" t="s">
        <v>25</v>
      </c>
      <c r="D2349">
        <v>14</v>
      </c>
      <c r="E2349" t="s">
        <v>367</v>
      </c>
      <c r="F2349" t="s">
        <v>367</v>
      </c>
      <c r="G2349">
        <v>4255</v>
      </c>
      <c r="H2349" t="s">
        <v>2416</v>
      </c>
      <c r="I2349" t="s">
        <v>2329</v>
      </c>
      <c r="J2349">
        <v>8</v>
      </c>
      <c r="K2349">
        <v>2</v>
      </c>
      <c r="L2349">
        <v>1.3541666666666667E-3</v>
      </c>
      <c r="M2349" t="s">
        <v>3079</v>
      </c>
      <c r="X2349" t="s">
        <v>3574</v>
      </c>
    </row>
    <row r="2350" spans="1:24" x14ac:dyDescent="0.25">
      <c r="A2350">
        <v>2346</v>
      </c>
      <c r="B2350" t="s">
        <v>28</v>
      </c>
      <c r="C2350" t="s">
        <v>25</v>
      </c>
      <c r="D2350">
        <v>14</v>
      </c>
      <c r="E2350" t="s">
        <v>1665</v>
      </c>
      <c r="F2350" t="s">
        <v>115</v>
      </c>
      <c r="G2350">
        <v>4255</v>
      </c>
      <c r="H2350" t="s">
        <v>2113</v>
      </c>
      <c r="I2350" t="s">
        <v>2111</v>
      </c>
      <c r="J2350">
        <v>8</v>
      </c>
      <c r="K2350">
        <v>6</v>
      </c>
      <c r="L2350">
        <v>3.4259259259259256E-3</v>
      </c>
      <c r="M2350" t="s">
        <v>3079</v>
      </c>
      <c r="X2350" t="s">
        <v>3574</v>
      </c>
    </row>
    <row r="2351" spans="1:24" x14ac:dyDescent="0.25">
      <c r="A2351">
        <v>2347</v>
      </c>
      <c r="B2351" t="s">
        <v>28</v>
      </c>
      <c r="C2351" t="s">
        <v>25</v>
      </c>
      <c r="D2351">
        <v>14</v>
      </c>
      <c r="E2351" t="s">
        <v>367</v>
      </c>
      <c r="F2351" t="s">
        <v>368</v>
      </c>
      <c r="G2351">
        <v>4255</v>
      </c>
      <c r="H2351" t="s">
        <v>2114</v>
      </c>
      <c r="I2351" t="s">
        <v>2097</v>
      </c>
      <c r="J2351">
        <v>8</v>
      </c>
      <c r="K2351">
        <v>3</v>
      </c>
      <c r="L2351">
        <v>1.8749999999999999E-3</v>
      </c>
      <c r="M2351" t="s">
        <v>3079</v>
      </c>
      <c r="X2351" t="s">
        <v>3574</v>
      </c>
    </row>
    <row r="2352" spans="1:24" x14ac:dyDescent="0.25">
      <c r="A2352">
        <v>2348</v>
      </c>
      <c r="B2352" t="s">
        <v>28</v>
      </c>
      <c r="C2352" t="s">
        <v>25</v>
      </c>
      <c r="D2352">
        <v>14</v>
      </c>
      <c r="E2352" t="s">
        <v>367</v>
      </c>
      <c r="F2352" t="s">
        <v>367</v>
      </c>
      <c r="G2352">
        <v>4255</v>
      </c>
      <c r="H2352" t="s">
        <v>2328</v>
      </c>
      <c r="I2352" t="s">
        <v>2329</v>
      </c>
      <c r="J2352">
        <v>8</v>
      </c>
      <c r="K2352">
        <v>2</v>
      </c>
      <c r="L2352">
        <v>1.3194444444444445E-3</v>
      </c>
      <c r="M2352" t="s">
        <v>3079</v>
      </c>
      <c r="X2352" t="s">
        <v>3574</v>
      </c>
    </row>
    <row r="2353" spans="1:24" x14ac:dyDescent="0.25">
      <c r="A2353">
        <v>2349</v>
      </c>
      <c r="B2353" t="s">
        <v>28</v>
      </c>
      <c r="C2353" t="s">
        <v>25</v>
      </c>
      <c r="D2353">
        <v>14</v>
      </c>
      <c r="E2353" t="s">
        <v>65</v>
      </c>
      <c r="F2353" t="s">
        <v>65</v>
      </c>
      <c r="G2353">
        <v>4255</v>
      </c>
      <c r="H2353" t="s">
        <v>2092</v>
      </c>
      <c r="I2353" t="s">
        <v>2093</v>
      </c>
      <c r="J2353">
        <v>8</v>
      </c>
      <c r="K2353">
        <v>1</v>
      </c>
      <c r="L2353">
        <v>6.134259259259259E-4</v>
      </c>
      <c r="M2353" t="s">
        <v>3079</v>
      </c>
      <c r="X2353" t="s">
        <v>3574</v>
      </c>
    </row>
    <row r="2354" spans="1:24" x14ac:dyDescent="0.25">
      <c r="A2354">
        <v>2350</v>
      </c>
      <c r="B2354" t="s">
        <v>28</v>
      </c>
      <c r="C2354" t="s">
        <v>25</v>
      </c>
      <c r="D2354">
        <v>14</v>
      </c>
      <c r="E2354" t="s">
        <v>65</v>
      </c>
      <c r="F2354" t="s">
        <v>368</v>
      </c>
      <c r="G2354">
        <v>4255</v>
      </c>
      <c r="H2354" t="s">
        <v>2115</v>
      </c>
      <c r="I2354" t="s">
        <v>2116</v>
      </c>
      <c r="J2354">
        <v>8</v>
      </c>
      <c r="K2354">
        <v>1</v>
      </c>
      <c r="L2354">
        <v>2.2222222222222222E-3</v>
      </c>
      <c r="M2354" t="s">
        <v>3079</v>
      </c>
      <c r="X2354" t="s">
        <v>3574</v>
      </c>
    </row>
    <row r="2355" spans="1:24" x14ac:dyDescent="0.25">
      <c r="A2355">
        <v>2351</v>
      </c>
      <c r="B2355" t="s">
        <v>28</v>
      </c>
      <c r="C2355" t="s">
        <v>25</v>
      </c>
      <c r="D2355">
        <v>14</v>
      </c>
      <c r="E2355" t="s">
        <v>65</v>
      </c>
      <c r="F2355" t="s">
        <v>368</v>
      </c>
      <c r="G2355">
        <v>4255</v>
      </c>
      <c r="H2355" t="s">
        <v>2349</v>
      </c>
      <c r="I2355" t="s">
        <v>2116</v>
      </c>
      <c r="J2355">
        <v>8</v>
      </c>
      <c r="K2355">
        <v>5</v>
      </c>
      <c r="L2355">
        <v>1.1064814814814814E-2</v>
      </c>
      <c r="M2355" t="s">
        <v>3079</v>
      </c>
      <c r="X2355" t="s">
        <v>3574</v>
      </c>
    </row>
    <row r="2356" spans="1:24" x14ac:dyDescent="0.25">
      <c r="A2356">
        <v>2352</v>
      </c>
      <c r="B2356" t="s">
        <v>28</v>
      </c>
      <c r="C2356" t="s">
        <v>25</v>
      </c>
      <c r="D2356">
        <v>14</v>
      </c>
      <c r="E2356" t="s">
        <v>55</v>
      </c>
      <c r="F2356" t="s">
        <v>44</v>
      </c>
      <c r="G2356">
        <v>4256</v>
      </c>
      <c r="H2356" t="s">
        <v>54</v>
      </c>
      <c r="I2356" t="s">
        <v>1119</v>
      </c>
      <c r="J2356">
        <v>8</v>
      </c>
      <c r="K2356">
        <v>23</v>
      </c>
      <c r="L2356">
        <v>2.8425925925925924E-2</v>
      </c>
      <c r="M2356" t="s">
        <v>3079</v>
      </c>
      <c r="X2356" t="s">
        <v>3575</v>
      </c>
    </row>
    <row r="2357" spans="1:24" x14ac:dyDescent="0.25">
      <c r="A2357">
        <v>2353</v>
      </c>
      <c r="B2357" t="s">
        <v>28</v>
      </c>
      <c r="C2357" t="s">
        <v>25</v>
      </c>
      <c r="D2357">
        <v>14</v>
      </c>
      <c r="E2357" t="s">
        <v>56</v>
      </c>
      <c r="F2357" t="s">
        <v>44</v>
      </c>
      <c r="G2357">
        <v>4257</v>
      </c>
      <c r="H2357" t="s">
        <v>54</v>
      </c>
      <c r="I2357" t="s">
        <v>1119</v>
      </c>
      <c r="J2357">
        <v>8</v>
      </c>
      <c r="K2357">
        <v>23</v>
      </c>
      <c r="L2357">
        <v>2.8425925925925924E-2</v>
      </c>
      <c r="M2357" t="s">
        <v>3079</v>
      </c>
      <c r="X2357" t="s">
        <v>3576</v>
      </c>
    </row>
    <row r="2358" spans="1:24" x14ac:dyDescent="0.25">
      <c r="A2358">
        <v>2354</v>
      </c>
      <c r="B2358" t="s">
        <v>28</v>
      </c>
      <c r="C2358" t="s">
        <v>25</v>
      </c>
      <c r="D2358">
        <v>14</v>
      </c>
      <c r="E2358" t="s">
        <v>1665</v>
      </c>
      <c r="F2358" t="s">
        <v>115</v>
      </c>
      <c r="G2358">
        <v>4258</v>
      </c>
      <c r="H2358" t="s">
        <v>2113</v>
      </c>
      <c r="I2358" t="s">
        <v>2111</v>
      </c>
      <c r="J2358">
        <v>8</v>
      </c>
      <c r="K2358">
        <v>1</v>
      </c>
      <c r="L2358">
        <v>5.7870370370370367E-4</v>
      </c>
      <c r="M2358" t="s">
        <v>778</v>
      </c>
      <c r="N2358" t="s">
        <v>69</v>
      </c>
      <c r="O2358" s="24">
        <v>46139</v>
      </c>
      <c r="P2358">
        <v>603</v>
      </c>
      <c r="Q2358" t="s">
        <v>34</v>
      </c>
      <c r="X2358" t="s">
        <v>3577</v>
      </c>
    </row>
    <row r="2359" spans="1:24" x14ac:dyDescent="0.25">
      <c r="A2359">
        <v>2355</v>
      </c>
      <c r="B2359" t="s">
        <v>28</v>
      </c>
      <c r="C2359" t="s">
        <v>25</v>
      </c>
      <c r="D2359">
        <v>14</v>
      </c>
      <c r="E2359" t="s">
        <v>530</v>
      </c>
      <c r="F2359" t="s">
        <v>44</v>
      </c>
      <c r="G2359">
        <v>4258</v>
      </c>
      <c r="H2359" t="s">
        <v>2364</v>
      </c>
      <c r="I2359" t="s">
        <v>2284</v>
      </c>
      <c r="J2359">
        <v>8</v>
      </c>
      <c r="K2359">
        <v>1</v>
      </c>
      <c r="L2359">
        <v>1.5972222222222221E-3</v>
      </c>
      <c r="M2359" t="s">
        <v>778</v>
      </c>
      <c r="N2359" t="s">
        <v>69</v>
      </c>
      <c r="O2359" s="24">
        <v>46139</v>
      </c>
      <c r="P2359">
        <v>603</v>
      </c>
      <c r="Q2359" t="s">
        <v>34</v>
      </c>
      <c r="X2359" t="s">
        <v>3577</v>
      </c>
    </row>
    <row r="2360" spans="1:24" x14ac:dyDescent="0.25">
      <c r="A2360">
        <v>2356</v>
      </c>
      <c r="B2360" t="s">
        <v>28</v>
      </c>
      <c r="C2360" t="s">
        <v>25</v>
      </c>
      <c r="D2360">
        <v>14</v>
      </c>
      <c r="E2360" t="s">
        <v>1583</v>
      </c>
      <c r="F2360" t="s">
        <v>1583</v>
      </c>
      <c r="G2360">
        <v>4269</v>
      </c>
      <c r="H2360" t="s">
        <v>1888</v>
      </c>
      <c r="I2360" t="s">
        <v>1889</v>
      </c>
      <c r="J2360">
        <v>12</v>
      </c>
      <c r="K2360">
        <v>2</v>
      </c>
      <c r="L2360">
        <v>1.4467592592592592E-3</v>
      </c>
      <c r="M2360" t="s">
        <v>778</v>
      </c>
      <c r="N2360" t="s">
        <v>1316</v>
      </c>
      <c r="O2360" s="24">
        <v>46132</v>
      </c>
      <c r="P2360">
        <v>606</v>
      </c>
      <c r="Q2360" t="s">
        <v>34</v>
      </c>
      <c r="X2360" t="s">
        <v>3578</v>
      </c>
    </row>
    <row r="2361" spans="1:24" x14ac:dyDescent="0.25">
      <c r="A2361">
        <v>2357</v>
      </c>
      <c r="B2361" t="s">
        <v>28</v>
      </c>
      <c r="C2361" t="s">
        <v>25</v>
      </c>
      <c r="D2361">
        <v>14</v>
      </c>
      <c r="E2361" t="s">
        <v>65</v>
      </c>
      <c r="F2361" t="s">
        <v>1596</v>
      </c>
      <c r="G2361">
        <v>4269</v>
      </c>
      <c r="H2361" t="s">
        <v>2444</v>
      </c>
      <c r="I2361" t="s">
        <v>2445</v>
      </c>
      <c r="J2361">
        <v>12</v>
      </c>
      <c r="K2361">
        <v>1</v>
      </c>
      <c r="L2361">
        <v>9.0277777777777774E-4</v>
      </c>
      <c r="M2361" t="s">
        <v>778</v>
      </c>
      <c r="N2361" t="s">
        <v>1316</v>
      </c>
      <c r="O2361" s="24">
        <v>46132</v>
      </c>
      <c r="P2361">
        <v>606</v>
      </c>
      <c r="Q2361" t="s">
        <v>34</v>
      </c>
      <c r="X2361" t="s">
        <v>3578</v>
      </c>
    </row>
    <row r="2362" spans="1:24" x14ac:dyDescent="0.25">
      <c r="A2362">
        <v>2358</v>
      </c>
      <c r="B2362" t="s">
        <v>28</v>
      </c>
      <c r="C2362" t="s">
        <v>25</v>
      </c>
      <c r="D2362">
        <v>14</v>
      </c>
      <c r="E2362" t="s">
        <v>152</v>
      </c>
      <c r="F2362" t="s">
        <v>152</v>
      </c>
      <c r="G2362">
        <v>4269</v>
      </c>
      <c r="H2362" t="s">
        <v>2446</v>
      </c>
      <c r="I2362" t="s">
        <v>2447</v>
      </c>
      <c r="J2362">
        <v>12</v>
      </c>
      <c r="K2362">
        <v>1</v>
      </c>
      <c r="L2362">
        <v>3.1249999999999997E-3</v>
      </c>
      <c r="M2362" t="s">
        <v>778</v>
      </c>
      <c r="N2362" t="s">
        <v>1316</v>
      </c>
      <c r="O2362" s="24">
        <v>46132</v>
      </c>
      <c r="P2362">
        <v>606</v>
      </c>
      <c r="Q2362" t="s">
        <v>34</v>
      </c>
      <c r="X2362" t="s">
        <v>3578</v>
      </c>
    </row>
    <row r="2363" spans="1:24" x14ac:dyDescent="0.25">
      <c r="A2363">
        <v>2359</v>
      </c>
      <c r="B2363" t="s">
        <v>28</v>
      </c>
      <c r="C2363" t="s">
        <v>25</v>
      </c>
      <c r="D2363">
        <v>14</v>
      </c>
      <c r="E2363" t="s">
        <v>530</v>
      </c>
      <c r="F2363" t="s">
        <v>44</v>
      </c>
      <c r="G2363">
        <v>4258</v>
      </c>
      <c r="H2363" t="s">
        <v>2448</v>
      </c>
      <c r="I2363" t="s">
        <v>2049</v>
      </c>
      <c r="J2363">
        <v>8</v>
      </c>
      <c r="K2363">
        <v>1</v>
      </c>
      <c r="L2363">
        <v>1.261574074074074E-3</v>
      </c>
      <c r="M2363" t="s">
        <v>778</v>
      </c>
      <c r="N2363" t="s">
        <v>69</v>
      </c>
      <c r="O2363" s="24">
        <v>46139</v>
      </c>
      <c r="P2363">
        <v>603</v>
      </c>
      <c r="Q2363" t="s">
        <v>34</v>
      </c>
      <c r="X2363" t="s">
        <v>3577</v>
      </c>
    </row>
    <row r="2364" spans="1:24" x14ac:dyDescent="0.25">
      <c r="A2364">
        <v>2360</v>
      </c>
      <c r="B2364" t="s">
        <v>28</v>
      </c>
      <c r="C2364" t="s">
        <v>25</v>
      </c>
      <c r="D2364">
        <v>14</v>
      </c>
      <c r="E2364" t="s">
        <v>131</v>
      </c>
      <c r="F2364" t="s">
        <v>115</v>
      </c>
      <c r="G2364">
        <v>4258</v>
      </c>
      <c r="H2364" t="s">
        <v>2449</v>
      </c>
      <c r="I2364" t="s">
        <v>116</v>
      </c>
      <c r="J2364">
        <v>8</v>
      </c>
      <c r="K2364">
        <v>1</v>
      </c>
      <c r="L2364">
        <v>7.3495370370370364E-3</v>
      </c>
      <c r="M2364" t="s">
        <v>778</v>
      </c>
      <c r="N2364" t="s">
        <v>69</v>
      </c>
      <c r="O2364" s="24">
        <v>46139</v>
      </c>
      <c r="P2364">
        <v>603</v>
      </c>
      <c r="Q2364" t="s">
        <v>34</v>
      </c>
      <c r="X2364" t="s">
        <v>3577</v>
      </c>
    </row>
    <row r="2365" spans="1:24" x14ac:dyDescent="0.25">
      <c r="A2365">
        <v>2361</v>
      </c>
      <c r="B2365" t="s">
        <v>28</v>
      </c>
      <c r="C2365" t="s">
        <v>25</v>
      </c>
      <c r="D2365">
        <v>14</v>
      </c>
      <c r="E2365" t="s">
        <v>1665</v>
      </c>
      <c r="F2365" t="s">
        <v>115</v>
      </c>
      <c r="G2365">
        <v>4259</v>
      </c>
      <c r="H2365" t="s">
        <v>2113</v>
      </c>
      <c r="I2365" t="s">
        <v>2111</v>
      </c>
      <c r="J2365">
        <v>8</v>
      </c>
      <c r="K2365">
        <v>1</v>
      </c>
      <c r="L2365">
        <v>6.0185185185185179E-4</v>
      </c>
      <c r="M2365" t="s">
        <v>778</v>
      </c>
      <c r="N2365" t="s">
        <v>1337</v>
      </c>
      <c r="O2365" s="24">
        <v>46136</v>
      </c>
      <c r="P2365">
        <v>605</v>
      </c>
      <c r="Q2365" t="s">
        <v>34</v>
      </c>
      <c r="X2365" t="s">
        <v>3579</v>
      </c>
    </row>
    <row r="2366" spans="1:24" x14ac:dyDescent="0.25">
      <c r="A2366">
        <v>2362</v>
      </c>
      <c r="B2366" t="s">
        <v>28</v>
      </c>
      <c r="C2366" t="s">
        <v>25</v>
      </c>
      <c r="D2366">
        <v>14</v>
      </c>
      <c r="E2366" t="s">
        <v>1665</v>
      </c>
      <c r="F2366" t="s">
        <v>115</v>
      </c>
      <c r="G2366">
        <v>4259</v>
      </c>
      <c r="H2366" t="s">
        <v>2356</v>
      </c>
      <c r="I2366" t="s">
        <v>2310</v>
      </c>
      <c r="J2366">
        <v>8</v>
      </c>
      <c r="K2366">
        <v>6</v>
      </c>
      <c r="L2366">
        <v>1.1006944444444444E-2</v>
      </c>
      <c r="M2366" t="s">
        <v>778</v>
      </c>
      <c r="N2366" t="s">
        <v>1337</v>
      </c>
      <c r="O2366" s="24">
        <v>46136</v>
      </c>
      <c r="P2366">
        <v>605</v>
      </c>
      <c r="Q2366" t="s">
        <v>34</v>
      </c>
      <c r="X2366" t="s">
        <v>3579</v>
      </c>
    </row>
    <row r="2367" spans="1:24" x14ac:dyDescent="0.25">
      <c r="A2367">
        <v>2363</v>
      </c>
      <c r="B2367" t="s">
        <v>28</v>
      </c>
      <c r="C2367" t="s">
        <v>25</v>
      </c>
      <c r="D2367">
        <v>14</v>
      </c>
      <c r="E2367" t="s">
        <v>367</v>
      </c>
      <c r="F2367" t="s">
        <v>368</v>
      </c>
      <c r="G2367">
        <v>4259</v>
      </c>
      <c r="H2367" t="s">
        <v>2114</v>
      </c>
      <c r="I2367" t="s">
        <v>2097</v>
      </c>
      <c r="J2367">
        <v>8</v>
      </c>
      <c r="K2367">
        <v>2</v>
      </c>
      <c r="L2367">
        <v>1.3310185185185185E-3</v>
      </c>
      <c r="M2367" t="s">
        <v>778</v>
      </c>
      <c r="N2367" t="s">
        <v>1337</v>
      </c>
      <c r="O2367" s="24">
        <v>46136</v>
      </c>
      <c r="P2367">
        <v>605</v>
      </c>
      <c r="Q2367" t="s">
        <v>34</v>
      </c>
      <c r="X2367" t="s">
        <v>3579</v>
      </c>
    </row>
    <row r="2368" spans="1:24" x14ac:dyDescent="0.25">
      <c r="A2368">
        <v>2364</v>
      </c>
      <c r="B2368" t="s">
        <v>28</v>
      </c>
      <c r="C2368" t="s">
        <v>25</v>
      </c>
      <c r="D2368">
        <v>14</v>
      </c>
      <c r="E2368" t="s">
        <v>133</v>
      </c>
      <c r="F2368" t="s">
        <v>512</v>
      </c>
      <c r="G2368">
        <v>4259</v>
      </c>
      <c r="H2368" t="s">
        <v>2451</v>
      </c>
      <c r="I2368" t="s">
        <v>1620</v>
      </c>
      <c r="J2368">
        <v>8</v>
      </c>
      <c r="K2368">
        <v>1</v>
      </c>
      <c r="L2368">
        <v>6.6550925925925927E-3</v>
      </c>
      <c r="M2368" t="s">
        <v>778</v>
      </c>
      <c r="N2368" t="s">
        <v>1337</v>
      </c>
      <c r="O2368" s="24">
        <v>46136</v>
      </c>
      <c r="P2368">
        <v>605</v>
      </c>
      <c r="Q2368" t="s">
        <v>34</v>
      </c>
      <c r="X2368" t="s">
        <v>3579</v>
      </c>
    </row>
    <row r="2369" spans="1:24" x14ac:dyDescent="0.25">
      <c r="A2369">
        <v>2365</v>
      </c>
      <c r="B2369" t="s">
        <v>28</v>
      </c>
      <c r="C2369" t="s">
        <v>25</v>
      </c>
      <c r="D2369">
        <v>14</v>
      </c>
      <c r="E2369" t="s">
        <v>2395</v>
      </c>
      <c r="F2369" t="s">
        <v>44</v>
      </c>
      <c r="G2369">
        <v>4259</v>
      </c>
      <c r="H2369" t="s">
        <v>48</v>
      </c>
      <c r="I2369" t="s">
        <v>1119</v>
      </c>
      <c r="J2369">
        <v>8</v>
      </c>
      <c r="K2369">
        <v>1</v>
      </c>
      <c r="L2369">
        <v>1.4351851851851852E-3</v>
      </c>
      <c r="M2369" t="s">
        <v>778</v>
      </c>
      <c r="N2369" t="s">
        <v>1337</v>
      </c>
      <c r="O2369" s="24">
        <v>46136</v>
      </c>
      <c r="P2369">
        <v>605</v>
      </c>
      <c r="Q2369" t="s">
        <v>34</v>
      </c>
      <c r="X2369" t="s">
        <v>3579</v>
      </c>
    </row>
    <row r="2370" spans="1:24" x14ac:dyDescent="0.25">
      <c r="A2370">
        <v>2366</v>
      </c>
      <c r="B2370" t="s">
        <v>28</v>
      </c>
      <c r="C2370" t="s">
        <v>25</v>
      </c>
      <c r="D2370">
        <v>14</v>
      </c>
      <c r="E2370" t="s">
        <v>1665</v>
      </c>
      <c r="F2370" t="s">
        <v>498</v>
      </c>
      <c r="G2370">
        <v>4260</v>
      </c>
      <c r="H2370" t="s">
        <v>2110</v>
      </c>
      <c r="I2370" t="s">
        <v>2111</v>
      </c>
      <c r="J2370">
        <v>8</v>
      </c>
      <c r="K2370">
        <v>2</v>
      </c>
      <c r="L2370">
        <v>1.2037037037037036E-3</v>
      </c>
      <c r="M2370" t="s">
        <v>778</v>
      </c>
      <c r="N2370" t="s">
        <v>69</v>
      </c>
      <c r="O2370" s="24">
        <v>46139</v>
      </c>
      <c r="P2370">
        <v>603</v>
      </c>
      <c r="Q2370" t="s">
        <v>34</v>
      </c>
      <c r="X2370" t="s">
        <v>3580</v>
      </c>
    </row>
    <row r="2371" spans="1:24" x14ac:dyDescent="0.25">
      <c r="A2371">
        <v>2367</v>
      </c>
      <c r="B2371" t="s">
        <v>28</v>
      </c>
      <c r="C2371" t="s">
        <v>25</v>
      </c>
      <c r="D2371">
        <v>14</v>
      </c>
      <c r="E2371" t="s">
        <v>129</v>
      </c>
      <c r="F2371" t="s">
        <v>512</v>
      </c>
      <c r="G2371">
        <v>4260</v>
      </c>
      <c r="H2371" t="s">
        <v>2453</v>
      </c>
      <c r="I2371" t="s">
        <v>770</v>
      </c>
      <c r="J2371">
        <v>8</v>
      </c>
      <c r="K2371">
        <v>1</v>
      </c>
      <c r="L2371">
        <v>8.6921296296296295E-3</v>
      </c>
      <c r="M2371" t="s">
        <v>778</v>
      </c>
      <c r="N2371" t="s">
        <v>69</v>
      </c>
      <c r="O2371" s="24">
        <v>46139</v>
      </c>
      <c r="P2371">
        <v>603</v>
      </c>
      <c r="Q2371" t="s">
        <v>34</v>
      </c>
      <c r="X2371" t="s">
        <v>3580</v>
      </c>
    </row>
    <row r="2372" spans="1:24" x14ac:dyDescent="0.25">
      <c r="A2372">
        <v>2368</v>
      </c>
      <c r="B2372" t="s">
        <v>28</v>
      </c>
      <c r="C2372" t="s">
        <v>25</v>
      </c>
      <c r="D2372">
        <v>14</v>
      </c>
      <c r="E2372" t="s">
        <v>1672</v>
      </c>
      <c r="F2372" t="s">
        <v>115</v>
      </c>
      <c r="G2372">
        <v>4262</v>
      </c>
      <c r="H2372" t="s">
        <v>2087</v>
      </c>
      <c r="I2372" t="s">
        <v>2088</v>
      </c>
      <c r="J2372">
        <v>8</v>
      </c>
      <c r="K2372">
        <v>1</v>
      </c>
      <c r="L2372">
        <v>6.3657407407407402E-4</v>
      </c>
      <c r="M2372" t="s">
        <v>778</v>
      </c>
      <c r="N2372" t="s">
        <v>1337</v>
      </c>
      <c r="O2372" s="24">
        <v>46136</v>
      </c>
      <c r="P2372">
        <v>605</v>
      </c>
      <c r="Q2372" t="s">
        <v>34</v>
      </c>
      <c r="X2372" t="s">
        <v>3581</v>
      </c>
    </row>
    <row r="2373" spans="1:24" x14ac:dyDescent="0.25">
      <c r="A2373">
        <v>2369</v>
      </c>
      <c r="B2373" t="s">
        <v>28</v>
      </c>
      <c r="C2373" t="s">
        <v>25</v>
      </c>
      <c r="D2373">
        <v>14</v>
      </c>
      <c r="E2373" t="s">
        <v>367</v>
      </c>
      <c r="F2373" t="s">
        <v>1593</v>
      </c>
      <c r="G2373">
        <v>4262</v>
      </c>
      <c r="H2373" t="s">
        <v>2046</v>
      </c>
      <c r="I2373" t="s">
        <v>2047</v>
      </c>
      <c r="J2373">
        <v>8</v>
      </c>
      <c r="K2373">
        <v>1</v>
      </c>
      <c r="L2373">
        <v>4.6296296296296293E-4</v>
      </c>
      <c r="M2373" t="s">
        <v>778</v>
      </c>
      <c r="N2373" t="s">
        <v>1337</v>
      </c>
      <c r="O2373" s="24">
        <v>46136</v>
      </c>
      <c r="P2373">
        <v>605</v>
      </c>
      <c r="Q2373" t="s">
        <v>34</v>
      </c>
      <c r="X2373" t="s">
        <v>3581</v>
      </c>
    </row>
    <row r="2374" spans="1:24" x14ac:dyDescent="0.25">
      <c r="A2374">
        <v>2370</v>
      </c>
      <c r="B2374" t="s">
        <v>28</v>
      </c>
      <c r="C2374" t="s">
        <v>25</v>
      </c>
      <c r="D2374">
        <v>14</v>
      </c>
      <c r="E2374" t="s">
        <v>367</v>
      </c>
      <c r="F2374" t="s">
        <v>1593</v>
      </c>
      <c r="G2374">
        <v>4262</v>
      </c>
      <c r="H2374" t="s">
        <v>2060</v>
      </c>
      <c r="I2374" t="s">
        <v>2061</v>
      </c>
      <c r="J2374">
        <v>8</v>
      </c>
      <c r="K2374">
        <v>3</v>
      </c>
      <c r="L2374">
        <v>9.4907407407407408E-4</v>
      </c>
      <c r="M2374" t="s">
        <v>778</v>
      </c>
      <c r="N2374" t="s">
        <v>1337</v>
      </c>
      <c r="O2374" s="24">
        <v>46136</v>
      </c>
      <c r="P2374">
        <v>605</v>
      </c>
      <c r="Q2374" t="s">
        <v>34</v>
      </c>
      <c r="X2374" t="s">
        <v>3581</v>
      </c>
    </row>
    <row r="2375" spans="1:24" x14ac:dyDescent="0.25">
      <c r="A2375">
        <v>2371</v>
      </c>
      <c r="B2375" t="s">
        <v>28</v>
      </c>
      <c r="C2375" t="s">
        <v>25</v>
      </c>
      <c r="D2375">
        <v>14</v>
      </c>
      <c r="E2375" t="s">
        <v>367</v>
      </c>
      <c r="F2375" t="s">
        <v>1592</v>
      </c>
      <c r="G2375">
        <v>4262</v>
      </c>
      <c r="H2375" t="s">
        <v>2062</v>
      </c>
      <c r="I2375" t="s">
        <v>2063</v>
      </c>
      <c r="J2375">
        <v>8</v>
      </c>
      <c r="K2375">
        <v>4</v>
      </c>
      <c r="L2375">
        <v>1.4004629629629629E-3</v>
      </c>
      <c r="M2375" t="s">
        <v>778</v>
      </c>
      <c r="N2375" t="s">
        <v>1337</v>
      </c>
      <c r="O2375" s="24">
        <v>46136</v>
      </c>
      <c r="P2375">
        <v>605</v>
      </c>
      <c r="Q2375" t="s">
        <v>34</v>
      </c>
      <c r="X2375" t="s">
        <v>3581</v>
      </c>
    </row>
    <row r="2376" spans="1:24" x14ac:dyDescent="0.25">
      <c r="A2376">
        <v>2372</v>
      </c>
      <c r="B2376" t="s">
        <v>28</v>
      </c>
      <c r="C2376" t="s">
        <v>25</v>
      </c>
      <c r="D2376">
        <v>14</v>
      </c>
      <c r="E2376" t="s">
        <v>367</v>
      </c>
      <c r="F2376" t="s">
        <v>1592</v>
      </c>
      <c r="G2376">
        <v>4262</v>
      </c>
      <c r="H2376" t="s">
        <v>2455</v>
      </c>
      <c r="I2376" t="s">
        <v>2456</v>
      </c>
      <c r="J2376">
        <v>8</v>
      </c>
      <c r="K2376">
        <v>10</v>
      </c>
      <c r="L2376">
        <v>3.3217592592592591E-3</v>
      </c>
      <c r="M2376" t="s">
        <v>778</v>
      </c>
      <c r="N2376" t="s">
        <v>1337</v>
      </c>
      <c r="O2376" s="24">
        <v>46136</v>
      </c>
      <c r="P2376">
        <v>605</v>
      </c>
      <c r="Q2376" t="s">
        <v>34</v>
      </c>
      <c r="X2376" t="s">
        <v>3581</v>
      </c>
    </row>
    <row r="2377" spans="1:24" x14ac:dyDescent="0.25">
      <c r="A2377">
        <v>2373</v>
      </c>
      <c r="B2377" t="s">
        <v>28</v>
      </c>
      <c r="C2377" t="s">
        <v>25</v>
      </c>
      <c r="D2377">
        <v>14</v>
      </c>
      <c r="E2377" t="s">
        <v>367</v>
      </c>
      <c r="F2377" t="s">
        <v>368</v>
      </c>
      <c r="G2377">
        <v>4262</v>
      </c>
      <c r="H2377" t="s">
        <v>2457</v>
      </c>
      <c r="I2377" t="s">
        <v>2458</v>
      </c>
      <c r="J2377">
        <v>8</v>
      </c>
      <c r="K2377">
        <v>1</v>
      </c>
      <c r="L2377">
        <v>1.4004629629629629E-3</v>
      </c>
      <c r="M2377" t="s">
        <v>778</v>
      </c>
      <c r="N2377" t="s">
        <v>1337</v>
      </c>
      <c r="O2377" s="24">
        <v>46136</v>
      </c>
      <c r="P2377">
        <v>605</v>
      </c>
      <c r="Q2377" t="s">
        <v>34</v>
      </c>
      <c r="X2377" t="s">
        <v>3581</v>
      </c>
    </row>
    <row r="2378" spans="1:24" x14ac:dyDescent="0.25">
      <c r="A2378">
        <v>2374</v>
      </c>
      <c r="B2378" t="s">
        <v>28</v>
      </c>
      <c r="C2378" t="s">
        <v>25</v>
      </c>
      <c r="D2378">
        <v>14</v>
      </c>
      <c r="E2378" t="s">
        <v>65</v>
      </c>
      <c r="F2378" t="s">
        <v>65</v>
      </c>
      <c r="G2378">
        <v>4262</v>
      </c>
      <c r="H2378" t="s">
        <v>2459</v>
      </c>
      <c r="I2378" t="s">
        <v>2061</v>
      </c>
      <c r="J2378">
        <v>8</v>
      </c>
      <c r="K2378">
        <v>4</v>
      </c>
      <c r="L2378">
        <v>1.261574074074074E-3</v>
      </c>
      <c r="M2378" t="s">
        <v>778</v>
      </c>
      <c r="N2378" t="s">
        <v>1337</v>
      </c>
      <c r="O2378" s="24">
        <v>46136</v>
      </c>
      <c r="P2378">
        <v>605</v>
      </c>
      <c r="Q2378" t="s">
        <v>34</v>
      </c>
      <c r="X2378" t="s">
        <v>3581</v>
      </c>
    </row>
    <row r="2379" spans="1:24" x14ac:dyDescent="0.25">
      <c r="A2379">
        <v>2375</v>
      </c>
      <c r="B2379" t="s">
        <v>28</v>
      </c>
      <c r="C2379" t="s">
        <v>25</v>
      </c>
      <c r="D2379">
        <v>14</v>
      </c>
      <c r="E2379" t="s">
        <v>65</v>
      </c>
      <c r="F2379" t="s">
        <v>65</v>
      </c>
      <c r="G2379">
        <v>4262</v>
      </c>
      <c r="H2379" t="s">
        <v>2460</v>
      </c>
      <c r="I2379" t="s">
        <v>2461</v>
      </c>
      <c r="J2379">
        <v>8</v>
      </c>
      <c r="K2379">
        <v>1</v>
      </c>
      <c r="L2379">
        <v>5.4398148148148144E-4</v>
      </c>
      <c r="M2379" t="s">
        <v>778</v>
      </c>
      <c r="N2379" t="s">
        <v>1337</v>
      </c>
      <c r="O2379" s="24">
        <v>46136</v>
      </c>
      <c r="P2379">
        <v>605</v>
      </c>
      <c r="Q2379" t="s">
        <v>34</v>
      </c>
      <c r="X2379" t="s">
        <v>3581</v>
      </c>
    </row>
    <row r="2380" spans="1:24" x14ac:dyDescent="0.25">
      <c r="A2380">
        <v>2376</v>
      </c>
      <c r="B2380" t="s">
        <v>28</v>
      </c>
      <c r="C2380" t="s">
        <v>25</v>
      </c>
      <c r="D2380">
        <v>14</v>
      </c>
      <c r="E2380" t="s">
        <v>65</v>
      </c>
      <c r="F2380" t="s">
        <v>65</v>
      </c>
      <c r="G2380">
        <v>4262</v>
      </c>
      <c r="H2380" t="s">
        <v>2083</v>
      </c>
      <c r="I2380" t="s">
        <v>2084</v>
      </c>
      <c r="J2380">
        <v>8</v>
      </c>
      <c r="K2380">
        <v>12</v>
      </c>
      <c r="L2380">
        <v>4.5138888888888885E-3</v>
      </c>
      <c r="M2380" t="s">
        <v>778</v>
      </c>
      <c r="N2380" t="s">
        <v>1337</v>
      </c>
      <c r="O2380" s="24">
        <v>46136</v>
      </c>
      <c r="P2380">
        <v>605</v>
      </c>
      <c r="Q2380" t="s">
        <v>34</v>
      </c>
      <c r="X2380" t="s">
        <v>3581</v>
      </c>
    </row>
    <row r="2381" spans="1:24" x14ac:dyDescent="0.25">
      <c r="A2381">
        <v>2377</v>
      </c>
      <c r="B2381" t="s">
        <v>28</v>
      </c>
      <c r="C2381" t="s">
        <v>25</v>
      </c>
      <c r="D2381">
        <v>14</v>
      </c>
      <c r="E2381" t="s">
        <v>131</v>
      </c>
      <c r="F2381" t="s">
        <v>512</v>
      </c>
      <c r="G2381">
        <v>4262</v>
      </c>
      <c r="H2381" t="s">
        <v>2462</v>
      </c>
      <c r="I2381" t="s">
        <v>2380</v>
      </c>
      <c r="J2381">
        <v>8</v>
      </c>
      <c r="K2381">
        <v>1</v>
      </c>
      <c r="L2381">
        <v>4.2592592592592595E-3</v>
      </c>
      <c r="M2381" t="s">
        <v>778</v>
      </c>
      <c r="N2381" t="s">
        <v>1337</v>
      </c>
      <c r="O2381" s="24">
        <v>46136</v>
      </c>
      <c r="P2381">
        <v>605</v>
      </c>
      <c r="Q2381" t="s">
        <v>34</v>
      </c>
      <c r="X2381" t="s">
        <v>3581</v>
      </c>
    </row>
    <row r="2382" spans="1:24" x14ac:dyDescent="0.25">
      <c r="A2382">
        <v>2378</v>
      </c>
      <c r="B2382" t="s">
        <v>28</v>
      </c>
      <c r="C2382" t="s">
        <v>25</v>
      </c>
      <c r="D2382">
        <v>14</v>
      </c>
      <c r="E2382" t="s">
        <v>530</v>
      </c>
      <c r="F2382" t="s">
        <v>44</v>
      </c>
      <c r="G2382">
        <v>4262</v>
      </c>
      <c r="H2382" t="s">
        <v>2463</v>
      </c>
      <c r="I2382" t="s">
        <v>2049</v>
      </c>
      <c r="J2382">
        <v>8</v>
      </c>
      <c r="K2382">
        <v>2</v>
      </c>
      <c r="L2382">
        <v>1.9907407407407408E-3</v>
      </c>
      <c r="M2382" t="s">
        <v>778</v>
      </c>
      <c r="N2382" t="s">
        <v>1337</v>
      </c>
      <c r="O2382" s="24">
        <v>46136</v>
      </c>
      <c r="P2382">
        <v>605</v>
      </c>
      <c r="Q2382" t="s">
        <v>34</v>
      </c>
      <c r="X2382" t="s">
        <v>3581</v>
      </c>
    </row>
    <row r="2383" spans="1:24" x14ac:dyDescent="0.25">
      <c r="A2383">
        <v>2379</v>
      </c>
      <c r="B2383" t="s">
        <v>28</v>
      </c>
      <c r="C2383" t="s">
        <v>25</v>
      </c>
      <c r="D2383">
        <v>14</v>
      </c>
      <c r="E2383" t="s">
        <v>530</v>
      </c>
      <c r="F2383" t="s">
        <v>44</v>
      </c>
      <c r="G2383">
        <v>4262</v>
      </c>
      <c r="H2383" t="s">
        <v>2383</v>
      </c>
      <c r="I2383" t="s">
        <v>2384</v>
      </c>
      <c r="J2383">
        <v>8</v>
      </c>
      <c r="K2383">
        <v>2</v>
      </c>
      <c r="L2383">
        <v>2.3379629629629627E-3</v>
      </c>
      <c r="M2383" t="s">
        <v>778</v>
      </c>
      <c r="N2383" t="s">
        <v>1337</v>
      </c>
      <c r="O2383" s="24">
        <v>46136</v>
      </c>
      <c r="P2383">
        <v>605</v>
      </c>
      <c r="Q2383" t="s">
        <v>34</v>
      </c>
      <c r="X2383" t="s">
        <v>3581</v>
      </c>
    </row>
    <row r="2384" spans="1:24" x14ac:dyDescent="0.25">
      <c r="A2384">
        <v>2380</v>
      </c>
      <c r="B2384" t="s">
        <v>28</v>
      </c>
      <c r="C2384" t="s">
        <v>25</v>
      </c>
      <c r="D2384">
        <v>14</v>
      </c>
      <c r="E2384" t="s">
        <v>530</v>
      </c>
      <c r="F2384" t="s">
        <v>44</v>
      </c>
      <c r="G2384">
        <v>4262</v>
      </c>
      <c r="H2384" t="s">
        <v>2448</v>
      </c>
      <c r="I2384" t="s">
        <v>2049</v>
      </c>
      <c r="J2384">
        <v>8</v>
      </c>
      <c r="K2384">
        <v>1</v>
      </c>
      <c r="L2384">
        <v>9.9537037037037042E-4</v>
      </c>
      <c r="M2384" t="s">
        <v>778</v>
      </c>
      <c r="N2384" t="s">
        <v>1337</v>
      </c>
      <c r="O2384" s="24">
        <v>46136</v>
      </c>
      <c r="P2384">
        <v>605</v>
      </c>
      <c r="Q2384" t="s">
        <v>34</v>
      </c>
      <c r="X2384" t="s">
        <v>3581</v>
      </c>
    </row>
    <row r="2385" spans="1:24" x14ac:dyDescent="0.25">
      <c r="A2385">
        <v>2381</v>
      </c>
      <c r="B2385" t="s">
        <v>28</v>
      </c>
      <c r="C2385" t="s">
        <v>25</v>
      </c>
      <c r="D2385">
        <v>14</v>
      </c>
      <c r="E2385" t="s">
        <v>47</v>
      </c>
      <c r="F2385" t="s">
        <v>44</v>
      </c>
      <c r="G2385">
        <v>4289</v>
      </c>
      <c r="H2385" t="s">
        <v>45</v>
      </c>
      <c r="I2385" t="s">
        <v>1119</v>
      </c>
      <c r="J2385">
        <v>8</v>
      </c>
      <c r="K2385">
        <v>23</v>
      </c>
      <c r="L2385">
        <v>2.8912037037037035E-2</v>
      </c>
      <c r="M2385" t="s">
        <v>3079</v>
      </c>
      <c r="X2385" t="s">
        <v>3582</v>
      </c>
    </row>
    <row r="2386" spans="1:24" x14ac:dyDescent="0.25">
      <c r="A2386">
        <v>2382</v>
      </c>
      <c r="B2386" t="s">
        <v>28</v>
      </c>
      <c r="C2386" t="s">
        <v>25</v>
      </c>
      <c r="D2386">
        <v>14</v>
      </c>
      <c r="E2386" t="s">
        <v>1672</v>
      </c>
      <c r="F2386" t="s">
        <v>115</v>
      </c>
      <c r="G2386">
        <v>4314</v>
      </c>
      <c r="H2386" t="s">
        <v>2087</v>
      </c>
      <c r="I2386" t="s">
        <v>2088</v>
      </c>
      <c r="J2386">
        <v>8</v>
      </c>
      <c r="K2386">
        <v>3</v>
      </c>
      <c r="L2386">
        <v>2.685185185185185E-3</v>
      </c>
      <c r="M2386" t="s">
        <v>778</v>
      </c>
      <c r="N2386" t="s">
        <v>1337</v>
      </c>
      <c r="O2386" s="24">
        <v>46136</v>
      </c>
      <c r="P2386">
        <v>605</v>
      </c>
      <c r="Q2386" t="s">
        <v>34</v>
      </c>
      <c r="X2386" t="s">
        <v>3583</v>
      </c>
    </row>
    <row r="2387" spans="1:24" x14ac:dyDescent="0.25">
      <c r="A2387">
        <v>2383</v>
      </c>
      <c r="B2387" t="s">
        <v>28</v>
      </c>
      <c r="C2387" t="s">
        <v>25</v>
      </c>
      <c r="D2387">
        <v>14</v>
      </c>
      <c r="E2387" t="s">
        <v>129</v>
      </c>
      <c r="F2387" t="s">
        <v>115</v>
      </c>
      <c r="G2387">
        <v>4314</v>
      </c>
      <c r="H2387" t="s">
        <v>2466</v>
      </c>
      <c r="I2387" t="s">
        <v>2138</v>
      </c>
      <c r="J2387">
        <v>8</v>
      </c>
      <c r="K2387">
        <v>1</v>
      </c>
      <c r="L2387">
        <v>6.168981481481481E-3</v>
      </c>
      <c r="M2387" t="s">
        <v>778</v>
      </c>
      <c r="N2387" t="s">
        <v>1337</v>
      </c>
      <c r="O2387" s="24">
        <v>46136</v>
      </c>
      <c r="P2387">
        <v>605</v>
      </c>
      <c r="Q2387" t="s">
        <v>34</v>
      </c>
      <c r="X2387" t="s">
        <v>3583</v>
      </c>
    </row>
    <row r="2388" spans="1:24" x14ac:dyDescent="0.25">
      <c r="A2388">
        <v>2384</v>
      </c>
      <c r="B2388" t="s">
        <v>28</v>
      </c>
      <c r="C2388" t="s">
        <v>25</v>
      </c>
      <c r="D2388">
        <v>14</v>
      </c>
      <c r="E2388" t="s">
        <v>114</v>
      </c>
      <c r="F2388" t="s">
        <v>512</v>
      </c>
      <c r="G2388">
        <v>4314</v>
      </c>
      <c r="H2388" t="s">
        <v>2394</v>
      </c>
      <c r="I2388" t="s">
        <v>2161</v>
      </c>
      <c r="J2388">
        <v>8</v>
      </c>
      <c r="K2388">
        <v>2</v>
      </c>
      <c r="L2388">
        <v>3.6226851851851849E-3</v>
      </c>
      <c r="M2388" t="s">
        <v>778</v>
      </c>
      <c r="N2388" t="s">
        <v>1337</v>
      </c>
      <c r="O2388" s="24">
        <v>46136</v>
      </c>
      <c r="P2388">
        <v>605</v>
      </c>
      <c r="Q2388" t="s">
        <v>34</v>
      </c>
      <c r="X2388" t="s">
        <v>3583</v>
      </c>
    </row>
    <row r="2389" spans="1:24" x14ac:dyDescent="0.25">
      <c r="A2389">
        <v>2385</v>
      </c>
      <c r="B2389" t="s">
        <v>28</v>
      </c>
      <c r="C2389" t="s">
        <v>25</v>
      </c>
      <c r="D2389">
        <v>14</v>
      </c>
      <c r="E2389" t="s">
        <v>131</v>
      </c>
      <c r="F2389" t="s">
        <v>512</v>
      </c>
      <c r="G2389">
        <v>4314</v>
      </c>
      <c r="H2389" t="s">
        <v>2467</v>
      </c>
      <c r="I2389" t="s">
        <v>2371</v>
      </c>
      <c r="J2389">
        <v>8</v>
      </c>
      <c r="K2389">
        <v>1</v>
      </c>
      <c r="L2389">
        <v>1.7129629629629628E-3</v>
      </c>
      <c r="M2389" t="s">
        <v>778</v>
      </c>
      <c r="N2389" t="s">
        <v>1337</v>
      </c>
      <c r="O2389" s="24">
        <v>46136</v>
      </c>
      <c r="P2389">
        <v>605</v>
      </c>
      <c r="Q2389" t="s">
        <v>34</v>
      </c>
      <c r="X2389" t="s">
        <v>3583</v>
      </c>
    </row>
    <row r="2390" spans="1:24" x14ac:dyDescent="0.25">
      <c r="A2390">
        <v>2386</v>
      </c>
      <c r="B2390" t="s">
        <v>28</v>
      </c>
      <c r="C2390" t="s">
        <v>25</v>
      </c>
      <c r="D2390">
        <v>14</v>
      </c>
      <c r="E2390" t="s">
        <v>2468</v>
      </c>
      <c r="F2390" t="s">
        <v>44</v>
      </c>
      <c r="G2390">
        <v>4315</v>
      </c>
      <c r="H2390" t="s">
        <v>54</v>
      </c>
      <c r="I2390" t="s">
        <v>1119</v>
      </c>
      <c r="J2390">
        <v>8</v>
      </c>
      <c r="K2390">
        <v>9</v>
      </c>
      <c r="L2390">
        <v>1.0555555555555556E-2</v>
      </c>
      <c r="M2390" t="s">
        <v>3079</v>
      </c>
      <c r="X2390" t="s">
        <v>3584</v>
      </c>
    </row>
    <row r="2391" spans="1:24" x14ac:dyDescent="0.25">
      <c r="A2391">
        <v>2387</v>
      </c>
      <c r="B2391" t="s">
        <v>28</v>
      </c>
      <c r="C2391" t="s">
        <v>25</v>
      </c>
      <c r="D2391">
        <v>14</v>
      </c>
      <c r="E2391" t="s">
        <v>2470</v>
      </c>
      <c r="F2391" t="s">
        <v>44</v>
      </c>
      <c r="G2391">
        <v>4315</v>
      </c>
      <c r="H2391" t="s">
        <v>48</v>
      </c>
      <c r="I2391" t="s">
        <v>1119</v>
      </c>
      <c r="J2391">
        <v>8</v>
      </c>
      <c r="K2391">
        <v>14</v>
      </c>
      <c r="L2391">
        <v>1.8564814814814815E-2</v>
      </c>
      <c r="M2391" t="s">
        <v>3079</v>
      </c>
      <c r="X2391" t="s">
        <v>3584</v>
      </c>
    </row>
    <row r="2392" spans="1:24" x14ac:dyDescent="0.25">
      <c r="A2392">
        <v>2388</v>
      </c>
      <c r="B2392" t="s">
        <v>28</v>
      </c>
      <c r="C2392" t="s">
        <v>25</v>
      </c>
      <c r="D2392">
        <v>14</v>
      </c>
      <c r="E2392" t="s">
        <v>1672</v>
      </c>
      <c r="F2392" t="s">
        <v>498</v>
      </c>
      <c r="G2392">
        <v>4316</v>
      </c>
      <c r="H2392" t="s">
        <v>2471</v>
      </c>
      <c r="I2392" t="s">
        <v>2472</v>
      </c>
      <c r="J2392">
        <v>8</v>
      </c>
      <c r="K2392">
        <v>1</v>
      </c>
      <c r="L2392">
        <v>5.6481481481481478E-3</v>
      </c>
      <c r="M2392" t="s">
        <v>778</v>
      </c>
      <c r="N2392" t="s">
        <v>1549</v>
      </c>
      <c r="O2392" s="24">
        <v>46140</v>
      </c>
      <c r="P2392">
        <v>605</v>
      </c>
      <c r="Q2392" t="s">
        <v>34</v>
      </c>
      <c r="X2392" t="s">
        <v>3585</v>
      </c>
    </row>
    <row r="2393" spans="1:24" x14ac:dyDescent="0.25">
      <c r="A2393">
        <v>2389</v>
      </c>
      <c r="B2393" t="s">
        <v>28</v>
      </c>
      <c r="C2393" t="s">
        <v>25</v>
      </c>
      <c r="D2393">
        <v>14</v>
      </c>
      <c r="E2393" t="s">
        <v>367</v>
      </c>
      <c r="F2393" t="s">
        <v>1594</v>
      </c>
      <c r="G2393">
        <v>4316</v>
      </c>
      <c r="H2393" t="s">
        <v>2474</v>
      </c>
      <c r="I2393" t="s">
        <v>2475</v>
      </c>
      <c r="J2393">
        <v>8</v>
      </c>
      <c r="K2393">
        <v>1</v>
      </c>
      <c r="L2393">
        <v>9.0277777777777774E-4</v>
      </c>
      <c r="M2393" t="s">
        <v>778</v>
      </c>
      <c r="N2393" t="s">
        <v>1549</v>
      </c>
      <c r="O2393" s="24">
        <v>46140</v>
      </c>
      <c r="P2393">
        <v>605</v>
      </c>
      <c r="Q2393" t="s">
        <v>34</v>
      </c>
      <c r="X2393" t="s">
        <v>3585</v>
      </c>
    </row>
    <row r="2394" spans="1:24" x14ac:dyDescent="0.25">
      <c r="A2394">
        <v>2390</v>
      </c>
      <c r="B2394" t="s">
        <v>28</v>
      </c>
      <c r="C2394" t="s">
        <v>25</v>
      </c>
      <c r="D2394">
        <v>14</v>
      </c>
      <c r="E2394" t="s">
        <v>131</v>
      </c>
      <c r="F2394" t="s">
        <v>512</v>
      </c>
      <c r="G2394">
        <v>4316</v>
      </c>
      <c r="H2394" t="s">
        <v>2476</v>
      </c>
      <c r="I2394" t="s">
        <v>2477</v>
      </c>
      <c r="J2394">
        <v>8</v>
      </c>
      <c r="K2394">
        <v>1</v>
      </c>
      <c r="L2394">
        <v>7.1759259259259259E-4</v>
      </c>
      <c r="M2394" t="s">
        <v>778</v>
      </c>
      <c r="N2394" t="s">
        <v>1549</v>
      </c>
      <c r="O2394" s="24">
        <v>46140</v>
      </c>
      <c r="P2394">
        <v>605</v>
      </c>
      <c r="Q2394" t="s">
        <v>34</v>
      </c>
      <c r="X2394" t="s">
        <v>3585</v>
      </c>
    </row>
    <row r="2395" spans="1:24" x14ac:dyDescent="0.25">
      <c r="A2395">
        <v>2391</v>
      </c>
      <c r="B2395" t="s">
        <v>28</v>
      </c>
      <c r="C2395" t="s">
        <v>25</v>
      </c>
      <c r="D2395">
        <v>14</v>
      </c>
      <c r="E2395" t="s">
        <v>2195</v>
      </c>
      <c r="F2395" t="s">
        <v>44</v>
      </c>
      <c r="G2395">
        <v>4316</v>
      </c>
      <c r="H2395" t="s">
        <v>48</v>
      </c>
      <c r="I2395" t="s">
        <v>1119</v>
      </c>
      <c r="J2395">
        <v>8</v>
      </c>
      <c r="K2395">
        <v>1</v>
      </c>
      <c r="L2395">
        <v>1.4583333333333332E-3</v>
      </c>
      <c r="M2395" t="s">
        <v>778</v>
      </c>
      <c r="N2395" t="s">
        <v>1549</v>
      </c>
      <c r="O2395" s="24">
        <v>46140</v>
      </c>
      <c r="P2395">
        <v>605</v>
      </c>
      <c r="Q2395" t="s">
        <v>34</v>
      </c>
      <c r="X2395" t="s">
        <v>3585</v>
      </c>
    </row>
    <row r="2396" spans="1:24" x14ac:dyDescent="0.25">
      <c r="A2396">
        <v>2392</v>
      </c>
      <c r="B2396" t="s">
        <v>28</v>
      </c>
      <c r="C2396" t="s">
        <v>25</v>
      </c>
      <c r="D2396">
        <v>14</v>
      </c>
      <c r="E2396" t="s">
        <v>1665</v>
      </c>
      <c r="F2396" t="s">
        <v>498</v>
      </c>
      <c r="G2396">
        <v>4317</v>
      </c>
      <c r="H2396" t="s">
        <v>2478</v>
      </c>
      <c r="I2396" t="s">
        <v>2472</v>
      </c>
      <c r="J2396">
        <v>8</v>
      </c>
      <c r="K2396">
        <v>1</v>
      </c>
      <c r="L2396">
        <v>5.8912037037037032E-3</v>
      </c>
      <c r="M2396" t="s">
        <v>778</v>
      </c>
      <c r="N2396" t="s">
        <v>1549</v>
      </c>
      <c r="O2396" s="24">
        <v>46140</v>
      </c>
      <c r="P2396">
        <v>605</v>
      </c>
      <c r="Q2396" t="s">
        <v>34</v>
      </c>
      <c r="X2396" t="s">
        <v>3586</v>
      </c>
    </row>
    <row r="2397" spans="1:24" x14ac:dyDescent="0.25">
      <c r="A2397">
        <v>2393</v>
      </c>
      <c r="B2397" t="s">
        <v>28</v>
      </c>
      <c r="C2397" t="s">
        <v>25</v>
      </c>
      <c r="D2397">
        <v>14</v>
      </c>
      <c r="E2397" t="s">
        <v>367</v>
      </c>
      <c r="F2397" t="s">
        <v>512</v>
      </c>
      <c r="G2397">
        <v>4317</v>
      </c>
      <c r="H2397" t="s">
        <v>2200</v>
      </c>
      <c r="I2397" t="s">
        <v>2201</v>
      </c>
      <c r="J2397">
        <v>8</v>
      </c>
      <c r="K2397">
        <v>1</v>
      </c>
      <c r="L2397">
        <v>1.2268518518518518E-3</v>
      </c>
      <c r="M2397" t="s">
        <v>778</v>
      </c>
      <c r="N2397" t="s">
        <v>1549</v>
      </c>
      <c r="O2397" s="24">
        <v>46140</v>
      </c>
      <c r="P2397">
        <v>605</v>
      </c>
      <c r="Q2397" t="s">
        <v>34</v>
      </c>
      <c r="X2397" t="s">
        <v>3586</v>
      </c>
    </row>
    <row r="2398" spans="1:24" x14ac:dyDescent="0.25">
      <c r="A2398">
        <v>2394</v>
      </c>
      <c r="B2398" t="s">
        <v>28</v>
      </c>
      <c r="C2398" t="s">
        <v>25</v>
      </c>
      <c r="D2398">
        <v>14</v>
      </c>
      <c r="E2398" t="s">
        <v>2195</v>
      </c>
      <c r="F2398" t="s">
        <v>44</v>
      </c>
      <c r="G2398">
        <v>4317</v>
      </c>
      <c r="H2398" t="s">
        <v>48</v>
      </c>
      <c r="I2398" t="s">
        <v>1119</v>
      </c>
      <c r="J2398">
        <v>8</v>
      </c>
      <c r="K2398">
        <v>1</v>
      </c>
      <c r="L2398">
        <v>1.5277777777777776E-3</v>
      </c>
      <c r="M2398" t="s">
        <v>778</v>
      </c>
      <c r="N2398" t="s">
        <v>1549</v>
      </c>
      <c r="O2398" s="24">
        <v>46140</v>
      </c>
      <c r="P2398">
        <v>605</v>
      </c>
      <c r="Q2398" t="s">
        <v>34</v>
      </c>
      <c r="X2398" t="s">
        <v>3586</v>
      </c>
    </row>
    <row r="2399" spans="1:24" x14ac:dyDescent="0.25">
      <c r="A2399">
        <v>2395</v>
      </c>
      <c r="B2399" t="s">
        <v>28</v>
      </c>
      <c r="C2399" t="s">
        <v>25</v>
      </c>
      <c r="D2399">
        <v>14</v>
      </c>
      <c r="E2399" t="s">
        <v>1672</v>
      </c>
      <c r="F2399" t="s">
        <v>498</v>
      </c>
      <c r="G2399">
        <v>4473</v>
      </c>
      <c r="H2399" t="s">
        <v>2480</v>
      </c>
      <c r="I2399" t="s">
        <v>2193</v>
      </c>
      <c r="J2399">
        <v>8</v>
      </c>
      <c r="K2399">
        <v>1</v>
      </c>
      <c r="L2399">
        <v>5.6018518518518518E-3</v>
      </c>
      <c r="M2399" t="s">
        <v>778</v>
      </c>
      <c r="N2399" t="s">
        <v>1549</v>
      </c>
      <c r="O2399" s="24">
        <v>46140</v>
      </c>
      <c r="P2399">
        <v>605</v>
      </c>
      <c r="Q2399" t="s">
        <v>34</v>
      </c>
      <c r="X2399" t="s">
        <v>3587</v>
      </c>
    </row>
    <row r="2400" spans="1:24" x14ac:dyDescent="0.25">
      <c r="A2400">
        <v>2396</v>
      </c>
      <c r="B2400" t="s">
        <v>28</v>
      </c>
      <c r="C2400" t="s">
        <v>25</v>
      </c>
      <c r="D2400">
        <v>14</v>
      </c>
      <c r="E2400" t="s">
        <v>65</v>
      </c>
      <c r="F2400" t="s">
        <v>65</v>
      </c>
      <c r="G2400">
        <v>4473</v>
      </c>
      <c r="H2400" t="s">
        <v>2092</v>
      </c>
      <c r="I2400" t="s">
        <v>2093</v>
      </c>
      <c r="J2400">
        <v>8</v>
      </c>
      <c r="K2400">
        <v>3</v>
      </c>
      <c r="L2400">
        <v>1.9560185185185184E-3</v>
      </c>
      <c r="M2400" t="s">
        <v>778</v>
      </c>
      <c r="N2400" t="s">
        <v>1549</v>
      </c>
      <c r="O2400" s="24">
        <v>46140</v>
      </c>
      <c r="P2400">
        <v>605</v>
      </c>
      <c r="Q2400" t="s">
        <v>34</v>
      </c>
      <c r="X2400" t="s">
        <v>3587</v>
      </c>
    </row>
    <row r="2401" spans="1:24" x14ac:dyDescent="0.25">
      <c r="A2401">
        <v>2397</v>
      </c>
      <c r="B2401" t="s">
        <v>28</v>
      </c>
      <c r="C2401" t="s">
        <v>25</v>
      </c>
      <c r="D2401">
        <v>14</v>
      </c>
      <c r="E2401" t="s">
        <v>2195</v>
      </c>
      <c r="F2401" t="s">
        <v>44</v>
      </c>
      <c r="G2401">
        <v>4473</v>
      </c>
      <c r="H2401" t="s">
        <v>54</v>
      </c>
      <c r="I2401" t="s">
        <v>1119</v>
      </c>
      <c r="J2401">
        <v>8</v>
      </c>
      <c r="K2401">
        <v>1</v>
      </c>
      <c r="L2401">
        <v>1.25E-3</v>
      </c>
      <c r="M2401" t="s">
        <v>778</v>
      </c>
      <c r="N2401" t="s">
        <v>1549</v>
      </c>
      <c r="O2401" s="24">
        <v>46140</v>
      </c>
      <c r="P2401">
        <v>605</v>
      </c>
      <c r="Q2401" t="s">
        <v>34</v>
      </c>
      <c r="X2401" t="s">
        <v>3587</v>
      </c>
    </row>
    <row r="2402" spans="1:24" x14ac:dyDescent="0.25">
      <c r="A2402">
        <v>2398</v>
      </c>
      <c r="B2402" t="s">
        <v>28</v>
      </c>
      <c r="C2402" t="s">
        <v>25</v>
      </c>
      <c r="D2402">
        <v>14</v>
      </c>
      <c r="E2402" t="s">
        <v>1588</v>
      </c>
      <c r="F2402" t="s">
        <v>512</v>
      </c>
      <c r="G2402">
        <v>4475</v>
      </c>
      <c r="H2402" t="s">
        <v>2197</v>
      </c>
      <c r="I2402" t="s">
        <v>2198</v>
      </c>
      <c r="J2402">
        <v>8</v>
      </c>
      <c r="K2402">
        <v>1</v>
      </c>
      <c r="L2402">
        <v>5.5439814814814813E-3</v>
      </c>
      <c r="M2402" t="s">
        <v>778</v>
      </c>
      <c r="N2402" t="s">
        <v>1549</v>
      </c>
      <c r="O2402" s="24">
        <v>46140</v>
      </c>
      <c r="P2402">
        <v>605</v>
      </c>
      <c r="Q2402" t="s">
        <v>34</v>
      </c>
      <c r="X2402" t="s">
        <v>3588</v>
      </c>
    </row>
    <row r="2403" spans="1:24" x14ac:dyDescent="0.25">
      <c r="A2403">
        <v>2399</v>
      </c>
      <c r="B2403" t="s">
        <v>28</v>
      </c>
      <c r="C2403" t="s">
        <v>25</v>
      </c>
      <c r="D2403">
        <v>14</v>
      </c>
      <c r="E2403" t="s">
        <v>367</v>
      </c>
      <c r="F2403" t="s">
        <v>367</v>
      </c>
      <c r="G2403">
        <v>4475</v>
      </c>
      <c r="H2403" t="s">
        <v>2483</v>
      </c>
      <c r="I2403" t="s">
        <v>2484</v>
      </c>
      <c r="J2403">
        <v>8</v>
      </c>
      <c r="K2403">
        <v>4</v>
      </c>
      <c r="L2403">
        <v>2.2569444444444442E-3</v>
      </c>
      <c r="M2403" t="s">
        <v>778</v>
      </c>
      <c r="N2403" t="s">
        <v>1549</v>
      </c>
      <c r="O2403" s="24">
        <v>46140</v>
      </c>
      <c r="P2403">
        <v>605</v>
      </c>
      <c r="Q2403" t="s">
        <v>34</v>
      </c>
      <c r="X2403" t="s">
        <v>3588</v>
      </c>
    </row>
    <row r="2404" spans="1:24" x14ac:dyDescent="0.25">
      <c r="A2404">
        <v>2400</v>
      </c>
      <c r="B2404" t="s">
        <v>28</v>
      </c>
      <c r="C2404" t="s">
        <v>25</v>
      </c>
      <c r="D2404">
        <v>14</v>
      </c>
      <c r="E2404" t="s">
        <v>2195</v>
      </c>
      <c r="F2404" t="s">
        <v>44</v>
      </c>
      <c r="G2404">
        <v>4475</v>
      </c>
      <c r="H2404" t="s">
        <v>45</v>
      </c>
      <c r="I2404" t="s">
        <v>1119</v>
      </c>
      <c r="J2404">
        <v>8</v>
      </c>
      <c r="K2404">
        <v>1</v>
      </c>
      <c r="L2404">
        <v>1.3425925925925925E-3</v>
      </c>
      <c r="M2404" t="s">
        <v>778</v>
      </c>
      <c r="N2404" t="s">
        <v>1549</v>
      </c>
      <c r="O2404" s="24">
        <v>46140</v>
      </c>
      <c r="P2404">
        <v>605</v>
      </c>
      <c r="Q2404" t="s">
        <v>34</v>
      </c>
      <c r="X2404" t="s">
        <v>3588</v>
      </c>
    </row>
    <row r="2405" spans="1:24" x14ac:dyDescent="0.25">
      <c r="A2405">
        <v>2401</v>
      </c>
      <c r="B2405" t="s">
        <v>28</v>
      </c>
      <c r="C2405" t="s">
        <v>25</v>
      </c>
      <c r="D2405">
        <v>14</v>
      </c>
      <c r="E2405" t="s">
        <v>1588</v>
      </c>
      <c r="F2405" t="s">
        <v>512</v>
      </c>
      <c r="G2405">
        <v>4478</v>
      </c>
      <c r="H2405" t="s">
        <v>2197</v>
      </c>
      <c r="I2405" t="s">
        <v>2198</v>
      </c>
      <c r="J2405">
        <v>8</v>
      </c>
      <c r="K2405">
        <v>1</v>
      </c>
      <c r="L2405">
        <v>5.7407407407407407E-3</v>
      </c>
      <c r="M2405" t="s">
        <v>778</v>
      </c>
      <c r="N2405" t="s">
        <v>1549</v>
      </c>
      <c r="O2405" s="24">
        <v>46140</v>
      </c>
      <c r="P2405">
        <v>605</v>
      </c>
      <c r="Q2405" t="s">
        <v>34</v>
      </c>
      <c r="X2405" t="s">
        <v>3589</v>
      </c>
    </row>
    <row r="2406" spans="1:24" x14ac:dyDescent="0.25">
      <c r="A2406">
        <v>2402</v>
      </c>
      <c r="B2406" t="s">
        <v>28</v>
      </c>
      <c r="C2406" t="s">
        <v>25</v>
      </c>
      <c r="D2406">
        <v>14</v>
      </c>
      <c r="E2406" t="s">
        <v>367</v>
      </c>
      <c r="F2406" t="s">
        <v>367</v>
      </c>
      <c r="G2406">
        <v>4478</v>
      </c>
      <c r="H2406" t="s">
        <v>2483</v>
      </c>
      <c r="I2406" t="s">
        <v>2484</v>
      </c>
      <c r="J2406">
        <v>8</v>
      </c>
      <c r="K2406">
        <v>1</v>
      </c>
      <c r="L2406">
        <v>5.7870370370370367E-4</v>
      </c>
      <c r="M2406" t="s">
        <v>778</v>
      </c>
      <c r="N2406" t="s">
        <v>1549</v>
      </c>
      <c r="O2406" s="24">
        <v>46140</v>
      </c>
      <c r="P2406">
        <v>605</v>
      </c>
      <c r="Q2406" t="s">
        <v>34</v>
      </c>
      <c r="X2406" t="s">
        <v>3589</v>
      </c>
    </row>
    <row r="2407" spans="1:24" x14ac:dyDescent="0.25">
      <c r="A2407">
        <v>2403</v>
      </c>
      <c r="B2407" t="s">
        <v>28</v>
      </c>
      <c r="C2407" t="s">
        <v>25</v>
      </c>
      <c r="D2407">
        <v>14</v>
      </c>
      <c r="E2407" t="s">
        <v>367</v>
      </c>
      <c r="F2407" t="s">
        <v>1594</v>
      </c>
      <c r="G2407">
        <v>4478</v>
      </c>
      <c r="H2407" t="s">
        <v>2486</v>
      </c>
      <c r="I2407" t="s">
        <v>2487</v>
      </c>
      <c r="J2407">
        <v>8</v>
      </c>
      <c r="K2407">
        <v>1</v>
      </c>
      <c r="L2407">
        <v>1.0763888888888889E-3</v>
      </c>
      <c r="M2407" t="s">
        <v>778</v>
      </c>
      <c r="N2407" t="s">
        <v>1549</v>
      </c>
      <c r="O2407" s="24">
        <v>46140</v>
      </c>
      <c r="P2407">
        <v>605</v>
      </c>
      <c r="Q2407" t="s">
        <v>34</v>
      </c>
      <c r="X2407" t="s">
        <v>3589</v>
      </c>
    </row>
    <row r="2408" spans="1:24" x14ac:dyDescent="0.25">
      <c r="A2408">
        <v>2404</v>
      </c>
      <c r="B2408" t="s">
        <v>28</v>
      </c>
      <c r="C2408" t="s">
        <v>25</v>
      </c>
      <c r="D2408">
        <v>14</v>
      </c>
      <c r="E2408" t="s">
        <v>2195</v>
      </c>
      <c r="F2408" t="s">
        <v>44</v>
      </c>
      <c r="G2408">
        <v>4478</v>
      </c>
      <c r="H2408" t="s">
        <v>45</v>
      </c>
      <c r="I2408" t="s">
        <v>1119</v>
      </c>
      <c r="J2408">
        <v>8</v>
      </c>
      <c r="K2408">
        <v>1</v>
      </c>
      <c r="L2408">
        <v>1.4004629629629629E-3</v>
      </c>
      <c r="M2408" t="s">
        <v>778</v>
      </c>
      <c r="N2408" t="s">
        <v>1549</v>
      </c>
      <c r="O2408" s="24">
        <v>46140</v>
      </c>
      <c r="P2408">
        <v>605</v>
      </c>
      <c r="Q2408" t="s">
        <v>34</v>
      </c>
      <c r="X2408" t="s">
        <v>3589</v>
      </c>
    </row>
    <row r="2409" spans="1:24" x14ac:dyDescent="0.25">
      <c r="A2409">
        <v>2405</v>
      </c>
      <c r="B2409" t="s">
        <v>28</v>
      </c>
      <c r="C2409" t="s">
        <v>25</v>
      </c>
      <c r="D2409">
        <v>14</v>
      </c>
      <c r="E2409" t="s">
        <v>1665</v>
      </c>
      <c r="F2409" t="s">
        <v>498</v>
      </c>
      <c r="G2409">
        <v>4479</v>
      </c>
      <c r="H2409" t="s">
        <v>2311</v>
      </c>
      <c r="I2409" t="s">
        <v>2300</v>
      </c>
      <c r="J2409">
        <v>8</v>
      </c>
      <c r="K2409">
        <v>2</v>
      </c>
      <c r="L2409">
        <v>3.7615740740740739E-3</v>
      </c>
      <c r="M2409" t="s">
        <v>778</v>
      </c>
      <c r="N2409" t="s">
        <v>1422</v>
      </c>
      <c r="O2409" s="24">
        <v>46133</v>
      </c>
      <c r="P2409">
        <v>605</v>
      </c>
      <c r="Q2409" t="s">
        <v>34</v>
      </c>
      <c r="X2409" t="s">
        <v>3590</v>
      </c>
    </row>
    <row r="2410" spans="1:24" x14ac:dyDescent="0.25">
      <c r="A2410">
        <v>2406</v>
      </c>
      <c r="B2410" t="s">
        <v>28</v>
      </c>
      <c r="C2410" t="s">
        <v>25</v>
      </c>
      <c r="D2410">
        <v>14</v>
      </c>
      <c r="E2410" t="s">
        <v>1672</v>
      </c>
      <c r="F2410" t="s">
        <v>498</v>
      </c>
      <c r="G2410">
        <v>4479</v>
      </c>
      <c r="H2410" t="s">
        <v>2299</v>
      </c>
      <c r="I2410" t="s">
        <v>2300</v>
      </c>
      <c r="J2410">
        <v>8</v>
      </c>
      <c r="K2410">
        <v>3</v>
      </c>
      <c r="L2410">
        <v>5.6365740740740742E-3</v>
      </c>
      <c r="M2410" t="s">
        <v>778</v>
      </c>
      <c r="N2410" t="s">
        <v>1422</v>
      </c>
      <c r="O2410" s="24">
        <v>46133</v>
      </c>
      <c r="P2410">
        <v>605</v>
      </c>
      <c r="Q2410" t="s">
        <v>34</v>
      </c>
      <c r="X2410" t="s">
        <v>3590</v>
      </c>
    </row>
    <row r="2411" spans="1:24" x14ac:dyDescent="0.25">
      <c r="A2411">
        <v>2407</v>
      </c>
      <c r="B2411" t="s">
        <v>28</v>
      </c>
      <c r="C2411" t="s">
        <v>25</v>
      </c>
      <c r="D2411">
        <v>14</v>
      </c>
      <c r="E2411" t="s">
        <v>65</v>
      </c>
      <c r="F2411" t="s">
        <v>1590</v>
      </c>
      <c r="G2411">
        <v>4479</v>
      </c>
      <c r="H2411" t="s">
        <v>2489</v>
      </c>
      <c r="I2411" t="s">
        <v>2258</v>
      </c>
      <c r="J2411">
        <v>8</v>
      </c>
      <c r="K2411">
        <v>1</v>
      </c>
      <c r="L2411">
        <v>5.9375000000000001E-3</v>
      </c>
      <c r="M2411" t="s">
        <v>778</v>
      </c>
      <c r="N2411" t="s">
        <v>1422</v>
      </c>
      <c r="O2411" s="24">
        <v>46133</v>
      </c>
      <c r="P2411">
        <v>605</v>
      </c>
      <c r="Q2411" t="s">
        <v>34</v>
      </c>
      <c r="X2411" t="s">
        <v>3590</v>
      </c>
    </row>
    <row r="2412" spans="1:24" x14ac:dyDescent="0.25">
      <c r="A2412">
        <v>2408</v>
      </c>
      <c r="B2412" t="s">
        <v>28</v>
      </c>
      <c r="C2412" t="s">
        <v>25</v>
      </c>
      <c r="D2412">
        <v>14</v>
      </c>
      <c r="E2412" t="s">
        <v>2094</v>
      </c>
      <c r="F2412" t="s">
        <v>44</v>
      </c>
      <c r="G2412">
        <v>4479</v>
      </c>
      <c r="H2412" t="s">
        <v>45</v>
      </c>
      <c r="I2412" t="s">
        <v>1119</v>
      </c>
      <c r="J2412">
        <v>8</v>
      </c>
      <c r="K2412">
        <v>3</v>
      </c>
      <c r="L2412">
        <v>4.1550925925925922E-3</v>
      </c>
      <c r="M2412" t="s">
        <v>778</v>
      </c>
      <c r="N2412" t="s">
        <v>1422</v>
      </c>
      <c r="O2412" s="24">
        <v>46133</v>
      </c>
      <c r="P2412">
        <v>605</v>
      </c>
      <c r="Q2412" t="s">
        <v>34</v>
      </c>
      <c r="X2412" t="s">
        <v>3590</v>
      </c>
    </row>
    <row r="2413" spans="1:24" x14ac:dyDescent="0.25">
      <c r="A2413">
        <v>2409</v>
      </c>
      <c r="B2413" t="s">
        <v>28</v>
      </c>
      <c r="C2413" t="s">
        <v>25</v>
      </c>
      <c r="D2413">
        <v>14</v>
      </c>
      <c r="E2413" t="s">
        <v>1665</v>
      </c>
      <c r="F2413" t="s">
        <v>115</v>
      </c>
      <c r="G2413">
        <v>4480</v>
      </c>
      <c r="H2413" t="s">
        <v>2356</v>
      </c>
      <c r="I2413" t="s">
        <v>2310</v>
      </c>
      <c r="J2413">
        <v>8</v>
      </c>
      <c r="K2413">
        <v>5</v>
      </c>
      <c r="L2413">
        <v>9.0624999999999994E-3</v>
      </c>
      <c r="M2413" t="s">
        <v>778</v>
      </c>
      <c r="N2413" t="s">
        <v>1422</v>
      </c>
      <c r="O2413" s="24">
        <v>46133</v>
      </c>
      <c r="P2413">
        <v>605</v>
      </c>
      <c r="Q2413" t="s">
        <v>34</v>
      </c>
      <c r="X2413" t="s">
        <v>3591</v>
      </c>
    </row>
    <row r="2414" spans="1:24" x14ac:dyDescent="0.25">
      <c r="A2414">
        <v>2410</v>
      </c>
      <c r="B2414" t="s">
        <v>28</v>
      </c>
      <c r="C2414" t="s">
        <v>25</v>
      </c>
      <c r="D2414">
        <v>14</v>
      </c>
      <c r="E2414" t="s">
        <v>65</v>
      </c>
      <c r="F2414" t="s">
        <v>1590</v>
      </c>
      <c r="G2414">
        <v>4480</v>
      </c>
      <c r="H2414" t="s">
        <v>2491</v>
      </c>
      <c r="I2414" t="s">
        <v>2258</v>
      </c>
      <c r="J2414">
        <v>8</v>
      </c>
      <c r="K2414">
        <v>1</v>
      </c>
      <c r="L2414">
        <v>6.0532407407407401E-3</v>
      </c>
      <c r="M2414" t="s">
        <v>778</v>
      </c>
      <c r="N2414" t="s">
        <v>1422</v>
      </c>
      <c r="O2414" s="24">
        <v>46133</v>
      </c>
      <c r="P2414">
        <v>605</v>
      </c>
      <c r="Q2414" t="s">
        <v>34</v>
      </c>
      <c r="X2414" t="s">
        <v>3591</v>
      </c>
    </row>
    <row r="2415" spans="1:24" x14ac:dyDescent="0.25">
      <c r="A2415">
        <v>2411</v>
      </c>
      <c r="B2415" t="s">
        <v>28</v>
      </c>
      <c r="C2415" t="s">
        <v>25</v>
      </c>
      <c r="D2415">
        <v>14</v>
      </c>
      <c r="E2415" t="s">
        <v>2094</v>
      </c>
      <c r="F2415" t="s">
        <v>44</v>
      </c>
      <c r="G2415">
        <v>4480</v>
      </c>
      <c r="H2415" t="s">
        <v>45</v>
      </c>
      <c r="I2415" t="s">
        <v>1119</v>
      </c>
      <c r="J2415">
        <v>8</v>
      </c>
      <c r="K2415">
        <v>3</v>
      </c>
      <c r="L2415">
        <v>4.1550925925925922E-3</v>
      </c>
      <c r="M2415" t="s">
        <v>778</v>
      </c>
      <c r="N2415" t="s">
        <v>1422</v>
      </c>
      <c r="O2415" s="24">
        <v>46133</v>
      </c>
      <c r="P2415">
        <v>605</v>
      </c>
      <c r="Q2415" t="s">
        <v>34</v>
      </c>
      <c r="X2415" t="s">
        <v>3591</v>
      </c>
    </row>
    <row r="2416" spans="1:24" x14ac:dyDescent="0.25">
      <c r="A2416">
        <v>2412</v>
      </c>
      <c r="B2416" t="s">
        <v>28</v>
      </c>
      <c r="C2416" t="s">
        <v>25</v>
      </c>
      <c r="D2416">
        <v>14</v>
      </c>
      <c r="E2416" t="s">
        <v>133</v>
      </c>
      <c r="F2416" t="s">
        <v>512</v>
      </c>
      <c r="G2416">
        <v>4481</v>
      </c>
      <c r="H2416" t="s">
        <v>91</v>
      </c>
      <c r="I2416" t="s">
        <v>119</v>
      </c>
      <c r="J2416">
        <v>8</v>
      </c>
      <c r="K2416">
        <v>1</v>
      </c>
      <c r="L2416">
        <v>7.2916666666666668E-3</v>
      </c>
      <c r="M2416" t="s">
        <v>778</v>
      </c>
      <c r="N2416" t="s">
        <v>69</v>
      </c>
      <c r="O2416" s="24">
        <v>46139</v>
      </c>
      <c r="P2416">
        <v>603</v>
      </c>
      <c r="Q2416" t="s">
        <v>34</v>
      </c>
      <c r="X2416" t="s">
        <v>3592</v>
      </c>
    </row>
    <row r="2417" spans="1:24" x14ac:dyDescent="0.25">
      <c r="A2417">
        <v>2413</v>
      </c>
      <c r="B2417" t="s">
        <v>28</v>
      </c>
      <c r="C2417" t="s">
        <v>25</v>
      </c>
      <c r="D2417">
        <v>14</v>
      </c>
      <c r="E2417" t="s">
        <v>550</v>
      </c>
      <c r="F2417" t="s">
        <v>512</v>
      </c>
      <c r="G2417">
        <v>4482</v>
      </c>
      <c r="H2417" t="s">
        <v>551</v>
      </c>
      <c r="I2417" t="s">
        <v>119</v>
      </c>
      <c r="J2417">
        <v>8</v>
      </c>
      <c r="K2417">
        <v>1</v>
      </c>
      <c r="L2417">
        <v>6.9212962962962961E-3</v>
      </c>
      <c r="M2417" t="s">
        <v>778</v>
      </c>
      <c r="N2417" t="s">
        <v>1504</v>
      </c>
      <c r="O2417" s="24">
        <v>46141</v>
      </c>
      <c r="P2417">
        <v>603</v>
      </c>
      <c r="Q2417" t="s">
        <v>34</v>
      </c>
      <c r="X2417" t="s">
        <v>3593</v>
      </c>
    </row>
    <row r="2418" spans="1:24" x14ac:dyDescent="0.25">
      <c r="A2418">
        <v>2414</v>
      </c>
      <c r="B2418" t="s">
        <v>28</v>
      </c>
      <c r="C2418" t="s">
        <v>25</v>
      </c>
      <c r="D2418">
        <v>14</v>
      </c>
      <c r="E2418" t="s">
        <v>550</v>
      </c>
      <c r="F2418" t="s">
        <v>512</v>
      </c>
      <c r="G2418">
        <v>4483</v>
      </c>
      <c r="H2418" t="s">
        <v>551</v>
      </c>
      <c r="I2418" t="s">
        <v>119</v>
      </c>
      <c r="J2418">
        <v>8</v>
      </c>
      <c r="K2418">
        <v>1</v>
      </c>
      <c r="L2418">
        <v>6.9212962962962961E-3</v>
      </c>
      <c r="M2418" t="s">
        <v>778</v>
      </c>
      <c r="N2418" t="s">
        <v>1504</v>
      </c>
      <c r="O2418" s="24">
        <v>46141</v>
      </c>
      <c r="P2418">
        <v>603</v>
      </c>
      <c r="Q2418" t="s">
        <v>34</v>
      </c>
      <c r="X2418" t="s">
        <v>3594</v>
      </c>
    </row>
    <row r="2419" spans="1:24" x14ac:dyDescent="0.25">
      <c r="A2419">
        <v>2415</v>
      </c>
      <c r="B2419" t="s">
        <v>28</v>
      </c>
      <c r="C2419" t="s">
        <v>25</v>
      </c>
      <c r="D2419">
        <v>14</v>
      </c>
      <c r="E2419" t="s">
        <v>550</v>
      </c>
      <c r="F2419" t="s">
        <v>512</v>
      </c>
      <c r="G2419">
        <v>4484</v>
      </c>
      <c r="H2419" t="s">
        <v>551</v>
      </c>
      <c r="I2419" t="s">
        <v>119</v>
      </c>
      <c r="J2419">
        <v>8</v>
      </c>
      <c r="K2419">
        <v>1</v>
      </c>
      <c r="L2419">
        <v>6.9212962962962961E-3</v>
      </c>
      <c r="M2419" t="s">
        <v>778</v>
      </c>
      <c r="N2419" t="s">
        <v>1504</v>
      </c>
      <c r="O2419" s="24">
        <v>46141</v>
      </c>
      <c r="P2419">
        <v>603</v>
      </c>
      <c r="Q2419" t="s">
        <v>34</v>
      </c>
      <c r="X2419" t="s">
        <v>3595</v>
      </c>
    </row>
    <row r="2420" spans="1:24" x14ac:dyDescent="0.25">
      <c r="A2420">
        <v>2416</v>
      </c>
      <c r="B2420" t="s">
        <v>28</v>
      </c>
      <c r="C2420" t="s">
        <v>25</v>
      </c>
      <c r="D2420">
        <v>14</v>
      </c>
      <c r="E2420" t="s">
        <v>550</v>
      </c>
      <c r="F2420" t="s">
        <v>512</v>
      </c>
      <c r="G2420">
        <v>4485</v>
      </c>
      <c r="H2420" t="s">
        <v>551</v>
      </c>
      <c r="I2420" t="s">
        <v>119</v>
      </c>
      <c r="J2420">
        <v>8</v>
      </c>
      <c r="K2420">
        <v>1</v>
      </c>
      <c r="L2420">
        <v>6.9212962962962961E-3</v>
      </c>
      <c r="M2420" t="s">
        <v>778</v>
      </c>
      <c r="N2420" t="s">
        <v>1504</v>
      </c>
      <c r="O2420" s="24">
        <v>46141</v>
      </c>
      <c r="P2420">
        <v>603</v>
      </c>
      <c r="Q2420" t="s">
        <v>34</v>
      </c>
      <c r="X2420" t="s">
        <v>3596</v>
      </c>
    </row>
    <row r="2421" spans="1:24" x14ac:dyDescent="0.25">
      <c r="A2421">
        <v>2417</v>
      </c>
      <c r="B2421" t="s">
        <v>28</v>
      </c>
      <c r="C2421" t="s">
        <v>25</v>
      </c>
      <c r="D2421">
        <v>14</v>
      </c>
      <c r="E2421" t="s">
        <v>550</v>
      </c>
      <c r="F2421" t="s">
        <v>512</v>
      </c>
      <c r="G2421">
        <v>4486</v>
      </c>
      <c r="H2421" t="s">
        <v>551</v>
      </c>
      <c r="I2421" t="s">
        <v>119</v>
      </c>
      <c r="J2421">
        <v>8</v>
      </c>
      <c r="K2421">
        <v>1</v>
      </c>
      <c r="L2421">
        <v>6.9212962962962961E-3</v>
      </c>
      <c r="M2421" t="s">
        <v>778</v>
      </c>
      <c r="N2421" t="s">
        <v>1504</v>
      </c>
      <c r="O2421" s="24">
        <v>46141</v>
      </c>
      <c r="P2421">
        <v>603</v>
      </c>
      <c r="Q2421" t="s">
        <v>34</v>
      </c>
      <c r="X2421" t="s">
        <v>3597</v>
      </c>
    </row>
    <row r="2422" spans="1:24" x14ac:dyDescent="0.25">
      <c r="A2422">
        <v>2418</v>
      </c>
      <c r="B2422" t="s">
        <v>28</v>
      </c>
      <c r="C2422" t="s">
        <v>25</v>
      </c>
      <c r="D2422">
        <v>14</v>
      </c>
      <c r="E2422" t="s">
        <v>367</v>
      </c>
      <c r="F2422" t="s">
        <v>512</v>
      </c>
      <c r="G2422">
        <v>3522</v>
      </c>
      <c r="H2422" t="s">
        <v>2498</v>
      </c>
      <c r="I2422" t="s">
        <v>1689</v>
      </c>
      <c r="J2422">
        <v>16</v>
      </c>
      <c r="K2422">
        <v>1</v>
      </c>
      <c r="L2422">
        <v>9.7222222222222219E-4</v>
      </c>
      <c r="M2422" t="s">
        <v>778</v>
      </c>
      <c r="N2422" t="s">
        <v>1316</v>
      </c>
      <c r="O2422" s="24">
        <v>46132</v>
      </c>
      <c r="P2422">
        <v>606</v>
      </c>
      <c r="Q2422" t="s">
        <v>34</v>
      </c>
      <c r="X2422" t="s">
        <v>3480</v>
      </c>
    </row>
    <row r="2423" spans="1:24" x14ac:dyDescent="0.25">
      <c r="A2423">
        <v>2419</v>
      </c>
      <c r="B2423" t="s">
        <v>28</v>
      </c>
      <c r="C2423" t="s">
        <v>25</v>
      </c>
      <c r="D2423">
        <v>14</v>
      </c>
      <c r="E2423" t="s">
        <v>367</v>
      </c>
      <c r="F2423" t="s">
        <v>512</v>
      </c>
      <c r="G2423">
        <v>3522</v>
      </c>
      <c r="H2423" t="s">
        <v>2499</v>
      </c>
      <c r="I2423" t="s">
        <v>2500</v>
      </c>
      <c r="J2423">
        <v>16</v>
      </c>
      <c r="K2423">
        <v>1</v>
      </c>
      <c r="L2423">
        <v>1.1111111111111111E-3</v>
      </c>
      <c r="M2423" t="s">
        <v>778</v>
      </c>
      <c r="N2423" t="s">
        <v>1316</v>
      </c>
      <c r="O2423" s="24">
        <v>46132</v>
      </c>
      <c r="P2423">
        <v>606</v>
      </c>
      <c r="Q2423" t="s">
        <v>34</v>
      </c>
      <c r="X2423" t="s">
        <v>3480</v>
      </c>
    </row>
    <row r="2424" spans="1:24" x14ac:dyDescent="0.25">
      <c r="A2424">
        <v>2420</v>
      </c>
      <c r="B2424" t="s">
        <v>28</v>
      </c>
      <c r="C2424" t="s">
        <v>25</v>
      </c>
      <c r="D2424">
        <v>14</v>
      </c>
      <c r="E2424" t="s">
        <v>367</v>
      </c>
      <c r="F2424" t="s">
        <v>1594</v>
      </c>
      <c r="G2424">
        <v>3522</v>
      </c>
      <c r="H2424" t="s">
        <v>1793</v>
      </c>
      <c r="I2424" t="s">
        <v>1642</v>
      </c>
      <c r="J2424">
        <v>16</v>
      </c>
      <c r="K2424">
        <v>1</v>
      </c>
      <c r="L2424">
        <v>7.0601851851851847E-4</v>
      </c>
      <c r="M2424" t="s">
        <v>778</v>
      </c>
      <c r="N2424" t="s">
        <v>1316</v>
      </c>
      <c r="O2424" s="24">
        <v>46132</v>
      </c>
      <c r="P2424">
        <v>606</v>
      </c>
      <c r="Q2424" t="s">
        <v>34</v>
      </c>
      <c r="X2424" t="s">
        <v>3480</v>
      </c>
    </row>
    <row r="2425" spans="1:24" x14ac:dyDescent="0.25">
      <c r="A2425">
        <v>2421</v>
      </c>
      <c r="B2425" t="s">
        <v>28</v>
      </c>
      <c r="C2425" t="s">
        <v>25</v>
      </c>
      <c r="D2425">
        <v>14</v>
      </c>
      <c r="E2425" t="s">
        <v>65</v>
      </c>
      <c r="F2425" t="s">
        <v>512</v>
      </c>
      <c r="G2425">
        <v>3522</v>
      </c>
      <c r="H2425" t="s">
        <v>1692</v>
      </c>
      <c r="I2425" t="s">
        <v>1693</v>
      </c>
      <c r="J2425">
        <v>16</v>
      </c>
      <c r="K2425">
        <v>1</v>
      </c>
      <c r="L2425">
        <v>7.0601851851851847E-4</v>
      </c>
      <c r="M2425" t="s">
        <v>778</v>
      </c>
      <c r="N2425" t="s">
        <v>1316</v>
      </c>
      <c r="O2425" s="24">
        <v>46132</v>
      </c>
      <c r="P2425">
        <v>606</v>
      </c>
      <c r="Q2425" t="s">
        <v>34</v>
      </c>
      <c r="X2425" t="s">
        <v>3480</v>
      </c>
    </row>
    <row r="2426" spans="1:24" x14ac:dyDescent="0.25">
      <c r="A2426">
        <v>2422</v>
      </c>
      <c r="B2426" t="s">
        <v>28</v>
      </c>
      <c r="C2426" t="s">
        <v>25</v>
      </c>
      <c r="D2426">
        <v>14</v>
      </c>
      <c r="E2426" t="s">
        <v>65</v>
      </c>
      <c r="F2426" t="s">
        <v>512</v>
      </c>
      <c r="G2426">
        <v>3522</v>
      </c>
      <c r="H2426" t="s">
        <v>1694</v>
      </c>
      <c r="I2426" t="s">
        <v>1693</v>
      </c>
      <c r="J2426">
        <v>16</v>
      </c>
      <c r="K2426">
        <v>1</v>
      </c>
      <c r="L2426">
        <v>7.0601851851851847E-4</v>
      </c>
      <c r="M2426" t="s">
        <v>778</v>
      </c>
      <c r="N2426" t="s">
        <v>1316</v>
      </c>
      <c r="O2426" s="24">
        <v>46132</v>
      </c>
      <c r="P2426">
        <v>606</v>
      </c>
      <c r="Q2426" t="s">
        <v>34</v>
      </c>
      <c r="X2426" t="s">
        <v>3480</v>
      </c>
    </row>
    <row r="2427" spans="1:24" x14ac:dyDescent="0.25">
      <c r="A2427">
        <v>2423</v>
      </c>
      <c r="B2427" t="s">
        <v>28</v>
      </c>
      <c r="C2427" t="s">
        <v>25</v>
      </c>
      <c r="D2427">
        <v>14</v>
      </c>
      <c r="E2427" t="s">
        <v>65</v>
      </c>
      <c r="F2427" t="s">
        <v>1598</v>
      </c>
      <c r="G2427">
        <v>3522</v>
      </c>
      <c r="H2427" t="s">
        <v>2501</v>
      </c>
      <c r="I2427" t="s">
        <v>1807</v>
      </c>
      <c r="J2427">
        <v>16</v>
      </c>
      <c r="K2427">
        <v>1</v>
      </c>
      <c r="L2427">
        <v>1.7939814814814815E-3</v>
      </c>
      <c r="M2427" t="s">
        <v>778</v>
      </c>
      <c r="N2427" t="s">
        <v>1316</v>
      </c>
      <c r="O2427" s="24">
        <v>46132</v>
      </c>
      <c r="P2427">
        <v>606</v>
      </c>
      <c r="Q2427" t="s">
        <v>34</v>
      </c>
      <c r="X2427" t="s">
        <v>3480</v>
      </c>
    </row>
    <row r="2428" spans="1:24" x14ac:dyDescent="0.25">
      <c r="A2428">
        <v>2424</v>
      </c>
      <c r="B2428" t="s">
        <v>28</v>
      </c>
      <c r="C2428" t="s">
        <v>25</v>
      </c>
      <c r="D2428">
        <v>14</v>
      </c>
      <c r="E2428" t="s">
        <v>367</v>
      </c>
      <c r="F2428" t="s">
        <v>367</v>
      </c>
      <c r="G2428">
        <v>3522</v>
      </c>
      <c r="H2428" t="s">
        <v>2502</v>
      </c>
      <c r="I2428" t="s">
        <v>2503</v>
      </c>
      <c r="J2428">
        <v>16</v>
      </c>
      <c r="K2428">
        <v>1</v>
      </c>
      <c r="L2428">
        <v>1.6087962962962963E-3</v>
      </c>
      <c r="M2428" t="s">
        <v>778</v>
      </c>
      <c r="N2428" t="s">
        <v>1316</v>
      </c>
      <c r="O2428" s="24">
        <v>46132</v>
      </c>
      <c r="P2428">
        <v>606</v>
      </c>
      <c r="Q2428" t="s">
        <v>34</v>
      </c>
      <c r="X2428" t="s">
        <v>3480</v>
      </c>
    </row>
    <row r="2429" spans="1:24" x14ac:dyDescent="0.25">
      <c r="A2429">
        <v>2425</v>
      </c>
      <c r="B2429" t="s">
        <v>28</v>
      </c>
      <c r="C2429" t="s">
        <v>25</v>
      </c>
      <c r="D2429">
        <v>14</v>
      </c>
      <c r="E2429" t="s">
        <v>367</v>
      </c>
      <c r="F2429" t="s">
        <v>367</v>
      </c>
      <c r="G2429">
        <v>3522</v>
      </c>
      <c r="H2429" t="s">
        <v>2504</v>
      </c>
      <c r="I2429" t="s">
        <v>2503</v>
      </c>
      <c r="J2429">
        <v>16</v>
      </c>
      <c r="K2429">
        <v>1</v>
      </c>
      <c r="L2429">
        <v>1.6087962962962963E-3</v>
      </c>
      <c r="M2429" t="s">
        <v>778</v>
      </c>
      <c r="N2429" t="s">
        <v>1316</v>
      </c>
      <c r="O2429" s="24">
        <v>46132</v>
      </c>
      <c r="P2429">
        <v>606</v>
      </c>
      <c r="Q2429" t="s">
        <v>34</v>
      </c>
      <c r="X2429" t="s">
        <v>3480</v>
      </c>
    </row>
    <row r="2430" spans="1:24" x14ac:dyDescent="0.25">
      <c r="A2430">
        <v>2426</v>
      </c>
      <c r="B2430" t="s">
        <v>28</v>
      </c>
      <c r="C2430" t="s">
        <v>25</v>
      </c>
      <c r="D2430">
        <v>14</v>
      </c>
      <c r="E2430" t="s">
        <v>65</v>
      </c>
      <c r="F2430" t="s">
        <v>368</v>
      </c>
      <c r="G2430">
        <v>3522</v>
      </c>
      <c r="H2430" t="s">
        <v>2505</v>
      </c>
      <c r="I2430" t="s">
        <v>2506</v>
      </c>
      <c r="J2430">
        <v>16</v>
      </c>
      <c r="K2430">
        <v>1</v>
      </c>
      <c r="L2430">
        <v>1.4004629629629629E-3</v>
      </c>
      <c r="M2430" t="s">
        <v>778</v>
      </c>
      <c r="N2430" t="s">
        <v>1316</v>
      </c>
      <c r="O2430" s="24">
        <v>46132</v>
      </c>
      <c r="P2430">
        <v>606</v>
      </c>
      <c r="Q2430" t="s">
        <v>34</v>
      </c>
      <c r="X2430" t="s">
        <v>3480</v>
      </c>
    </row>
    <row r="2431" spans="1:24" x14ac:dyDescent="0.25">
      <c r="A2431">
        <v>2427</v>
      </c>
      <c r="B2431" t="s">
        <v>28</v>
      </c>
      <c r="C2431" t="s">
        <v>25</v>
      </c>
      <c r="D2431">
        <v>14</v>
      </c>
      <c r="E2431" t="s">
        <v>65</v>
      </c>
      <c r="F2431" t="s">
        <v>368</v>
      </c>
      <c r="G2431">
        <v>3522</v>
      </c>
      <c r="H2431" t="s">
        <v>2507</v>
      </c>
      <c r="I2431" t="s">
        <v>2506</v>
      </c>
      <c r="J2431">
        <v>16</v>
      </c>
      <c r="K2431">
        <v>1</v>
      </c>
      <c r="L2431">
        <v>1.4004629629629629E-3</v>
      </c>
      <c r="M2431" t="s">
        <v>778</v>
      </c>
      <c r="N2431" t="s">
        <v>1316</v>
      </c>
      <c r="O2431" s="24">
        <v>46132</v>
      </c>
      <c r="P2431">
        <v>606</v>
      </c>
      <c r="Q2431" t="s">
        <v>34</v>
      </c>
      <c r="X2431" t="s">
        <v>3480</v>
      </c>
    </row>
    <row r="2432" spans="1:24" x14ac:dyDescent="0.25">
      <c r="A2432">
        <v>2428</v>
      </c>
      <c r="B2432" t="s">
        <v>28</v>
      </c>
      <c r="C2432" t="s">
        <v>25</v>
      </c>
      <c r="D2432">
        <v>14</v>
      </c>
      <c r="E2432" t="s">
        <v>60</v>
      </c>
      <c r="F2432" t="s">
        <v>60</v>
      </c>
      <c r="G2432">
        <v>3696</v>
      </c>
      <c r="H2432" t="s">
        <v>939</v>
      </c>
      <c r="I2432" t="s">
        <v>2508</v>
      </c>
      <c r="J2432">
        <v>6</v>
      </c>
      <c r="K2432">
        <v>2</v>
      </c>
      <c r="L2432">
        <v>6.3078703703703699E-3</v>
      </c>
      <c r="M2432" t="s">
        <v>778</v>
      </c>
      <c r="N2432" t="s">
        <v>1497</v>
      </c>
      <c r="O2432" s="24">
        <v>46139</v>
      </c>
      <c r="P2432">
        <v>603</v>
      </c>
      <c r="Q2432" t="s">
        <v>34</v>
      </c>
      <c r="X2432" t="s">
        <v>3598</v>
      </c>
    </row>
    <row r="2433" spans="1:24" x14ac:dyDescent="0.25">
      <c r="A2433">
        <v>2429</v>
      </c>
      <c r="B2433" t="s">
        <v>28</v>
      </c>
      <c r="C2433" t="s">
        <v>25</v>
      </c>
      <c r="D2433">
        <v>14</v>
      </c>
      <c r="E2433" t="s">
        <v>60</v>
      </c>
      <c r="F2433" t="s">
        <v>60</v>
      </c>
      <c r="G2433">
        <v>3696</v>
      </c>
      <c r="H2433" t="s">
        <v>2511</v>
      </c>
      <c r="I2433" t="s">
        <v>940</v>
      </c>
      <c r="J2433">
        <v>6</v>
      </c>
      <c r="K2433">
        <v>1</v>
      </c>
      <c r="L2433">
        <v>3.1481481481481482E-3</v>
      </c>
      <c r="M2433" t="s">
        <v>778</v>
      </c>
      <c r="N2433" t="s">
        <v>1497</v>
      </c>
      <c r="O2433" s="24">
        <v>46139</v>
      </c>
      <c r="P2433">
        <v>603</v>
      </c>
      <c r="Q2433" t="s">
        <v>34</v>
      </c>
      <c r="X2433" t="s">
        <v>3598</v>
      </c>
    </row>
    <row r="2434" spans="1:24" x14ac:dyDescent="0.25">
      <c r="A2434">
        <v>2430</v>
      </c>
      <c r="B2434" t="s">
        <v>28</v>
      </c>
      <c r="C2434" t="s">
        <v>25</v>
      </c>
      <c r="D2434">
        <v>14</v>
      </c>
      <c r="E2434" t="s">
        <v>60</v>
      </c>
      <c r="F2434" t="s">
        <v>60</v>
      </c>
      <c r="G2434">
        <v>3697</v>
      </c>
      <c r="H2434" t="s">
        <v>939</v>
      </c>
      <c r="I2434" t="s">
        <v>2508</v>
      </c>
      <c r="J2434">
        <v>6</v>
      </c>
      <c r="K2434">
        <v>1</v>
      </c>
      <c r="L2434">
        <v>3.1018518518518517E-3</v>
      </c>
      <c r="M2434" t="s">
        <v>778</v>
      </c>
      <c r="N2434" t="s">
        <v>1497</v>
      </c>
      <c r="O2434" s="24">
        <v>46139</v>
      </c>
      <c r="P2434">
        <v>603</v>
      </c>
      <c r="Q2434" t="s">
        <v>34</v>
      </c>
      <c r="X2434" t="s">
        <v>3599</v>
      </c>
    </row>
    <row r="2435" spans="1:24" x14ac:dyDescent="0.25">
      <c r="A2435">
        <v>2431</v>
      </c>
      <c r="B2435" t="s">
        <v>28</v>
      </c>
      <c r="C2435" t="s">
        <v>25</v>
      </c>
      <c r="D2435">
        <v>14</v>
      </c>
      <c r="E2435" t="s">
        <v>60</v>
      </c>
      <c r="F2435" t="s">
        <v>60</v>
      </c>
      <c r="G2435">
        <v>3697</v>
      </c>
      <c r="H2435" t="s">
        <v>2511</v>
      </c>
      <c r="I2435" t="s">
        <v>940</v>
      </c>
      <c r="J2435">
        <v>6</v>
      </c>
      <c r="K2435">
        <v>2</v>
      </c>
      <c r="L2435">
        <v>6.2037037037037035E-3</v>
      </c>
      <c r="M2435" t="s">
        <v>778</v>
      </c>
      <c r="N2435" t="s">
        <v>1497</v>
      </c>
      <c r="O2435" s="24">
        <v>46139</v>
      </c>
      <c r="P2435">
        <v>603</v>
      </c>
      <c r="Q2435" t="s">
        <v>34</v>
      </c>
      <c r="X2435" t="s">
        <v>3599</v>
      </c>
    </row>
    <row r="2436" spans="1:24" x14ac:dyDescent="0.25">
      <c r="A2436">
        <v>2432</v>
      </c>
      <c r="B2436" t="s">
        <v>28</v>
      </c>
      <c r="C2436" t="s">
        <v>25</v>
      </c>
      <c r="D2436">
        <v>14</v>
      </c>
      <c r="E2436" t="s">
        <v>60</v>
      </c>
      <c r="F2436" t="s">
        <v>60</v>
      </c>
      <c r="G2436">
        <v>3692</v>
      </c>
      <c r="H2436" t="s">
        <v>2513</v>
      </c>
      <c r="I2436" t="s">
        <v>2514</v>
      </c>
      <c r="J2436">
        <v>6</v>
      </c>
      <c r="K2436">
        <v>2</v>
      </c>
      <c r="L2436">
        <v>5.2314814814814811E-3</v>
      </c>
      <c r="M2436" t="s">
        <v>778</v>
      </c>
      <c r="N2436" t="s">
        <v>1497</v>
      </c>
      <c r="O2436" s="24">
        <v>46139</v>
      </c>
      <c r="P2436">
        <v>603</v>
      </c>
      <c r="Q2436" t="s">
        <v>34</v>
      </c>
      <c r="X2436" t="s">
        <v>3600</v>
      </c>
    </row>
    <row r="2437" spans="1:24" x14ac:dyDescent="0.25">
      <c r="A2437">
        <v>2433</v>
      </c>
      <c r="B2437" t="s">
        <v>28</v>
      </c>
      <c r="C2437" t="s">
        <v>25</v>
      </c>
      <c r="D2437">
        <v>14</v>
      </c>
      <c r="E2437" t="s">
        <v>60</v>
      </c>
      <c r="F2437" t="s">
        <v>60</v>
      </c>
      <c r="G2437">
        <v>3692</v>
      </c>
      <c r="H2437" t="s">
        <v>2516</v>
      </c>
      <c r="I2437" t="s">
        <v>2517</v>
      </c>
      <c r="J2437">
        <v>6</v>
      </c>
      <c r="K2437">
        <v>1</v>
      </c>
      <c r="L2437">
        <v>2.6157407407407405E-3</v>
      </c>
      <c r="M2437" t="s">
        <v>778</v>
      </c>
      <c r="N2437" t="s">
        <v>1497</v>
      </c>
      <c r="O2437" s="24">
        <v>46139</v>
      </c>
      <c r="P2437">
        <v>603</v>
      </c>
      <c r="Q2437" t="s">
        <v>34</v>
      </c>
      <c r="X2437" t="s">
        <v>3600</v>
      </c>
    </row>
    <row r="2438" spans="1:24" x14ac:dyDescent="0.25">
      <c r="A2438">
        <v>2434</v>
      </c>
      <c r="B2438" t="s">
        <v>28</v>
      </c>
      <c r="C2438" t="s">
        <v>25</v>
      </c>
      <c r="D2438">
        <v>14</v>
      </c>
      <c r="E2438" t="s">
        <v>60</v>
      </c>
      <c r="F2438" t="s">
        <v>60</v>
      </c>
      <c r="G2438">
        <v>3692</v>
      </c>
      <c r="H2438" t="s">
        <v>2518</v>
      </c>
      <c r="I2438" t="s">
        <v>2519</v>
      </c>
      <c r="J2438">
        <v>6</v>
      </c>
      <c r="K2438">
        <v>1</v>
      </c>
      <c r="L2438">
        <v>2.3379629629629627E-3</v>
      </c>
      <c r="M2438" t="s">
        <v>778</v>
      </c>
      <c r="N2438" t="s">
        <v>1497</v>
      </c>
      <c r="O2438" s="24">
        <v>46139</v>
      </c>
      <c r="P2438">
        <v>603</v>
      </c>
      <c r="Q2438" t="s">
        <v>34</v>
      </c>
      <c r="X2438" t="s">
        <v>3600</v>
      </c>
    </row>
    <row r="2439" spans="1:24" x14ac:dyDescent="0.25">
      <c r="A2439">
        <v>2435</v>
      </c>
      <c r="B2439" t="s">
        <v>28</v>
      </c>
      <c r="C2439" t="s">
        <v>25</v>
      </c>
      <c r="D2439">
        <v>14</v>
      </c>
      <c r="E2439" t="s">
        <v>60</v>
      </c>
      <c r="F2439" t="s">
        <v>60</v>
      </c>
      <c r="G2439">
        <v>3692</v>
      </c>
      <c r="H2439" t="s">
        <v>2520</v>
      </c>
      <c r="I2439" t="s">
        <v>2519</v>
      </c>
      <c r="J2439">
        <v>6</v>
      </c>
      <c r="K2439">
        <v>2</v>
      </c>
      <c r="L2439">
        <v>4.2476851851851851E-3</v>
      </c>
      <c r="M2439" t="s">
        <v>778</v>
      </c>
      <c r="N2439" t="s">
        <v>1497</v>
      </c>
      <c r="O2439" s="24">
        <v>46139</v>
      </c>
      <c r="P2439">
        <v>603</v>
      </c>
      <c r="Q2439" t="s">
        <v>34</v>
      </c>
      <c r="X2439" t="s">
        <v>3600</v>
      </c>
    </row>
    <row r="2440" spans="1:24" x14ac:dyDescent="0.25">
      <c r="A2440">
        <v>2436</v>
      </c>
      <c r="B2440" t="s">
        <v>28</v>
      </c>
      <c r="C2440" t="s">
        <v>25</v>
      </c>
      <c r="D2440">
        <v>14</v>
      </c>
      <c r="E2440" t="s">
        <v>60</v>
      </c>
      <c r="F2440" t="s">
        <v>60</v>
      </c>
      <c r="G2440">
        <v>3693</v>
      </c>
      <c r="H2440" t="s">
        <v>2513</v>
      </c>
      <c r="I2440" t="s">
        <v>2514</v>
      </c>
      <c r="J2440">
        <v>6</v>
      </c>
      <c r="K2440">
        <v>1</v>
      </c>
      <c r="L2440">
        <v>2.6157407407407405E-3</v>
      </c>
      <c r="M2440" t="s">
        <v>778</v>
      </c>
      <c r="N2440" t="s">
        <v>1422</v>
      </c>
      <c r="O2440" s="24">
        <v>46133</v>
      </c>
      <c r="P2440">
        <v>605</v>
      </c>
      <c r="Q2440" t="s">
        <v>34</v>
      </c>
      <c r="X2440" t="s">
        <v>3601</v>
      </c>
    </row>
    <row r="2441" spans="1:24" x14ac:dyDescent="0.25">
      <c r="A2441">
        <v>2437</v>
      </c>
      <c r="B2441" t="s">
        <v>28</v>
      </c>
      <c r="C2441" t="s">
        <v>25</v>
      </c>
      <c r="D2441">
        <v>14</v>
      </c>
      <c r="E2441" t="s">
        <v>60</v>
      </c>
      <c r="F2441" t="s">
        <v>60</v>
      </c>
      <c r="G2441">
        <v>3693</v>
      </c>
      <c r="H2441" t="s">
        <v>2516</v>
      </c>
      <c r="I2441" t="s">
        <v>2517</v>
      </c>
      <c r="J2441">
        <v>6</v>
      </c>
      <c r="K2441">
        <v>1</v>
      </c>
      <c r="L2441">
        <v>2.6157407407407405E-3</v>
      </c>
      <c r="M2441" t="s">
        <v>778</v>
      </c>
      <c r="N2441" t="s">
        <v>1422</v>
      </c>
      <c r="O2441" s="24">
        <v>46133</v>
      </c>
      <c r="P2441">
        <v>605</v>
      </c>
      <c r="Q2441" t="s">
        <v>34</v>
      </c>
      <c r="X2441" t="s">
        <v>3601</v>
      </c>
    </row>
    <row r="2442" spans="1:24" x14ac:dyDescent="0.25">
      <c r="A2442">
        <v>2438</v>
      </c>
      <c r="B2442" t="s">
        <v>28</v>
      </c>
      <c r="C2442" t="s">
        <v>25</v>
      </c>
      <c r="D2442">
        <v>14</v>
      </c>
      <c r="E2442" t="s">
        <v>60</v>
      </c>
      <c r="F2442" t="s">
        <v>60</v>
      </c>
      <c r="G2442">
        <v>3693</v>
      </c>
      <c r="H2442" t="s">
        <v>2522</v>
      </c>
      <c r="I2442" t="s">
        <v>2519</v>
      </c>
      <c r="J2442">
        <v>6</v>
      </c>
      <c r="K2442">
        <v>2</v>
      </c>
      <c r="L2442">
        <v>4.6759259259259254E-3</v>
      </c>
      <c r="M2442" t="s">
        <v>778</v>
      </c>
      <c r="N2442" t="s">
        <v>1422</v>
      </c>
      <c r="O2442" s="24">
        <v>46133</v>
      </c>
      <c r="P2442">
        <v>605</v>
      </c>
      <c r="Q2442" t="s">
        <v>34</v>
      </c>
      <c r="X2442" t="s">
        <v>3601</v>
      </c>
    </row>
    <row r="2443" spans="1:24" x14ac:dyDescent="0.25">
      <c r="A2443">
        <v>2439</v>
      </c>
      <c r="B2443" t="s">
        <v>28</v>
      </c>
      <c r="C2443" t="s">
        <v>25</v>
      </c>
      <c r="D2443">
        <v>14</v>
      </c>
      <c r="E2443" t="s">
        <v>60</v>
      </c>
      <c r="F2443" t="s">
        <v>60</v>
      </c>
      <c r="G2443">
        <v>3693</v>
      </c>
      <c r="H2443" t="s">
        <v>2523</v>
      </c>
      <c r="I2443" t="s">
        <v>2519</v>
      </c>
      <c r="J2443">
        <v>6</v>
      </c>
      <c r="K2443">
        <v>1</v>
      </c>
      <c r="L2443">
        <v>2.1180555555555553E-3</v>
      </c>
      <c r="M2443" t="s">
        <v>778</v>
      </c>
      <c r="N2443" t="s">
        <v>1422</v>
      </c>
      <c r="O2443" s="24">
        <v>46133</v>
      </c>
      <c r="P2443">
        <v>605</v>
      </c>
      <c r="Q2443" t="s">
        <v>34</v>
      </c>
      <c r="X2443" t="s">
        <v>3601</v>
      </c>
    </row>
    <row r="2444" spans="1:24" x14ac:dyDescent="0.25">
      <c r="A2444">
        <v>2440</v>
      </c>
      <c r="B2444" t="s">
        <v>28</v>
      </c>
      <c r="C2444" t="s">
        <v>25</v>
      </c>
      <c r="D2444">
        <v>14</v>
      </c>
      <c r="E2444" t="s">
        <v>60</v>
      </c>
      <c r="F2444" t="s">
        <v>60</v>
      </c>
      <c r="G2444">
        <v>3693</v>
      </c>
      <c r="H2444" t="s">
        <v>2524</v>
      </c>
      <c r="I2444" t="s">
        <v>2514</v>
      </c>
      <c r="J2444">
        <v>6</v>
      </c>
      <c r="K2444">
        <v>1</v>
      </c>
      <c r="L2444">
        <v>2.6157407407407405E-3</v>
      </c>
      <c r="M2444" t="s">
        <v>778</v>
      </c>
      <c r="N2444" t="s">
        <v>1422</v>
      </c>
      <c r="O2444" s="24">
        <v>46133</v>
      </c>
      <c r="P2444">
        <v>605</v>
      </c>
      <c r="Q2444" t="s">
        <v>34</v>
      </c>
      <c r="X2444" t="s">
        <v>3601</v>
      </c>
    </row>
    <row r="2445" spans="1:24" x14ac:dyDescent="0.25">
      <c r="A2445">
        <v>2441</v>
      </c>
      <c r="B2445" t="s">
        <v>28</v>
      </c>
      <c r="C2445" t="s">
        <v>25</v>
      </c>
      <c r="D2445">
        <v>14</v>
      </c>
      <c r="E2445" t="s">
        <v>60</v>
      </c>
      <c r="F2445" t="s">
        <v>60</v>
      </c>
      <c r="G2445">
        <v>3690</v>
      </c>
      <c r="H2445" t="s">
        <v>939</v>
      </c>
      <c r="I2445" t="s">
        <v>2508</v>
      </c>
      <c r="J2445">
        <v>6</v>
      </c>
      <c r="K2445">
        <v>1</v>
      </c>
      <c r="L2445">
        <v>3.0902777777777777E-3</v>
      </c>
      <c r="M2445" t="s">
        <v>778</v>
      </c>
      <c r="N2445" t="s">
        <v>1497</v>
      </c>
      <c r="O2445" s="24">
        <v>46139</v>
      </c>
      <c r="P2445">
        <v>603</v>
      </c>
      <c r="Q2445" t="s">
        <v>34</v>
      </c>
      <c r="X2445" t="s">
        <v>3602</v>
      </c>
    </row>
    <row r="2446" spans="1:24" x14ac:dyDescent="0.25">
      <c r="A2446">
        <v>2442</v>
      </c>
      <c r="B2446" t="s">
        <v>28</v>
      </c>
      <c r="C2446" t="s">
        <v>25</v>
      </c>
      <c r="D2446">
        <v>14</v>
      </c>
      <c r="E2446" t="s">
        <v>60</v>
      </c>
      <c r="F2446" t="s">
        <v>60</v>
      </c>
      <c r="G2446">
        <v>3690</v>
      </c>
      <c r="H2446" t="s">
        <v>2516</v>
      </c>
      <c r="I2446" t="s">
        <v>2517</v>
      </c>
      <c r="J2446">
        <v>6</v>
      </c>
      <c r="K2446">
        <v>1</v>
      </c>
      <c r="L2446">
        <v>2.696759259259259E-3</v>
      </c>
      <c r="M2446" t="s">
        <v>778</v>
      </c>
      <c r="N2446" t="s">
        <v>1497</v>
      </c>
      <c r="O2446" s="24">
        <v>46139</v>
      </c>
      <c r="P2446">
        <v>603</v>
      </c>
      <c r="Q2446" t="s">
        <v>34</v>
      </c>
      <c r="X2446" t="s">
        <v>3602</v>
      </c>
    </row>
    <row r="2447" spans="1:24" x14ac:dyDescent="0.25">
      <c r="A2447">
        <v>2443</v>
      </c>
      <c r="B2447" t="s">
        <v>28</v>
      </c>
      <c r="C2447" t="s">
        <v>25</v>
      </c>
      <c r="D2447">
        <v>14</v>
      </c>
      <c r="E2447" t="s">
        <v>60</v>
      </c>
      <c r="F2447" t="s">
        <v>60</v>
      </c>
      <c r="G2447">
        <v>3690</v>
      </c>
      <c r="H2447" t="s">
        <v>2511</v>
      </c>
      <c r="I2447" t="s">
        <v>940</v>
      </c>
      <c r="J2447">
        <v>6</v>
      </c>
      <c r="K2447">
        <v>1</v>
      </c>
      <c r="L2447">
        <v>3.0902777777777777E-3</v>
      </c>
      <c r="M2447" t="s">
        <v>778</v>
      </c>
      <c r="N2447" t="s">
        <v>1497</v>
      </c>
      <c r="O2447" s="24">
        <v>46139</v>
      </c>
      <c r="P2447">
        <v>603</v>
      </c>
      <c r="Q2447" t="s">
        <v>34</v>
      </c>
      <c r="X2447" t="s">
        <v>3602</v>
      </c>
    </row>
    <row r="2448" spans="1:24" x14ac:dyDescent="0.25">
      <c r="A2448">
        <v>2444</v>
      </c>
      <c r="B2448" t="s">
        <v>28</v>
      </c>
      <c r="C2448" t="s">
        <v>25</v>
      </c>
      <c r="D2448">
        <v>14</v>
      </c>
      <c r="E2448" t="s">
        <v>60</v>
      </c>
      <c r="F2448" t="s">
        <v>60</v>
      </c>
      <c r="G2448">
        <v>3690</v>
      </c>
      <c r="H2448" t="s">
        <v>2518</v>
      </c>
      <c r="I2448" t="s">
        <v>2519</v>
      </c>
      <c r="J2448">
        <v>6</v>
      </c>
      <c r="K2448">
        <v>1</v>
      </c>
      <c r="L2448">
        <v>2.3958333333333331E-3</v>
      </c>
      <c r="M2448" t="s">
        <v>778</v>
      </c>
      <c r="N2448" t="s">
        <v>1497</v>
      </c>
      <c r="O2448" s="24">
        <v>46139</v>
      </c>
      <c r="P2448">
        <v>603</v>
      </c>
      <c r="Q2448" t="s">
        <v>34</v>
      </c>
      <c r="X2448" t="s">
        <v>3602</v>
      </c>
    </row>
    <row r="2449" spans="1:24" x14ac:dyDescent="0.25">
      <c r="A2449">
        <v>2445</v>
      </c>
      <c r="B2449" t="s">
        <v>28</v>
      </c>
      <c r="C2449" t="s">
        <v>25</v>
      </c>
      <c r="D2449">
        <v>14</v>
      </c>
      <c r="E2449" t="s">
        <v>65</v>
      </c>
      <c r="F2449" t="s">
        <v>66</v>
      </c>
      <c r="G2449">
        <v>3694</v>
      </c>
      <c r="H2449" t="s">
        <v>64</v>
      </c>
      <c r="I2449" t="s">
        <v>2526</v>
      </c>
      <c r="J2449">
        <v>6</v>
      </c>
      <c r="K2449">
        <v>2</v>
      </c>
      <c r="L2449">
        <v>6.6203703703703702E-3</v>
      </c>
      <c r="M2449" t="s">
        <v>3079</v>
      </c>
      <c r="X2449" t="s">
        <v>3603</v>
      </c>
    </row>
    <row r="2450" spans="1:24" x14ac:dyDescent="0.25">
      <c r="A2450">
        <v>2446</v>
      </c>
      <c r="B2450" t="s">
        <v>28</v>
      </c>
      <c r="C2450" t="s">
        <v>25</v>
      </c>
      <c r="D2450">
        <v>14</v>
      </c>
      <c r="E2450" t="s">
        <v>65</v>
      </c>
      <c r="F2450" t="s">
        <v>66</v>
      </c>
      <c r="G2450">
        <v>3695</v>
      </c>
      <c r="H2450" t="s">
        <v>2528</v>
      </c>
      <c r="I2450" t="s">
        <v>1430</v>
      </c>
      <c r="J2450">
        <v>6</v>
      </c>
      <c r="K2450">
        <v>2</v>
      </c>
      <c r="L2450">
        <v>5.0347222222222217E-3</v>
      </c>
      <c r="M2450" t="s">
        <v>778</v>
      </c>
      <c r="N2450" t="s">
        <v>1422</v>
      </c>
      <c r="O2450" s="24">
        <v>46133</v>
      </c>
      <c r="P2450">
        <v>605</v>
      </c>
      <c r="Q2450" t="s">
        <v>34</v>
      </c>
      <c r="X2450" t="s">
        <v>3604</v>
      </c>
    </row>
    <row r="2451" spans="1:24" x14ac:dyDescent="0.25">
      <c r="A2451">
        <v>2447</v>
      </c>
      <c r="B2451" t="s">
        <v>28</v>
      </c>
      <c r="C2451" t="s">
        <v>25</v>
      </c>
      <c r="D2451">
        <v>14</v>
      </c>
      <c r="E2451" t="s">
        <v>65</v>
      </c>
      <c r="F2451" t="s">
        <v>66</v>
      </c>
      <c r="G2451">
        <v>3695</v>
      </c>
      <c r="H2451" t="s">
        <v>2530</v>
      </c>
      <c r="I2451" t="s">
        <v>1430</v>
      </c>
      <c r="J2451">
        <v>6</v>
      </c>
      <c r="K2451">
        <v>2</v>
      </c>
      <c r="L2451">
        <v>5.0347222222222217E-3</v>
      </c>
      <c r="M2451" t="s">
        <v>778</v>
      </c>
      <c r="N2451" t="s">
        <v>1422</v>
      </c>
      <c r="O2451" s="24">
        <v>46133</v>
      </c>
      <c r="P2451">
        <v>605</v>
      </c>
      <c r="Q2451" t="s">
        <v>34</v>
      </c>
      <c r="X2451" t="s">
        <v>3604</v>
      </c>
    </row>
    <row r="2452" spans="1:24" x14ac:dyDescent="0.25">
      <c r="A2452">
        <v>2448</v>
      </c>
      <c r="B2452" t="s">
        <v>28</v>
      </c>
      <c r="C2452" t="s">
        <v>25</v>
      </c>
      <c r="D2452">
        <v>14</v>
      </c>
      <c r="E2452" t="s">
        <v>511</v>
      </c>
      <c r="F2452" t="s">
        <v>511</v>
      </c>
      <c r="G2452">
        <v>3709</v>
      </c>
      <c r="H2452" t="s">
        <v>1875</v>
      </c>
      <c r="I2452" t="s">
        <v>1813</v>
      </c>
      <c r="J2452">
        <v>12</v>
      </c>
      <c r="K2452">
        <v>1</v>
      </c>
      <c r="L2452">
        <v>1.4444444444444444E-2</v>
      </c>
      <c r="M2452" t="s">
        <v>778</v>
      </c>
      <c r="N2452" t="s">
        <v>3910</v>
      </c>
      <c r="O2452" s="24">
        <v>46140</v>
      </c>
      <c r="P2452">
        <v>605</v>
      </c>
      <c r="Q2452" t="s">
        <v>34</v>
      </c>
      <c r="X2452" t="s">
        <v>3605</v>
      </c>
    </row>
    <row r="2453" spans="1:24" x14ac:dyDescent="0.25">
      <c r="A2453">
        <v>2449</v>
      </c>
      <c r="B2453" t="s">
        <v>28</v>
      </c>
      <c r="C2453" t="s">
        <v>25</v>
      </c>
      <c r="D2453">
        <v>14</v>
      </c>
      <c r="E2453" t="s">
        <v>1672</v>
      </c>
      <c r="F2453" t="s">
        <v>115</v>
      </c>
      <c r="G2453">
        <v>3709</v>
      </c>
      <c r="H2453" t="s">
        <v>1885</v>
      </c>
      <c r="I2453" t="s">
        <v>1886</v>
      </c>
      <c r="J2453">
        <v>12</v>
      </c>
      <c r="K2453">
        <v>2</v>
      </c>
      <c r="L2453">
        <v>1.7824074074074072E-3</v>
      </c>
      <c r="M2453" t="s">
        <v>778</v>
      </c>
      <c r="N2453" t="s">
        <v>3910</v>
      </c>
      <c r="O2453" s="24">
        <v>46140</v>
      </c>
      <c r="P2453">
        <v>605</v>
      </c>
      <c r="Q2453" t="s">
        <v>34</v>
      </c>
      <c r="X2453" t="s">
        <v>3605</v>
      </c>
    </row>
    <row r="2454" spans="1:24" x14ac:dyDescent="0.25">
      <c r="A2454">
        <v>2450</v>
      </c>
      <c r="B2454" t="s">
        <v>28</v>
      </c>
      <c r="C2454" t="s">
        <v>25</v>
      </c>
      <c r="D2454">
        <v>14</v>
      </c>
      <c r="E2454" t="s">
        <v>150</v>
      </c>
      <c r="F2454" t="s">
        <v>115</v>
      </c>
      <c r="G2454">
        <v>3709</v>
      </c>
      <c r="H2454" t="s">
        <v>1808</v>
      </c>
      <c r="I2454" t="s">
        <v>1809</v>
      </c>
      <c r="J2454">
        <v>12</v>
      </c>
      <c r="K2454">
        <v>1</v>
      </c>
      <c r="L2454">
        <v>1.1689814814814813E-3</v>
      </c>
      <c r="M2454" t="s">
        <v>778</v>
      </c>
      <c r="N2454" t="s">
        <v>3910</v>
      </c>
      <c r="O2454" s="24">
        <v>46140</v>
      </c>
      <c r="P2454">
        <v>605</v>
      </c>
      <c r="Q2454" t="s">
        <v>34</v>
      </c>
      <c r="X2454" t="s">
        <v>3605</v>
      </c>
    </row>
    <row r="2455" spans="1:24" x14ac:dyDescent="0.25">
      <c r="A2455">
        <v>2451</v>
      </c>
      <c r="B2455" t="s">
        <v>28</v>
      </c>
      <c r="C2455" t="s">
        <v>25</v>
      </c>
      <c r="D2455">
        <v>14</v>
      </c>
      <c r="E2455" t="s">
        <v>1583</v>
      </c>
      <c r="F2455" t="s">
        <v>1583</v>
      </c>
      <c r="G2455">
        <v>3709</v>
      </c>
      <c r="H2455" t="s">
        <v>1888</v>
      </c>
      <c r="I2455" t="s">
        <v>1889</v>
      </c>
      <c r="J2455">
        <v>12</v>
      </c>
      <c r="K2455">
        <v>4</v>
      </c>
      <c r="L2455">
        <v>2.7777777777777775E-3</v>
      </c>
      <c r="M2455" t="s">
        <v>778</v>
      </c>
      <c r="N2455" t="s">
        <v>3910</v>
      </c>
      <c r="O2455" s="24">
        <v>46140</v>
      </c>
      <c r="P2455">
        <v>605</v>
      </c>
      <c r="Q2455" t="s">
        <v>34</v>
      </c>
      <c r="X2455" t="s">
        <v>3605</v>
      </c>
    </row>
    <row r="2456" spans="1:24" x14ac:dyDescent="0.25">
      <c r="A2456">
        <v>2452</v>
      </c>
      <c r="B2456" t="s">
        <v>28</v>
      </c>
      <c r="C2456" t="s">
        <v>25</v>
      </c>
      <c r="D2456">
        <v>14</v>
      </c>
      <c r="E2456" t="s">
        <v>511</v>
      </c>
      <c r="F2456" t="s">
        <v>511</v>
      </c>
      <c r="G2456">
        <v>3710</v>
      </c>
      <c r="H2456" t="s">
        <v>1875</v>
      </c>
      <c r="I2456" t="s">
        <v>1813</v>
      </c>
      <c r="J2456">
        <v>12</v>
      </c>
      <c r="K2456">
        <v>1</v>
      </c>
      <c r="L2456">
        <v>1.4444444444444444E-2</v>
      </c>
      <c r="M2456" t="s">
        <v>778</v>
      </c>
      <c r="N2456" t="s">
        <v>3910</v>
      </c>
      <c r="O2456" s="24">
        <v>46140</v>
      </c>
      <c r="P2456">
        <v>605</v>
      </c>
      <c r="Q2456" t="s">
        <v>34</v>
      </c>
      <c r="X2456" t="s">
        <v>3606</v>
      </c>
    </row>
    <row r="2457" spans="1:24" x14ac:dyDescent="0.25">
      <c r="A2457">
        <v>2453</v>
      </c>
      <c r="B2457" t="s">
        <v>28</v>
      </c>
      <c r="C2457" t="s">
        <v>25</v>
      </c>
      <c r="D2457">
        <v>14</v>
      </c>
      <c r="E2457" t="s">
        <v>1672</v>
      </c>
      <c r="F2457" t="s">
        <v>115</v>
      </c>
      <c r="G2457">
        <v>3710</v>
      </c>
      <c r="H2457" t="s">
        <v>1885</v>
      </c>
      <c r="I2457" t="s">
        <v>1886</v>
      </c>
      <c r="J2457">
        <v>12</v>
      </c>
      <c r="K2457">
        <v>2</v>
      </c>
      <c r="L2457">
        <v>1.7824074074074072E-3</v>
      </c>
      <c r="M2457" t="s">
        <v>778</v>
      </c>
      <c r="N2457" t="s">
        <v>3910</v>
      </c>
      <c r="O2457" s="24">
        <v>46140</v>
      </c>
      <c r="P2457">
        <v>605</v>
      </c>
      <c r="Q2457" t="s">
        <v>34</v>
      </c>
      <c r="X2457" t="s">
        <v>3606</v>
      </c>
    </row>
    <row r="2458" spans="1:24" x14ac:dyDescent="0.25">
      <c r="A2458">
        <v>2454</v>
      </c>
      <c r="B2458" t="s">
        <v>28</v>
      </c>
      <c r="C2458" t="s">
        <v>25</v>
      </c>
      <c r="D2458">
        <v>14</v>
      </c>
      <c r="E2458" t="s">
        <v>150</v>
      </c>
      <c r="F2458" t="s">
        <v>115</v>
      </c>
      <c r="G2458">
        <v>3710</v>
      </c>
      <c r="H2458" t="s">
        <v>1808</v>
      </c>
      <c r="I2458" t="s">
        <v>1809</v>
      </c>
      <c r="J2458">
        <v>12</v>
      </c>
      <c r="K2458">
        <v>1</v>
      </c>
      <c r="L2458">
        <v>1.1689814814814813E-3</v>
      </c>
      <c r="M2458" t="s">
        <v>778</v>
      </c>
      <c r="N2458" t="s">
        <v>3910</v>
      </c>
      <c r="O2458" s="24">
        <v>46140</v>
      </c>
      <c r="P2458">
        <v>605</v>
      </c>
      <c r="Q2458" t="s">
        <v>34</v>
      </c>
      <c r="X2458" t="s">
        <v>3606</v>
      </c>
    </row>
    <row r="2459" spans="1:24" x14ac:dyDescent="0.25">
      <c r="A2459">
        <v>2455</v>
      </c>
      <c r="B2459" t="s">
        <v>28</v>
      </c>
      <c r="C2459" t="s">
        <v>25</v>
      </c>
      <c r="D2459">
        <v>14</v>
      </c>
      <c r="E2459" t="s">
        <v>1583</v>
      </c>
      <c r="F2459" t="s">
        <v>1583</v>
      </c>
      <c r="G2459">
        <v>3710</v>
      </c>
      <c r="H2459" t="s">
        <v>1888</v>
      </c>
      <c r="I2459" t="s">
        <v>1889</v>
      </c>
      <c r="J2459">
        <v>12</v>
      </c>
      <c r="K2459">
        <v>4</v>
      </c>
      <c r="L2459">
        <v>2.7777777777777775E-3</v>
      </c>
      <c r="M2459" t="s">
        <v>778</v>
      </c>
      <c r="N2459" t="s">
        <v>3910</v>
      </c>
      <c r="O2459" s="24">
        <v>46140</v>
      </c>
      <c r="P2459">
        <v>605</v>
      </c>
      <c r="Q2459" t="s">
        <v>34</v>
      </c>
      <c r="X2459" t="s">
        <v>3606</v>
      </c>
    </row>
    <row r="2460" spans="1:24" x14ac:dyDescent="0.25">
      <c r="A2460">
        <v>2456</v>
      </c>
      <c r="B2460" t="s">
        <v>28</v>
      </c>
      <c r="C2460" t="s">
        <v>25</v>
      </c>
      <c r="D2460">
        <v>14</v>
      </c>
      <c r="E2460" t="s">
        <v>511</v>
      </c>
      <c r="F2460" t="s">
        <v>511</v>
      </c>
      <c r="G2460">
        <v>3711</v>
      </c>
      <c r="H2460" t="s">
        <v>1875</v>
      </c>
      <c r="I2460" t="s">
        <v>1813</v>
      </c>
      <c r="J2460">
        <v>12</v>
      </c>
      <c r="K2460">
        <v>1</v>
      </c>
      <c r="L2460">
        <v>1.398148148148148E-2</v>
      </c>
      <c r="M2460" t="s">
        <v>778</v>
      </c>
      <c r="N2460" t="s">
        <v>3910</v>
      </c>
      <c r="O2460" s="24">
        <v>46140</v>
      </c>
      <c r="P2460">
        <v>605</v>
      </c>
      <c r="Q2460" t="s">
        <v>34</v>
      </c>
      <c r="X2460" t="s">
        <v>3607</v>
      </c>
    </row>
    <row r="2461" spans="1:24" x14ac:dyDescent="0.25">
      <c r="A2461">
        <v>2457</v>
      </c>
      <c r="B2461" t="s">
        <v>28</v>
      </c>
      <c r="C2461" t="s">
        <v>25</v>
      </c>
      <c r="D2461">
        <v>14</v>
      </c>
      <c r="E2461" t="s">
        <v>1665</v>
      </c>
      <c r="F2461" t="s">
        <v>115</v>
      </c>
      <c r="G2461">
        <v>3711</v>
      </c>
      <c r="H2461" t="s">
        <v>1940</v>
      </c>
      <c r="I2461" t="s">
        <v>1886</v>
      </c>
      <c r="J2461">
        <v>12</v>
      </c>
      <c r="K2461">
        <v>1</v>
      </c>
      <c r="L2461">
        <v>7.8703703703703705E-4</v>
      </c>
      <c r="M2461" t="s">
        <v>778</v>
      </c>
      <c r="N2461" t="s">
        <v>3910</v>
      </c>
      <c r="O2461" s="24">
        <v>46140</v>
      </c>
      <c r="P2461">
        <v>605</v>
      </c>
      <c r="Q2461" t="s">
        <v>34</v>
      </c>
      <c r="X2461" t="s">
        <v>3607</v>
      </c>
    </row>
    <row r="2462" spans="1:24" x14ac:dyDescent="0.25">
      <c r="A2462">
        <v>2458</v>
      </c>
      <c r="B2462" t="s">
        <v>28</v>
      </c>
      <c r="C2462" t="s">
        <v>25</v>
      </c>
      <c r="D2462">
        <v>14</v>
      </c>
      <c r="E2462" t="s">
        <v>150</v>
      </c>
      <c r="F2462" t="s">
        <v>115</v>
      </c>
      <c r="G2462">
        <v>3711</v>
      </c>
      <c r="H2462" t="s">
        <v>1808</v>
      </c>
      <c r="I2462" t="s">
        <v>1809</v>
      </c>
      <c r="J2462">
        <v>12</v>
      </c>
      <c r="K2462">
        <v>4</v>
      </c>
      <c r="L2462">
        <v>4.5370370370370365E-3</v>
      </c>
      <c r="M2462" t="s">
        <v>778</v>
      </c>
      <c r="N2462" t="s">
        <v>3910</v>
      </c>
      <c r="O2462" s="24">
        <v>46140</v>
      </c>
      <c r="P2462">
        <v>605</v>
      </c>
      <c r="Q2462" t="s">
        <v>34</v>
      </c>
      <c r="X2462" t="s">
        <v>3607</v>
      </c>
    </row>
    <row r="2463" spans="1:24" x14ac:dyDescent="0.25">
      <c r="A2463">
        <v>2459</v>
      </c>
      <c r="B2463" t="s">
        <v>28</v>
      </c>
      <c r="C2463" t="s">
        <v>25</v>
      </c>
      <c r="D2463">
        <v>14</v>
      </c>
      <c r="E2463" t="s">
        <v>1583</v>
      </c>
      <c r="F2463" t="s">
        <v>1583</v>
      </c>
      <c r="G2463">
        <v>3711</v>
      </c>
      <c r="H2463" t="s">
        <v>1888</v>
      </c>
      <c r="I2463" t="s">
        <v>1889</v>
      </c>
      <c r="J2463">
        <v>12</v>
      </c>
      <c r="K2463">
        <v>2</v>
      </c>
      <c r="L2463">
        <v>1.3425925925925925E-3</v>
      </c>
      <c r="M2463" t="s">
        <v>778</v>
      </c>
      <c r="N2463" t="s">
        <v>3910</v>
      </c>
      <c r="O2463" s="24">
        <v>46140</v>
      </c>
      <c r="P2463">
        <v>605</v>
      </c>
      <c r="Q2463" t="s">
        <v>34</v>
      </c>
      <c r="X2463" t="s">
        <v>3607</v>
      </c>
    </row>
    <row r="2464" spans="1:24" x14ac:dyDescent="0.25">
      <c r="A2464">
        <v>2460</v>
      </c>
      <c r="B2464" t="s">
        <v>28</v>
      </c>
      <c r="C2464" t="s">
        <v>25</v>
      </c>
      <c r="D2464">
        <v>14</v>
      </c>
      <c r="E2464" t="s">
        <v>511</v>
      </c>
      <c r="F2464" t="s">
        <v>511</v>
      </c>
      <c r="G2464">
        <v>3714</v>
      </c>
      <c r="H2464" t="s">
        <v>1875</v>
      </c>
      <c r="I2464" t="s">
        <v>1813</v>
      </c>
      <c r="J2464">
        <v>12</v>
      </c>
      <c r="K2464">
        <v>1</v>
      </c>
      <c r="L2464">
        <v>1.4409722222222221E-2</v>
      </c>
      <c r="M2464" t="s">
        <v>778</v>
      </c>
      <c r="N2464" t="s">
        <v>3910</v>
      </c>
      <c r="O2464" s="24">
        <v>46140</v>
      </c>
      <c r="P2464">
        <v>605</v>
      </c>
      <c r="Q2464" t="s">
        <v>34</v>
      </c>
      <c r="X2464" t="s">
        <v>3608</v>
      </c>
    </row>
    <row r="2465" spans="1:24" x14ac:dyDescent="0.25">
      <c r="A2465">
        <v>2461</v>
      </c>
      <c r="B2465" t="s">
        <v>28</v>
      </c>
      <c r="C2465" t="s">
        <v>25</v>
      </c>
      <c r="D2465">
        <v>14</v>
      </c>
      <c r="E2465" t="s">
        <v>147</v>
      </c>
      <c r="F2465" t="s">
        <v>115</v>
      </c>
      <c r="G2465">
        <v>3714</v>
      </c>
      <c r="H2465" t="s">
        <v>1840</v>
      </c>
      <c r="I2465" t="s">
        <v>1809</v>
      </c>
      <c r="J2465">
        <v>12</v>
      </c>
      <c r="K2465">
        <v>4</v>
      </c>
      <c r="L2465">
        <v>3.4375E-3</v>
      </c>
      <c r="M2465" t="s">
        <v>778</v>
      </c>
      <c r="N2465" t="s">
        <v>3910</v>
      </c>
      <c r="O2465" s="24">
        <v>46140</v>
      </c>
      <c r="P2465">
        <v>605</v>
      </c>
      <c r="Q2465" t="s">
        <v>34</v>
      </c>
      <c r="X2465" t="s">
        <v>3608</v>
      </c>
    </row>
    <row r="2466" spans="1:24" x14ac:dyDescent="0.25">
      <c r="A2466">
        <v>2462</v>
      </c>
      <c r="B2466" t="s">
        <v>28</v>
      </c>
      <c r="C2466" t="s">
        <v>25</v>
      </c>
      <c r="D2466">
        <v>14</v>
      </c>
      <c r="E2466" t="s">
        <v>1665</v>
      </c>
      <c r="F2466" t="s">
        <v>115</v>
      </c>
      <c r="G2466">
        <v>3714</v>
      </c>
      <c r="H2466" t="s">
        <v>1940</v>
      </c>
      <c r="I2466" t="s">
        <v>1886</v>
      </c>
      <c r="J2466">
        <v>12</v>
      </c>
      <c r="K2466">
        <v>2</v>
      </c>
      <c r="L2466">
        <v>1.6319444444444443E-3</v>
      </c>
      <c r="M2466" t="s">
        <v>778</v>
      </c>
      <c r="N2466" t="s">
        <v>3910</v>
      </c>
      <c r="O2466" s="24">
        <v>46140</v>
      </c>
      <c r="P2466">
        <v>605</v>
      </c>
      <c r="Q2466" t="s">
        <v>34</v>
      </c>
      <c r="X2466" t="s">
        <v>3608</v>
      </c>
    </row>
    <row r="2467" spans="1:24" x14ac:dyDescent="0.25">
      <c r="A2467">
        <v>2463</v>
      </c>
      <c r="B2467" t="s">
        <v>28</v>
      </c>
      <c r="C2467" t="s">
        <v>25</v>
      </c>
      <c r="D2467">
        <v>14</v>
      </c>
      <c r="E2467" t="s">
        <v>1672</v>
      </c>
      <c r="F2467" t="s">
        <v>115</v>
      </c>
      <c r="G2467">
        <v>3714</v>
      </c>
      <c r="H2467" t="s">
        <v>1885</v>
      </c>
      <c r="I2467" t="s">
        <v>1886</v>
      </c>
      <c r="J2467">
        <v>12</v>
      </c>
      <c r="K2467">
        <v>1</v>
      </c>
      <c r="L2467">
        <v>8.7962962962962962E-4</v>
      </c>
      <c r="M2467" t="s">
        <v>778</v>
      </c>
      <c r="N2467" t="s">
        <v>3910</v>
      </c>
      <c r="O2467" s="24">
        <v>46140</v>
      </c>
      <c r="P2467">
        <v>605</v>
      </c>
      <c r="Q2467" t="s">
        <v>34</v>
      </c>
      <c r="X2467" t="s">
        <v>3608</v>
      </c>
    </row>
    <row r="2468" spans="1:24" x14ac:dyDescent="0.25">
      <c r="A2468">
        <v>2464</v>
      </c>
      <c r="B2468" t="s">
        <v>28</v>
      </c>
      <c r="C2468" t="s">
        <v>25</v>
      </c>
      <c r="D2468">
        <v>14</v>
      </c>
      <c r="E2468" t="s">
        <v>65</v>
      </c>
      <c r="F2468" t="s">
        <v>66</v>
      </c>
      <c r="G2468">
        <v>3714</v>
      </c>
      <c r="H2468" t="s">
        <v>1963</v>
      </c>
      <c r="I2468" t="s">
        <v>1964</v>
      </c>
      <c r="J2468">
        <v>12</v>
      </c>
      <c r="K2468">
        <v>1</v>
      </c>
      <c r="L2468">
        <v>1.0648148148148149E-3</v>
      </c>
      <c r="M2468" t="s">
        <v>778</v>
      </c>
      <c r="N2468" t="s">
        <v>3910</v>
      </c>
      <c r="O2468" s="24">
        <v>46140</v>
      </c>
      <c r="P2468">
        <v>605</v>
      </c>
      <c r="Q2468" t="s">
        <v>34</v>
      </c>
      <c r="X2468" t="s">
        <v>3608</v>
      </c>
    </row>
    <row r="2469" spans="1:24" x14ac:dyDescent="0.25">
      <c r="A2469">
        <v>2465</v>
      </c>
      <c r="B2469" t="s">
        <v>28</v>
      </c>
      <c r="C2469" t="s">
        <v>25</v>
      </c>
      <c r="D2469">
        <v>14</v>
      </c>
      <c r="E2469" t="s">
        <v>511</v>
      </c>
      <c r="F2469" t="s">
        <v>511</v>
      </c>
      <c r="G2469">
        <v>3712</v>
      </c>
      <c r="H2469" t="s">
        <v>1875</v>
      </c>
      <c r="I2469" t="s">
        <v>1813</v>
      </c>
      <c r="J2469">
        <v>12</v>
      </c>
      <c r="K2469">
        <v>1</v>
      </c>
      <c r="L2469">
        <v>1.4386574074074074E-2</v>
      </c>
      <c r="M2469" t="s">
        <v>778</v>
      </c>
      <c r="N2469" t="s">
        <v>3910</v>
      </c>
      <c r="O2469" s="24">
        <v>46140</v>
      </c>
      <c r="P2469">
        <v>605</v>
      </c>
      <c r="Q2469" t="s">
        <v>34</v>
      </c>
      <c r="X2469" t="s">
        <v>3609</v>
      </c>
    </row>
    <row r="2470" spans="1:24" x14ac:dyDescent="0.25">
      <c r="A2470">
        <v>2466</v>
      </c>
      <c r="B2470" t="s">
        <v>28</v>
      </c>
      <c r="C2470" t="s">
        <v>25</v>
      </c>
      <c r="D2470">
        <v>14</v>
      </c>
      <c r="E2470" t="s">
        <v>147</v>
      </c>
      <c r="F2470" t="s">
        <v>115</v>
      </c>
      <c r="G2470">
        <v>3712</v>
      </c>
      <c r="H2470" t="s">
        <v>1840</v>
      </c>
      <c r="I2470" t="s">
        <v>1809</v>
      </c>
      <c r="J2470">
        <v>12</v>
      </c>
      <c r="K2470">
        <v>4</v>
      </c>
      <c r="L2470">
        <v>3.4259259259259256E-3</v>
      </c>
      <c r="M2470" t="s">
        <v>778</v>
      </c>
      <c r="N2470" t="s">
        <v>3910</v>
      </c>
      <c r="O2470" s="24">
        <v>46140</v>
      </c>
      <c r="P2470">
        <v>605</v>
      </c>
      <c r="Q2470" t="s">
        <v>34</v>
      </c>
      <c r="X2470" t="s">
        <v>3609</v>
      </c>
    </row>
    <row r="2471" spans="1:24" x14ac:dyDescent="0.25">
      <c r="A2471">
        <v>2467</v>
      </c>
      <c r="B2471" t="s">
        <v>28</v>
      </c>
      <c r="C2471" t="s">
        <v>25</v>
      </c>
      <c r="D2471">
        <v>14</v>
      </c>
      <c r="E2471" t="s">
        <v>1665</v>
      </c>
      <c r="F2471" t="s">
        <v>115</v>
      </c>
      <c r="G2471">
        <v>3712</v>
      </c>
      <c r="H2471" t="s">
        <v>1940</v>
      </c>
      <c r="I2471" t="s">
        <v>1886</v>
      </c>
      <c r="J2471">
        <v>12</v>
      </c>
      <c r="K2471">
        <v>4</v>
      </c>
      <c r="L2471">
        <v>3.2523148148148147E-3</v>
      </c>
      <c r="M2471" t="s">
        <v>778</v>
      </c>
      <c r="N2471" t="s">
        <v>3910</v>
      </c>
      <c r="O2471" s="24">
        <v>46140</v>
      </c>
      <c r="P2471">
        <v>605</v>
      </c>
      <c r="Q2471" t="s">
        <v>34</v>
      </c>
      <c r="X2471" t="s">
        <v>3609</v>
      </c>
    </row>
    <row r="2472" spans="1:24" x14ac:dyDescent="0.25">
      <c r="A2472">
        <v>2468</v>
      </c>
      <c r="B2472" t="s">
        <v>28</v>
      </c>
      <c r="C2472" t="s">
        <v>25</v>
      </c>
      <c r="D2472">
        <v>14</v>
      </c>
      <c r="E2472" t="s">
        <v>147</v>
      </c>
      <c r="F2472" t="s">
        <v>115</v>
      </c>
      <c r="G2472">
        <v>4334</v>
      </c>
      <c r="H2472" t="s">
        <v>1840</v>
      </c>
      <c r="I2472" t="s">
        <v>1809</v>
      </c>
      <c r="J2472">
        <v>12</v>
      </c>
      <c r="K2472">
        <v>2</v>
      </c>
      <c r="L2472">
        <v>1.6087962962962963E-3</v>
      </c>
      <c r="M2472" t="s">
        <v>3079</v>
      </c>
      <c r="X2472" t="s">
        <v>3610</v>
      </c>
    </row>
    <row r="2473" spans="1:24" x14ac:dyDescent="0.25">
      <c r="A2473">
        <v>2469</v>
      </c>
      <c r="B2473" t="s">
        <v>28</v>
      </c>
      <c r="C2473" t="s">
        <v>25</v>
      </c>
      <c r="D2473">
        <v>14</v>
      </c>
      <c r="E2473" t="s">
        <v>150</v>
      </c>
      <c r="F2473" t="s">
        <v>115</v>
      </c>
      <c r="G2473">
        <v>4334</v>
      </c>
      <c r="H2473" t="s">
        <v>1808</v>
      </c>
      <c r="I2473" t="s">
        <v>1809</v>
      </c>
      <c r="J2473">
        <v>12</v>
      </c>
      <c r="K2473">
        <v>5</v>
      </c>
      <c r="L2473">
        <v>5.4861111111111109E-3</v>
      </c>
      <c r="M2473" t="s">
        <v>3079</v>
      </c>
      <c r="X2473" t="s">
        <v>3610</v>
      </c>
    </row>
    <row r="2474" spans="1:24" x14ac:dyDescent="0.25">
      <c r="A2474">
        <v>2470</v>
      </c>
      <c r="B2474" t="s">
        <v>28</v>
      </c>
      <c r="C2474" t="s">
        <v>25</v>
      </c>
      <c r="D2474">
        <v>14</v>
      </c>
      <c r="E2474" t="s">
        <v>152</v>
      </c>
      <c r="F2474" t="s">
        <v>152</v>
      </c>
      <c r="G2474">
        <v>4334</v>
      </c>
      <c r="H2474" t="s">
        <v>1846</v>
      </c>
      <c r="I2474" t="s">
        <v>1813</v>
      </c>
      <c r="J2474">
        <v>12</v>
      </c>
      <c r="K2474">
        <v>1</v>
      </c>
      <c r="L2474">
        <v>1.3449074074074073E-2</v>
      </c>
      <c r="M2474" t="s">
        <v>3079</v>
      </c>
      <c r="X2474" t="s">
        <v>3610</v>
      </c>
    </row>
    <row r="2475" spans="1:24" x14ac:dyDescent="0.25">
      <c r="A2475">
        <v>2471</v>
      </c>
      <c r="B2475" t="s">
        <v>28</v>
      </c>
      <c r="C2475" t="s">
        <v>25</v>
      </c>
      <c r="D2475">
        <v>14</v>
      </c>
      <c r="E2475" t="s">
        <v>65</v>
      </c>
      <c r="F2475" t="s">
        <v>1591</v>
      </c>
      <c r="G2475">
        <v>4334</v>
      </c>
      <c r="H2475" t="s">
        <v>2537</v>
      </c>
      <c r="I2475" t="s">
        <v>1893</v>
      </c>
      <c r="J2475">
        <v>12</v>
      </c>
      <c r="K2475">
        <v>1</v>
      </c>
      <c r="L2475">
        <v>5.2083333333333333E-4</v>
      </c>
      <c r="M2475" t="s">
        <v>3079</v>
      </c>
      <c r="X2475" t="s">
        <v>3610</v>
      </c>
    </row>
    <row r="2476" spans="1:24" x14ac:dyDescent="0.25">
      <c r="A2476">
        <v>2472</v>
      </c>
      <c r="B2476" t="s">
        <v>28</v>
      </c>
      <c r="C2476" t="s">
        <v>25</v>
      </c>
      <c r="D2476">
        <v>14</v>
      </c>
      <c r="E2476" t="s">
        <v>65</v>
      </c>
      <c r="F2476" t="s">
        <v>1591</v>
      </c>
      <c r="G2476">
        <v>4334</v>
      </c>
      <c r="H2476" t="s">
        <v>2538</v>
      </c>
      <c r="I2476" t="s">
        <v>1893</v>
      </c>
      <c r="J2476">
        <v>12</v>
      </c>
      <c r="K2476">
        <v>1</v>
      </c>
      <c r="L2476">
        <v>4.9768518518518521E-4</v>
      </c>
      <c r="M2476" t="s">
        <v>3079</v>
      </c>
      <c r="X2476" t="s">
        <v>3610</v>
      </c>
    </row>
    <row r="2477" spans="1:24" x14ac:dyDescent="0.25">
      <c r="A2477">
        <v>2473</v>
      </c>
      <c r="B2477" t="s">
        <v>28</v>
      </c>
      <c r="C2477" t="s">
        <v>25</v>
      </c>
      <c r="D2477">
        <v>14</v>
      </c>
      <c r="E2477" t="s">
        <v>511</v>
      </c>
      <c r="F2477" t="s">
        <v>512</v>
      </c>
      <c r="G2477">
        <v>3716</v>
      </c>
      <c r="H2477" t="s">
        <v>2033</v>
      </c>
      <c r="I2477" t="s">
        <v>1962</v>
      </c>
      <c r="J2477">
        <v>12</v>
      </c>
      <c r="K2477">
        <v>4</v>
      </c>
      <c r="L2477">
        <v>5.9953703703703705E-3</v>
      </c>
      <c r="M2477" t="s">
        <v>778</v>
      </c>
      <c r="N2477" t="s">
        <v>1316</v>
      </c>
      <c r="O2477" s="24">
        <v>46132</v>
      </c>
      <c r="P2477">
        <v>606</v>
      </c>
      <c r="Q2477" t="s">
        <v>34</v>
      </c>
      <c r="X2477" t="s">
        <v>3611</v>
      </c>
    </row>
    <row r="2478" spans="1:24" x14ac:dyDescent="0.25">
      <c r="A2478">
        <v>2474</v>
      </c>
      <c r="B2478" t="s">
        <v>28</v>
      </c>
      <c r="C2478" t="s">
        <v>25</v>
      </c>
      <c r="D2478">
        <v>14</v>
      </c>
      <c r="E2478" t="s">
        <v>1665</v>
      </c>
      <c r="F2478" t="s">
        <v>512</v>
      </c>
      <c r="G2478">
        <v>3716</v>
      </c>
      <c r="H2478" t="s">
        <v>2034</v>
      </c>
      <c r="I2478" t="s">
        <v>1897</v>
      </c>
      <c r="J2478">
        <v>12</v>
      </c>
      <c r="K2478">
        <v>2</v>
      </c>
      <c r="L2478">
        <v>1.1111111111111111E-3</v>
      </c>
      <c r="M2478" t="s">
        <v>778</v>
      </c>
      <c r="N2478" t="s">
        <v>1316</v>
      </c>
      <c r="O2478" s="24">
        <v>46132</v>
      </c>
      <c r="P2478">
        <v>606</v>
      </c>
      <c r="Q2478" t="s">
        <v>34</v>
      </c>
      <c r="X2478" t="s">
        <v>3611</v>
      </c>
    </row>
    <row r="2479" spans="1:24" x14ac:dyDescent="0.25">
      <c r="A2479">
        <v>2475</v>
      </c>
      <c r="B2479" t="s">
        <v>28</v>
      </c>
      <c r="C2479" t="s">
        <v>25</v>
      </c>
      <c r="D2479">
        <v>14</v>
      </c>
      <c r="E2479" t="s">
        <v>1672</v>
      </c>
      <c r="F2479" t="s">
        <v>115</v>
      </c>
      <c r="G2479">
        <v>3716</v>
      </c>
      <c r="H2479" t="s">
        <v>1900</v>
      </c>
      <c r="I2479" t="s">
        <v>1899</v>
      </c>
      <c r="J2479">
        <v>12</v>
      </c>
      <c r="K2479">
        <v>7</v>
      </c>
      <c r="L2479">
        <v>5.6249999999999998E-3</v>
      </c>
      <c r="M2479" t="s">
        <v>778</v>
      </c>
      <c r="N2479" t="s">
        <v>1316</v>
      </c>
      <c r="O2479" s="24">
        <v>46132</v>
      </c>
      <c r="P2479">
        <v>606</v>
      </c>
      <c r="Q2479" t="s">
        <v>34</v>
      </c>
      <c r="X2479" t="s">
        <v>3611</v>
      </c>
    </row>
    <row r="2480" spans="1:24" x14ac:dyDescent="0.25">
      <c r="A2480">
        <v>2476</v>
      </c>
      <c r="B2480" t="s">
        <v>28</v>
      </c>
      <c r="C2480" t="s">
        <v>25</v>
      </c>
      <c r="D2480">
        <v>14</v>
      </c>
      <c r="E2480" t="s">
        <v>511</v>
      </c>
      <c r="F2480" t="s">
        <v>512</v>
      </c>
      <c r="G2480">
        <v>3716</v>
      </c>
      <c r="H2480" t="s">
        <v>1961</v>
      </c>
      <c r="I2480" t="s">
        <v>1962</v>
      </c>
      <c r="J2480">
        <v>12</v>
      </c>
      <c r="K2480">
        <v>2</v>
      </c>
      <c r="L2480">
        <v>3.3449074074074071E-3</v>
      </c>
      <c r="M2480" t="s">
        <v>778</v>
      </c>
      <c r="N2480" t="s">
        <v>1316</v>
      </c>
      <c r="O2480" s="24">
        <v>46132</v>
      </c>
      <c r="P2480">
        <v>606</v>
      </c>
      <c r="Q2480" t="s">
        <v>34</v>
      </c>
      <c r="X2480" t="s">
        <v>3611</v>
      </c>
    </row>
    <row r="2481" spans="1:24" x14ac:dyDescent="0.25">
      <c r="A2481">
        <v>2477</v>
      </c>
      <c r="B2481" t="s">
        <v>28</v>
      </c>
      <c r="C2481" t="s">
        <v>25</v>
      </c>
      <c r="D2481">
        <v>14</v>
      </c>
      <c r="E2481" t="s">
        <v>150</v>
      </c>
      <c r="F2481" t="s">
        <v>115</v>
      </c>
      <c r="G2481">
        <v>3718</v>
      </c>
      <c r="H2481" t="s">
        <v>1808</v>
      </c>
      <c r="I2481" t="s">
        <v>1809</v>
      </c>
      <c r="J2481">
        <v>12</v>
      </c>
      <c r="K2481">
        <v>2</v>
      </c>
      <c r="L2481">
        <v>2.0949074074074073E-3</v>
      </c>
      <c r="M2481" t="s">
        <v>778</v>
      </c>
      <c r="N2481" t="s">
        <v>1316</v>
      </c>
      <c r="O2481" s="24">
        <v>46132</v>
      </c>
      <c r="P2481">
        <v>606</v>
      </c>
      <c r="Q2481" t="s">
        <v>34</v>
      </c>
      <c r="X2481" t="s">
        <v>3612</v>
      </c>
    </row>
    <row r="2482" spans="1:24" x14ac:dyDescent="0.25">
      <c r="A2482">
        <v>2478</v>
      </c>
      <c r="B2482" t="s">
        <v>28</v>
      </c>
      <c r="C2482" t="s">
        <v>25</v>
      </c>
      <c r="D2482">
        <v>14</v>
      </c>
      <c r="E2482" t="s">
        <v>367</v>
      </c>
      <c r="F2482" t="s">
        <v>512</v>
      </c>
      <c r="G2482">
        <v>3718</v>
      </c>
      <c r="H2482" t="s">
        <v>2541</v>
      </c>
      <c r="I2482" t="s">
        <v>2542</v>
      </c>
      <c r="J2482">
        <v>12</v>
      </c>
      <c r="K2482">
        <v>1</v>
      </c>
      <c r="L2482">
        <v>1.4583333333333332E-3</v>
      </c>
      <c r="M2482" t="s">
        <v>778</v>
      </c>
      <c r="N2482" t="s">
        <v>1316</v>
      </c>
      <c r="O2482" s="24">
        <v>46132</v>
      </c>
      <c r="P2482">
        <v>606</v>
      </c>
      <c r="Q2482" t="s">
        <v>34</v>
      </c>
      <c r="X2482" t="s">
        <v>3612</v>
      </c>
    </row>
    <row r="2483" spans="1:24" x14ac:dyDescent="0.25">
      <c r="A2483">
        <v>2479</v>
      </c>
      <c r="B2483" t="s">
        <v>28</v>
      </c>
      <c r="C2483" t="s">
        <v>25</v>
      </c>
      <c r="D2483">
        <v>14</v>
      </c>
      <c r="E2483" t="s">
        <v>367</v>
      </c>
      <c r="F2483" t="s">
        <v>512</v>
      </c>
      <c r="G2483">
        <v>3718</v>
      </c>
      <c r="H2483" t="s">
        <v>2543</v>
      </c>
      <c r="I2483" t="s">
        <v>2544</v>
      </c>
      <c r="J2483">
        <v>12</v>
      </c>
      <c r="K2483">
        <v>1</v>
      </c>
      <c r="L2483">
        <v>1.4583333333333332E-3</v>
      </c>
      <c r="M2483" t="s">
        <v>778</v>
      </c>
      <c r="N2483" t="s">
        <v>1316</v>
      </c>
      <c r="O2483" s="24">
        <v>46132</v>
      </c>
      <c r="P2483">
        <v>606</v>
      </c>
      <c r="Q2483" t="s">
        <v>34</v>
      </c>
      <c r="X2483" t="s">
        <v>3612</v>
      </c>
    </row>
    <row r="2484" spans="1:24" x14ac:dyDescent="0.25">
      <c r="A2484">
        <v>2480</v>
      </c>
      <c r="B2484" t="s">
        <v>28</v>
      </c>
      <c r="C2484" t="s">
        <v>25</v>
      </c>
      <c r="D2484">
        <v>14</v>
      </c>
      <c r="E2484" t="s">
        <v>65</v>
      </c>
      <c r="F2484" t="s">
        <v>66</v>
      </c>
      <c r="G2484">
        <v>3718</v>
      </c>
      <c r="H2484" t="s">
        <v>2545</v>
      </c>
      <c r="I2484" t="s">
        <v>1809</v>
      </c>
      <c r="J2484">
        <v>12</v>
      </c>
      <c r="K2484">
        <v>1</v>
      </c>
      <c r="L2484">
        <v>1.4120370370370369E-3</v>
      </c>
      <c r="M2484" t="s">
        <v>778</v>
      </c>
      <c r="N2484" t="s">
        <v>1316</v>
      </c>
      <c r="O2484" s="24">
        <v>46132</v>
      </c>
      <c r="P2484">
        <v>606</v>
      </c>
      <c r="Q2484" t="s">
        <v>34</v>
      </c>
      <c r="X2484" t="s">
        <v>3612</v>
      </c>
    </row>
    <row r="2485" spans="1:24" x14ac:dyDescent="0.25">
      <c r="A2485">
        <v>2481</v>
      </c>
      <c r="B2485" t="s">
        <v>28</v>
      </c>
      <c r="C2485" t="s">
        <v>25</v>
      </c>
      <c r="D2485">
        <v>14</v>
      </c>
      <c r="E2485" t="s">
        <v>511</v>
      </c>
      <c r="F2485" t="s">
        <v>512</v>
      </c>
      <c r="G2485">
        <v>3718</v>
      </c>
      <c r="H2485" t="s">
        <v>1961</v>
      </c>
      <c r="I2485" t="s">
        <v>1962</v>
      </c>
      <c r="J2485">
        <v>12</v>
      </c>
      <c r="K2485">
        <v>2</v>
      </c>
      <c r="L2485">
        <v>3.4259259259259256E-3</v>
      </c>
      <c r="M2485" t="s">
        <v>778</v>
      </c>
      <c r="N2485" t="s">
        <v>1316</v>
      </c>
      <c r="O2485" s="24">
        <v>46132</v>
      </c>
      <c r="P2485">
        <v>606</v>
      </c>
      <c r="Q2485" t="s">
        <v>34</v>
      </c>
      <c r="X2485" t="s">
        <v>3612</v>
      </c>
    </row>
    <row r="2486" spans="1:24" x14ac:dyDescent="0.25">
      <c r="A2486">
        <v>2482</v>
      </c>
      <c r="B2486" t="s">
        <v>28</v>
      </c>
      <c r="C2486" t="s">
        <v>25</v>
      </c>
      <c r="D2486">
        <v>14</v>
      </c>
      <c r="E2486" t="s">
        <v>367</v>
      </c>
      <c r="F2486" t="s">
        <v>1598</v>
      </c>
      <c r="G2486">
        <v>3718</v>
      </c>
      <c r="H2486" t="s">
        <v>2546</v>
      </c>
      <c r="I2486" t="s">
        <v>2547</v>
      </c>
      <c r="J2486">
        <v>12</v>
      </c>
      <c r="K2486">
        <v>1</v>
      </c>
      <c r="L2486">
        <v>1.4814814814814814E-3</v>
      </c>
      <c r="M2486" t="s">
        <v>778</v>
      </c>
      <c r="N2486" t="s">
        <v>1316</v>
      </c>
      <c r="O2486" s="24">
        <v>46132</v>
      </c>
      <c r="P2486">
        <v>606</v>
      </c>
      <c r="Q2486" t="s">
        <v>34</v>
      </c>
      <c r="X2486" t="s">
        <v>3612</v>
      </c>
    </row>
    <row r="2487" spans="1:24" x14ac:dyDescent="0.25">
      <c r="A2487">
        <v>2483</v>
      </c>
      <c r="B2487" t="s">
        <v>28</v>
      </c>
      <c r="C2487" t="s">
        <v>25</v>
      </c>
      <c r="D2487">
        <v>14</v>
      </c>
      <c r="E2487" t="s">
        <v>367</v>
      </c>
      <c r="F2487" t="s">
        <v>1599</v>
      </c>
      <c r="G2487">
        <v>3718</v>
      </c>
      <c r="H2487" t="s">
        <v>2548</v>
      </c>
      <c r="I2487" t="s">
        <v>2547</v>
      </c>
      <c r="J2487">
        <v>12</v>
      </c>
      <c r="K2487">
        <v>1</v>
      </c>
      <c r="L2487">
        <v>1.4814814814814814E-3</v>
      </c>
      <c r="M2487" t="s">
        <v>778</v>
      </c>
      <c r="N2487" t="s">
        <v>1316</v>
      </c>
      <c r="O2487" s="24">
        <v>46132</v>
      </c>
      <c r="P2487">
        <v>606</v>
      </c>
      <c r="Q2487" t="s">
        <v>34</v>
      </c>
      <c r="X2487" t="s">
        <v>3612</v>
      </c>
    </row>
    <row r="2488" spans="1:24" x14ac:dyDescent="0.25">
      <c r="A2488">
        <v>2484</v>
      </c>
      <c r="B2488" t="s">
        <v>28</v>
      </c>
      <c r="C2488" t="s">
        <v>25</v>
      </c>
      <c r="D2488">
        <v>14</v>
      </c>
      <c r="E2488" t="s">
        <v>65</v>
      </c>
      <c r="F2488" t="s">
        <v>66</v>
      </c>
      <c r="G2488">
        <v>3718</v>
      </c>
      <c r="H2488" t="s">
        <v>1963</v>
      </c>
      <c r="I2488" t="s">
        <v>1964</v>
      </c>
      <c r="J2488">
        <v>12</v>
      </c>
      <c r="K2488">
        <v>1</v>
      </c>
      <c r="L2488">
        <v>9.6064814814814808E-4</v>
      </c>
      <c r="M2488" t="s">
        <v>778</v>
      </c>
      <c r="N2488" t="s">
        <v>1316</v>
      </c>
      <c r="O2488" s="24">
        <v>46132</v>
      </c>
      <c r="P2488">
        <v>606</v>
      </c>
      <c r="Q2488" t="s">
        <v>34</v>
      </c>
      <c r="X2488" t="s">
        <v>3612</v>
      </c>
    </row>
    <row r="2489" spans="1:24" x14ac:dyDescent="0.25">
      <c r="A2489">
        <v>2485</v>
      </c>
      <c r="B2489" t="s">
        <v>28</v>
      </c>
      <c r="C2489" t="s">
        <v>25</v>
      </c>
      <c r="D2489">
        <v>14</v>
      </c>
      <c r="E2489" t="s">
        <v>152</v>
      </c>
      <c r="F2489" t="s">
        <v>152</v>
      </c>
      <c r="G2489">
        <v>3718</v>
      </c>
      <c r="H2489" t="s">
        <v>1965</v>
      </c>
      <c r="I2489" t="s">
        <v>1966</v>
      </c>
      <c r="J2489">
        <v>12</v>
      </c>
      <c r="K2489">
        <v>1</v>
      </c>
      <c r="L2489">
        <v>1.9212962962962962E-3</v>
      </c>
      <c r="M2489" t="s">
        <v>778</v>
      </c>
      <c r="N2489" t="s">
        <v>1316</v>
      </c>
      <c r="O2489" s="24">
        <v>46132</v>
      </c>
      <c r="P2489">
        <v>606</v>
      </c>
      <c r="Q2489" t="s">
        <v>34</v>
      </c>
      <c r="X2489" t="s">
        <v>3612</v>
      </c>
    </row>
    <row r="2490" spans="1:24" x14ac:dyDescent="0.25">
      <c r="A2490">
        <v>2486</v>
      </c>
      <c r="B2490" t="s">
        <v>28</v>
      </c>
      <c r="C2490" t="s">
        <v>25</v>
      </c>
      <c r="D2490">
        <v>14</v>
      </c>
      <c r="E2490" t="s">
        <v>1672</v>
      </c>
      <c r="F2490" t="s">
        <v>498</v>
      </c>
      <c r="G2490">
        <v>3705</v>
      </c>
      <c r="H2490" t="s">
        <v>1977</v>
      </c>
      <c r="I2490" t="s">
        <v>1978</v>
      </c>
      <c r="J2490">
        <v>10</v>
      </c>
      <c r="K2490">
        <v>9</v>
      </c>
      <c r="L2490">
        <v>3.3912037037037036E-3</v>
      </c>
      <c r="M2490" t="s">
        <v>778</v>
      </c>
      <c r="N2490" t="s">
        <v>1337</v>
      </c>
      <c r="O2490" s="24">
        <v>46136</v>
      </c>
      <c r="P2490">
        <v>605</v>
      </c>
      <c r="Q2490" t="s">
        <v>34</v>
      </c>
      <c r="X2490" t="s">
        <v>3613</v>
      </c>
    </row>
    <row r="2491" spans="1:24" x14ac:dyDescent="0.25">
      <c r="A2491">
        <v>2487</v>
      </c>
      <c r="B2491" t="s">
        <v>28</v>
      </c>
      <c r="C2491" t="s">
        <v>25</v>
      </c>
      <c r="D2491">
        <v>14</v>
      </c>
      <c r="E2491" t="s">
        <v>1665</v>
      </c>
      <c r="F2491" t="s">
        <v>498</v>
      </c>
      <c r="G2491">
        <v>3705</v>
      </c>
      <c r="H2491" t="s">
        <v>1981</v>
      </c>
      <c r="I2491" t="s">
        <v>1978</v>
      </c>
      <c r="J2491">
        <v>10</v>
      </c>
      <c r="K2491">
        <v>29</v>
      </c>
      <c r="L2491">
        <v>1.4826388888888889E-2</v>
      </c>
      <c r="M2491" t="s">
        <v>778</v>
      </c>
      <c r="N2491" t="s">
        <v>1337</v>
      </c>
      <c r="O2491" s="24">
        <v>46136</v>
      </c>
      <c r="P2491">
        <v>605</v>
      </c>
      <c r="Q2491" t="s">
        <v>34</v>
      </c>
      <c r="X2491" t="s">
        <v>3613</v>
      </c>
    </row>
    <row r="2492" spans="1:24" x14ac:dyDescent="0.25">
      <c r="A2492">
        <v>2488</v>
      </c>
      <c r="B2492" t="s">
        <v>28</v>
      </c>
      <c r="C2492" t="s">
        <v>25</v>
      </c>
      <c r="D2492">
        <v>14</v>
      </c>
      <c r="E2492" t="s">
        <v>65</v>
      </c>
      <c r="F2492" t="s">
        <v>65</v>
      </c>
      <c r="G2492">
        <v>3705</v>
      </c>
      <c r="H2492" t="s">
        <v>1990</v>
      </c>
      <c r="I2492" t="s">
        <v>1991</v>
      </c>
      <c r="J2492">
        <v>10</v>
      </c>
      <c r="K2492">
        <v>3</v>
      </c>
      <c r="L2492">
        <v>1.0185185185185184E-3</v>
      </c>
      <c r="M2492" t="s">
        <v>778</v>
      </c>
      <c r="N2492" t="s">
        <v>1337</v>
      </c>
      <c r="O2492" s="24">
        <v>46136</v>
      </c>
      <c r="P2492">
        <v>605</v>
      </c>
      <c r="Q2492" t="s">
        <v>34</v>
      </c>
      <c r="X2492" t="s">
        <v>3613</v>
      </c>
    </row>
    <row r="2493" spans="1:24" x14ac:dyDescent="0.25">
      <c r="A2493">
        <v>2489</v>
      </c>
      <c r="B2493" t="s">
        <v>28</v>
      </c>
      <c r="C2493" t="s">
        <v>25</v>
      </c>
      <c r="D2493">
        <v>14</v>
      </c>
      <c r="E2493" t="s">
        <v>65</v>
      </c>
      <c r="F2493" t="s">
        <v>1590</v>
      </c>
      <c r="G2493">
        <v>3705</v>
      </c>
      <c r="H2493" t="s">
        <v>1992</v>
      </c>
      <c r="I2493" t="s">
        <v>1993</v>
      </c>
      <c r="J2493">
        <v>10</v>
      </c>
      <c r="K2493">
        <v>6</v>
      </c>
      <c r="L2493">
        <v>3.3449074074074071E-3</v>
      </c>
      <c r="M2493" t="s">
        <v>778</v>
      </c>
      <c r="N2493" t="s">
        <v>1337</v>
      </c>
      <c r="O2493" s="24">
        <v>46136</v>
      </c>
      <c r="P2493">
        <v>605</v>
      </c>
      <c r="Q2493" t="s">
        <v>34</v>
      </c>
      <c r="X2493" t="s">
        <v>3613</v>
      </c>
    </row>
    <row r="2494" spans="1:24" x14ac:dyDescent="0.25">
      <c r="A2494">
        <v>2490</v>
      </c>
      <c r="B2494" t="s">
        <v>28</v>
      </c>
      <c r="C2494" t="s">
        <v>25</v>
      </c>
      <c r="D2494">
        <v>14</v>
      </c>
      <c r="E2494" t="s">
        <v>65</v>
      </c>
      <c r="F2494" t="s">
        <v>368</v>
      </c>
      <c r="G2494">
        <v>3705</v>
      </c>
      <c r="H2494" t="s">
        <v>2014</v>
      </c>
      <c r="I2494" t="s">
        <v>2015</v>
      </c>
      <c r="J2494">
        <v>10</v>
      </c>
      <c r="K2494">
        <v>4</v>
      </c>
      <c r="L2494">
        <v>3.1249999999999997E-3</v>
      </c>
      <c r="M2494" t="s">
        <v>778</v>
      </c>
      <c r="N2494" t="s">
        <v>1337</v>
      </c>
      <c r="O2494" s="24">
        <v>46136</v>
      </c>
      <c r="P2494">
        <v>605</v>
      </c>
      <c r="Q2494" t="s">
        <v>34</v>
      </c>
      <c r="X2494" t="s">
        <v>3613</v>
      </c>
    </row>
    <row r="2495" spans="1:24" x14ac:dyDescent="0.25">
      <c r="A2495">
        <v>2491</v>
      </c>
      <c r="B2495" t="s">
        <v>28</v>
      </c>
      <c r="C2495" t="s">
        <v>25</v>
      </c>
      <c r="D2495">
        <v>14</v>
      </c>
      <c r="E2495" t="s">
        <v>550</v>
      </c>
      <c r="F2495" t="s">
        <v>512</v>
      </c>
      <c r="G2495">
        <v>4487</v>
      </c>
      <c r="H2495" t="s">
        <v>551</v>
      </c>
      <c r="I2495" t="s">
        <v>119</v>
      </c>
      <c r="J2495">
        <v>8</v>
      </c>
      <c r="K2495">
        <v>1</v>
      </c>
      <c r="L2495">
        <v>6.9212962962962961E-3</v>
      </c>
      <c r="M2495" t="s">
        <v>778</v>
      </c>
      <c r="N2495" t="s">
        <v>1504</v>
      </c>
      <c r="O2495" s="24">
        <v>46141</v>
      </c>
      <c r="P2495">
        <v>603</v>
      </c>
      <c r="Q2495" t="s">
        <v>34</v>
      </c>
      <c r="X2495" t="s">
        <v>3614</v>
      </c>
    </row>
    <row r="2496" spans="1:24" x14ac:dyDescent="0.25">
      <c r="A2496">
        <v>2492</v>
      </c>
      <c r="B2496" t="s">
        <v>28</v>
      </c>
      <c r="C2496" t="s">
        <v>25</v>
      </c>
      <c r="D2496">
        <v>14</v>
      </c>
      <c r="E2496" t="s">
        <v>550</v>
      </c>
      <c r="F2496" t="s">
        <v>512</v>
      </c>
      <c r="G2496">
        <v>4489</v>
      </c>
      <c r="H2496" t="s">
        <v>551</v>
      </c>
      <c r="I2496" t="s">
        <v>119</v>
      </c>
      <c r="J2496">
        <v>8</v>
      </c>
      <c r="K2496">
        <v>1</v>
      </c>
      <c r="L2496">
        <v>6.9212962962962961E-3</v>
      </c>
      <c r="M2496" t="s">
        <v>778</v>
      </c>
      <c r="N2496" t="s">
        <v>1504</v>
      </c>
      <c r="O2496" s="24">
        <v>46141</v>
      </c>
      <c r="P2496">
        <v>603</v>
      </c>
      <c r="Q2496" t="s">
        <v>34</v>
      </c>
      <c r="X2496" t="s">
        <v>3615</v>
      </c>
    </row>
    <row r="2497" spans="1:24" x14ac:dyDescent="0.25">
      <c r="A2497">
        <v>2493</v>
      </c>
      <c r="B2497" t="s">
        <v>28</v>
      </c>
      <c r="C2497" t="s">
        <v>25</v>
      </c>
      <c r="D2497">
        <v>14</v>
      </c>
      <c r="E2497" t="s">
        <v>114</v>
      </c>
      <c r="F2497" t="s">
        <v>115</v>
      </c>
      <c r="G2497">
        <v>4490</v>
      </c>
      <c r="H2497" t="s">
        <v>92</v>
      </c>
      <c r="I2497" t="s">
        <v>116</v>
      </c>
      <c r="J2497">
        <v>8</v>
      </c>
      <c r="K2497">
        <v>1</v>
      </c>
      <c r="L2497">
        <v>7.8819444444444449E-3</v>
      </c>
      <c r="M2497" t="s">
        <v>778</v>
      </c>
      <c r="N2497" t="s">
        <v>69</v>
      </c>
      <c r="O2497" s="24">
        <v>46139</v>
      </c>
      <c r="P2497">
        <v>603</v>
      </c>
      <c r="Q2497" t="s">
        <v>34</v>
      </c>
      <c r="X2497" t="s">
        <v>3616</v>
      </c>
    </row>
    <row r="2498" spans="1:24" x14ac:dyDescent="0.25">
      <c r="A2498">
        <v>2494</v>
      </c>
      <c r="B2498" t="s">
        <v>28</v>
      </c>
      <c r="C2498" t="s">
        <v>25</v>
      </c>
      <c r="D2498">
        <v>14</v>
      </c>
      <c r="E2498" t="s">
        <v>114</v>
      </c>
      <c r="F2498" t="s">
        <v>115</v>
      </c>
      <c r="G2498">
        <v>4491</v>
      </c>
      <c r="H2498" t="s">
        <v>93</v>
      </c>
      <c r="I2498" t="s">
        <v>119</v>
      </c>
      <c r="J2498">
        <v>8</v>
      </c>
      <c r="K2498">
        <v>1</v>
      </c>
      <c r="L2498">
        <v>6.9212962962962961E-3</v>
      </c>
      <c r="M2498" t="s">
        <v>778</v>
      </c>
      <c r="N2498" t="s">
        <v>69</v>
      </c>
      <c r="O2498" s="24">
        <v>46139</v>
      </c>
      <c r="P2498">
        <v>603</v>
      </c>
      <c r="Q2498" t="s">
        <v>34</v>
      </c>
      <c r="X2498" t="s">
        <v>3617</v>
      </c>
    </row>
    <row r="2499" spans="1:24" x14ac:dyDescent="0.25">
      <c r="A2499">
        <v>2495</v>
      </c>
      <c r="B2499" t="s">
        <v>28</v>
      </c>
      <c r="C2499" t="s">
        <v>25</v>
      </c>
      <c r="D2499">
        <v>14</v>
      </c>
      <c r="E2499" t="s">
        <v>114</v>
      </c>
      <c r="F2499" t="s">
        <v>512</v>
      </c>
      <c r="G2499">
        <v>4492</v>
      </c>
      <c r="H2499" t="s">
        <v>94</v>
      </c>
      <c r="I2499" t="s">
        <v>119</v>
      </c>
      <c r="J2499">
        <v>8</v>
      </c>
      <c r="K2499">
        <v>1</v>
      </c>
      <c r="L2499">
        <v>8.2638888888888883E-3</v>
      </c>
      <c r="M2499" t="s">
        <v>778</v>
      </c>
      <c r="N2499" t="s">
        <v>69</v>
      </c>
      <c r="O2499" s="24">
        <v>46139</v>
      </c>
      <c r="P2499">
        <v>603</v>
      </c>
      <c r="Q2499" t="s">
        <v>34</v>
      </c>
      <c r="X2499" t="s">
        <v>3618</v>
      </c>
    </row>
    <row r="2500" spans="1:24" x14ac:dyDescent="0.25">
      <c r="A2500">
        <v>2496</v>
      </c>
      <c r="B2500" t="s">
        <v>28</v>
      </c>
      <c r="C2500" t="s">
        <v>25</v>
      </c>
      <c r="D2500">
        <v>14</v>
      </c>
      <c r="E2500" t="s">
        <v>114</v>
      </c>
      <c r="F2500" t="s">
        <v>498</v>
      </c>
      <c r="G2500">
        <v>4493</v>
      </c>
      <c r="H2500" t="s">
        <v>559</v>
      </c>
      <c r="I2500" t="s">
        <v>560</v>
      </c>
      <c r="J2500">
        <v>8</v>
      </c>
      <c r="K2500">
        <v>1</v>
      </c>
      <c r="L2500">
        <v>6.8402777777777776E-3</v>
      </c>
      <c r="M2500" t="s">
        <v>778</v>
      </c>
      <c r="N2500" t="s">
        <v>1525</v>
      </c>
      <c r="O2500" s="24">
        <v>46140</v>
      </c>
      <c r="P2500">
        <v>603</v>
      </c>
      <c r="Q2500" t="s">
        <v>34</v>
      </c>
      <c r="X2500" t="s">
        <v>3619</v>
      </c>
    </row>
    <row r="2501" spans="1:24" x14ac:dyDescent="0.25">
      <c r="A2501">
        <v>2497</v>
      </c>
      <c r="B2501" t="s">
        <v>28</v>
      </c>
      <c r="C2501" t="s">
        <v>25</v>
      </c>
      <c r="D2501">
        <v>14</v>
      </c>
      <c r="E2501" t="s">
        <v>150</v>
      </c>
      <c r="F2501" t="s">
        <v>512</v>
      </c>
      <c r="G2501">
        <v>4494</v>
      </c>
      <c r="H2501" t="s">
        <v>95</v>
      </c>
      <c r="I2501" t="s">
        <v>119</v>
      </c>
      <c r="J2501">
        <v>8</v>
      </c>
      <c r="K2501">
        <v>1</v>
      </c>
      <c r="L2501">
        <v>8.2291666666666659E-3</v>
      </c>
      <c r="M2501" t="s">
        <v>778</v>
      </c>
      <c r="N2501" t="s">
        <v>69</v>
      </c>
      <c r="O2501" s="24">
        <v>46139</v>
      </c>
      <c r="P2501">
        <v>603</v>
      </c>
      <c r="Q2501" t="s">
        <v>34</v>
      </c>
      <c r="X2501" t="s">
        <v>3620</v>
      </c>
    </row>
    <row r="2502" spans="1:24" x14ac:dyDescent="0.25">
      <c r="A2502">
        <v>2498</v>
      </c>
      <c r="B2502" t="s">
        <v>28</v>
      </c>
      <c r="C2502" t="s">
        <v>25</v>
      </c>
      <c r="D2502">
        <v>14</v>
      </c>
      <c r="E2502" t="s">
        <v>150</v>
      </c>
      <c r="F2502" t="s">
        <v>115</v>
      </c>
      <c r="G2502">
        <v>4495</v>
      </c>
      <c r="H2502" t="s">
        <v>96</v>
      </c>
      <c r="I2502" t="s">
        <v>119</v>
      </c>
      <c r="J2502">
        <v>8</v>
      </c>
      <c r="K2502">
        <v>1</v>
      </c>
      <c r="L2502">
        <v>6.9212962962962961E-3</v>
      </c>
      <c r="M2502" t="s">
        <v>778</v>
      </c>
      <c r="N2502" t="s">
        <v>69</v>
      </c>
      <c r="O2502" s="24">
        <v>46139</v>
      </c>
      <c r="P2502">
        <v>603</v>
      </c>
      <c r="Q2502" t="s">
        <v>34</v>
      </c>
      <c r="X2502" t="s">
        <v>3621</v>
      </c>
    </row>
    <row r="2503" spans="1:24" x14ac:dyDescent="0.25">
      <c r="A2503">
        <v>2499</v>
      </c>
      <c r="B2503" t="s">
        <v>28</v>
      </c>
      <c r="C2503" t="s">
        <v>25</v>
      </c>
      <c r="D2503">
        <v>14</v>
      </c>
      <c r="E2503" t="s">
        <v>133</v>
      </c>
      <c r="F2503" t="s">
        <v>115</v>
      </c>
      <c r="G2503">
        <v>4496</v>
      </c>
      <c r="H2503" t="s">
        <v>97</v>
      </c>
      <c r="I2503" t="s">
        <v>116</v>
      </c>
      <c r="J2503">
        <v>8</v>
      </c>
      <c r="K2503">
        <v>1</v>
      </c>
      <c r="L2503">
        <v>7.951388888888888E-3</v>
      </c>
      <c r="M2503" t="s">
        <v>778</v>
      </c>
      <c r="N2503" t="s">
        <v>69</v>
      </c>
      <c r="O2503" s="24">
        <v>46139</v>
      </c>
      <c r="P2503">
        <v>603</v>
      </c>
      <c r="Q2503" t="s">
        <v>34</v>
      </c>
      <c r="X2503" t="s">
        <v>3622</v>
      </c>
    </row>
    <row r="2504" spans="1:24" x14ac:dyDescent="0.25">
      <c r="A2504">
        <v>2500</v>
      </c>
      <c r="B2504" t="s">
        <v>28</v>
      </c>
      <c r="C2504" t="s">
        <v>25</v>
      </c>
      <c r="D2504">
        <v>14</v>
      </c>
      <c r="E2504" t="s">
        <v>150</v>
      </c>
      <c r="F2504" t="s">
        <v>498</v>
      </c>
      <c r="G2504">
        <v>4497</v>
      </c>
      <c r="H2504" t="s">
        <v>562</v>
      </c>
      <c r="I2504" t="s">
        <v>505</v>
      </c>
      <c r="J2504">
        <v>8</v>
      </c>
      <c r="K2504">
        <v>1</v>
      </c>
      <c r="L2504">
        <v>6.8402777777777776E-3</v>
      </c>
      <c r="M2504" t="s">
        <v>778</v>
      </c>
      <c r="N2504" t="s">
        <v>1525</v>
      </c>
      <c r="O2504" s="24">
        <v>46140</v>
      </c>
      <c r="P2504">
        <v>603</v>
      </c>
      <c r="Q2504" t="s">
        <v>34</v>
      </c>
      <c r="X2504" t="s">
        <v>3623</v>
      </c>
    </row>
    <row r="2505" spans="1:24" x14ac:dyDescent="0.25">
      <c r="A2505">
        <v>2501</v>
      </c>
      <c r="B2505" t="s">
        <v>28</v>
      </c>
      <c r="C2505" t="s">
        <v>25</v>
      </c>
      <c r="D2505">
        <v>14</v>
      </c>
      <c r="E2505" t="s">
        <v>150</v>
      </c>
      <c r="F2505" t="s">
        <v>498</v>
      </c>
      <c r="G2505">
        <v>4498</v>
      </c>
      <c r="H2505" t="s">
        <v>564</v>
      </c>
      <c r="I2505" t="s">
        <v>500</v>
      </c>
      <c r="J2505">
        <v>8</v>
      </c>
      <c r="K2505">
        <v>1</v>
      </c>
      <c r="L2505">
        <v>6.875E-3</v>
      </c>
      <c r="M2505" t="s">
        <v>778</v>
      </c>
      <c r="N2505" t="s">
        <v>1525</v>
      </c>
      <c r="O2505" s="24">
        <v>46140</v>
      </c>
      <c r="P2505">
        <v>603</v>
      </c>
      <c r="Q2505" t="s">
        <v>34</v>
      </c>
      <c r="X2505" t="s">
        <v>3624</v>
      </c>
    </row>
    <row r="2506" spans="1:24" x14ac:dyDescent="0.25">
      <c r="A2506">
        <v>2502</v>
      </c>
      <c r="B2506" t="s">
        <v>28</v>
      </c>
      <c r="C2506" t="s">
        <v>25</v>
      </c>
      <c r="D2506">
        <v>14</v>
      </c>
      <c r="E2506" t="s">
        <v>1665</v>
      </c>
      <c r="F2506" t="s">
        <v>512</v>
      </c>
      <c r="G2506">
        <v>4499</v>
      </c>
      <c r="H2506" t="s">
        <v>2561</v>
      </c>
      <c r="I2506" t="s">
        <v>2198</v>
      </c>
      <c r="J2506">
        <v>8</v>
      </c>
      <c r="K2506">
        <v>1</v>
      </c>
      <c r="L2506">
        <v>6.2615740740740739E-3</v>
      </c>
      <c r="M2506" t="s">
        <v>778</v>
      </c>
      <c r="N2506" t="s">
        <v>69</v>
      </c>
      <c r="O2506" s="24">
        <v>46139</v>
      </c>
      <c r="P2506">
        <v>603</v>
      </c>
      <c r="Q2506" t="s">
        <v>34</v>
      </c>
      <c r="X2506" t="s">
        <v>3625</v>
      </c>
    </row>
    <row r="2507" spans="1:24" x14ac:dyDescent="0.25">
      <c r="A2507">
        <v>2503</v>
      </c>
      <c r="B2507" t="s">
        <v>28</v>
      </c>
      <c r="C2507" t="s">
        <v>25</v>
      </c>
      <c r="D2507">
        <v>14</v>
      </c>
      <c r="E2507" t="s">
        <v>367</v>
      </c>
      <c r="F2507" t="s">
        <v>1593</v>
      </c>
      <c r="G2507">
        <v>4499</v>
      </c>
      <c r="H2507" t="s">
        <v>2046</v>
      </c>
      <c r="I2507" t="s">
        <v>2047</v>
      </c>
      <c r="J2507">
        <v>8</v>
      </c>
      <c r="K2507">
        <v>2</v>
      </c>
      <c r="L2507">
        <v>1.2384259259259258E-3</v>
      </c>
      <c r="M2507" t="s">
        <v>778</v>
      </c>
      <c r="N2507" t="s">
        <v>69</v>
      </c>
      <c r="O2507" s="24">
        <v>46139</v>
      </c>
      <c r="P2507">
        <v>603</v>
      </c>
      <c r="Q2507" t="s">
        <v>34</v>
      </c>
      <c r="X2507" t="s">
        <v>3625</v>
      </c>
    </row>
    <row r="2508" spans="1:24" x14ac:dyDescent="0.25">
      <c r="A2508">
        <v>2504</v>
      </c>
      <c r="B2508" t="s">
        <v>28</v>
      </c>
      <c r="C2508" t="s">
        <v>25</v>
      </c>
      <c r="D2508">
        <v>14</v>
      </c>
      <c r="E2508" t="s">
        <v>65</v>
      </c>
      <c r="F2508" t="s">
        <v>65</v>
      </c>
      <c r="G2508">
        <v>4499</v>
      </c>
      <c r="H2508" t="s">
        <v>2218</v>
      </c>
      <c r="I2508" t="s">
        <v>2219</v>
      </c>
      <c r="J2508">
        <v>8</v>
      </c>
      <c r="K2508">
        <v>2</v>
      </c>
      <c r="L2508">
        <v>1.2268518518518518E-3</v>
      </c>
      <c r="M2508" t="s">
        <v>778</v>
      </c>
      <c r="N2508" t="s">
        <v>69</v>
      </c>
      <c r="O2508" s="24">
        <v>46139</v>
      </c>
      <c r="P2508">
        <v>603</v>
      </c>
      <c r="Q2508" t="s">
        <v>34</v>
      </c>
      <c r="X2508" t="s">
        <v>3625</v>
      </c>
    </row>
    <row r="2509" spans="1:24" x14ac:dyDescent="0.25">
      <c r="A2509">
        <v>2505</v>
      </c>
      <c r="B2509" t="s">
        <v>28</v>
      </c>
      <c r="C2509" t="s">
        <v>25</v>
      </c>
      <c r="D2509">
        <v>14</v>
      </c>
      <c r="E2509" t="s">
        <v>2195</v>
      </c>
      <c r="F2509" t="s">
        <v>44</v>
      </c>
      <c r="G2509">
        <v>4499</v>
      </c>
      <c r="H2509" t="s">
        <v>48</v>
      </c>
      <c r="I2509" t="s">
        <v>1119</v>
      </c>
      <c r="J2509">
        <v>8</v>
      </c>
      <c r="K2509">
        <v>1</v>
      </c>
      <c r="L2509">
        <v>1.423611111111111E-3</v>
      </c>
      <c r="M2509" t="s">
        <v>778</v>
      </c>
      <c r="N2509" t="s">
        <v>69</v>
      </c>
      <c r="O2509" s="24">
        <v>46139</v>
      </c>
      <c r="P2509">
        <v>603</v>
      </c>
      <c r="Q2509" t="s">
        <v>34</v>
      </c>
      <c r="X2509" t="s">
        <v>3625</v>
      </c>
    </row>
    <row r="2510" spans="1:24" x14ac:dyDescent="0.25">
      <c r="A2510">
        <v>2506</v>
      </c>
      <c r="B2510" t="s">
        <v>28</v>
      </c>
      <c r="C2510" t="s">
        <v>25</v>
      </c>
      <c r="D2510">
        <v>14</v>
      </c>
      <c r="E2510" t="s">
        <v>1665</v>
      </c>
      <c r="F2510" t="s">
        <v>115</v>
      </c>
      <c r="G2510">
        <v>4500</v>
      </c>
      <c r="H2510" t="s">
        <v>2563</v>
      </c>
      <c r="I2510" t="s">
        <v>2091</v>
      </c>
      <c r="J2510">
        <v>8</v>
      </c>
      <c r="K2510">
        <v>1</v>
      </c>
      <c r="L2510">
        <v>5.9606481481481481E-3</v>
      </c>
      <c r="M2510" t="s">
        <v>778</v>
      </c>
      <c r="N2510" t="s">
        <v>69</v>
      </c>
      <c r="O2510" s="24">
        <v>46139</v>
      </c>
      <c r="P2510">
        <v>603</v>
      </c>
      <c r="Q2510" t="s">
        <v>34</v>
      </c>
      <c r="X2510" t="s">
        <v>3626</v>
      </c>
    </row>
    <row r="2511" spans="1:24" x14ac:dyDescent="0.25">
      <c r="A2511">
        <v>2507</v>
      </c>
      <c r="B2511" t="s">
        <v>28</v>
      </c>
      <c r="C2511" t="s">
        <v>25</v>
      </c>
      <c r="D2511">
        <v>14</v>
      </c>
      <c r="E2511" t="s">
        <v>367</v>
      </c>
      <c r="F2511" t="s">
        <v>512</v>
      </c>
      <c r="G2511">
        <v>4500</v>
      </c>
      <c r="H2511" t="s">
        <v>2203</v>
      </c>
      <c r="I2511" t="s">
        <v>2204</v>
      </c>
      <c r="J2511">
        <v>8</v>
      </c>
      <c r="K2511">
        <v>1</v>
      </c>
      <c r="L2511">
        <v>1.1921296296296296E-3</v>
      </c>
      <c r="M2511" t="s">
        <v>778</v>
      </c>
      <c r="N2511" t="s">
        <v>69</v>
      </c>
      <c r="O2511" s="24">
        <v>46139</v>
      </c>
      <c r="P2511">
        <v>603</v>
      </c>
      <c r="Q2511" t="s">
        <v>34</v>
      </c>
      <c r="X2511" t="s">
        <v>3626</v>
      </c>
    </row>
    <row r="2512" spans="1:24" x14ac:dyDescent="0.25">
      <c r="A2512">
        <v>2508</v>
      </c>
      <c r="B2512" t="s">
        <v>28</v>
      </c>
      <c r="C2512" t="s">
        <v>25</v>
      </c>
      <c r="D2512">
        <v>14</v>
      </c>
      <c r="E2512" t="s">
        <v>65</v>
      </c>
      <c r="F2512" t="s">
        <v>368</v>
      </c>
      <c r="G2512">
        <v>4500</v>
      </c>
      <c r="H2512" t="s">
        <v>2156</v>
      </c>
      <c r="I2512" t="s">
        <v>2157</v>
      </c>
      <c r="J2512">
        <v>8</v>
      </c>
      <c r="K2512">
        <v>2</v>
      </c>
      <c r="L2512">
        <v>7.407407407407407E-4</v>
      </c>
      <c r="M2512" t="s">
        <v>778</v>
      </c>
      <c r="N2512" t="s">
        <v>69</v>
      </c>
      <c r="O2512" s="24">
        <v>46139</v>
      </c>
      <c r="P2512">
        <v>603</v>
      </c>
      <c r="Q2512" t="s">
        <v>34</v>
      </c>
      <c r="X2512" t="s">
        <v>3626</v>
      </c>
    </row>
    <row r="2513" spans="1:24" x14ac:dyDescent="0.25">
      <c r="A2513">
        <v>2509</v>
      </c>
      <c r="B2513" t="s">
        <v>28</v>
      </c>
      <c r="C2513" t="s">
        <v>25</v>
      </c>
      <c r="D2513">
        <v>14</v>
      </c>
      <c r="E2513" t="s">
        <v>133</v>
      </c>
      <c r="F2513" t="s">
        <v>498</v>
      </c>
      <c r="G2513">
        <v>4501</v>
      </c>
      <c r="H2513" t="s">
        <v>566</v>
      </c>
      <c r="I2513" t="s">
        <v>500</v>
      </c>
      <c r="J2513">
        <v>8</v>
      </c>
      <c r="K2513">
        <v>1</v>
      </c>
      <c r="L2513">
        <v>6.875E-3</v>
      </c>
      <c r="M2513" t="s">
        <v>778</v>
      </c>
      <c r="N2513" t="s">
        <v>1525</v>
      </c>
      <c r="O2513" s="24">
        <v>46140</v>
      </c>
      <c r="P2513">
        <v>603</v>
      </c>
      <c r="Q2513" t="s">
        <v>34</v>
      </c>
      <c r="X2513" t="s">
        <v>3627</v>
      </c>
    </row>
    <row r="2514" spans="1:24" x14ac:dyDescent="0.25">
      <c r="A2514">
        <v>2510</v>
      </c>
      <c r="B2514" t="s">
        <v>28</v>
      </c>
      <c r="C2514" t="s">
        <v>25</v>
      </c>
      <c r="D2514">
        <v>14</v>
      </c>
      <c r="E2514" t="s">
        <v>147</v>
      </c>
      <c r="F2514" t="s">
        <v>512</v>
      </c>
      <c r="G2514">
        <v>4502</v>
      </c>
      <c r="H2514" t="s">
        <v>100</v>
      </c>
      <c r="I2514" t="s">
        <v>119</v>
      </c>
      <c r="J2514">
        <v>8</v>
      </c>
      <c r="K2514">
        <v>1</v>
      </c>
      <c r="L2514">
        <v>8.0787037037037025E-3</v>
      </c>
      <c r="M2514" t="s">
        <v>778</v>
      </c>
      <c r="N2514" t="s">
        <v>69</v>
      </c>
      <c r="O2514" s="24">
        <v>46139</v>
      </c>
      <c r="P2514">
        <v>603</v>
      </c>
      <c r="Q2514" t="s">
        <v>34</v>
      </c>
      <c r="X2514" t="s">
        <v>3628</v>
      </c>
    </row>
    <row r="2515" spans="1:24" x14ac:dyDescent="0.25">
      <c r="A2515">
        <v>2511</v>
      </c>
      <c r="B2515" t="s">
        <v>28</v>
      </c>
      <c r="C2515" t="s">
        <v>25</v>
      </c>
      <c r="D2515">
        <v>14</v>
      </c>
      <c r="E2515" t="s">
        <v>147</v>
      </c>
      <c r="F2515" t="s">
        <v>115</v>
      </c>
      <c r="G2515">
        <v>4503</v>
      </c>
      <c r="H2515" t="s">
        <v>101</v>
      </c>
      <c r="I2515" t="s">
        <v>116</v>
      </c>
      <c r="J2515">
        <v>8</v>
      </c>
      <c r="K2515">
        <v>1</v>
      </c>
      <c r="L2515">
        <v>7.7546296296296295E-3</v>
      </c>
      <c r="M2515" t="s">
        <v>778</v>
      </c>
      <c r="N2515" t="s">
        <v>69</v>
      </c>
      <c r="O2515" s="24">
        <v>46139</v>
      </c>
      <c r="P2515">
        <v>603</v>
      </c>
      <c r="Q2515" t="s">
        <v>34</v>
      </c>
      <c r="X2515" t="s">
        <v>3629</v>
      </c>
    </row>
    <row r="2516" spans="1:24" x14ac:dyDescent="0.25">
      <c r="A2516">
        <v>2512</v>
      </c>
      <c r="B2516" t="s">
        <v>28</v>
      </c>
      <c r="C2516" t="s">
        <v>25</v>
      </c>
      <c r="D2516">
        <v>14</v>
      </c>
      <c r="E2516" t="s">
        <v>147</v>
      </c>
      <c r="F2516" t="s">
        <v>115</v>
      </c>
      <c r="G2516">
        <v>4504</v>
      </c>
      <c r="H2516" t="s">
        <v>102</v>
      </c>
      <c r="I2516" t="s">
        <v>119</v>
      </c>
      <c r="J2516">
        <v>8</v>
      </c>
      <c r="K2516">
        <v>1</v>
      </c>
      <c r="L2516">
        <v>6.9212962962962961E-3</v>
      </c>
      <c r="M2516" t="s">
        <v>778</v>
      </c>
      <c r="N2516" t="s">
        <v>69</v>
      </c>
      <c r="O2516" s="24">
        <v>46139</v>
      </c>
      <c r="P2516">
        <v>603</v>
      </c>
      <c r="Q2516" t="s">
        <v>34</v>
      </c>
      <c r="X2516" t="s">
        <v>3630</v>
      </c>
    </row>
    <row r="2517" spans="1:24" x14ac:dyDescent="0.25">
      <c r="A2517">
        <v>2513</v>
      </c>
      <c r="B2517" t="s">
        <v>28</v>
      </c>
      <c r="C2517" t="s">
        <v>25</v>
      </c>
      <c r="D2517">
        <v>14</v>
      </c>
      <c r="E2517" t="s">
        <v>147</v>
      </c>
      <c r="F2517" t="s">
        <v>498</v>
      </c>
      <c r="G2517">
        <v>4505</v>
      </c>
      <c r="H2517" t="s">
        <v>568</v>
      </c>
      <c r="I2517" t="s">
        <v>505</v>
      </c>
      <c r="J2517">
        <v>8</v>
      </c>
      <c r="K2517">
        <v>1</v>
      </c>
      <c r="L2517">
        <v>6.8402777777777776E-3</v>
      </c>
      <c r="M2517" t="s">
        <v>778</v>
      </c>
      <c r="N2517" t="s">
        <v>1525</v>
      </c>
      <c r="O2517" s="24">
        <v>46140</v>
      </c>
      <c r="P2517">
        <v>603</v>
      </c>
      <c r="Q2517" t="s">
        <v>34</v>
      </c>
      <c r="X2517" t="s">
        <v>3631</v>
      </c>
    </row>
    <row r="2518" spans="1:24" x14ac:dyDescent="0.25">
      <c r="A2518">
        <v>2514</v>
      </c>
      <c r="B2518" t="s">
        <v>28</v>
      </c>
      <c r="C2518" t="s">
        <v>25</v>
      </c>
      <c r="D2518">
        <v>14</v>
      </c>
      <c r="E2518" t="s">
        <v>147</v>
      </c>
      <c r="F2518" t="s">
        <v>498</v>
      </c>
      <c r="G2518">
        <v>4506</v>
      </c>
      <c r="H2518" t="s">
        <v>570</v>
      </c>
      <c r="I2518" t="s">
        <v>500</v>
      </c>
      <c r="J2518">
        <v>8</v>
      </c>
      <c r="K2518">
        <v>1</v>
      </c>
      <c r="L2518">
        <v>6.875E-3</v>
      </c>
      <c r="M2518" t="s">
        <v>778</v>
      </c>
      <c r="N2518" t="s">
        <v>1525</v>
      </c>
      <c r="O2518" s="24">
        <v>46140</v>
      </c>
      <c r="P2518">
        <v>603</v>
      </c>
      <c r="Q2518" t="s">
        <v>34</v>
      </c>
      <c r="X2518" t="s">
        <v>3632</v>
      </c>
    </row>
    <row r="2519" spans="1:24" x14ac:dyDescent="0.25">
      <c r="A2519">
        <v>2515</v>
      </c>
      <c r="B2519" t="s">
        <v>28</v>
      </c>
      <c r="C2519" t="s">
        <v>25</v>
      </c>
      <c r="D2519">
        <v>14</v>
      </c>
      <c r="E2519" t="s">
        <v>1672</v>
      </c>
      <c r="F2519" t="s">
        <v>512</v>
      </c>
      <c r="G2519">
        <v>4508</v>
      </c>
      <c r="H2519" t="s">
        <v>2571</v>
      </c>
      <c r="I2519" t="s">
        <v>2198</v>
      </c>
      <c r="J2519">
        <v>8</v>
      </c>
      <c r="K2519">
        <v>1</v>
      </c>
      <c r="L2519">
        <v>7.4074074074074068E-3</v>
      </c>
      <c r="M2519" t="s">
        <v>778</v>
      </c>
      <c r="N2519" t="s">
        <v>69</v>
      </c>
      <c r="O2519" s="24">
        <v>46139</v>
      </c>
      <c r="P2519">
        <v>603</v>
      </c>
      <c r="Q2519" t="s">
        <v>34</v>
      </c>
      <c r="X2519" t="s">
        <v>3633</v>
      </c>
    </row>
    <row r="2520" spans="1:24" x14ac:dyDescent="0.25">
      <c r="A2520">
        <v>2516</v>
      </c>
      <c r="B2520" t="s">
        <v>28</v>
      </c>
      <c r="C2520" t="s">
        <v>25</v>
      </c>
      <c r="D2520">
        <v>14</v>
      </c>
      <c r="E2520" t="s">
        <v>65</v>
      </c>
      <c r="F2520" t="s">
        <v>65</v>
      </c>
      <c r="G2520">
        <v>4508</v>
      </c>
      <c r="H2520" t="s">
        <v>2092</v>
      </c>
      <c r="I2520" t="s">
        <v>2093</v>
      </c>
      <c r="J2520">
        <v>8</v>
      </c>
      <c r="K2520">
        <v>3</v>
      </c>
      <c r="L2520">
        <v>2.1412037037037038E-3</v>
      </c>
      <c r="M2520" t="s">
        <v>778</v>
      </c>
      <c r="N2520" t="s">
        <v>69</v>
      </c>
      <c r="O2520" s="24">
        <v>46139</v>
      </c>
      <c r="P2520">
        <v>603</v>
      </c>
      <c r="Q2520" t="s">
        <v>34</v>
      </c>
      <c r="X2520" t="s">
        <v>3633</v>
      </c>
    </row>
    <row r="2521" spans="1:24" x14ac:dyDescent="0.25">
      <c r="A2521">
        <v>2517</v>
      </c>
      <c r="B2521" t="s">
        <v>28</v>
      </c>
      <c r="C2521" t="s">
        <v>25</v>
      </c>
      <c r="D2521">
        <v>14</v>
      </c>
      <c r="E2521" t="s">
        <v>2195</v>
      </c>
      <c r="F2521" t="s">
        <v>44</v>
      </c>
      <c r="G2521">
        <v>4508</v>
      </c>
      <c r="H2521" t="s">
        <v>54</v>
      </c>
      <c r="I2521" t="s">
        <v>1119</v>
      </c>
      <c r="J2521">
        <v>8</v>
      </c>
      <c r="K2521">
        <v>1</v>
      </c>
      <c r="L2521">
        <v>1.3773148148148147E-3</v>
      </c>
      <c r="M2521" t="s">
        <v>778</v>
      </c>
      <c r="N2521" t="s">
        <v>69</v>
      </c>
      <c r="O2521" s="24">
        <v>46139</v>
      </c>
      <c r="P2521">
        <v>603</v>
      </c>
      <c r="Q2521" t="s">
        <v>34</v>
      </c>
      <c r="X2521" t="s">
        <v>3633</v>
      </c>
    </row>
    <row r="2522" spans="1:24" x14ac:dyDescent="0.25">
      <c r="A2522">
        <v>2518</v>
      </c>
      <c r="B2522" t="s">
        <v>28</v>
      </c>
      <c r="C2522" t="s">
        <v>25</v>
      </c>
      <c r="D2522">
        <v>14</v>
      </c>
      <c r="E2522" t="s">
        <v>1588</v>
      </c>
      <c r="F2522" t="s">
        <v>512</v>
      </c>
      <c r="G2522">
        <v>4509</v>
      </c>
      <c r="H2522" t="s">
        <v>2197</v>
      </c>
      <c r="I2522" t="s">
        <v>2198</v>
      </c>
      <c r="J2522">
        <v>8</v>
      </c>
      <c r="K2522">
        <v>1</v>
      </c>
      <c r="L2522">
        <v>5.8333333333333327E-3</v>
      </c>
      <c r="M2522" t="s">
        <v>778</v>
      </c>
      <c r="N2522" t="s">
        <v>1549</v>
      </c>
      <c r="O2522" s="24">
        <v>46140</v>
      </c>
      <c r="P2522">
        <v>605</v>
      </c>
      <c r="Q2522" t="s">
        <v>34</v>
      </c>
      <c r="X2522" t="s">
        <v>3634</v>
      </c>
    </row>
    <row r="2523" spans="1:24" x14ac:dyDescent="0.25">
      <c r="A2523">
        <v>2519</v>
      </c>
      <c r="B2523" t="s">
        <v>28</v>
      </c>
      <c r="C2523" t="s">
        <v>25</v>
      </c>
      <c r="D2523">
        <v>14</v>
      </c>
      <c r="E2523" t="s">
        <v>367</v>
      </c>
      <c r="F2523" t="s">
        <v>367</v>
      </c>
      <c r="G2523">
        <v>4509</v>
      </c>
      <c r="H2523" t="s">
        <v>2483</v>
      </c>
      <c r="I2523" t="s">
        <v>2484</v>
      </c>
      <c r="J2523">
        <v>8</v>
      </c>
      <c r="K2523">
        <v>1</v>
      </c>
      <c r="L2523">
        <v>5.9027777777777778E-4</v>
      </c>
      <c r="M2523" t="s">
        <v>778</v>
      </c>
      <c r="N2523" t="s">
        <v>1549</v>
      </c>
      <c r="O2523" s="24">
        <v>46140</v>
      </c>
      <c r="P2523">
        <v>605</v>
      </c>
      <c r="Q2523" t="s">
        <v>34</v>
      </c>
      <c r="X2523" t="s">
        <v>3634</v>
      </c>
    </row>
    <row r="2524" spans="1:24" x14ac:dyDescent="0.25">
      <c r="A2524">
        <v>2520</v>
      </c>
      <c r="B2524" t="s">
        <v>28</v>
      </c>
      <c r="C2524" t="s">
        <v>25</v>
      </c>
      <c r="D2524">
        <v>14</v>
      </c>
      <c r="E2524" t="s">
        <v>367</v>
      </c>
      <c r="F2524" t="s">
        <v>1594</v>
      </c>
      <c r="G2524">
        <v>4509</v>
      </c>
      <c r="H2524" t="s">
        <v>2574</v>
      </c>
      <c r="I2524" t="s">
        <v>2487</v>
      </c>
      <c r="J2524">
        <v>8</v>
      </c>
      <c r="K2524">
        <v>1</v>
      </c>
      <c r="L2524">
        <v>9.4907407407407408E-4</v>
      </c>
      <c r="M2524" t="s">
        <v>778</v>
      </c>
      <c r="N2524" t="s">
        <v>1549</v>
      </c>
      <c r="O2524" s="24">
        <v>46140</v>
      </c>
      <c r="P2524">
        <v>605</v>
      </c>
      <c r="Q2524" t="s">
        <v>34</v>
      </c>
      <c r="X2524" t="s">
        <v>3634</v>
      </c>
    </row>
    <row r="2525" spans="1:24" x14ac:dyDescent="0.25">
      <c r="A2525">
        <v>2521</v>
      </c>
      <c r="B2525" t="s">
        <v>28</v>
      </c>
      <c r="C2525" t="s">
        <v>25</v>
      </c>
      <c r="D2525">
        <v>14</v>
      </c>
      <c r="E2525" t="s">
        <v>2195</v>
      </c>
      <c r="F2525" t="s">
        <v>44</v>
      </c>
      <c r="G2525">
        <v>4509</v>
      </c>
      <c r="H2525" t="s">
        <v>45</v>
      </c>
      <c r="I2525" t="s">
        <v>1119</v>
      </c>
      <c r="J2525">
        <v>8</v>
      </c>
      <c r="K2525">
        <v>1</v>
      </c>
      <c r="L2525">
        <v>1.423611111111111E-3</v>
      </c>
      <c r="M2525" t="s">
        <v>778</v>
      </c>
      <c r="N2525" t="s">
        <v>1549</v>
      </c>
      <c r="O2525" s="24">
        <v>46140</v>
      </c>
      <c r="P2525">
        <v>605</v>
      </c>
      <c r="Q2525" t="s">
        <v>34</v>
      </c>
      <c r="X2525" t="s">
        <v>3634</v>
      </c>
    </row>
    <row r="2526" spans="1:24" x14ac:dyDescent="0.25">
      <c r="A2526">
        <v>2522</v>
      </c>
      <c r="B2526" t="s">
        <v>28</v>
      </c>
      <c r="C2526" t="s">
        <v>25</v>
      </c>
      <c r="D2526">
        <v>14</v>
      </c>
      <c r="E2526" t="s">
        <v>1588</v>
      </c>
      <c r="F2526" t="s">
        <v>512</v>
      </c>
      <c r="G2526">
        <v>4510</v>
      </c>
      <c r="H2526" t="s">
        <v>2197</v>
      </c>
      <c r="I2526" t="s">
        <v>2198</v>
      </c>
      <c r="J2526">
        <v>8</v>
      </c>
      <c r="K2526">
        <v>1</v>
      </c>
      <c r="L2526">
        <v>5.7870370370370367E-3</v>
      </c>
      <c r="M2526" t="s">
        <v>778</v>
      </c>
      <c r="N2526" t="s">
        <v>1549</v>
      </c>
      <c r="O2526" s="24">
        <v>46140</v>
      </c>
      <c r="P2526">
        <v>605</v>
      </c>
      <c r="Q2526" t="s">
        <v>34</v>
      </c>
      <c r="X2526" t="s">
        <v>3635</v>
      </c>
    </row>
    <row r="2527" spans="1:24" x14ac:dyDescent="0.25">
      <c r="A2527">
        <v>2523</v>
      </c>
      <c r="B2527" t="s">
        <v>28</v>
      </c>
      <c r="C2527" t="s">
        <v>25</v>
      </c>
      <c r="D2527">
        <v>14</v>
      </c>
      <c r="E2527" t="s">
        <v>367</v>
      </c>
      <c r="F2527" t="s">
        <v>1594</v>
      </c>
      <c r="G2527">
        <v>4510</v>
      </c>
      <c r="H2527" t="s">
        <v>2576</v>
      </c>
      <c r="I2527" t="s">
        <v>2475</v>
      </c>
      <c r="J2527">
        <v>8</v>
      </c>
      <c r="K2527">
        <v>1</v>
      </c>
      <c r="L2527">
        <v>9.1435185185185185E-4</v>
      </c>
      <c r="M2527" t="s">
        <v>778</v>
      </c>
      <c r="N2527" t="s">
        <v>1549</v>
      </c>
      <c r="O2527" s="24">
        <v>46140</v>
      </c>
      <c r="P2527">
        <v>605</v>
      </c>
      <c r="Q2527" t="s">
        <v>34</v>
      </c>
      <c r="X2527" t="s">
        <v>3635</v>
      </c>
    </row>
    <row r="2528" spans="1:24" x14ac:dyDescent="0.25">
      <c r="A2528">
        <v>2524</v>
      </c>
      <c r="B2528" t="s">
        <v>28</v>
      </c>
      <c r="C2528" t="s">
        <v>25</v>
      </c>
      <c r="D2528">
        <v>14</v>
      </c>
      <c r="E2528" t="s">
        <v>129</v>
      </c>
      <c r="F2528" t="s">
        <v>512</v>
      </c>
      <c r="G2528">
        <v>4510</v>
      </c>
      <c r="H2528" t="s">
        <v>2577</v>
      </c>
      <c r="I2528" t="s">
        <v>2477</v>
      </c>
      <c r="J2528">
        <v>8</v>
      </c>
      <c r="K2528">
        <v>1</v>
      </c>
      <c r="L2528">
        <v>6.3657407407407402E-4</v>
      </c>
      <c r="M2528" t="s">
        <v>778</v>
      </c>
      <c r="N2528" t="s">
        <v>1549</v>
      </c>
      <c r="O2528" s="24">
        <v>46140</v>
      </c>
      <c r="P2528">
        <v>605</v>
      </c>
      <c r="Q2528" t="s">
        <v>34</v>
      </c>
      <c r="X2528" t="s">
        <v>3635</v>
      </c>
    </row>
    <row r="2529" spans="1:24" x14ac:dyDescent="0.25">
      <c r="A2529">
        <v>2525</v>
      </c>
      <c r="B2529" t="s">
        <v>28</v>
      </c>
      <c r="C2529" t="s">
        <v>25</v>
      </c>
      <c r="D2529">
        <v>14</v>
      </c>
      <c r="E2529" t="s">
        <v>2195</v>
      </c>
      <c r="F2529" t="s">
        <v>44</v>
      </c>
      <c r="G2529">
        <v>4510</v>
      </c>
      <c r="H2529" t="s">
        <v>48</v>
      </c>
      <c r="I2529" t="s">
        <v>1119</v>
      </c>
      <c r="J2529">
        <v>8</v>
      </c>
      <c r="K2529">
        <v>1</v>
      </c>
      <c r="L2529">
        <v>1.4467592592592592E-3</v>
      </c>
      <c r="M2529" t="s">
        <v>778</v>
      </c>
      <c r="N2529" t="s">
        <v>1549</v>
      </c>
      <c r="O2529" s="24">
        <v>46140</v>
      </c>
      <c r="P2529">
        <v>605</v>
      </c>
      <c r="Q2529" t="s">
        <v>34</v>
      </c>
      <c r="X2529" t="s">
        <v>3635</v>
      </c>
    </row>
    <row r="2530" spans="1:24" x14ac:dyDescent="0.25">
      <c r="A2530">
        <v>2526</v>
      </c>
      <c r="B2530" t="s">
        <v>28</v>
      </c>
      <c r="C2530" t="s">
        <v>25</v>
      </c>
      <c r="D2530">
        <v>14</v>
      </c>
      <c r="E2530" t="s">
        <v>1665</v>
      </c>
      <c r="F2530" t="s">
        <v>115</v>
      </c>
      <c r="G2530">
        <v>4511</v>
      </c>
      <c r="H2530" t="s">
        <v>2113</v>
      </c>
      <c r="I2530" t="s">
        <v>2111</v>
      </c>
      <c r="J2530">
        <v>8</v>
      </c>
      <c r="K2530">
        <v>2</v>
      </c>
      <c r="L2530">
        <v>1.2268518518518518E-3</v>
      </c>
      <c r="M2530" t="s">
        <v>3079</v>
      </c>
      <c r="X2530" t="s">
        <v>3636</v>
      </c>
    </row>
    <row r="2531" spans="1:24" x14ac:dyDescent="0.25">
      <c r="A2531">
        <v>2527</v>
      </c>
      <c r="B2531" t="s">
        <v>28</v>
      </c>
      <c r="C2531" t="s">
        <v>25</v>
      </c>
      <c r="D2531">
        <v>14</v>
      </c>
      <c r="E2531" t="s">
        <v>1672</v>
      </c>
      <c r="F2531" t="s">
        <v>498</v>
      </c>
      <c r="G2531">
        <v>4511</v>
      </c>
      <c r="H2531" t="s">
        <v>2055</v>
      </c>
      <c r="I2531" t="s">
        <v>2056</v>
      </c>
      <c r="J2531">
        <v>8</v>
      </c>
      <c r="K2531">
        <v>1</v>
      </c>
      <c r="L2531">
        <v>8.9120370370370362E-4</v>
      </c>
      <c r="M2531" t="s">
        <v>3079</v>
      </c>
      <c r="X2531" t="s">
        <v>3636</v>
      </c>
    </row>
    <row r="2532" spans="1:24" x14ac:dyDescent="0.25">
      <c r="A2532">
        <v>2528</v>
      </c>
      <c r="B2532" t="s">
        <v>28</v>
      </c>
      <c r="C2532" t="s">
        <v>25</v>
      </c>
      <c r="D2532">
        <v>14</v>
      </c>
      <c r="E2532" t="s">
        <v>1588</v>
      </c>
      <c r="F2532" t="s">
        <v>512</v>
      </c>
      <c r="G2532">
        <v>4511</v>
      </c>
      <c r="H2532" t="s">
        <v>2413</v>
      </c>
      <c r="I2532" t="s">
        <v>2414</v>
      </c>
      <c r="J2532">
        <v>8</v>
      </c>
      <c r="K2532">
        <v>1</v>
      </c>
      <c r="L2532">
        <v>5.5555555555555556E-4</v>
      </c>
      <c r="M2532" t="s">
        <v>3079</v>
      </c>
      <c r="X2532" t="s">
        <v>3636</v>
      </c>
    </row>
    <row r="2533" spans="1:24" x14ac:dyDescent="0.25">
      <c r="A2533">
        <v>2529</v>
      </c>
      <c r="B2533" t="s">
        <v>28</v>
      </c>
      <c r="C2533" t="s">
        <v>25</v>
      </c>
      <c r="D2533">
        <v>14</v>
      </c>
      <c r="E2533" t="s">
        <v>367</v>
      </c>
      <c r="F2533" t="s">
        <v>1592</v>
      </c>
      <c r="G2533">
        <v>4511</v>
      </c>
      <c r="H2533" t="s">
        <v>2062</v>
      </c>
      <c r="I2533" t="s">
        <v>2063</v>
      </c>
      <c r="J2533">
        <v>8</v>
      </c>
      <c r="K2533">
        <v>1</v>
      </c>
      <c r="L2533">
        <v>4.7453703703703704E-4</v>
      </c>
      <c r="M2533" t="s">
        <v>3079</v>
      </c>
      <c r="X2533" t="s">
        <v>3636</v>
      </c>
    </row>
    <row r="2534" spans="1:24" x14ac:dyDescent="0.25">
      <c r="A2534">
        <v>2530</v>
      </c>
      <c r="B2534" t="s">
        <v>28</v>
      </c>
      <c r="C2534" t="s">
        <v>25</v>
      </c>
      <c r="D2534">
        <v>14</v>
      </c>
      <c r="E2534" t="s">
        <v>367</v>
      </c>
      <c r="F2534" t="s">
        <v>367</v>
      </c>
      <c r="G2534">
        <v>4511</v>
      </c>
      <c r="H2534" t="s">
        <v>2579</v>
      </c>
      <c r="I2534" t="s">
        <v>2580</v>
      </c>
      <c r="J2534">
        <v>8</v>
      </c>
      <c r="K2534">
        <v>1</v>
      </c>
      <c r="L2534">
        <v>5.7175925925925927E-3</v>
      </c>
      <c r="M2534" t="s">
        <v>3079</v>
      </c>
      <c r="X2534" t="s">
        <v>3636</v>
      </c>
    </row>
    <row r="2535" spans="1:24" x14ac:dyDescent="0.25">
      <c r="A2535">
        <v>2531</v>
      </c>
      <c r="B2535" t="s">
        <v>28</v>
      </c>
      <c r="C2535" t="s">
        <v>25</v>
      </c>
      <c r="D2535">
        <v>14</v>
      </c>
      <c r="E2535" t="s">
        <v>367</v>
      </c>
      <c r="F2535" t="s">
        <v>1594</v>
      </c>
      <c r="G2535">
        <v>4511</v>
      </c>
      <c r="H2535" t="s">
        <v>2581</v>
      </c>
      <c r="I2535" t="s">
        <v>2582</v>
      </c>
      <c r="J2535">
        <v>8</v>
      </c>
      <c r="K2535">
        <v>1</v>
      </c>
      <c r="L2535">
        <v>2.3842592592592591E-3</v>
      </c>
      <c r="M2535" t="s">
        <v>3079</v>
      </c>
      <c r="X2535" t="s">
        <v>3636</v>
      </c>
    </row>
    <row r="2536" spans="1:24" x14ac:dyDescent="0.25">
      <c r="A2536">
        <v>2532</v>
      </c>
      <c r="B2536" t="s">
        <v>28</v>
      </c>
      <c r="C2536" t="s">
        <v>25</v>
      </c>
      <c r="D2536">
        <v>14</v>
      </c>
      <c r="E2536" t="s">
        <v>65</v>
      </c>
      <c r="F2536" t="s">
        <v>368</v>
      </c>
      <c r="G2536">
        <v>4511</v>
      </c>
      <c r="H2536" t="s">
        <v>2171</v>
      </c>
      <c r="I2536" t="s">
        <v>2172</v>
      </c>
      <c r="J2536">
        <v>8</v>
      </c>
      <c r="K2536">
        <v>3</v>
      </c>
      <c r="L2536">
        <v>1.8518518518518517E-3</v>
      </c>
      <c r="M2536" t="s">
        <v>3079</v>
      </c>
      <c r="X2536" t="s">
        <v>3636</v>
      </c>
    </row>
    <row r="2537" spans="1:24" x14ac:dyDescent="0.25">
      <c r="A2537">
        <v>2533</v>
      </c>
      <c r="B2537" t="s">
        <v>28</v>
      </c>
      <c r="C2537" t="s">
        <v>25</v>
      </c>
      <c r="D2537">
        <v>14</v>
      </c>
      <c r="E2537" t="s">
        <v>2195</v>
      </c>
      <c r="F2537" t="s">
        <v>44</v>
      </c>
      <c r="G2537">
        <v>4511</v>
      </c>
      <c r="H2537" t="s">
        <v>48</v>
      </c>
      <c r="I2537" t="s">
        <v>1119</v>
      </c>
      <c r="J2537">
        <v>8</v>
      </c>
      <c r="K2537">
        <v>1</v>
      </c>
      <c r="L2537">
        <v>1.4699074074074074E-3</v>
      </c>
      <c r="M2537" t="s">
        <v>3079</v>
      </c>
      <c r="X2537" t="s">
        <v>3636</v>
      </c>
    </row>
    <row r="2538" spans="1:24" x14ac:dyDescent="0.25">
      <c r="A2538">
        <v>2534</v>
      </c>
      <c r="B2538" t="s">
        <v>28</v>
      </c>
      <c r="C2538" t="s">
        <v>25</v>
      </c>
      <c r="D2538">
        <v>14</v>
      </c>
      <c r="E2538" t="s">
        <v>1665</v>
      </c>
      <c r="F2538" t="s">
        <v>115</v>
      </c>
      <c r="G2538">
        <v>4512</v>
      </c>
      <c r="H2538" t="s">
        <v>2113</v>
      </c>
      <c r="I2538" t="s">
        <v>2111</v>
      </c>
      <c r="J2538">
        <v>8</v>
      </c>
      <c r="K2538">
        <v>1</v>
      </c>
      <c r="L2538">
        <v>5.7870370370370367E-4</v>
      </c>
      <c r="M2538" t="s">
        <v>778</v>
      </c>
      <c r="N2538" t="s">
        <v>1337</v>
      </c>
      <c r="O2538" s="24">
        <v>46136</v>
      </c>
      <c r="P2538">
        <v>605</v>
      </c>
      <c r="Q2538" t="s">
        <v>34</v>
      </c>
      <c r="X2538" t="s">
        <v>3637</v>
      </c>
    </row>
    <row r="2539" spans="1:24" x14ac:dyDescent="0.25">
      <c r="A2539">
        <v>2535</v>
      </c>
      <c r="B2539" t="s">
        <v>28</v>
      </c>
      <c r="C2539" t="s">
        <v>25</v>
      </c>
      <c r="D2539">
        <v>14</v>
      </c>
      <c r="E2539" t="s">
        <v>1672</v>
      </c>
      <c r="F2539" t="s">
        <v>512</v>
      </c>
      <c r="G2539">
        <v>4512</v>
      </c>
      <c r="H2539" t="s">
        <v>2584</v>
      </c>
      <c r="I2539" t="s">
        <v>2585</v>
      </c>
      <c r="J2539">
        <v>8</v>
      </c>
      <c r="K2539">
        <v>1</v>
      </c>
      <c r="L2539">
        <v>5.185185185185185E-3</v>
      </c>
      <c r="M2539" t="s">
        <v>778</v>
      </c>
      <c r="N2539" t="s">
        <v>1337</v>
      </c>
      <c r="O2539" s="24">
        <v>46136</v>
      </c>
      <c r="P2539">
        <v>605</v>
      </c>
      <c r="Q2539" t="s">
        <v>34</v>
      </c>
      <c r="X2539" t="s">
        <v>3637</v>
      </c>
    </row>
    <row r="2540" spans="1:24" x14ac:dyDescent="0.25">
      <c r="A2540">
        <v>2536</v>
      </c>
      <c r="B2540" t="s">
        <v>28</v>
      </c>
      <c r="C2540" t="s">
        <v>25</v>
      </c>
      <c r="D2540">
        <v>14</v>
      </c>
      <c r="E2540" t="s">
        <v>65</v>
      </c>
      <c r="F2540" t="s">
        <v>65</v>
      </c>
      <c r="G2540">
        <v>4512</v>
      </c>
      <c r="H2540" t="s">
        <v>2083</v>
      </c>
      <c r="I2540" t="s">
        <v>2084</v>
      </c>
      <c r="J2540">
        <v>8</v>
      </c>
      <c r="K2540">
        <v>1</v>
      </c>
      <c r="L2540">
        <v>4.7453703703703704E-4</v>
      </c>
      <c r="M2540" t="s">
        <v>778</v>
      </c>
      <c r="N2540" t="s">
        <v>1337</v>
      </c>
      <c r="O2540" s="24">
        <v>46136</v>
      </c>
      <c r="P2540">
        <v>605</v>
      </c>
      <c r="Q2540" t="s">
        <v>34</v>
      </c>
      <c r="X2540" t="s">
        <v>3637</v>
      </c>
    </row>
    <row r="2541" spans="1:24" x14ac:dyDescent="0.25">
      <c r="A2541">
        <v>2537</v>
      </c>
      <c r="B2541" t="s">
        <v>28</v>
      </c>
      <c r="C2541" t="s">
        <v>25</v>
      </c>
      <c r="D2541">
        <v>14</v>
      </c>
      <c r="E2541" t="s">
        <v>2094</v>
      </c>
      <c r="F2541" t="s">
        <v>44</v>
      </c>
      <c r="G2541">
        <v>4512</v>
      </c>
      <c r="H2541" t="s">
        <v>45</v>
      </c>
      <c r="I2541" t="s">
        <v>1119</v>
      </c>
      <c r="J2541">
        <v>8</v>
      </c>
      <c r="K2541">
        <v>3</v>
      </c>
      <c r="L2541">
        <v>4.0393518518518513E-3</v>
      </c>
      <c r="M2541" t="s">
        <v>778</v>
      </c>
      <c r="N2541" t="s">
        <v>1337</v>
      </c>
      <c r="O2541" s="24">
        <v>46136</v>
      </c>
      <c r="P2541">
        <v>605</v>
      </c>
      <c r="Q2541" t="s">
        <v>34</v>
      </c>
      <c r="X2541" t="s">
        <v>3637</v>
      </c>
    </row>
    <row r="2542" spans="1:24" x14ac:dyDescent="0.25">
      <c r="A2542">
        <v>2538</v>
      </c>
      <c r="B2542" t="s">
        <v>28</v>
      </c>
      <c r="C2542" t="s">
        <v>25</v>
      </c>
      <c r="D2542">
        <v>14</v>
      </c>
      <c r="E2542" t="s">
        <v>2094</v>
      </c>
      <c r="F2542" t="s">
        <v>44</v>
      </c>
      <c r="G2542">
        <v>4512</v>
      </c>
      <c r="H2542" t="s">
        <v>54</v>
      </c>
      <c r="I2542" t="s">
        <v>1119</v>
      </c>
      <c r="J2542">
        <v>8</v>
      </c>
      <c r="K2542">
        <v>3</v>
      </c>
      <c r="L2542">
        <v>3.6805555555555554E-3</v>
      </c>
      <c r="M2542" t="s">
        <v>778</v>
      </c>
      <c r="N2542" t="s">
        <v>1337</v>
      </c>
      <c r="O2542" s="24">
        <v>46136</v>
      </c>
      <c r="P2542">
        <v>605</v>
      </c>
      <c r="Q2542" t="s">
        <v>34</v>
      </c>
      <c r="X2542" t="s">
        <v>3637</v>
      </c>
    </row>
    <row r="2543" spans="1:24" x14ac:dyDescent="0.25">
      <c r="A2543">
        <v>2539</v>
      </c>
      <c r="B2543" t="s">
        <v>28</v>
      </c>
      <c r="C2543" t="s">
        <v>25</v>
      </c>
      <c r="D2543">
        <v>14</v>
      </c>
      <c r="E2543" t="s">
        <v>2195</v>
      </c>
      <c r="F2543" t="s">
        <v>44</v>
      </c>
      <c r="G2543">
        <v>4512</v>
      </c>
      <c r="H2543" t="s">
        <v>48</v>
      </c>
      <c r="I2543" t="s">
        <v>1119</v>
      </c>
      <c r="J2543">
        <v>8</v>
      </c>
      <c r="K2543">
        <v>1</v>
      </c>
      <c r="L2543">
        <v>1.3773148148148147E-3</v>
      </c>
      <c r="M2543" t="s">
        <v>778</v>
      </c>
      <c r="N2543" t="s">
        <v>1337</v>
      </c>
      <c r="O2543" s="24">
        <v>46136</v>
      </c>
      <c r="P2543">
        <v>605</v>
      </c>
      <c r="Q2543" t="s">
        <v>34</v>
      </c>
      <c r="X2543" t="s">
        <v>3637</v>
      </c>
    </row>
    <row r="2544" spans="1:24" x14ac:dyDescent="0.25">
      <c r="A2544">
        <v>2540</v>
      </c>
      <c r="B2544" t="s">
        <v>28</v>
      </c>
      <c r="C2544" t="s">
        <v>25</v>
      </c>
      <c r="D2544">
        <v>14</v>
      </c>
      <c r="E2544" t="s">
        <v>367</v>
      </c>
      <c r="F2544" t="s">
        <v>1592</v>
      </c>
      <c r="G2544">
        <v>4513</v>
      </c>
      <c r="H2544" t="s">
        <v>2455</v>
      </c>
      <c r="I2544" t="s">
        <v>2456</v>
      </c>
      <c r="J2544">
        <v>8</v>
      </c>
      <c r="K2544">
        <v>2</v>
      </c>
      <c r="L2544">
        <v>8.4490740740740739E-4</v>
      </c>
      <c r="M2544" t="s">
        <v>778</v>
      </c>
      <c r="N2544" t="s">
        <v>1422</v>
      </c>
      <c r="O2544" s="24">
        <v>46133</v>
      </c>
      <c r="P2544">
        <v>605</v>
      </c>
      <c r="Q2544" t="s">
        <v>34</v>
      </c>
      <c r="X2544" t="s">
        <v>3638</v>
      </c>
    </row>
    <row r="2545" spans="1:24" x14ac:dyDescent="0.25">
      <c r="A2545">
        <v>2541</v>
      </c>
      <c r="B2545" t="s">
        <v>28</v>
      </c>
      <c r="C2545" t="s">
        <v>25</v>
      </c>
      <c r="D2545">
        <v>14</v>
      </c>
      <c r="E2545" t="s">
        <v>65</v>
      </c>
      <c r="F2545" t="s">
        <v>1590</v>
      </c>
      <c r="G2545">
        <v>4513</v>
      </c>
      <c r="H2545" t="s">
        <v>2102</v>
      </c>
      <c r="I2545" t="s">
        <v>2103</v>
      </c>
      <c r="J2545">
        <v>8</v>
      </c>
      <c r="K2545">
        <v>2</v>
      </c>
      <c r="L2545">
        <v>1.3888888888888887E-3</v>
      </c>
      <c r="M2545" t="s">
        <v>778</v>
      </c>
      <c r="N2545" t="s">
        <v>1422</v>
      </c>
      <c r="O2545" s="24">
        <v>46133</v>
      </c>
      <c r="P2545">
        <v>605</v>
      </c>
      <c r="Q2545" t="s">
        <v>34</v>
      </c>
      <c r="X2545" t="s">
        <v>3638</v>
      </c>
    </row>
    <row r="2546" spans="1:24" x14ac:dyDescent="0.25">
      <c r="A2546">
        <v>2542</v>
      </c>
      <c r="B2546" t="s">
        <v>28</v>
      </c>
      <c r="C2546" t="s">
        <v>25</v>
      </c>
      <c r="D2546">
        <v>14</v>
      </c>
      <c r="E2546" t="s">
        <v>65</v>
      </c>
      <c r="F2546" t="s">
        <v>492</v>
      </c>
      <c r="G2546">
        <v>4513</v>
      </c>
      <c r="H2546" t="s">
        <v>2587</v>
      </c>
      <c r="I2546" t="s">
        <v>2582</v>
      </c>
      <c r="J2546">
        <v>8</v>
      </c>
      <c r="K2546">
        <v>1</v>
      </c>
      <c r="L2546">
        <v>2.3148148148148147E-3</v>
      </c>
      <c r="M2546" t="s">
        <v>778</v>
      </c>
      <c r="N2546" t="s">
        <v>1422</v>
      </c>
      <c r="O2546" s="24">
        <v>46133</v>
      </c>
      <c r="P2546">
        <v>605</v>
      </c>
      <c r="Q2546" t="s">
        <v>34</v>
      </c>
      <c r="X2546" t="s">
        <v>3638</v>
      </c>
    </row>
    <row r="2547" spans="1:24" x14ac:dyDescent="0.25">
      <c r="A2547">
        <v>2543</v>
      </c>
      <c r="B2547" t="s">
        <v>28</v>
      </c>
      <c r="C2547" t="s">
        <v>25</v>
      </c>
      <c r="D2547">
        <v>14</v>
      </c>
      <c r="E2547" t="s">
        <v>65</v>
      </c>
      <c r="F2547" t="s">
        <v>1596</v>
      </c>
      <c r="G2547">
        <v>4513</v>
      </c>
      <c r="H2547" t="s">
        <v>2588</v>
      </c>
      <c r="I2547" t="s">
        <v>2255</v>
      </c>
      <c r="J2547">
        <v>8</v>
      </c>
      <c r="K2547">
        <v>1</v>
      </c>
      <c r="L2547">
        <v>2.5231481481481481E-3</v>
      </c>
      <c r="M2547" t="s">
        <v>778</v>
      </c>
      <c r="N2547" t="s">
        <v>1422</v>
      </c>
      <c r="O2547" s="24">
        <v>46133</v>
      </c>
      <c r="P2547">
        <v>605</v>
      </c>
      <c r="Q2547" t="s">
        <v>34</v>
      </c>
      <c r="X2547" t="s">
        <v>3638</v>
      </c>
    </row>
    <row r="2548" spans="1:24" x14ac:dyDescent="0.25">
      <c r="A2548">
        <v>2544</v>
      </c>
      <c r="B2548" t="s">
        <v>28</v>
      </c>
      <c r="C2548" t="s">
        <v>25</v>
      </c>
      <c r="D2548">
        <v>14</v>
      </c>
      <c r="E2548" t="s">
        <v>65</v>
      </c>
      <c r="F2548" t="s">
        <v>492</v>
      </c>
      <c r="G2548">
        <v>4513</v>
      </c>
      <c r="H2548" t="s">
        <v>2589</v>
      </c>
      <c r="I2548" t="s">
        <v>2582</v>
      </c>
      <c r="J2548">
        <v>8</v>
      </c>
      <c r="K2548">
        <v>1</v>
      </c>
      <c r="L2548">
        <v>2.3726851851851851E-3</v>
      </c>
      <c r="M2548" t="s">
        <v>778</v>
      </c>
      <c r="N2548" t="s">
        <v>1422</v>
      </c>
      <c r="O2548" s="24">
        <v>46133</v>
      </c>
      <c r="P2548">
        <v>605</v>
      </c>
      <c r="Q2548" t="s">
        <v>34</v>
      </c>
      <c r="X2548" t="s">
        <v>3638</v>
      </c>
    </row>
    <row r="2549" spans="1:24" x14ac:dyDescent="0.25">
      <c r="A2549">
        <v>2545</v>
      </c>
      <c r="B2549" t="s">
        <v>28</v>
      </c>
      <c r="C2549" t="s">
        <v>25</v>
      </c>
      <c r="D2549">
        <v>14</v>
      </c>
      <c r="E2549" t="s">
        <v>2094</v>
      </c>
      <c r="F2549" t="s">
        <v>44</v>
      </c>
      <c r="G2549">
        <v>4513</v>
      </c>
      <c r="H2549" t="s">
        <v>48</v>
      </c>
      <c r="I2549" t="s">
        <v>1119</v>
      </c>
      <c r="J2549">
        <v>8</v>
      </c>
      <c r="K2549">
        <v>3</v>
      </c>
      <c r="L2549">
        <v>4.1550925925925922E-3</v>
      </c>
      <c r="M2549" t="s">
        <v>778</v>
      </c>
      <c r="N2549" t="s">
        <v>1422</v>
      </c>
      <c r="O2549" s="24">
        <v>46133</v>
      </c>
      <c r="P2549">
        <v>605</v>
      </c>
      <c r="Q2549" t="s">
        <v>34</v>
      </c>
      <c r="X2549" t="s">
        <v>3638</v>
      </c>
    </row>
    <row r="2550" spans="1:24" x14ac:dyDescent="0.25">
      <c r="A2550">
        <v>2546</v>
      </c>
      <c r="B2550" t="s">
        <v>28</v>
      </c>
      <c r="C2550" t="s">
        <v>25</v>
      </c>
      <c r="D2550">
        <v>14</v>
      </c>
      <c r="E2550" t="s">
        <v>367</v>
      </c>
      <c r="F2550" t="s">
        <v>367</v>
      </c>
      <c r="G2550">
        <v>4514</v>
      </c>
      <c r="H2550" t="s">
        <v>2058</v>
      </c>
      <c r="I2550" t="s">
        <v>2059</v>
      </c>
      <c r="J2550">
        <v>8</v>
      </c>
      <c r="K2550">
        <v>3</v>
      </c>
      <c r="L2550">
        <v>1.7824074074074072E-3</v>
      </c>
      <c r="M2550" t="s">
        <v>778</v>
      </c>
      <c r="N2550" t="s">
        <v>1422</v>
      </c>
      <c r="O2550" s="24">
        <v>46133</v>
      </c>
      <c r="P2550">
        <v>605</v>
      </c>
      <c r="Q2550" t="s">
        <v>34</v>
      </c>
      <c r="X2550" t="s">
        <v>3639</v>
      </c>
    </row>
    <row r="2551" spans="1:24" x14ac:dyDescent="0.25">
      <c r="A2551">
        <v>2547</v>
      </c>
      <c r="B2551" t="s">
        <v>28</v>
      </c>
      <c r="C2551" t="s">
        <v>25</v>
      </c>
      <c r="D2551">
        <v>14</v>
      </c>
      <c r="E2551" t="s">
        <v>65</v>
      </c>
      <c r="F2551" t="s">
        <v>66</v>
      </c>
      <c r="G2551">
        <v>4514</v>
      </c>
      <c r="H2551" t="s">
        <v>2591</v>
      </c>
      <c r="I2551" t="s">
        <v>2592</v>
      </c>
      <c r="J2551">
        <v>8</v>
      </c>
      <c r="K2551">
        <v>1</v>
      </c>
      <c r="L2551">
        <v>3.5879629629629629E-3</v>
      </c>
      <c r="M2551" t="s">
        <v>778</v>
      </c>
      <c r="N2551" t="s">
        <v>1422</v>
      </c>
      <c r="O2551" s="24">
        <v>46133</v>
      </c>
      <c r="P2551">
        <v>605</v>
      </c>
      <c r="Q2551" t="s">
        <v>34</v>
      </c>
      <c r="X2551" t="s">
        <v>3639</v>
      </c>
    </row>
    <row r="2552" spans="1:24" x14ac:dyDescent="0.25">
      <c r="A2552">
        <v>2548</v>
      </c>
      <c r="B2552" t="s">
        <v>28</v>
      </c>
      <c r="C2552" t="s">
        <v>25</v>
      </c>
      <c r="D2552">
        <v>14</v>
      </c>
      <c r="E2552" t="s">
        <v>65</v>
      </c>
      <c r="F2552" t="s">
        <v>66</v>
      </c>
      <c r="G2552">
        <v>4514</v>
      </c>
      <c r="H2552" t="s">
        <v>2593</v>
      </c>
      <c r="I2552" t="s">
        <v>2594</v>
      </c>
      <c r="J2552">
        <v>8</v>
      </c>
      <c r="K2552">
        <v>1</v>
      </c>
      <c r="L2552">
        <v>3.2638888888888887E-3</v>
      </c>
      <c r="M2552" t="s">
        <v>778</v>
      </c>
      <c r="N2552" t="s">
        <v>1422</v>
      </c>
      <c r="O2552" s="24">
        <v>46133</v>
      </c>
      <c r="P2552">
        <v>605</v>
      </c>
      <c r="Q2552" t="s">
        <v>34</v>
      </c>
      <c r="X2552" t="s">
        <v>3639</v>
      </c>
    </row>
    <row r="2553" spans="1:24" x14ac:dyDescent="0.25">
      <c r="A2553">
        <v>2549</v>
      </c>
      <c r="B2553" t="s">
        <v>28</v>
      </c>
      <c r="C2553" t="s">
        <v>25</v>
      </c>
      <c r="D2553">
        <v>14</v>
      </c>
      <c r="E2553" t="s">
        <v>2094</v>
      </c>
      <c r="F2553" t="s">
        <v>44</v>
      </c>
      <c r="G2553">
        <v>4514</v>
      </c>
      <c r="H2553" t="s">
        <v>54</v>
      </c>
      <c r="I2553" t="s">
        <v>1119</v>
      </c>
      <c r="J2553">
        <v>8</v>
      </c>
      <c r="K2553">
        <v>3</v>
      </c>
      <c r="L2553">
        <v>3.5300925925925925E-3</v>
      </c>
      <c r="M2553" t="s">
        <v>778</v>
      </c>
      <c r="N2553" t="s">
        <v>1422</v>
      </c>
      <c r="O2553" s="24">
        <v>46133</v>
      </c>
      <c r="P2553">
        <v>605</v>
      </c>
      <c r="Q2553" t="s">
        <v>34</v>
      </c>
      <c r="X2553" t="s">
        <v>3639</v>
      </c>
    </row>
    <row r="2554" spans="1:24" x14ac:dyDescent="0.25">
      <c r="A2554">
        <v>2550</v>
      </c>
      <c r="B2554" t="s">
        <v>28</v>
      </c>
      <c r="C2554" t="s">
        <v>25</v>
      </c>
      <c r="D2554">
        <v>14</v>
      </c>
      <c r="E2554" t="s">
        <v>2195</v>
      </c>
      <c r="F2554" t="s">
        <v>44</v>
      </c>
      <c r="G2554">
        <v>4514</v>
      </c>
      <c r="H2554" t="s">
        <v>48</v>
      </c>
      <c r="I2554" t="s">
        <v>1119</v>
      </c>
      <c r="J2554">
        <v>8</v>
      </c>
      <c r="K2554">
        <v>1</v>
      </c>
      <c r="L2554">
        <v>1.3194444444444445E-3</v>
      </c>
      <c r="M2554" t="s">
        <v>778</v>
      </c>
      <c r="N2554" t="s">
        <v>1422</v>
      </c>
      <c r="O2554" s="24">
        <v>46133</v>
      </c>
      <c r="P2554">
        <v>605</v>
      </c>
      <c r="Q2554" t="s">
        <v>34</v>
      </c>
      <c r="X2554" t="s">
        <v>3639</v>
      </c>
    </row>
    <row r="2555" spans="1:24" x14ac:dyDescent="0.25">
      <c r="A2555">
        <v>2551</v>
      </c>
      <c r="B2555" t="s">
        <v>28</v>
      </c>
      <c r="C2555" t="s">
        <v>25</v>
      </c>
      <c r="D2555">
        <v>14</v>
      </c>
      <c r="E2555" t="s">
        <v>1672</v>
      </c>
      <c r="F2555" t="s">
        <v>498</v>
      </c>
      <c r="G2555">
        <v>4515</v>
      </c>
      <c r="H2555" t="s">
        <v>2299</v>
      </c>
      <c r="I2555" t="s">
        <v>2300</v>
      </c>
      <c r="J2555">
        <v>8</v>
      </c>
      <c r="K2555">
        <v>1</v>
      </c>
      <c r="L2555">
        <v>1.8749999999999999E-3</v>
      </c>
      <c r="M2555" t="s">
        <v>778</v>
      </c>
      <c r="N2555" t="s">
        <v>1337</v>
      </c>
      <c r="O2555" s="24">
        <v>46136</v>
      </c>
      <c r="P2555">
        <v>605</v>
      </c>
      <c r="Q2555" t="s">
        <v>34</v>
      </c>
      <c r="X2555" t="s">
        <v>3640</v>
      </c>
    </row>
    <row r="2556" spans="1:24" x14ac:dyDescent="0.25">
      <c r="A2556">
        <v>2552</v>
      </c>
      <c r="B2556" t="s">
        <v>28</v>
      </c>
      <c r="C2556" t="s">
        <v>25</v>
      </c>
      <c r="D2556">
        <v>14</v>
      </c>
      <c r="E2556" t="s">
        <v>1588</v>
      </c>
      <c r="F2556" t="s">
        <v>512</v>
      </c>
      <c r="G2556">
        <v>4515</v>
      </c>
      <c r="H2556" t="s">
        <v>2596</v>
      </c>
      <c r="I2556" t="s">
        <v>2597</v>
      </c>
      <c r="J2556">
        <v>8</v>
      </c>
      <c r="K2556">
        <v>1</v>
      </c>
      <c r="L2556">
        <v>5.3356481481481475E-3</v>
      </c>
      <c r="M2556" t="s">
        <v>778</v>
      </c>
      <c r="N2556" t="s">
        <v>1337</v>
      </c>
      <c r="O2556" s="24">
        <v>46136</v>
      </c>
      <c r="P2556">
        <v>605</v>
      </c>
      <c r="Q2556" t="s">
        <v>34</v>
      </c>
      <c r="X2556" t="s">
        <v>3640</v>
      </c>
    </row>
    <row r="2557" spans="1:24" x14ac:dyDescent="0.25">
      <c r="A2557">
        <v>2553</v>
      </c>
      <c r="B2557" t="s">
        <v>28</v>
      </c>
      <c r="C2557" t="s">
        <v>25</v>
      </c>
      <c r="D2557">
        <v>14</v>
      </c>
      <c r="E2557" t="s">
        <v>367</v>
      </c>
      <c r="F2557" t="s">
        <v>512</v>
      </c>
      <c r="G2557">
        <v>4515</v>
      </c>
      <c r="H2557" t="s">
        <v>2229</v>
      </c>
      <c r="I2557" t="s">
        <v>2230</v>
      </c>
      <c r="J2557">
        <v>8</v>
      </c>
      <c r="K2557">
        <v>1</v>
      </c>
      <c r="L2557">
        <v>1.6203703703703703E-3</v>
      </c>
      <c r="M2557" t="s">
        <v>778</v>
      </c>
      <c r="N2557" t="s">
        <v>1337</v>
      </c>
      <c r="O2557" s="24">
        <v>46136</v>
      </c>
      <c r="P2557">
        <v>605</v>
      </c>
      <c r="Q2557" t="s">
        <v>34</v>
      </c>
      <c r="X2557" t="s">
        <v>3640</v>
      </c>
    </row>
    <row r="2558" spans="1:24" x14ac:dyDescent="0.25">
      <c r="A2558">
        <v>2554</v>
      </c>
      <c r="B2558" t="s">
        <v>28</v>
      </c>
      <c r="C2558" t="s">
        <v>25</v>
      </c>
      <c r="D2558">
        <v>14</v>
      </c>
      <c r="E2558" t="s">
        <v>367</v>
      </c>
      <c r="F2558" t="s">
        <v>512</v>
      </c>
      <c r="G2558">
        <v>4515</v>
      </c>
      <c r="H2558" t="s">
        <v>2598</v>
      </c>
      <c r="I2558" t="s">
        <v>2599</v>
      </c>
      <c r="J2558">
        <v>8</v>
      </c>
      <c r="K2558">
        <v>1</v>
      </c>
      <c r="L2558">
        <v>9.1435185185185185E-4</v>
      </c>
      <c r="M2558" t="s">
        <v>778</v>
      </c>
      <c r="N2558" t="s">
        <v>1337</v>
      </c>
      <c r="O2558" s="24">
        <v>46136</v>
      </c>
      <c r="P2558">
        <v>605</v>
      </c>
      <c r="Q2558" t="s">
        <v>34</v>
      </c>
      <c r="X2558" t="s">
        <v>3640</v>
      </c>
    </row>
    <row r="2559" spans="1:24" x14ac:dyDescent="0.25">
      <c r="A2559">
        <v>2555</v>
      </c>
      <c r="B2559" t="s">
        <v>28</v>
      </c>
      <c r="C2559" t="s">
        <v>25</v>
      </c>
      <c r="D2559">
        <v>14</v>
      </c>
      <c r="E2559" t="s">
        <v>367</v>
      </c>
      <c r="F2559" t="s">
        <v>1594</v>
      </c>
      <c r="G2559">
        <v>4515</v>
      </c>
      <c r="H2559" t="s">
        <v>2600</v>
      </c>
      <c r="I2559" t="s">
        <v>2226</v>
      </c>
      <c r="J2559">
        <v>8</v>
      </c>
      <c r="K2559">
        <v>1</v>
      </c>
      <c r="L2559">
        <v>1.6666666666666666E-3</v>
      </c>
      <c r="M2559" t="s">
        <v>778</v>
      </c>
      <c r="N2559" t="s">
        <v>1337</v>
      </c>
      <c r="O2559" s="24">
        <v>46136</v>
      </c>
      <c r="P2559">
        <v>605</v>
      </c>
      <c r="Q2559" t="s">
        <v>34</v>
      </c>
      <c r="X2559" t="s">
        <v>3640</v>
      </c>
    </row>
    <row r="2560" spans="1:24" x14ac:dyDescent="0.25">
      <c r="A2560">
        <v>2556</v>
      </c>
      <c r="B2560" t="s">
        <v>28</v>
      </c>
      <c r="C2560" t="s">
        <v>25</v>
      </c>
      <c r="D2560">
        <v>14</v>
      </c>
      <c r="E2560" t="s">
        <v>367</v>
      </c>
      <c r="F2560" t="s">
        <v>1594</v>
      </c>
      <c r="G2560">
        <v>4515</v>
      </c>
      <c r="H2560" t="s">
        <v>2601</v>
      </c>
      <c r="I2560" t="s">
        <v>2226</v>
      </c>
      <c r="J2560">
        <v>8</v>
      </c>
      <c r="K2560">
        <v>1</v>
      </c>
      <c r="L2560">
        <v>1.6666666666666666E-3</v>
      </c>
      <c r="M2560" t="s">
        <v>778</v>
      </c>
      <c r="N2560" t="s">
        <v>1337</v>
      </c>
      <c r="O2560" s="24">
        <v>46136</v>
      </c>
      <c r="P2560">
        <v>605</v>
      </c>
      <c r="Q2560" t="s">
        <v>34</v>
      </c>
      <c r="X2560" t="s">
        <v>3640</v>
      </c>
    </row>
    <row r="2561" spans="1:24" x14ac:dyDescent="0.25">
      <c r="A2561">
        <v>2557</v>
      </c>
      <c r="B2561" t="s">
        <v>28</v>
      </c>
      <c r="C2561" t="s">
        <v>25</v>
      </c>
      <c r="D2561">
        <v>14</v>
      </c>
      <c r="E2561" t="s">
        <v>65</v>
      </c>
      <c r="F2561" t="s">
        <v>368</v>
      </c>
      <c r="G2561">
        <v>4515</v>
      </c>
      <c r="H2561" t="s">
        <v>2602</v>
      </c>
      <c r="I2561" t="s">
        <v>2224</v>
      </c>
      <c r="J2561">
        <v>8</v>
      </c>
      <c r="K2561">
        <v>1</v>
      </c>
      <c r="L2561">
        <v>2.1990740740740738E-3</v>
      </c>
      <c r="M2561" t="s">
        <v>778</v>
      </c>
      <c r="N2561" t="s">
        <v>1337</v>
      </c>
      <c r="O2561" s="24">
        <v>46136</v>
      </c>
      <c r="P2561">
        <v>605</v>
      </c>
      <c r="Q2561" t="s">
        <v>34</v>
      </c>
      <c r="X2561" t="s">
        <v>3640</v>
      </c>
    </row>
    <row r="2562" spans="1:24" x14ac:dyDescent="0.25">
      <c r="A2562">
        <v>2558</v>
      </c>
      <c r="B2562" t="s">
        <v>28</v>
      </c>
      <c r="C2562" t="s">
        <v>25</v>
      </c>
      <c r="D2562">
        <v>14</v>
      </c>
      <c r="E2562" t="s">
        <v>65</v>
      </c>
      <c r="F2562" t="s">
        <v>368</v>
      </c>
      <c r="G2562">
        <v>4515</v>
      </c>
      <c r="H2562" t="s">
        <v>2603</v>
      </c>
      <c r="I2562" t="s">
        <v>2604</v>
      </c>
      <c r="J2562">
        <v>8</v>
      </c>
      <c r="K2562">
        <v>1</v>
      </c>
      <c r="L2562">
        <v>2.2222222222222222E-3</v>
      </c>
      <c r="M2562" t="s">
        <v>778</v>
      </c>
      <c r="N2562" t="s">
        <v>1337</v>
      </c>
      <c r="O2562" s="24">
        <v>46136</v>
      </c>
      <c r="P2562">
        <v>605</v>
      </c>
      <c r="Q2562" t="s">
        <v>34</v>
      </c>
      <c r="X2562" t="s">
        <v>3640</v>
      </c>
    </row>
    <row r="2563" spans="1:24" x14ac:dyDescent="0.25">
      <c r="A2563">
        <v>2559</v>
      </c>
      <c r="B2563" t="s">
        <v>28</v>
      </c>
      <c r="C2563" t="s">
        <v>25</v>
      </c>
      <c r="D2563">
        <v>14</v>
      </c>
      <c r="E2563" t="s">
        <v>2195</v>
      </c>
      <c r="F2563" t="s">
        <v>44</v>
      </c>
      <c r="G2563">
        <v>4515</v>
      </c>
      <c r="H2563" t="s">
        <v>48</v>
      </c>
      <c r="I2563" t="s">
        <v>1119</v>
      </c>
      <c r="J2563">
        <v>8</v>
      </c>
      <c r="K2563">
        <v>1</v>
      </c>
      <c r="L2563">
        <v>1.423611111111111E-3</v>
      </c>
      <c r="M2563" t="s">
        <v>778</v>
      </c>
      <c r="N2563" t="s">
        <v>1337</v>
      </c>
      <c r="O2563" s="24">
        <v>46136</v>
      </c>
      <c r="P2563">
        <v>605</v>
      </c>
      <c r="Q2563" t="s">
        <v>34</v>
      </c>
      <c r="X2563" t="s">
        <v>3640</v>
      </c>
    </row>
    <row r="2564" spans="1:24" x14ac:dyDescent="0.25">
      <c r="A2564">
        <v>2560</v>
      </c>
      <c r="B2564" t="s">
        <v>28</v>
      </c>
      <c r="C2564" t="s">
        <v>25</v>
      </c>
      <c r="D2564">
        <v>14</v>
      </c>
      <c r="E2564" t="s">
        <v>65</v>
      </c>
      <c r="F2564" t="s">
        <v>44</v>
      </c>
      <c r="G2564">
        <v>4515</v>
      </c>
      <c r="H2564" t="s">
        <v>2605</v>
      </c>
      <c r="I2564" t="s">
        <v>2284</v>
      </c>
      <c r="J2564">
        <v>8</v>
      </c>
      <c r="K2564">
        <v>1</v>
      </c>
      <c r="L2564">
        <v>1.6550925925925926E-3</v>
      </c>
      <c r="M2564" t="s">
        <v>778</v>
      </c>
      <c r="N2564" t="s">
        <v>1337</v>
      </c>
      <c r="O2564" s="24">
        <v>46136</v>
      </c>
      <c r="P2564">
        <v>605</v>
      </c>
      <c r="Q2564" t="s">
        <v>34</v>
      </c>
      <c r="X2564" t="s">
        <v>3640</v>
      </c>
    </row>
    <row r="2565" spans="1:24" x14ac:dyDescent="0.25">
      <c r="A2565">
        <v>2561</v>
      </c>
      <c r="B2565" t="s">
        <v>28</v>
      </c>
      <c r="C2565" t="s">
        <v>25</v>
      </c>
      <c r="D2565">
        <v>14</v>
      </c>
      <c r="E2565" t="s">
        <v>1665</v>
      </c>
      <c r="F2565" t="s">
        <v>512</v>
      </c>
      <c r="G2565">
        <v>4516</v>
      </c>
      <c r="H2565" t="s">
        <v>2225</v>
      </c>
      <c r="I2565" t="s">
        <v>2226</v>
      </c>
      <c r="J2565">
        <v>8</v>
      </c>
      <c r="K2565">
        <v>6</v>
      </c>
      <c r="L2565">
        <v>1.0729166666666666E-2</v>
      </c>
      <c r="M2565" t="s">
        <v>778</v>
      </c>
      <c r="N2565" t="s">
        <v>1337</v>
      </c>
      <c r="O2565" s="24">
        <v>46136</v>
      </c>
      <c r="P2565">
        <v>605</v>
      </c>
      <c r="Q2565" t="s">
        <v>34</v>
      </c>
      <c r="X2565" t="s">
        <v>3641</v>
      </c>
    </row>
    <row r="2566" spans="1:24" x14ac:dyDescent="0.25">
      <c r="A2566">
        <v>2562</v>
      </c>
      <c r="B2566" t="s">
        <v>28</v>
      </c>
      <c r="C2566" t="s">
        <v>25</v>
      </c>
      <c r="D2566">
        <v>14</v>
      </c>
      <c r="E2566" t="s">
        <v>1665</v>
      </c>
      <c r="F2566" t="s">
        <v>512</v>
      </c>
      <c r="G2566">
        <v>4516</v>
      </c>
      <c r="H2566" t="s">
        <v>2607</v>
      </c>
      <c r="I2566" t="s">
        <v>2585</v>
      </c>
      <c r="J2566">
        <v>8</v>
      </c>
      <c r="K2566">
        <v>1</v>
      </c>
      <c r="L2566">
        <v>5.7523148148148143E-3</v>
      </c>
      <c r="M2566" t="s">
        <v>778</v>
      </c>
      <c r="N2566" t="s">
        <v>1337</v>
      </c>
      <c r="O2566" s="24">
        <v>46136</v>
      </c>
      <c r="P2566">
        <v>605</v>
      </c>
      <c r="Q2566" t="s">
        <v>34</v>
      </c>
      <c r="X2566" t="s">
        <v>3641</v>
      </c>
    </row>
    <row r="2567" spans="1:24" x14ac:dyDescent="0.25">
      <c r="A2567">
        <v>2563</v>
      </c>
      <c r="B2567" t="s">
        <v>28</v>
      </c>
      <c r="C2567" t="s">
        <v>25</v>
      </c>
      <c r="D2567">
        <v>14</v>
      </c>
      <c r="E2567" t="s">
        <v>65</v>
      </c>
      <c r="F2567" t="s">
        <v>44</v>
      </c>
      <c r="G2567">
        <v>4516</v>
      </c>
      <c r="H2567" t="s">
        <v>2608</v>
      </c>
      <c r="I2567" t="s">
        <v>2284</v>
      </c>
      <c r="J2567">
        <v>8</v>
      </c>
      <c r="K2567">
        <v>1</v>
      </c>
      <c r="L2567">
        <v>1.6319444444444443E-3</v>
      </c>
      <c r="M2567" t="s">
        <v>778</v>
      </c>
      <c r="N2567" t="s">
        <v>1337</v>
      </c>
      <c r="O2567" s="24">
        <v>46136</v>
      </c>
      <c r="P2567">
        <v>605</v>
      </c>
      <c r="Q2567" t="s">
        <v>34</v>
      </c>
      <c r="X2567" t="s">
        <v>3641</v>
      </c>
    </row>
    <row r="2568" spans="1:24" x14ac:dyDescent="0.25">
      <c r="A2568">
        <v>2564</v>
      </c>
      <c r="B2568" t="s">
        <v>28</v>
      </c>
      <c r="C2568" t="s">
        <v>25</v>
      </c>
      <c r="D2568">
        <v>14</v>
      </c>
      <c r="E2568" t="s">
        <v>65</v>
      </c>
      <c r="F2568" t="s">
        <v>1590</v>
      </c>
      <c r="G2568">
        <v>4516</v>
      </c>
      <c r="H2568" t="s">
        <v>2102</v>
      </c>
      <c r="I2568" t="s">
        <v>2103</v>
      </c>
      <c r="J2568">
        <v>8</v>
      </c>
      <c r="K2568">
        <v>4</v>
      </c>
      <c r="L2568">
        <v>2.8124999999999999E-3</v>
      </c>
      <c r="M2568" t="s">
        <v>778</v>
      </c>
      <c r="N2568" t="s">
        <v>1337</v>
      </c>
      <c r="O2568" s="24">
        <v>46136</v>
      </c>
      <c r="P2568">
        <v>605</v>
      </c>
      <c r="Q2568" t="s">
        <v>34</v>
      </c>
      <c r="X2568" t="s">
        <v>3641</v>
      </c>
    </row>
    <row r="2569" spans="1:24" x14ac:dyDescent="0.25">
      <c r="A2569">
        <v>2565</v>
      </c>
      <c r="B2569" t="s">
        <v>28</v>
      </c>
      <c r="C2569" t="s">
        <v>25</v>
      </c>
      <c r="D2569">
        <v>14</v>
      </c>
      <c r="E2569" t="s">
        <v>2195</v>
      </c>
      <c r="F2569" t="s">
        <v>44</v>
      </c>
      <c r="G2569">
        <v>4516</v>
      </c>
      <c r="H2569" t="s">
        <v>48</v>
      </c>
      <c r="I2569" t="s">
        <v>1119</v>
      </c>
      <c r="J2569">
        <v>8</v>
      </c>
      <c r="K2569">
        <v>1</v>
      </c>
      <c r="L2569">
        <v>1.4004629629629629E-3</v>
      </c>
      <c r="M2569" t="s">
        <v>778</v>
      </c>
      <c r="N2569" t="s">
        <v>1337</v>
      </c>
      <c r="O2569" s="24">
        <v>46136</v>
      </c>
      <c r="P2569">
        <v>605</v>
      </c>
      <c r="Q2569" t="s">
        <v>34</v>
      </c>
      <c r="X2569" t="s">
        <v>3641</v>
      </c>
    </row>
    <row r="2570" spans="1:24" x14ac:dyDescent="0.25">
      <c r="A2570">
        <v>2566</v>
      </c>
      <c r="B2570" t="s">
        <v>28</v>
      </c>
      <c r="C2570" t="s">
        <v>25</v>
      </c>
      <c r="D2570">
        <v>14</v>
      </c>
      <c r="E2570" t="s">
        <v>65</v>
      </c>
      <c r="F2570" t="s">
        <v>65</v>
      </c>
      <c r="G2570">
        <v>4518</v>
      </c>
      <c r="H2570" t="s">
        <v>2085</v>
      </c>
      <c r="I2570" t="s">
        <v>2086</v>
      </c>
      <c r="J2570">
        <v>8</v>
      </c>
      <c r="K2570">
        <v>1</v>
      </c>
      <c r="L2570">
        <v>7.407407407407407E-4</v>
      </c>
      <c r="M2570" t="s">
        <v>3079</v>
      </c>
      <c r="X2570" t="s">
        <v>3642</v>
      </c>
    </row>
    <row r="2571" spans="1:24" x14ac:dyDescent="0.25">
      <c r="A2571">
        <v>2567</v>
      </c>
      <c r="B2571" t="s">
        <v>28</v>
      </c>
      <c r="C2571" t="s">
        <v>25</v>
      </c>
      <c r="D2571">
        <v>14</v>
      </c>
      <c r="E2571" t="s">
        <v>1665</v>
      </c>
      <c r="F2571" t="s">
        <v>115</v>
      </c>
      <c r="G2571">
        <v>4518</v>
      </c>
      <c r="H2571" t="s">
        <v>2113</v>
      </c>
      <c r="I2571" t="s">
        <v>2111</v>
      </c>
      <c r="J2571">
        <v>8</v>
      </c>
      <c r="K2571">
        <v>2</v>
      </c>
      <c r="L2571">
        <v>1.2037037037037036E-3</v>
      </c>
      <c r="M2571" t="s">
        <v>3079</v>
      </c>
      <c r="X2571" t="s">
        <v>3642</v>
      </c>
    </row>
    <row r="2572" spans="1:24" x14ac:dyDescent="0.25">
      <c r="A2572">
        <v>2568</v>
      </c>
      <c r="B2572" t="s">
        <v>28</v>
      </c>
      <c r="C2572" t="s">
        <v>25</v>
      </c>
      <c r="D2572">
        <v>14</v>
      </c>
      <c r="E2572" t="s">
        <v>1665</v>
      </c>
      <c r="F2572" t="s">
        <v>512</v>
      </c>
      <c r="G2572">
        <v>4518</v>
      </c>
      <c r="H2572" t="s">
        <v>2225</v>
      </c>
      <c r="I2572" t="s">
        <v>2226</v>
      </c>
      <c r="J2572">
        <v>8</v>
      </c>
      <c r="K2572">
        <v>2</v>
      </c>
      <c r="L2572">
        <v>3.6458333333333334E-3</v>
      </c>
      <c r="M2572" t="s">
        <v>3079</v>
      </c>
      <c r="X2572" t="s">
        <v>3642</v>
      </c>
    </row>
    <row r="2573" spans="1:24" x14ac:dyDescent="0.25">
      <c r="A2573">
        <v>2569</v>
      </c>
      <c r="B2573" t="s">
        <v>28</v>
      </c>
      <c r="C2573" t="s">
        <v>25</v>
      </c>
      <c r="D2573">
        <v>14</v>
      </c>
      <c r="E2573" t="s">
        <v>1672</v>
      </c>
      <c r="F2573" t="s">
        <v>512</v>
      </c>
      <c r="G2573">
        <v>4518</v>
      </c>
      <c r="H2573" t="s">
        <v>2297</v>
      </c>
      <c r="I2573" t="s">
        <v>2226</v>
      </c>
      <c r="J2573">
        <v>8</v>
      </c>
      <c r="K2573">
        <v>3</v>
      </c>
      <c r="L2573">
        <v>5.4629629629629629E-3</v>
      </c>
      <c r="M2573" t="s">
        <v>3079</v>
      </c>
      <c r="X2573" t="s">
        <v>3642</v>
      </c>
    </row>
    <row r="2574" spans="1:24" x14ac:dyDescent="0.25">
      <c r="A2574">
        <v>2570</v>
      </c>
      <c r="B2574" t="s">
        <v>28</v>
      </c>
      <c r="C2574" t="s">
        <v>25</v>
      </c>
      <c r="D2574">
        <v>14</v>
      </c>
      <c r="E2574" t="s">
        <v>367</v>
      </c>
      <c r="F2574" t="s">
        <v>1594</v>
      </c>
      <c r="G2574">
        <v>4518</v>
      </c>
      <c r="H2574" t="s">
        <v>2610</v>
      </c>
      <c r="I2574" t="s">
        <v>2611</v>
      </c>
      <c r="J2574">
        <v>8</v>
      </c>
      <c r="K2574">
        <v>1</v>
      </c>
      <c r="L2574">
        <v>4.3171296296296291E-3</v>
      </c>
      <c r="M2574" t="s">
        <v>3079</v>
      </c>
      <c r="X2574" t="s">
        <v>3642</v>
      </c>
    </row>
    <row r="2575" spans="1:24" x14ac:dyDescent="0.25">
      <c r="A2575">
        <v>2571</v>
      </c>
      <c r="B2575" t="s">
        <v>28</v>
      </c>
      <c r="C2575" t="s">
        <v>25</v>
      </c>
      <c r="D2575">
        <v>14</v>
      </c>
      <c r="E2575" t="s">
        <v>65</v>
      </c>
      <c r="F2575" t="s">
        <v>65</v>
      </c>
      <c r="G2575">
        <v>4518</v>
      </c>
      <c r="H2575" t="s">
        <v>2460</v>
      </c>
      <c r="I2575" t="s">
        <v>2461</v>
      </c>
      <c r="J2575">
        <v>8</v>
      </c>
      <c r="K2575">
        <v>1</v>
      </c>
      <c r="L2575">
        <v>7.1759259259259259E-4</v>
      </c>
      <c r="M2575" t="s">
        <v>3079</v>
      </c>
      <c r="X2575" t="s">
        <v>3642</v>
      </c>
    </row>
    <row r="2576" spans="1:24" x14ac:dyDescent="0.25">
      <c r="A2576">
        <v>2572</v>
      </c>
      <c r="B2576" t="s">
        <v>28</v>
      </c>
      <c r="C2576" t="s">
        <v>25</v>
      </c>
      <c r="D2576">
        <v>14</v>
      </c>
      <c r="E2576" t="s">
        <v>65</v>
      </c>
      <c r="F2576" t="s">
        <v>1591</v>
      </c>
      <c r="G2576">
        <v>4518</v>
      </c>
      <c r="H2576" t="s">
        <v>2612</v>
      </c>
      <c r="I2576" t="s">
        <v>2286</v>
      </c>
      <c r="J2576">
        <v>8</v>
      </c>
      <c r="K2576">
        <v>1</v>
      </c>
      <c r="L2576">
        <v>1.6550925925925926E-3</v>
      </c>
      <c r="M2576" t="s">
        <v>3079</v>
      </c>
      <c r="X2576" t="s">
        <v>3642</v>
      </c>
    </row>
    <row r="2577" spans="1:24" x14ac:dyDescent="0.25">
      <c r="A2577">
        <v>2573</v>
      </c>
      <c r="B2577" t="s">
        <v>28</v>
      </c>
      <c r="C2577" t="s">
        <v>25</v>
      </c>
      <c r="D2577">
        <v>14</v>
      </c>
      <c r="E2577" t="s">
        <v>2259</v>
      </c>
      <c r="F2577" t="s">
        <v>44</v>
      </c>
      <c r="G2577">
        <v>4518</v>
      </c>
      <c r="H2577" t="s">
        <v>48</v>
      </c>
      <c r="I2577" t="s">
        <v>1119</v>
      </c>
      <c r="J2577">
        <v>8</v>
      </c>
      <c r="K2577">
        <v>2</v>
      </c>
      <c r="L2577">
        <v>2.8587962962962963E-3</v>
      </c>
      <c r="M2577" t="s">
        <v>3079</v>
      </c>
      <c r="X2577" t="s">
        <v>3642</v>
      </c>
    </row>
    <row r="2578" spans="1:24" x14ac:dyDescent="0.25">
      <c r="A2578">
        <v>2574</v>
      </c>
      <c r="B2578" t="s">
        <v>28</v>
      </c>
      <c r="C2578" t="s">
        <v>25</v>
      </c>
      <c r="D2578">
        <v>14</v>
      </c>
      <c r="E2578" t="s">
        <v>152</v>
      </c>
      <c r="F2578" t="s">
        <v>152</v>
      </c>
      <c r="G2578">
        <v>4269</v>
      </c>
      <c r="H2578" t="s">
        <v>2613</v>
      </c>
      <c r="I2578" t="s">
        <v>1976</v>
      </c>
      <c r="J2578">
        <v>12</v>
      </c>
      <c r="K2578">
        <v>2</v>
      </c>
      <c r="L2578">
        <v>7.5347222222222222E-3</v>
      </c>
      <c r="M2578" t="s">
        <v>778</v>
      </c>
      <c r="N2578" t="s">
        <v>1316</v>
      </c>
      <c r="O2578" s="24">
        <v>46132</v>
      </c>
      <c r="P2578">
        <v>606</v>
      </c>
      <c r="Q2578" t="s">
        <v>34</v>
      </c>
      <c r="X2578" t="s">
        <v>3578</v>
      </c>
    </row>
    <row r="2579" spans="1:24" x14ac:dyDescent="0.25">
      <c r="A2579">
        <v>2575</v>
      </c>
      <c r="B2579" t="s">
        <v>28</v>
      </c>
      <c r="C2579" t="s">
        <v>25</v>
      </c>
      <c r="D2579">
        <v>14</v>
      </c>
      <c r="E2579" t="s">
        <v>1665</v>
      </c>
      <c r="F2579" t="s">
        <v>512</v>
      </c>
      <c r="G2579">
        <v>4335</v>
      </c>
      <c r="H2579" t="s">
        <v>2034</v>
      </c>
      <c r="I2579" t="s">
        <v>1897</v>
      </c>
      <c r="J2579">
        <v>12</v>
      </c>
      <c r="K2579">
        <v>1</v>
      </c>
      <c r="L2579">
        <v>5.3240740740740744E-4</v>
      </c>
      <c r="M2579" t="s">
        <v>778</v>
      </c>
      <c r="N2579" t="s">
        <v>1316</v>
      </c>
      <c r="O2579" s="24">
        <v>46132</v>
      </c>
      <c r="P2579">
        <v>606</v>
      </c>
      <c r="Q2579" t="s">
        <v>34</v>
      </c>
      <c r="X2579" t="s">
        <v>3643</v>
      </c>
    </row>
    <row r="2580" spans="1:24" x14ac:dyDescent="0.25">
      <c r="A2580">
        <v>2576</v>
      </c>
      <c r="B2580" t="s">
        <v>28</v>
      </c>
      <c r="C2580" t="s">
        <v>25</v>
      </c>
      <c r="D2580">
        <v>14</v>
      </c>
      <c r="E2580" t="s">
        <v>1665</v>
      </c>
      <c r="F2580" t="s">
        <v>512</v>
      </c>
      <c r="G2580">
        <v>4335</v>
      </c>
      <c r="H2580" t="s">
        <v>1896</v>
      </c>
      <c r="I2580" t="s">
        <v>1897</v>
      </c>
      <c r="J2580">
        <v>12</v>
      </c>
      <c r="K2580">
        <v>1</v>
      </c>
      <c r="L2580">
        <v>5.3240740740740744E-4</v>
      </c>
      <c r="M2580" t="s">
        <v>778</v>
      </c>
      <c r="N2580" t="s">
        <v>1316</v>
      </c>
      <c r="O2580" s="24">
        <v>46132</v>
      </c>
      <c r="P2580">
        <v>606</v>
      </c>
      <c r="Q2580" t="s">
        <v>34</v>
      </c>
      <c r="X2580" t="s">
        <v>3643</v>
      </c>
    </row>
    <row r="2581" spans="1:24" x14ac:dyDescent="0.25">
      <c r="A2581">
        <v>2577</v>
      </c>
      <c r="B2581" t="s">
        <v>28</v>
      </c>
      <c r="C2581" t="s">
        <v>25</v>
      </c>
      <c r="D2581">
        <v>14</v>
      </c>
      <c r="E2581" t="s">
        <v>1665</v>
      </c>
      <c r="F2581" t="s">
        <v>115</v>
      </c>
      <c r="G2581">
        <v>4335</v>
      </c>
      <c r="H2581" t="s">
        <v>1898</v>
      </c>
      <c r="I2581" t="s">
        <v>1899</v>
      </c>
      <c r="J2581">
        <v>12</v>
      </c>
      <c r="K2581">
        <v>7</v>
      </c>
      <c r="L2581">
        <v>6.8055555555555551E-3</v>
      </c>
      <c r="M2581" t="s">
        <v>778</v>
      </c>
      <c r="N2581" t="s">
        <v>1316</v>
      </c>
      <c r="O2581" s="24">
        <v>46132</v>
      </c>
      <c r="P2581">
        <v>606</v>
      </c>
      <c r="Q2581" t="s">
        <v>34</v>
      </c>
      <c r="X2581" t="s">
        <v>3643</v>
      </c>
    </row>
    <row r="2582" spans="1:24" x14ac:dyDescent="0.25">
      <c r="A2582">
        <v>2578</v>
      </c>
      <c r="B2582" t="s">
        <v>28</v>
      </c>
      <c r="C2582" t="s">
        <v>25</v>
      </c>
      <c r="D2582">
        <v>14</v>
      </c>
      <c r="E2582" t="s">
        <v>152</v>
      </c>
      <c r="F2582" t="s">
        <v>152</v>
      </c>
      <c r="G2582">
        <v>4335</v>
      </c>
      <c r="H2582" t="s">
        <v>2613</v>
      </c>
      <c r="I2582" t="s">
        <v>1976</v>
      </c>
      <c r="J2582">
        <v>12</v>
      </c>
      <c r="K2582">
        <v>1</v>
      </c>
      <c r="L2582">
        <v>3.0324074074074073E-3</v>
      </c>
      <c r="M2582" t="s">
        <v>778</v>
      </c>
      <c r="N2582" t="s">
        <v>1316</v>
      </c>
      <c r="O2582" s="24">
        <v>46132</v>
      </c>
      <c r="P2582">
        <v>606</v>
      </c>
      <c r="Q2582" t="s">
        <v>34</v>
      </c>
      <c r="X2582" t="s">
        <v>3643</v>
      </c>
    </row>
    <row r="2583" spans="1:24" x14ac:dyDescent="0.25">
      <c r="A2583">
        <v>2579</v>
      </c>
      <c r="B2583" t="s">
        <v>28</v>
      </c>
      <c r="C2583" t="s">
        <v>25</v>
      </c>
      <c r="D2583">
        <v>14</v>
      </c>
      <c r="E2583" t="s">
        <v>152</v>
      </c>
      <c r="F2583" t="s">
        <v>152</v>
      </c>
      <c r="G2583">
        <v>4335</v>
      </c>
      <c r="H2583" t="s">
        <v>2615</v>
      </c>
      <c r="I2583" t="s">
        <v>2616</v>
      </c>
      <c r="J2583">
        <v>12</v>
      </c>
      <c r="K2583">
        <v>2</v>
      </c>
      <c r="L2583">
        <v>6.7939814814814816E-3</v>
      </c>
      <c r="M2583" t="s">
        <v>778</v>
      </c>
      <c r="N2583" t="s">
        <v>1316</v>
      </c>
      <c r="O2583" s="24">
        <v>46132</v>
      </c>
      <c r="P2583">
        <v>606</v>
      </c>
      <c r="Q2583" t="s">
        <v>34</v>
      </c>
      <c r="X2583" t="s">
        <v>3643</v>
      </c>
    </row>
    <row r="2584" spans="1:24" x14ac:dyDescent="0.25">
      <c r="A2584">
        <v>2580</v>
      </c>
      <c r="B2584" t="s">
        <v>28</v>
      </c>
      <c r="C2584" t="s">
        <v>25</v>
      </c>
      <c r="D2584">
        <v>14</v>
      </c>
      <c r="E2584" t="s">
        <v>152</v>
      </c>
      <c r="F2584" t="s">
        <v>152</v>
      </c>
      <c r="G2584">
        <v>4336</v>
      </c>
      <c r="H2584" t="s">
        <v>629</v>
      </c>
      <c r="I2584" t="s">
        <v>630</v>
      </c>
      <c r="J2584">
        <v>12</v>
      </c>
      <c r="K2584">
        <v>1</v>
      </c>
      <c r="L2584">
        <v>5.4282407407407404E-3</v>
      </c>
      <c r="M2584" t="s">
        <v>778</v>
      </c>
      <c r="N2584" t="s">
        <v>1462</v>
      </c>
      <c r="O2584" s="24">
        <v>46139</v>
      </c>
      <c r="P2584">
        <v>605</v>
      </c>
      <c r="Q2584" t="s">
        <v>34</v>
      </c>
      <c r="X2584" t="s">
        <v>3644</v>
      </c>
    </row>
    <row r="2585" spans="1:24" x14ac:dyDescent="0.25">
      <c r="A2585">
        <v>2581</v>
      </c>
      <c r="B2585" t="s">
        <v>28</v>
      </c>
      <c r="C2585" t="s">
        <v>25</v>
      </c>
      <c r="D2585">
        <v>14</v>
      </c>
      <c r="E2585" t="s">
        <v>152</v>
      </c>
      <c r="F2585" t="s">
        <v>152</v>
      </c>
      <c r="G2585">
        <v>4339</v>
      </c>
      <c r="H2585" t="s">
        <v>634</v>
      </c>
      <c r="I2585" t="s">
        <v>630</v>
      </c>
      <c r="J2585">
        <v>12</v>
      </c>
      <c r="K2585">
        <v>1</v>
      </c>
      <c r="L2585">
        <v>5.4398148148148149E-3</v>
      </c>
      <c r="M2585" t="s">
        <v>778</v>
      </c>
      <c r="N2585" t="s">
        <v>1462</v>
      </c>
      <c r="O2585" s="24">
        <v>46139</v>
      </c>
      <c r="P2585">
        <v>605</v>
      </c>
      <c r="Q2585" t="s">
        <v>34</v>
      </c>
      <c r="X2585" t="s">
        <v>3645</v>
      </c>
    </row>
    <row r="2586" spans="1:24" x14ac:dyDescent="0.25">
      <c r="A2586">
        <v>2582</v>
      </c>
      <c r="B2586" t="s">
        <v>28</v>
      </c>
      <c r="C2586" t="s">
        <v>25</v>
      </c>
      <c r="D2586">
        <v>14</v>
      </c>
      <c r="E2586" t="s">
        <v>152</v>
      </c>
      <c r="F2586" t="s">
        <v>152</v>
      </c>
      <c r="G2586">
        <v>4340</v>
      </c>
      <c r="H2586" t="s">
        <v>634</v>
      </c>
      <c r="I2586" t="s">
        <v>630</v>
      </c>
      <c r="J2586">
        <v>12</v>
      </c>
      <c r="K2586">
        <v>1</v>
      </c>
      <c r="L2586">
        <v>5.4398148148148149E-3</v>
      </c>
      <c r="M2586" t="s">
        <v>778</v>
      </c>
      <c r="N2586" t="s">
        <v>1462</v>
      </c>
      <c r="O2586" s="24">
        <v>46139</v>
      </c>
      <c r="P2586">
        <v>605</v>
      </c>
      <c r="Q2586" t="s">
        <v>34</v>
      </c>
      <c r="X2586" t="s">
        <v>3646</v>
      </c>
    </row>
    <row r="2587" spans="1:24" x14ac:dyDescent="0.25">
      <c r="A2587">
        <v>2583</v>
      </c>
      <c r="B2587" t="s">
        <v>28</v>
      </c>
      <c r="C2587" t="s">
        <v>25</v>
      </c>
      <c r="D2587">
        <v>14</v>
      </c>
      <c r="E2587" t="s">
        <v>152</v>
      </c>
      <c r="F2587" t="s">
        <v>152</v>
      </c>
      <c r="G2587">
        <v>4337</v>
      </c>
      <c r="H2587" t="s">
        <v>629</v>
      </c>
      <c r="I2587" t="s">
        <v>630</v>
      </c>
      <c r="J2587">
        <v>12</v>
      </c>
      <c r="K2587">
        <v>1</v>
      </c>
      <c r="L2587">
        <v>5.4398148148148149E-3</v>
      </c>
      <c r="M2587" t="s">
        <v>778</v>
      </c>
      <c r="N2587" t="s">
        <v>1462</v>
      </c>
      <c r="O2587" s="24">
        <v>46139</v>
      </c>
      <c r="P2587">
        <v>605</v>
      </c>
      <c r="Q2587" t="s">
        <v>34</v>
      </c>
      <c r="X2587" t="s">
        <v>3647</v>
      </c>
    </row>
    <row r="2588" spans="1:24" x14ac:dyDescent="0.25">
      <c r="A2588">
        <v>2584</v>
      </c>
      <c r="B2588" t="s">
        <v>28</v>
      </c>
      <c r="C2588" t="s">
        <v>25</v>
      </c>
      <c r="D2588">
        <v>14</v>
      </c>
      <c r="E2588" t="s">
        <v>152</v>
      </c>
      <c r="F2588" t="s">
        <v>152</v>
      </c>
      <c r="G2588">
        <v>4341</v>
      </c>
      <c r="H2588" t="s">
        <v>634</v>
      </c>
      <c r="I2588" t="s">
        <v>630</v>
      </c>
      <c r="J2588">
        <v>12</v>
      </c>
      <c r="K2588">
        <v>1</v>
      </c>
      <c r="L2588">
        <v>5.4398148148148149E-3</v>
      </c>
      <c r="M2588" t="s">
        <v>778</v>
      </c>
      <c r="N2588" t="s">
        <v>1462</v>
      </c>
      <c r="O2588" s="24">
        <v>46139</v>
      </c>
      <c r="P2588">
        <v>605</v>
      </c>
      <c r="Q2588" t="s">
        <v>34</v>
      </c>
      <c r="X2588" t="s">
        <v>3648</v>
      </c>
    </row>
    <row r="2589" spans="1:24" x14ac:dyDescent="0.25">
      <c r="A2589">
        <v>2585</v>
      </c>
      <c r="B2589" t="s">
        <v>28</v>
      </c>
      <c r="C2589" t="s">
        <v>25</v>
      </c>
      <c r="D2589">
        <v>14</v>
      </c>
      <c r="E2589" t="s">
        <v>152</v>
      </c>
      <c r="F2589" t="s">
        <v>152</v>
      </c>
      <c r="G2589">
        <v>4338</v>
      </c>
      <c r="H2589" t="s">
        <v>629</v>
      </c>
      <c r="I2589" t="s">
        <v>630</v>
      </c>
      <c r="J2589">
        <v>12</v>
      </c>
      <c r="K2589">
        <v>1</v>
      </c>
      <c r="L2589">
        <v>5.4398148148148149E-3</v>
      </c>
      <c r="M2589" t="s">
        <v>778</v>
      </c>
      <c r="N2589" t="s">
        <v>1462</v>
      </c>
      <c r="O2589" s="24">
        <v>46139</v>
      </c>
      <c r="P2589">
        <v>605</v>
      </c>
      <c r="Q2589" t="s">
        <v>34</v>
      </c>
      <c r="X2589" t="s">
        <v>3649</v>
      </c>
    </row>
    <row r="2590" spans="1:24" x14ac:dyDescent="0.25">
      <c r="A2590">
        <v>2586</v>
      </c>
      <c r="B2590" t="s">
        <v>28</v>
      </c>
      <c r="C2590" t="s">
        <v>25</v>
      </c>
      <c r="D2590">
        <v>14</v>
      </c>
      <c r="E2590" t="s">
        <v>152</v>
      </c>
      <c r="F2590" t="s">
        <v>152</v>
      </c>
      <c r="G2590">
        <v>4344</v>
      </c>
      <c r="H2590" t="s">
        <v>643</v>
      </c>
      <c r="I2590" t="s">
        <v>644</v>
      </c>
      <c r="J2590">
        <v>12</v>
      </c>
      <c r="K2590">
        <v>1</v>
      </c>
      <c r="L2590">
        <v>5.4050925925925924E-3</v>
      </c>
      <c r="M2590" t="s">
        <v>778</v>
      </c>
      <c r="N2590" t="s">
        <v>1462</v>
      </c>
      <c r="O2590" s="24">
        <v>46139</v>
      </c>
      <c r="P2590">
        <v>605</v>
      </c>
      <c r="Q2590" t="s">
        <v>34</v>
      </c>
      <c r="X2590" t="s">
        <v>3650</v>
      </c>
    </row>
    <row r="2591" spans="1:24" x14ac:dyDescent="0.25">
      <c r="A2591">
        <v>2587</v>
      </c>
      <c r="B2591" t="s">
        <v>28</v>
      </c>
      <c r="C2591" t="s">
        <v>25</v>
      </c>
      <c r="D2591">
        <v>14</v>
      </c>
      <c r="E2591" t="s">
        <v>152</v>
      </c>
      <c r="F2591" t="s">
        <v>152</v>
      </c>
      <c r="G2591">
        <v>4342</v>
      </c>
      <c r="H2591" t="s">
        <v>643</v>
      </c>
      <c r="I2591" t="s">
        <v>644</v>
      </c>
      <c r="J2591">
        <v>12</v>
      </c>
      <c r="K2591">
        <v>1</v>
      </c>
      <c r="L2591">
        <v>5.4050925925925924E-3</v>
      </c>
      <c r="M2591" t="s">
        <v>778</v>
      </c>
      <c r="N2591" t="s">
        <v>1462</v>
      </c>
      <c r="O2591" s="24">
        <v>46139</v>
      </c>
      <c r="P2591">
        <v>605</v>
      </c>
      <c r="Q2591" t="s">
        <v>34</v>
      </c>
      <c r="X2591" t="s">
        <v>3651</v>
      </c>
    </row>
    <row r="2592" spans="1:24" x14ac:dyDescent="0.25">
      <c r="A2592">
        <v>2588</v>
      </c>
      <c r="B2592" t="s">
        <v>28</v>
      </c>
      <c r="C2592" t="s">
        <v>25</v>
      </c>
      <c r="D2592">
        <v>14</v>
      </c>
      <c r="E2592" t="s">
        <v>152</v>
      </c>
      <c r="F2592" t="s">
        <v>152</v>
      </c>
      <c r="G2592">
        <v>4343</v>
      </c>
      <c r="H2592" t="s">
        <v>643</v>
      </c>
      <c r="I2592" t="s">
        <v>644</v>
      </c>
      <c r="J2592">
        <v>12</v>
      </c>
      <c r="K2592">
        <v>1</v>
      </c>
      <c r="L2592">
        <v>5.4050925925925924E-3</v>
      </c>
      <c r="M2592" t="s">
        <v>778</v>
      </c>
      <c r="N2592" t="s">
        <v>1462</v>
      </c>
      <c r="O2592" s="24">
        <v>46139</v>
      </c>
      <c r="P2592">
        <v>605</v>
      </c>
      <c r="Q2592" t="s">
        <v>34</v>
      </c>
      <c r="X2592" t="s">
        <v>3652</v>
      </c>
    </row>
    <row r="2593" spans="1:24" x14ac:dyDescent="0.25">
      <c r="A2593">
        <v>2589</v>
      </c>
      <c r="B2593" t="s">
        <v>28</v>
      </c>
      <c r="C2593" t="s">
        <v>25</v>
      </c>
      <c r="D2593">
        <v>14</v>
      </c>
      <c r="E2593" t="s">
        <v>1585</v>
      </c>
      <c r="F2593" t="s">
        <v>1585</v>
      </c>
      <c r="G2593">
        <v>4519</v>
      </c>
      <c r="H2593" t="s">
        <v>1635</v>
      </c>
      <c r="I2593" t="s">
        <v>1636</v>
      </c>
      <c r="J2593">
        <v>16</v>
      </c>
      <c r="K2593">
        <v>1</v>
      </c>
      <c r="L2593">
        <v>1.1226851851851851E-3</v>
      </c>
      <c r="M2593" t="s">
        <v>778</v>
      </c>
      <c r="N2593" t="s">
        <v>1316</v>
      </c>
      <c r="O2593" s="24">
        <v>46132</v>
      </c>
      <c r="P2593">
        <v>606</v>
      </c>
      <c r="Q2593" t="s">
        <v>34</v>
      </c>
      <c r="X2593" t="s">
        <v>3653</v>
      </c>
    </row>
    <row r="2594" spans="1:24" x14ac:dyDescent="0.25">
      <c r="A2594">
        <v>2590</v>
      </c>
      <c r="B2594" t="s">
        <v>28</v>
      </c>
      <c r="C2594" t="s">
        <v>25</v>
      </c>
      <c r="D2594">
        <v>14</v>
      </c>
      <c r="E2594" t="s">
        <v>530</v>
      </c>
      <c r="F2594" t="s">
        <v>512</v>
      </c>
      <c r="G2594">
        <v>4519</v>
      </c>
      <c r="H2594" t="s">
        <v>2078</v>
      </c>
      <c r="I2594" t="s">
        <v>2079</v>
      </c>
      <c r="J2594">
        <v>16</v>
      </c>
      <c r="K2594">
        <v>1</v>
      </c>
      <c r="L2594">
        <v>9.9537037037037042E-4</v>
      </c>
      <c r="M2594" t="s">
        <v>778</v>
      </c>
      <c r="N2594" t="s">
        <v>1316</v>
      </c>
      <c r="O2594" s="24">
        <v>46132</v>
      </c>
      <c r="P2594">
        <v>606</v>
      </c>
      <c r="Q2594" t="s">
        <v>34</v>
      </c>
      <c r="X2594" t="s">
        <v>3653</v>
      </c>
    </row>
    <row r="2595" spans="1:24" x14ac:dyDescent="0.25">
      <c r="A2595">
        <v>2591</v>
      </c>
      <c r="B2595" t="s">
        <v>28</v>
      </c>
      <c r="C2595" t="s">
        <v>25</v>
      </c>
      <c r="D2595">
        <v>14</v>
      </c>
      <c r="E2595" t="s">
        <v>1588</v>
      </c>
      <c r="F2595" t="s">
        <v>512</v>
      </c>
      <c r="G2595">
        <v>4519</v>
      </c>
      <c r="H2595" t="s">
        <v>2627</v>
      </c>
      <c r="I2595" t="s">
        <v>2628</v>
      </c>
      <c r="J2595">
        <v>16</v>
      </c>
      <c r="K2595">
        <v>2</v>
      </c>
      <c r="L2595">
        <v>2.4305555555555556E-3</v>
      </c>
      <c r="M2595" t="s">
        <v>778</v>
      </c>
      <c r="N2595" t="s">
        <v>1316</v>
      </c>
      <c r="O2595" s="24">
        <v>46132</v>
      </c>
      <c r="P2595">
        <v>606</v>
      </c>
      <c r="Q2595" t="s">
        <v>34</v>
      </c>
      <c r="X2595" t="s">
        <v>3653</v>
      </c>
    </row>
    <row r="2596" spans="1:24" x14ac:dyDescent="0.25">
      <c r="A2596">
        <v>2592</v>
      </c>
      <c r="B2596" t="s">
        <v>28</v>
      </c>
      <c r="C2596" t="s">
        <v>25</v>
      </c>
      <c r="D2596">
        <v>14</v>
      </c>
      <c r="E2596" t="s">
        <v>367</v>
      </c>
      <c r="F2596" t="s">
        <v>427</v>
      </c>
      <c r="G2596">
        <v>4519</v>
      </c>
      <c r="H2596" t="s">
        <v>2629</v>
      </c>
      <c r="I2596" t="s">
        <v>2630</v>
      </c>
      <c r="J2596">
        <v>16</v>
      </c>
      <c r="K2596">
        <v>1</v>
      </c>
      <c r="L2596">
        <v>1.2962962962962963E-3</v>
      </c>
      <c r="M2596" t="s">
        <v>778</v>
      </c>
      <c r="N2596" t="s">
        <v>1316</v>
      </c>
      <c r="O2596" s="24">
        <v>46132</v>
      </c>
      <c r="P2596">
        <v>606</v>
      </c>
      <c r="Q2596" t="s">
        <v>34</v>
      </c>
      <c r="X2596" t="s">
        <v>3653</v>
      </c>
    </row>
    <row r="2597" spans="1:24" x14ac:dyDescent="0.25">
      <c r="A2597">
        <v>2593</v>
      </c>
      <c r="B2597" t="s">
        <v>28</v>
      </c>
      <c r="C2597" t="s">
        <v>25</v>
      </c>
      <c r="D2597">
        <v>14</v>
      </c>
      <c r="E2597" t="s">
        <v>367</v>
      </c>
      <c r="F2597" t="s">
        <v>1595</v>
      </c>
      <c r="G2597">
        <v>4519</v>
      </c>
      <c r="H2597" t="s">
        <v>2631</v>
      </c>
      <c r="I2597" t="s">
        <v>2632</v>
      </c>
      <c r="J2597">
        <v>16</v>
      </c>
      <c r="K2597">
        <v>1</v>
      </c>
      <c r="L2597">
        <v>1.0532407407407407E-3</v>
      </c>
      <c r="M2597" t="s">
        <v>778</v>
      </c>
      <c r="N2597" t="s">
        <v>1316</v>
      </c>
      <c r="O2597" s="24">
        <v>46132</v>
      </c>
      <c r="P2597">
        <v>606</v>
      </c>
      <c r="Q2597" t="s">
        <v>34</v>
      </c>
      <c r="X2597" t="s">
        <v>3653</v>
      </c>
    </row>
    <row r="2598" spans="1:24" x14ac:dyDescent="0.25">
      <c r="A2598">
        <v>2594</v>
      </c>
      <c r="B2598" t="s">
        <v>28</v>
      </c>
      <c r="C2598" t="s">
        <v>25</v>
      </c>
      <c r="D2598">
        <v>14</v>
      </c>
      <c r="E2598" t="s">
        <v>367</v>
      </c>
      <c r="F2598" t="s">
        <v>512</v>
      </c>
      <c r="G2598">
        <v>4519</v>
      </c>
      <c r="H2598" t="s">
        <v>1792</v>
      </c>
      <c r="I2598" t="s">
        <v>1752</v>
      </c>
      <c r="J2598">
        <v>16</v>
      </c>
      <c r="K2598">
        <v>1</v>
      </c>
      <c r="L2598">
        <v>7.9861111111111105E-4</v>
      </c>
      <c r="M2598" t="s">
        <v>778</v>
      </c>
      <c r="N2598" t="s">
        <v>1316</v>
      </c>
      <c r="O2598" s="24">
        <v>46132</v>
      </c>
      <c r="P2598">
        <v>606</v>
      </c>
      <c r="Q2598" t="s">
        <v>34</v>
      </c>
      <c r="X2598" t="s">
        <v>3653</v>
      </c>
    </row>
    <row r="2599" spans="1:24" x14ac:dyDescent="0.25">
      <c r="A2599">
        <v>2595</v>
      </c>
      <c r="B2599" t="s">
        <v>28</v>
      </c>
      <c r="C2599" t="s">
        <v>25</v>
      </c>
      <c r="D2599">
        <v>14</v>
      </c>
      <c r="E2599" t="s">
        <v>367</v>
      </c>
      <c r="F2599" t="s">
        <v>512</v>
      </c>
      <c r="G2599">
        <v>4519</v>
      </c>
      <c r="H2599" t="s">
        <v>1725</v>
      </c>
      <c r="I2599" t="s">
        <v>1726</v>
      </c>
      <c r="J2599">
        <v>16</v>
      </c>
      <c r="K2599">
        <v>1</v>
      </c>
      <c r="L2599">
        <v>8.9120370370370362E-4</v>
      </c>
      <c r="M2599" t="s">
        <v>778</v>
      </c>
      <c r="N2599" t="s">
        <v>1316</v>
      </c>
      <c r="O2599" s="24">
        <v>46132</v>
      </c>
      <c r="P2599">
        <v>606</v>
      </c>
      <c r="Q2599" t="s">
        <v>34</v>
      </c>
      <c r="X2599" t="s">
        <v>3653</v>
      </c>
    </row>
    <row r="2600" spans="1:24" x14ac:dyDescent="0.25">
      <c r="A2600">
        <v>2596</v>
      </c>
      <c r="B2600" t="s">
        <v>28</v>
      </c>
      <c r="C2600" t="s">
        <v>25</v>
      </c>
      <c r="D2600">
        <v>14</v>
      </c>
      <c r="E2600" t="s">
        <v>367</v>
      </c>
      <c r="F2600" t="s">
        <v>512</v>
      </c>
      <c r="G2600">
        <v>4519</v>
      </c>
      <c r="H2600" t="s">
        <v>1727</v>
      </c>
      <c r="I2600" t="s">
        <v>1726</v>
      </c>
      <c r="J2600">
        <v>16</v>
      </c>
      <c r="K2600">
        <v>1</v>
      </c>
      <c r="L2600">
        <v>1.0763888888888889E-3</v>
      </c>
      <c r="M2600" t="s">
        <v>778</v>
      </c>
      <c r="N2600" t="s">
        <v>1316</v>
      </c>
      <c r="O2600" s="24">
        <v>46132</v>
      </c>
      <c r="P2600">
        <v>606</v>
      </c>
      <c r="Q2600" t="s">
        <v>34</v>
      </c>
      <c r="X2600" t="s">
        <v>3653</v>
      </c>
    </row>
    <row r="2601" spans="1:24" x14ac:dyDescent="0.25">
      <c r="A2601">
        <v>2597</v>
      </c>
      <c r="B2601" t="s">
        <v>28</v>
      </c>
      <c r="C2601" t="s">
        <v>25</v>
      </c>
      <c r="D2601">
        <v>14</v>
      </c>
      <c r="E2601" t="s">
        <v>65</v>
      </c>
      <c r="F2601" t="s">
        <v>512</v>
      </c>
      <c r="G2601">
        <v>4519</v>
      </c>
      <c r="H2601" t="s">
        <v>2633</v>
      </c>
      <c r="I2601" t="s">
        <v>2634</v>
      </c>
      <c r="J2601">
        <v>16</v>
      </c>
      <c r="K2601">
        <v>1</v>
      </c>
      <c r="L2601">
        <v>7.5231481481481482E-4</v>
      </c>
      <c r="M2601" t="s">
        <v>778</v>
      </c>
      <c r="N2601" t="s">
        <v>1316</v>
      </c>
      <c r="O2601" s="24">
        <v>46132</v>
      </c>
      <c r="P2601">
        <v>606</v>
      </c>
      <c r="Q2601" t="s">
        <v>34</v>
      </c>
      <c r="X2601" t="s">
        <v>3653</v>
      </c>
    </row>
    <row r="2602" spans="1:24" x14ac:dyDescent="0.25">
      <c r="A2602">
        <v>2598</v>
      </c>
      <c r="B2602" t="s">
        <v>28</v>
      </c>
      <c r="C2602" t="s">
        <v>25</v>
      </c>
      <c r="D2602">
        <v>14</v>
      </c>
      <c r="E2602" t="s">
        <v>65</v>
      </c>
      <c r="F2602" t="s">
        <v>512</v>
      </c>
      <c r="G2602">
        <v>4519</v>
      </c>
      <c r="H2602" t="s">
        <v>2635</v>
      </c>
      <c r="I2602" t="s">
        <v>2634</v>
      </c>
      <c r="J2602">
        <v>16</v>
      </c>
      <c r="K2602">
        <v>1</v>
      </c>
      <c r="L2602">
        <v>7.5231481481481482E-4</v>
      </c>
      <c r="M2602" t="s">
        <v>778</v>
      </c>
      <c r="N2602" t="s">
        <v>1316</v>
      </c>
      <c r="O2602" s="24">
        <v>46132</v>
      </c>
      <c r="P2602">
        <v>606</v>
      </c>
      <c r="Q2602" t="s">
        <v>34</v>
      </c>
      <c r="X2602" t="s">
        <v>3653</v>
      </c>
    </row>
    <row r="2603" spans="1:24" x14ac:dyDescent="0.25">
      <c r="A2603">
        <v>2599</v>
      </c>
      <c r="B2603" t="s">
        <v>28</v>
      </c>
      <c r="C2603" t="s">
        <v>25</v>
      </c>
      <c r="D2603">
        <v>14</v>
      </c>
      <c r="E2603" t="s">
        <v>65</v>
      </c>
      <c r="F2603" t="s">
        <v>368</v>
      </c>
      <c r="G2603">
        <v>4519</v>
      </c>
      <c r="H2603" t="s">
        <v>1738</v>
      </c>
      <c r="I2603" t="s">
        <v>1739</v>
      </c>
      <c r="J2603">
        <v>16</v>
      </c>
      <c r="K2603">
        <v>5</v>
      </c>
      <c r="L2603">
        <v>3.460648148148148E-3</v>
      </c>
      <c r="M2603" t="s">
        <v>778</v>
      </c>
      <c r="N2603" t="s">
        <v>1316</v>
      </c>
      <c r="O2603" s="24">
        <v>46132</v>
      </c>
      <c r="P2603">
        <v>606</v>
      </c>
      <c r="Q2603" t="s">
        <v>34</v>
      </c>
      <c r="X2603" t="s">
        <v>3653</v>
      </c>
    </row>
    <row r="2604" spans="1:24" x14ac:dyDescent="0.25">
      <c r="A2604">
        <v>2600</v>
      </c>
      <c r="B2604" t="s">
        <v>28</v>
      </c>
      <c r="C2604" t="s">
        <v>25</v>
      </c>
      <c r="D2604">
        <v>14</v>
      </c>
      <c r="E2604" t="s">
        <v>65</v>
      </c>
      <c r="F2604" t="s">
        <v>1599</v>
      </c>
      <c r="G2604">
        <v>4519</v>
      </c>
      <c r="H2604" t="s">
        <v>1805</v>
      </c>
      <c r="I2604" t="s">
        <v>1662</v>
      </c>
      <c r="J2604">
        <v>16</v>
      </c>
      <c r="K2604">
        <v>1</v>
      </c>
      <c r="L2604">
        <v>1.3773148148148147E-3</v>
      </c>
      <c r="M2604" t="s">
        <v>778</v>
      </c>
      <c r="N2604" t="s">
        <v>1316</v>
      </c>
      <c r="O2604" s="24">
        <v>46132</v>
      </c>
      <c r="P2604">
        <v>606</v>
      </c>
      <c r="Q2604" t="s">
        <v>34</v>
      </c>
      <c r="X2604" t="s">
        <v>3653</v>
      </c>
    </row>
    <row r="2605" spans="1:24" x14ac:dyDescent="0.25">
      <c r="A2605">
        <v>2601</v>
      </c>
      <c r="B2605" t="s">
        <v>28</v>
      </c>
      <c r="C2605" t="s">
        <v>25</v>
      </c>
      <c r="D2605">
        <v>14</v>
      </c>
      <c r="E2605" t="s">
        <v>65</v>
      </c>
      <c r="F2605" t="s">
        <v>512</v>
      </c>
      <c r="G2605">
        <v>4519</v>
      </c>
      <c r="H2605" t="s">
        <v>1769</v>
      </c>
      <c r="I2605" t="s">
        <v>1741</v>
      </c>
      <c r="J2605">
        <v>16</v>
      </c>
      <c r="K2605">
        <v>1</v>
      </c>
      <c r="L2605">
        <v>6.7129629629629625E-4</v>
      </c>
      <c r="M2605" t="s">
        <v>778</v>
      </c>
      <c r="N2605" t="s">
        <v>1316</v>
      </c>
      <c r="O2605" s="24">
        <v>46132</v>
      </c>
      <c r="P2605">
        <v>606</v>
      </c>
      <c r="Q2605" t="s">
        <v>34</v>
      </c>
      <c r="X2605" t="s">
        <v>3653</v>
      </c>
    </row>
    <row r="2606" spans="1:24" x14ac:dyDescent="0.25">
      <c r="A2606">
        <v>2602</v>
      </c>
      <c r="B2606" t="s">
        <v>28</v>
      </c>
      <c r="C2606" t="s">
        <v>25</v>
      </c>
      <c r="D2606">
        <v>14</v>
      </c>
      <c r="E2606" t="s">
        <v>65</v>
      </c>
      <c r="F2606" t="s">
        <v>512</v>
      </c>
      <c r="G2606">
        <v>4519</v>
      </c>
      <c r="H2606" t="s">
        <v>2636</v>
      </c>
      <c r="I2606" t="s">
        <v>2637</v>
      </c>
      <c r="J2606">
        <v>16</v>
      </c>
      <c r="K2606">
        <v>1</v>
      </c>
      <c r="L2606">
        <v>1.1689814814814813E-3</v>
      </c>
      <c r="M2606" t="s">
        <v>778</v>
      </c>
      <c r="N2606" t="s">
        <v>1316</v>
      </c>
      <c r="O2606" s="24">
        <v>46132</v>
      </c>
      <c r="P2606">
        <v>606</v>
      </c>
      <c r="Q2606" t="s">
        <v>34</v>
      </c>
      <c r="X2606" t="s">
        <v>3653</v>
      </c>
    </row>
    <row r="2607" spans="1:24" x14ac:dyDescent="0.25">
      <c r="A2607">
        <v>2603</v>
      </c>
      <c r="B2607" t="s">
        <v>28</v>
      </c>
      <c r="C2607" t="s">
        <v>25</v>
      </c>
      <c r="D2607">
        <v>14</v>
      </c>
      <c r="E2607" t="s">
        <v>367</v>
      </c>
      <c r="F2607" t="s">
        <v>512</v>
      </c>
      <c r="G2607">
        <v>4519</v>
      </c>
      <c r="H2607" t="s">
        <v>2638</v>
      </c>
      <c r="I2607" t="s">
        <v>1780</v>
      </c>
      <c r="J2607">
        <v>16</v>
      </c>
      <c r="K2607">
        <v>3</v>
      </c>
      <c r="L2607">
        <v>2.5578703703703701E-3</v>
      </c>
      <c r="M2607" t="s">
        <v>778</v>
      </c>
      <c r="N2607" t="s">
        <v>1316</v>
      </c>
      <c r="O2607" s="24">
        <v>46132</v>
      </c>
      <c r="P2607">
        <v>606</v>
      </c>
      <c r="Q2607" t="s">
        <v>34</v>
      </c>
      <c r="X2607" t="s">
        <v>3653</v>
      </c>
    </row>
    <row r="2608" spans="1:24" x14ac:dyDescent="0.25">
      <c r="A2608">
        <v>2604</v>
      </c>
      <c r="B2608" t="s">
        <v>28</v>
      </c>
      <c r="C2608" t="s">
        <v>25</v>
      </c>
      <c r="D2608">
        <v>14</v>
      </c>
      <c r="E2608" t="s">
        <v>367</v>
      </c>
      <c r="F2608" t="s">
        <v>512</v>
      </c>
      <c r="G2608">
        <v>4519</v>
      </c>
      <c r="H2608" t="s">
        <v>1779</v>
      </c>
      <c r="I2608" t="s">
        <v>1780</v>
      </c>
      <c r="J2608">
        <v>16</v>
      </c>
      <c r="K2608">
        <v>1</v>
      </c>
      <c r="L2608">
        <v>8.4490740740740739E-4</v>
      </c>
      <c r="M2608" t="s">
        <v>778</v>
      </c>
      <c r="N2608" t="s">
        <v>1316</v>
      </c>
      <c r="O2608" s="24">
        <v>46132</v>
      </c>
      <c r="P2608">
        <v>606</v>
      </c>
      <c r="Q2608" t="s">
        <v>34</v>
      </c>
      <c r="X2608" t="s">
        <v>3653</v>
      </c>
    </row>
    <row r="2609" spans="1:26" x14ac:dyDescent="0.25">
      <c r="A2609">
        <v>2605</v>
      </c>
      <c r="B2609" t="s">
        <v>28</v>
      </c>
      <c r="C2609" t="s">
        <v>25</v>
      </c>
      <c r="D2609">
        <v>14</v>
      </c>
      <c r="E2609" t="s">
        <v>367</v>
      </c>
      <c r="F2609" t="s">
        <v>512</v>
      </c>
      <c r="G2609">
        <v>4519</v>
      </c>
      <c r="H2609" t="s">
        <v>2639</v>
      </c>
      <c r="I2609" t="s">
        <v>1752</v>
      </c>
      <c r="J2609">
        <v>16</v>
      </c>
      <c r="K2609">
        <v>3</v>
      </c>
      <c r="L2609">
        <v>2.673611111111111E-3</v>
      </c>
      <c r="M2609" t="s">
        <v>778</v>
      </c>
      <c r="N2609" t="s">
        <v>1316</v>
      </c>
      <c r="O2609" s="24">
        <v>46132</v>
      </c>
      <c r="P2609">
        <v>606</v>
      </c>
      <c r="Q2609" t="s">
        <v>34</v>
      </c>
      <c r="X2609" t="s">
        <v>3653</v>
      </c>
    </row>
    <row r="2610" spans="1:26" x14ac:dyDescent="0.25">
      <c r="A2610">
        <v>2606</v>
      </c>
      <c r="B2610" t="s">
        <v>29</v>
      </c>
      <c r="C2610" t="s">
        <v>27</v>
      </c>
      <c r="D2610">
        <v>16</v>
      </c>
      <c r="E2610" t="s">
        <v>129</v>
      </c>
      <c r="F2610" t="s">
        <v>115</v>
      </c>
      <c r="G2610">
        <v>3527</v>
      </c>
      <c r="H2610" t="s">
        <v>1162</v>
      </c>
      <c r="I2610" t="s">
        <v>119</v>
      </c>
      <c r="J2610">
        <v>8</v>
      </c>
      <c r="K2610">
        <v>1</v>
      </c>
      <c r="L2610">
        <v>6.9212962962962961E-3</v>
      </c>
      <c r="M2610" t="s">
        <v>3079</v>
      </c>
      <c r="X2610" t="s">
        <v>3654</v>
      </c>
    </row>
    <row r="2611" spans="1:26" x14ac:dyDescent="0.25">
      <c r="A2611">
        <v>2607</v>
      </c>
      <c r="B2611" t="s">
        <v>29</v>
      </c>
      <c r="C2611" t="s">
        <v>27</v>
      </c>
      <c r="D2611">
        <v>16</v>
      </c>
      <c r="E2611" t="s">
        <v>1665</v>
      </c>
      <c r="F2611" t="s">
        <v>115</v>
      </c>
      <c r="G2611">
        <v>4226</v>
      </c>
      <c r="H2611" t="s">
        <v>2356</v>
      </c>
      <c r="I2611" t="s">
        <v>2310</v>
      </c>
      <c r="J2611">
        <v>8</v>
      </c>
      <c r="K2611">
        <v>1</v>
      </c>
      <c r="L2611">
        <v>1.9907407407407408E-3</v>
      </c>
      <c r="M2611" t="s">
        <v>3079</v>
      </c>
      <c r="X2611" t="s">
        <v>3655</v>
      </c>
    </row>
    <row r="2612" spans="1:26" x14ac:dyDescent="0.25">
      <c r="A2612">
        <v>2608</v>
      </c>
      <c r="B2612" t="s">
        <v>29</v>
      </c>
      <c r="C2612" t="s">
        <v>27</v>
      </c>
      <c r="D2612">
        <v>16</v>
      </c>
      <c r="E2612" t="s">
        <v>1672</v>
      </c>
      <c r="F2612" t="s">
        <v>115</v>
      </c>
      <c r="G2612">
        <v>4226</v>
      </c>
      <c r="H2612" t="s">
        <v>2309</v>
      </c>
      <c r="I2612" t="s">
        <v>2310</v>
      </c>
      <c r="J2612">
        <v>8</v>
      </c>
      <c r="K2612">
        <v>1</v>
      </c>
      <c r="L2612">
        <v>1.9907407407407408E-3</v>
      </c>
      <c r="M2612" t="s">
        <v>3079</v>
      </c>
      <c r="X2612" t="s">
        <v>3655</v>
      </c>
    </row>
    <row r="2613" spans="1:26" x14ac:dyDescent="0.25">
      <c r="A2613">
        <v>2609</v>
      </c>
      <c r="B2613" t="s">
        <v>29</v>
      </c>
      <c r="C2613" t="s">
        <v>27</v>
      </c>
      <c r="D2613">
        <v>16</v>
      </c>
      <c r="E2613" t="s">
        <v>1672</v>
      </c>
      <c r="F2613" t="s">
        <v>498</v>
      </c>
      <c r="G2613">
        <v>4226</v>
      </c>
      <c r="H2613" t="s">
        <v>2299</v>
      </c>
      <c r="I2613" t="s">
        <v>2300</v>
      </c>
      <c r="J2613">
        <v>8</v>
      </c>
      <c r="K2613">
        <v>1</v>
      </c>
      <c r="L2613">
        <v>2.0254629629629629E-3</v>
      </c>
      <c r="M2613" t="s">
        <v>3079</v>
      </c>
      <c r="X2613" t="s">
        <v>3655</v>
      </c>
    </row>
    <row r="2614" spans="1:26" x14ac:dyDescent="0.25">
      <c r="A2614">
        <v>2610</v>
      </c>
      <c r="B2614" t="s">
        <v>29</v>
      </c>
      <c r="C2614" t="s">
        <v>27</v>
      </c>
      <c r="D2614">
        <v>16</v>
      </c>
      <c r="E2614" t="s">
        <v>1665</v>
      </c>
      <c r="F2614" t="s">
        <v>512</v>
      </c>
      <c r="G2614">
        <v>4226</v>
      </c>
      <c r="H2614" t="s">
        <v>2228</v>
      </c>
      <c r="I2614" t="s">
        <v>2153</v>
      </c>
      <c r="J2614">
        <v>8</v>
      </c>
      <c r="K2614">
        <v>1</v>
      </c>
      <c r="L2614">
        <v>1.736111111111111E-3</v>
      </c>
      <c r="M2614" t="s">
        <v>3079</v>
      </c>
      <c r="X2614" t="s">
        <v>3655</v>
      </c>
    </row>
    <row r="2615" spans="1:26" x14ac:dyDescent="0.25">
      <c r="A2615">
        <v>2611</v>
      </c>
      <c r="B2615" t="s">
        <v>29</v>
      </c>
      <c r="C2615" t="s">
        <v>27</v>
      </c>
      <c r="D2615">
        <v>16</v>
      </c>
      <c r="E2615" t="s">
        <v>150</v>
      </c>
      <c r="F2615" t="s">
        <v>115</v>
      </c>
      <c r="G2615">
        <v>4226</v>
      </c>
      <c r="H2615" t="s">
        <v>2642</v>
      </c>
      <c r="I2615" t="s">
        <v>2643</v>
      </c>
      <c r="J2615">
        <v>8</v>
      </c>
      <c r="K2615">
        <v>1</v>
      </c>
      <c r="L2615">
        <v>6.2962962962962964E-3</v>
      </c>
      <c r="M2615" t="s">
        <v>3079</v>
      </c>
      <c r="X2615" t="s">
        <v>3655</v>
      </c>
    </row>
    <row r="2616" spans="1:26" x14ac:dyDescent="0.25">
      <c r="A2616">
        <v>2612</v>
      </c>
      <c r="B2616" t="s">
        <v>29</v>
      </c>
      <c r="C2616" t="s">
        <v>27</v>
      </c>
      <c r="D2616">
        <v>16</v>
      </c>
      <c r="E2616" t="s">
        <v>131</v>
      </c>
      <c r="F2616" t="s">
        <v>115</v>
      </c>
      <c r="G2616">
        <v>3528</v>
      </c>
      <c r="H2616" t="s">
        <v>1164</v>
      </c>
      <c r="I2616" t="s">
        <v>119</v>
      </c>
      <c r="J2616">
        <v>8</v>
      </c>
      <c r="K2616">
        <v>1</v>
      </c>
      <c r="L2616">
        <v>6.9212962962962961E-3</v>
      </c>
      <c r="M2616" t="s">
        <v>3079</v>
      </c>
      <c r="X2616" t="s">
        <v>3656</v>
      </c>
    </row>
    <row r="2617" spans="1:26" x14ac:dyDescent="0.25">
      <c r="A2617">
        <v>2613</v>
      </c>
      <c r="B2617" t="s">
        <v>29</v>
      </c>
      <c r="C2617" t="s">
        <v>27</v>
      </c>
      <c r="D2617">
        <v>16</v>
      </c>
      <c r="E2617" t="s">
        <v>1665</v>
      </c>
      <c r="F2617" t="s">
        <v>115</v>
      </c>
      <c r="G2617">
        <v>3529</v>
      </c>
      <c r="H2617" t="s">
        <v>2356</v>
      </c>
      <c r="I2617" t="s">
        <v>2310</v>
      </c>
      <c r="J2617">
        <v>8</v>
      </c>
      <c r="K2617">
        <v>2</v>
      </c>
      <c r="L2617">
        <v>3.9120370370370368E-3</v>
      </c>
      <c r="M2617" t="s">
        <v>3079</v>
      </c>
      <c r="X2617" t="s">
        <v>3657</v>
      </c>
    </row>
    <row r="2618" spans="1:26" x14ac:dyDescent="0.25">
      <c r="A2618">
        <v>2614</v>
      </c>
      <c r="B2618" t="s">
        <v>29</v>
      </c>
      <c r="C2618" t="s">
        <v>27</v>
      </c>
      <c r="D2618">
        <v>16</v>
      </c>
      <c r="E2618" t="s">
        <v>129</v>
      </c>
      <c r="F2618" t="s">
        <v>115</v>
      </c>
      <c r="G2618">
        <v>3529</v>
      </c>
      <c r="H2618" t="s">
        <v>2646</v>
      </c>
      <c r="I2618" t="s">
        <v>2138</v>
      </c>
      <c r="J2618">
        <v>8</v>
      </c>
      <c r="K2618">
        <v>1</v>
      </c>
      <c r="L2618">
        <v>6.1805555555555555E-3</v>
      </c>
      <c r="M2618" t="s">
        <v>3079</v>
      </c>
      <c r="X2618" t="s">
        <v>3657</v>
      </c>
    </row>
    <row r="2619" spans="1:26" x14ac:dyDescent="0.25">
      <c r="A2619">
        <v>2615</v>
      </c>
      <c r="B2619" t="s">
        <v>29</v>
      </c>
      <c r="C2619" t="s">
        <v>27</v>
      </c>
      <c r="D2619">
        <v>16</v>
      </c>
      <c r="E2619" t="s">
        <v>367</v>
      </c>
      <c r="F2619" t="s">
        <v>368</v>
      </c>
      <c r="G2619">
        <v>3529</v>
      </c>
      <c r="H2619" t="s">
        <v>2457</v>
      </c>
      <c r="I2619" t="s">
        <v>2458</v>
      </c>
      <c r="J2619">
        <v>8</v>
      </c>
      <c r="K2619">
        <v>1</v>
      </c>
      <c r="L2619">
        <v>1.9444444444444444E-3</v>
      </c>
      <c r="M2619" t="s">
        <v>3079</v>
      </c>
      <c r="X2619" t="s">
        <v>3657</v>
      </c>
    </row>
    <row r="2620" spans="1:26" x14ac:dyDescent="0.25">
      <c r="A2620">
        <v>2616</v>
      </c>
      <c r="B2620" t="s">
        <v>29</v>
      </c>
      <c r="C2620" t="s">
        <v>27</v>
      </c>
      <c r="D2620">
        <v>16</v>
      </c>
      <c r="E2620" t="s">
        <v>367</v>
      </c>
      <c r="F2620" t="s">
        <v>368</v>
      </c>
      <c r="G2620">
        <v>3529</v>
      </c>
      <c r="H2620" t="s">
        <v>2375</v>
      </c>
      <c r="I2620" t="s">
        <v>2376</v>
      </c>
      <c r="J2620">
        <v>8</v>
      </c>
      <c r="K2620">
        <v>1</v>
      </c>
      <c r="L2620">
        <v>1.9444444444444444E-3</v>
      </c>
      <c r="M2620" t="s">
        <v>3079</v>
      </c>
      <c r="X2620" t="s">
        <v>3657</v>
      </c>
    </row>
    <row r="2621" spans="1:26" x14ac:dyDescent="0.25">
      <c r="A2621">
        <v>2617</v>
      </c>
      <c r="B2621" t="s">
        <v>29</v>
      </c>
      <c r="C2621" t="s">
        <v>27</v>
      </c>
      <c r="D2621">
        <v>16</v>
      </c>
      <c r="E2621" t="s">
        <v>367</v>
      </c>
      <c r="F2621" t="s">
        <v>427</v>
      </c>
      <c r="G2621">
        <v>3529</v>
      </c>
      <c r="H2621" t="s">
        <v>2276</v>
      </c>
      <c r="I2621" t="s">
        <v>2270</v>
      </c>
      <c r="J2621">
        <v>8</v>
      </c>
      <c r="K2621">
        <v>1</v>
      </c>
      <c r="L2621">
        <v>1.724537037037037E-3</v>
      </c>
      <c r="M2621" t="s">
        <v>3079</v>
      </c>
      <c r="X2621" t="s">
        <v>3657</v>
      </c>
    </row>
    <row r="2622" spans="1:26" x14ac:dyDescent="0.25">
      <c r="A2622">
        <v>2618</v>
      </c>
      <c r="B2622" t="s">
        <v>29</v>
      </c>
      <c r="C2622" t="s">
        <v>27</v>
      </c>
      <c r="D2622">
        <v>16</v>
      </c>
      <c r="E2622" t="s">
        <v>367</v>
      </c>
      <c r="F2622" t="s">
        <v>427</v>
      </c>
      <c r="G2622">
        <v>3529</v>
      </c>
      <c r="H2622" t="s">
        <v>2269</v>
      </c>
      <c r="I2622" t="s">
        <v>2270</v>
      </c>
      <c r="J2622">
        <v>8</v>
      </c>
      <c r="K2622">
        <v>1</v>
      </c>
      <c r="L2622">
        <v>1.8634259259259259E-3</v>
      </c>
      <c r="M2622" t="s">
        <v>3079</v>
      </c>
      <c r="X2622" t="s">
        <v>3657</v>
      </c>
    </row>
    <row r="2623" spans="1:26" x14ac:dyDescent="0.25">
      <c r="A2623">
        <v>2619</v>
      </c>
      <c r="B2623" t="s">
        <v>29</v>
      </c>
      <c r="C2623" t="s">
        <v>27</v>
      </c>
      <c r="D2623">
        <v>16</v>
      </c>
      <c r="E2623" t="s">
        <v>367</v>
      </c>
      <c r="F2623" t="s">
        <v>427</v>
      </c>
      <c r="G2623">
        <v>3847</v>
      </c>
      <c r="H2623" t="s">
        <v>428</v>
      </c>
      <c r="I2623" t="s">
        <v>429</v>
      </c>
      <c r="J2623">
        <v>8</v>
      </c>
      <c r="K2623">
        <v>1</v>
      </c>
      <c r="L2623">
        <v>6.9212962962962961E-3</v>
      </c>
      <c r="M2623" t="s">
        <v>117</v>
      </c>
      <c r="N2623" t="s">
        <v>822</v>
      </c>
      <c r="O2623" s="24">
        <v>46128</v>
      </c>
      <c r="P2623">
        <v>605</v>
      </c>
      <c r="Q2623" t="s">
        <v>34</v>
      </c>
      <c r="R2623">
        <v>46137</v>
      </c>
      <c r="S2623" s="51">
        <v>0.62916666666666665</v>
      </c>
      <c r="T2623" s="51">
        <v>0.62916666666666665</v>
      </c>
      <c r="X2623" t="s">
        <v>3658</v>
      </c>
      <c r="Y2623" t="s">
        <v>3029</v>
      </c>
      <c r="Z2623">
        <v>2733753</v>
      </c>
    </row>
    <row r="2624" spans="1:26" x14ac:dyDescent="0.25">
      <c r="A2624">
        <v>2620</v>
      </c>
      <c r="B2624" t="s">
        <v>29</v>
      </c>
      <c r="C2624" t="s">
        <v>27</v>
      </c>
      <c r="D2624">
        <v>16</v>
      </c>
      <c r="E2624" t="s">
        <v>1672</v>
      </c>
      <c r="F2624" t="s">
        <v>115</v>
      </c>
      <c r="G2624">
        <v>3531</v>
      </c>
      <c r="H2624" t="s">
        <v>2309</v>
      </c>
      <c r="I2624" t="s">
        <v>2310</v>
      </c>
      <c r="J2624">
        <v>8</v>
      </c>
      <c r="K2624">
        <v>2</v>
      </c>
      <c r="L2624">
        <v>3.9814814814814817E-3</v>
      </c>
      <c r="M2624" t="s">
        <v>3079</v>
      </c>
      <c r="X2624" t="s">
        <v>3659</v>
      </c>
    </row>
    <row r="2625" spans="1:26" x14ac:dyDescent="0.25">
      <c r="A2625">
        <v>2621</v>
      </c>
      <c r="B2625" t="s">
        <v>29</v>
      </c>
      <c r="C2625" t="s">
        <v>27</v>
      </c>
      <c r="D2625">
        <v>16</v>
      </c>
      <c r="E2625" t="s">
        <v>131</v>
      </c>
      <c r="F2625" t="s">
        <v>115</v>
      </c>
      <c r="G2625">
        <v>3531</v>
      </c>
      <c r="H2625" t="s">
        <v>2649</v>
      </c>
      <c r="I2625" t="s">
        <v>2138</v>
      </c>
      <c r="J2625">
        <v>8</v>
      </c>
      <c r="K2625">
        <v>1</v>
      </c>
      <c r="L2625">
        <v>6.2847222222222219E-3</v>
      </c>
      <c r="M2625" t="s">
        <v>3079</v>
      </c>
      <c r="X2625" t="s">
        <v>3659</v>
      </c>
    </row>
    <row r="2626" spans="1:26" x14ac:dyDescent="0.25">
      <c r="A2626">
        <v>2622</v>
      </c>
      <c r="B2626" t="s">
        <v>29</v>
      </c>
      <c r="C2626" t="s">
        <v>27</v>
      </c>
      <c r="D2626">
        <v>16</v>
      </c>
      <c r="E2626" t="s">
        <v>367</v>
      </c>
      <c r="F2626" t="s">
        <v>427</v>
      </c>
      <c r="G2626">
        <v>3531</v>
      </c>
      <c r="H2626" t="s">
        <v>2271</v>
      </c>
      <c r="I2626" t="s">
        <v>2270</v>
      </c>
      <c r="J2626">
        <v>8</v>
      </c>
      <c r="K2626">
        <v>1</v>
      </c>
      <c r="L2626">
        <v>1.8981481481481482E-3</v>
      </c>
      <c r="M2626" t="s">
        <v>3079</v>
      </c>
      <c r="X2626" t="s">
        <v>3659</v>
      </c>
    </row>
    <row r="2627" spans="1:26" x14ac:dyDescent="0.25">
      <c r="A2627">
        <v>2623</v>
      </c>
      <c r="B2627" t="s">
        <v>29</v>
      </c>
      <c r="C2627" t="s">
        <v>27</v>
      </c>
      <c r="D2627">
        <v>16</v>
      </c>
      <c r="E2627" t="s">
        <v>367</v>
      </c>
      <c r="F2627" t="s">
        <v>427</v>
      </c>
      <c r="G2627">
        <v>3531</v>
      </c>
      <c r="H2627" t="s">
        <v>2312</v>
      </c>
      <c r="I2627" t="s">
        <v>2270</v>
      </c>
      <c r="J2627">
        <v>8</v>
      </c>
      <c r="K2627">
        <v>1</v>
      </c>
      <c r="L2627">
        <v>1.7592592592592592E-3</v>
      </c>
      <c r="M2627" t="s">
        <v>3079</v>
      </c>
      <c r="X2627" t="s">
        <v>3659</v>
      </c>
    </row>
    <row r="2628" spans="1:26" x14ac:dyDescent="0.25">
      <c r="A2628">
        <v>2624</v>
      </c>
      <c r="B2628" t="s">
        <v>29</v>
      </c>
      <c r="C2628" t="s">
        <v>27</v>
      </c>
      <c r="D2628">
        <v>16</v>
      </c>
      <c r="E2628" t="s">
        <v>367</v>
      </c>
      <c r="F2628" t="s">
        <v>367</v>
      </c>
      <c r="G2628">
        <v>4374</v>
      </c>
      <c r="H2628" t="s">
        <v>2416</v>
      </c>
      <c r="I2628" t="s">
        <v>2329</v>
      </c>
      <c r="J2628">
        <v>8</v>
      </c>
      <c r="K2628">
        <v>1</v>
      </c>
      <c r="L2628">
        <v>7.0601851851851847E-4</v>
      </c>
      <c r="M2628" t="s">
        <v>117</v>
      </c>
      <c r="N2628" t="s">
        <v>822</v>
      </c>
      <c r="O2628" s="24">
        <v>46128</v>
      </c>
      <c r="P2628">
        <v>605</v>
      </c>
      <c r="Q2628" t="s">
        <v>34</v>
      </c>
      <c r="R2628">
        <v>46137</v>
      </c>
      <c r="S2628" s="51">
        <v>8.3333333333333329E-2</v>
      </c>
      <c r="T2628" s="51">
        <v>0.11805555555555555</v>
      </c>
      <c r="X2628" t="s">
        <v>3660</v>
      </c>
      <c r="Y2628" t="s">
        <v>3029</v>
      </c>
      <c r="Z2628">
        <v>3219225</v>
      </c>
    </row>
    <row r="2629" spans="1:26" x14ac:dyDescent="0.25">
      <c r="A2629">
        <v>2625</v>
      </c>
      <c r="B2629" t="s">
        <v>29</v>
      </c>
      <c r="C2629" t="s">
        <v>27</v>
      </c>
      <c r="D2629">
        <v>16</v>
      </c>
      <c r="E2629" t="s">
        <v>367</v>
      </c>
      <c r="F2629" t="s">
        <v>367</v>
      </c>
      <c r="G2629">
        <v>4374</v>
      </c>
      <c r="H2629" t="s">
        <v>2328</v>
      </c>
      <c r="I2629" t="s">
        <v>2329</v>
      </c>
      <c r="J2629">
        <v>8</v>
      </c>
      <c r="K2629">
        <v>2</v>
      </c>
      <c r="L2629">
        <v>1.423611111111111E-3</v>
      </c>
      <c r="M2629" t="s">
        <v>117</v>
      </c>
      <c r="N2629" t="s">
        <v>822</v>
      </c>
      <c r="O2629" s="24">
        <v>46128</v>
      </c>
      <c r="P2629">
        <v>605</v>
      </c>
      <c r="Q2629" t="s">
        <v>34</v>
      </c>
      <c r="R2629">
        <v>46137</v>
      </c>
      <c r="S2629" s="51">
        <v>8.3333333333333329E-2</v>
      </c>
      <c r="T2629" s="51">
        <v>0.11805555555555555</v>
      </c>
      <c r="X2629" t="s">
        <v>3660</v>
      </c>
      <c r="Y2629" t="s">
        <v>3029</v>
      </c>
      <c r="Z2629">
        <v>3219225</v>
      </c>
    </row>
    <row r="2630" spans="1:26" x14ac:dyDescent="0.25">
      <c r="A2630">
        <v>2626</v>
      </c>
      <c r="B2630" t="s">
        <v>29</v>
      </c>
      <c r="C2630" t="s">
        <v>27</v>
      </c>
      <c r="D2630">
        <v>16</v>
      </c>
      <c r="E2630" t="s">
        <v>367</v>
      </c>
      <c r="F2630" t="s">
        <v>1599</v>
      </c>
      <c r="G2630">
        <v>4374</v>
      </c>
      <c r="H2630" t="s">
        <v>1633</v>
      </c>
      <c r="I2630" t="s">
        <v>1634</v>
      </c>
      <c r="J2630">
        <v>8</v>
      </c>
      <c r="K2630">
        <v>1</v>
      </c>
      <c r="L2630">
        <v>7.407407407407407E-4</v>
      </c>
      <c r="M2630" t="s">
        <v>117</v>
      </c>
      <c r="N2630" t="s">
        <v>822</v>
      </c>
      <c r="O2630" s="24">
        <v>46128</v>
      </c>
      <c r="P2630">
        <v>605</v>
      </c>
      <c r="Q2630" t="s">
        <v>34</v>
      </c>
      <c r="R2630">
        <v>46137</v>
      </c>
      <c r="S2630" s="51">
        <v>8.3333333333333329E-2</v>
      </c>
      <c r="T2630" s="51">
        <v>0.11805555555555555</v>
      </c>
      <c r="X2630" t="s">
        <v>3660</v>
      </c>
      <c r="Y2630" t="s">
        <v>3029</v>
      </c>
      <c r="Z2630">
        <v>3219225</v>
      </c>
    </row>
    <row r="2631" spans="1:26" x14ac:dyDescent="0.25">
      <c r="A2631">
        <v>2627</v>
      </c>
      <c r="B2631" t="s">
        <v>29</v>
      </c>
      <c r="C2631" t="s">
        <v>27</v>
      </c>
      <c r="D2631">
        <v>16</v>
      </c>
      <c r="E2631" t="s">
        <v>1141</v>
      </c>
      <c r="F2631" t="s">
        <v>1594</v>
      </c>
      <c r="G2631">
        <v>4374</v>
      </c>
      <c r="H2631" t="s">
        <v>2410</v>
      </c>
      <c r="I2631" t="s">
        <v>494</v>
      </c>
      <c r="J2631">
        <v>8</v>
      </c>
      <c r="K2631">
        <v>1</v>
      </c>
      <c r="L2631">
        <v>6.7013888888888887E-3</v>
      </c>
      <c r="M2631" t="s">
        <v>117</v>
      </c>
      <c r="N2631" t="s">
        <v>822</v>
      </c>
      <c r="O2631" s="24">
        <v>46128</v>
      </c>
      <c r="P2631">
        <v>605</v>
      </c>
      <c r="Q2631" t="s">
        <v>34</v>
      </c>
      <c r="R2631">
        <v>46137</v>
      </c>
      <c r="S2631" s="51">
        <v>8.3333333333333329E-2</v>
      </c>
      <c r="T2631" s="51">
        <v>0.11805555555555555</v>
      </c>
      <c r="X2631" t="s">
        <v>3660</v>
      </c>
      <c r="Y2631" t="s">
        <v>3029</v>
      </c>
      <c r="Z2631">
        <v>3219225</v>
      </c>
    </row>
    <row r="2632" spans="1:26" x14ac:dyDescent="0.25">
      <c r="A2632">
        <v>2628</v>
      </c>
      <c r="B2632" t="s">
        <v>29</v>
      </c>
      <c r="C2632" t="s">
        <v>27</v>
      </c>
      <c r="D2632">
        <v>16</v>
      </c>
      <c r="E2632" t="s">
        <v>829</v>
      </c>
      <c r="F2632" t="s">
        <v>368</v>
      </c>
      <c r="G2632">
        <v>3896</v>
      </c>
      <c r="H2632" t="s">
        <v>369</v>
      </c>
      <c r="I2632" t="s">
        <v>370</v>
      </c>
      <c r="J2632">
        <v>8</v>
      </c>
      <c r="K2632">
        <v>1</v>
      </c>
      <c r="L2632">
        <v>6.898148148148148E-3</v>
      </c>
      <c r="M2632" t="s">
        <v>117</v>
      </c>
      <c r="N2632" t="s">
        <v>822</v>
      </c>
      <c r="O2632" s="24">
        <v>46128</v>
      </c>
      <c r="P2632">
        <v>605</v>
      </c>
      <c r="Q2632" t="s">
        <v>34</v>
      </c>
      <c r="R2632">
        <v>46137</v>
      </c>
      <c r="S2632" s="51">
        <v>0.61250000000000004</v>
      </c>
      <c r="T2632" s="51">
        <v>0.62222222222222223</v>
      </c>
      <c r="X2632" t="s">
        <v>3661</v>
      </c>
      <c r="Y2632" t="s">
        <v>3029</v>
      </c>
      <c r="Z2632">
        <v>1742255</v>
      </c>
    </row>
    <row r="2633" spans="1:26" x14ac:dyDescent="0.25">
      <c r="A2633">
        <v>2629</v>
      </c>
      <c r="B2633" t="s">
        <v>29</v>
      </c>
      <c r="C2633" t="s">
        <v>27</v>
      </c>
      <c r="D2633">
        <v>16</v>
      </c>
      <c r="E2633" t="s">
        <v>1665</v>
      </c>
      <c r="F2633" t="s">
        <v>498</v>
      </c>
      <c r="G2633">
        <v>4227</v>
      </c>
      <c r="H2633" t="s">
        <v>2311</v>
      </c>
      <c r="I2633" t="s">
        <v>2300</v>
      </c>
      <c r="J2633">
        <v>8</v>
      </c>
      <c r="K2633">
        <v>3</v>
      </c>
      <c r="L2633">
        <v>4.7685185185185183E-3</v>
      </c>
      <c r="M2633" t="s">
        <v>117</v>
      </c>
      <c r="N2633" t="s">
        <v>822</v>
      </c>
      <c r="O2633" s="24">
        <v>46128</v>
      </c>
      <c r="P2633">
        <v>605</v>
      </c>
      <c r="Q2633" t="s">
        <v>34</v>
      </c>
      <c r="R2633">
        <v>46137</v>
      </c>
      <c r="S2633" s="51">
        <v>0.42499999999999999</v>
      </c>
      <c r="T2633" s="51">
        <v>0.4465277777777778</v>
      </c>
      <c r="X2633" t="s">
        <v>3662</v>
      </c>
      <c r="Y2633" t="s">
        <v>3029</v>
      </c>
      <c r="Z2633">
        <v>3219209</v>
      </c>
    </row>
    <row r="2634" spans="1:26" x14ac:dyDescent="0.25">
      <c r="A2634">
        <v>2630</v>
      </c>
      <c r="B2634" t="s">
        <v>29</v>
      </c>
      <c r="C2634" t="s">
        <v>27</v>
      </c>
      <c r="D2634">
        <v>16</v>
      </c>
      <c r="E2634" t="s">
        <v>1588</v>
      </c>
      <c r="F2634" t="s">
        <v>44</v>
      </c>
      <c r="G2634">
        <v>4227</v>
      </c>
      <c r="H2634" t="s">
        <v>1623</v>
      </c>
      <c r="I2634" t="s">
        <v>1624</v>
      </c>
      <c r="J2634">
        <v>8</v>
      </c>
      <c r="K2634">
        <v>1</v>
      </c>
      <c r="L2634">
        <v>1.261574074074074E-3</v>
      </c>
      <c r="M2634" t="s">
        <v>117</v>
      </c>
      <c r="N2634" t="s">
        <v>822</v>
      </c>
      <c r="O2634" s="24">
        <v>46128</v>
      </c>
      <c r="P2634">
        <v>605</v>
      </c>
      <c r="Q2634" t="s">
        <v>34</v>
      </c>
      <c r="R2634">
        <v>46137</v>
      </c>
      <c r="S2634" s="51">
        <v>0.42499999999999999</v>
      </c>
      <c r="T2634" s="51">
        <v>0.4465277777777778</v>
      </c>
      <c r="X2634" t="s">
        <v>3662</v>
      </c>
      <c r="Y2634" t="s">
        <v>3029</v>
      </c>
      <c r="Z2634">
        <v>3219209</v>
      </c>
    </row>
    <row r="2635" spans="1:26" x14ac:dyDescent="0.25">
      <c r="A2635">
        <v>2631</v>
      </c>
      <c r="B2635" t="s">
        <v>29</v>
      </c>
      <c r="C2635" t="s">
        <v>27</v>
      </c>
      <c r="D2635">
        <v>16</v>
      </c>
      <c r="E2635" t="s">
        <v>367</v>
      </c>
      <c r="F2635" t="s">
        <v>1593</v>
      </c>
      <c r="G2635">
        <v>4227</v>
      </c>
      <c r="H2635" t="s">
        <v>2060</v>
      </c>
      <c r="I2635" t="s">
        <v>2061</v>
      </c>
      <c r="J2635">
        <v>8</v>
      </c>
      <c r="K2635">
        <v>8</v>
      </c>
      <c r="L2635">
        <v>2.8240740740740739E-3</v>
      </c>
      <c r="M2635" t="s">
        <v>117</v>
      </c>
      <c r="N2635" t="s">
        <v>822</v>
      </c>
      <c r="O2635" s="24">
        <v>46128</v>
      </c>
      <c r="P2635">
        <v>605</v>
      </c>
      <c r="Q2635" t="s">
        <v>34</v>
      </c>
      <c r="R2635">
        <v>46137</v>
      </c>
      <c r="S2635" s="51">
        <v>0.42499999999999999</v>
      </c>
      <c r="T2635" s="51">
        <v>0.4465277777777778</v>
      </c>
      <c r="X2635" t="s">
        <v>3662</v>
      </c>
      <c r="Y2635" t="s">
        <v>3029</v>
      </c>
      <c r="Z2635">
        <v>3219209</v>
      </c>
    </row>
    <row r="2636" spans="1:26" x14ac:dyDescent="0.25">
      <c r="A2636">
        <v>2632</v>
      </c>
      <c r="B2636" t="s">
        <v>29</v>
      </c>
      <c r="C2636" t="s">
        <v>27</v>
      </c>
      <c r="D2636">
        <v>16</v>
      </c>
      <c r="E2636" t="s">
        <v>367</v>
      </c>
      <c r="F2636" t="s">
        <v>367</v>
      </c>
      <c r="G2636">
        <v>4227</v>
      </c>
      <c r="H2636" t="s">
        <v>2483</v>
      </c>
      <c r="I2636" t="s">
        <v>2484</v>
      </c>
      <c r="J2636">
        <v>8</v>
      </c>
      <c r="K2636">
        <v>1</v>
      </c>
      <c r="L2636">
        <v>4.9768518518518521E-4</v>
      </c>
      <c r="M2636" t="s">
        <v>117</v>
      </c>
      <c r="N2636" t="s">
        <v>822</v>
      </c>
      <c r="O2636" s="24">
        <v>46128</v>
      </c>
      <c r="P2636">
        <v>605</v>
      </c>
      <c r="Q2636" t="s">
        <v>34</v>
      </c>
      <c r="R2636">
        <v>46137</v>
      </c>
      <c r="S2636" s="51">
        <v>0.42499999999999999</v>
      </c>
      <c r="T2636" s="51">
        <v>0.4465277777777778</v>
      </c>
      <c r="X2636" t="s">
        <v>3662</v>
      </c>
      <c r="Y2636" t="s">
        <v>3029</v>
      </c>
      <c r="Z2636">
        <v>3219209</v>
      </c>
    </row>
    <row r="2637" spans="1:26" x14ac:dyDescent="0.25">
      <c r="A2637">
        <v>2633</v>
      </c>
      <c r="B2637" t="s">
        <v>29</v>
      </c>
      <c r="C2637" t="s">
        <v>27</v>
      </c>
      <c r="D2637">
        <v>16</v>
      </c>
      <c r="E2637" t="s">
        <v>367</v>
      </c>
      <c r="F2637" t="s">
        <v>368</v>
      </c>
      <c r="G2637">
        <v>4227</v>
      </c>
      <c r="H2637" t="s">
        <v>2096</v>
      </c>
      <c r="I2637" t="s">
        <v>2097</v>
      </c>
      <c r="J2637">
        <v>8</v>
      </c>
      <c r="K2637">
        <v>3</v>
      </c>
      <c r="L2637">
        <v>1.7013888888888888E-3</v>
      </c>
      <c r="M2637" t="s">
        <v>117</v>
      </c>
      <c r="N2637" t="s">
        <v>822</v>
      </c>
      <c r="O2637" s="24">
        <v>46128</v>
      </c>
      <c r="P2637">
        <v>605</v>
      </c>
      <c r="Q2637" t="s">
        <v>34</v>
      </c>
      <c r="R2637">
        <v>46137</v>
      </c>
      <c r="S2637" s="51">
        <v>0.42499999999999999</v>
      </c>
      <c r="T2637" s="51">
        <v>0.4465277777777778</v>
      </c>
      <c r="X2637" t="s">
        <v>3662</v>
      </c>
      <c r="Y2637" t="s">
        <v>3029</v>
      </c>
      <c r="Z2637">
        <v>3219209</v>
      </c>
    </row>
    <row r="2638" spans="1:26" x14ac:dyDescent="0.25">
      <c r="A2638">
        <v>2634</v>
      </c>
      <c r="B2638" t="s">
        <v>29</v>
      </c>
      <c r="C2638" t="s">
        <v>27</v>
      </c>
      <c r="D2638">
        <v>16</v>
      </c>
      <c r="E2638" t="s">
        <v>367</v>
      </c>
      <c r="F2638" t="s">
        <v>1592</v>
      </c>
      <c r="G2638">
        <v>4227</v>
      </c>
      <c r="H2638" t="s">
        <v>2062</v>
      </c>
      <c r="I2638" t="s">
        <v>2063</v>
      </c>
      <c r="J2638">
        <v>8</v>
      </c>
      <c r="K2638">
        <v>5</v>
      </c>
      <c r="L2638">
        <v>1.9444444444444444E-3</v>
      </c>
      <c r="M2638" t="s">
        <v>117</v>
      </c>
      <c r="N2638" t="s">
        <v>822</v>
      </c>
      <c r="O2638" s="24">
        <v>46128</v>
      </c>
      <c r="P2638">
        <v>605</v>
      </c>
      <c r="Q2638" t="s">
        <v>34</v>
      </c>
      <c r="R2638">
        <v>46137</v>
      </c>
      <c r="S2638" s="51">
        <v>0.42499999999999999</v>
      </c>
      <c r="T2638" s="51">
        <v>0.4465277777777778</v>
      </c>
      <c r="X2638" t="s">
        <v>3662</v>
      </c>
      <c r="Y2638" t="s">
        <v>3029</v>
      </c>
      <c r="Z2638">
        <v>3219209</v>
      </c>
    </row>
    <row r="2639" spans="1:26" x14ac:dyDescent="0.25">
      <c r="A2639">
        <v>2635</v>
      </c>
      <c r="B2639" t="s">
        <v>29</v>
      </c>
      <c r="C2639" t="s">
        <v>27</v>
      </c>
      <c r="D2639">
        <v>16</v>
      </c>
      <c r="E2639" t="s">
        <v>829</v>
      </c>
      <c r="F2639" t="s">
        <v>368</v>
      </c>
      <c r="G2639">
        <v>4227</v>
      </c>
      <c r="H2639" t="s">
        <v>2331</v>
      </c>
      <c r="I2639" t="s">
        <v>2653</v>
      </c>
      <c r="J2639">
        <v>8</v>
      </c>
      <c r="K2639">
        <v>1</v>
      </c>
      <c r="L2639">
        <v>4.8263888888888887E-3</v>
      </c>
      <c r="M2639" t="s">
        <v>117</v>
      </c>
      <c r="N2639" t="s">
        <v>822</v>
      </c>
      <c r="O2639" s="24">
        <v>46128</v>
      </c>
      <c r="P2639">
        <v>605</v>
      </c>
      <c r="Q2639" t="s">
        <v>34</v>
      </c>
      <c r="R2639">
        <v>46137</v>
      </c>
      <c r="S2639" s="51">
        <v>0.42499999999999999</v>
      </c>
      <c r="T2639" s="51">
        <v>0.4465277777777778</v>
      </c>
      <c r="X2639" t="s">
        <v>3662</v>
      </c>
      <c r="Y2639" t="s">
        <v>3029</v>
      </c>
      <c r="Z2639">
        <v>3219209</v>
      </c>
    </row>
    <row r="2640" spans="1:26" x14ac:dyDescent="0.25">
      <c r="A2640">
        <v>2636</v>
      </c>
      <c r="B2640" t="s">
        <v>29</v>
      </c>
      <c r="C2640" t="s">
        <v>27</v>
      </c>
      <c r="D2640">
        <v>16</v>
      </c>
      <c r="E2640" t="s">
        <v>367</v>
      </c>
      <c r="F2640" t="s">
        <v>367</v>
      </c>
      <c r="G2640">
        <v>4227</v>
      </c>
      <c r="H2640" t="s">
        <v>2373</v>
      </c>
      <c r="I2640" t="s">
        <v>2155</v>
      </c>
      <c r="J2640">
        <v>8</v>
      </c>
      <c r="K2640">
        <v>1</v>
      </c>
      <c r="L2640">
        <v>6.5972222222222224E-4</v>
      </c>
      <c r="M2640" t="s">
        <v>117</v>
      </c>
      <c r="N2640" t="s">
        <v>822</v>
      </c>
      <c r="O2640" s="24">
        <v>46128</v>
      </c>
      <c r="P2640">
        <v>605</v>
      </c>
      <c r="Q2640" t="s">
        <v>34</v>
      </c>
      <c r="R2640">
        <v>46137</v>
      </c>
      <c r="S2640" s="51">
        <v>0.42499999999999999</v>
      </c>
      <c r="T2640" s="51">
        <v>0.4465277777777778</v>
      </c>
      <c r="X2640" t="s">
        <v>3662</v>
      </c>
      <c r="Y2640" t="s">
        <v>3029</v>
      </c>
      <c r="Z2640">
        <v>3219209</v>
      </c>
    </row>
    <row r="2641" spans="1:26" x14ac:dyDescent="0.25">
      <c r="A2641">
        <v>2637</v>
      </c>
      <c r="B2641" t="s">
        <v>29</v>
      </c>
      <c r="C2641" t="s">
        <v>27</v>
      </c>
      <c r="D2641">
        <v>16</v>
      </c>
      <c r="E2641" t="s">
        <v>367</v>
      </c>
      <c r="F2641" t="s">
        <v>367</v>
      </c>
      <c r="G2641">
        <v>4227</v>
      </c>
      <c r="H2641" t="s">
        <v>2154</v>
      </c>
      <c r="I2641" t="s">
        <v>2155</v>
      </c>
      <c r="J2641">
        <v>8</v>
      </c>
      <c r="K2641">
        <v>1</v>
      </c>
      <c r="L2641">
        <v>6.5972222222222224E-4</v>
      </c>
      <c r="M2641" t="s">
        <v>117</v>
      </c>
      <c r="N2641" t="s">
        <v>822</v>
      </c>
      <c r="O2641" s="24">
        <v>46128</v>
      </c>
      <c r="P2641">
        <v>605</v>
      </c>
      <c r="Q2641" t="s">
        <v>34</v>
      </c>
      <c r="R2641">
        <v>46137</v>
      </c>
      <c r="S2641" s="51">
        <v>0.42499999999999999</v>
      </c>
      <c r="T2641" s="51">
        <v>0.4465277777777778</v>
      </c>
      <c r="X2641" t="s">
        <v>3662</v>
      </c>
      <c r="Y2641" t="s">
        <v>3029</v>
      </c>
      <c r="Z2641">
        <v>3219209</v>
      </c>
    </row>
    <row r="2642" spans="1:26" x14ac:dyDescent="0.25">
      <c r="A2642">
        <v>2638</v>
      </c>
      <c r="B2642" t="s">
        <v>29</v>
      </c>
      <c r="C2642" t="s">
        <v>27</v>
      </c>
      <c r="D2642">
        <v>16</v>
      </c>
      <c r="E2642" t="s">
        <v>367</v>
      </c>
      <c r="F2642" t="s">
        <v>512</v>
      </c>
      <c r="G2642">
        <v>4227</v>
      </c>
      <c r="H2642" t="s">
        <v>2598</v>
      </c>
      <c r="I2642" t="s">
        <v>2599</v>
      </c>
      <c r="J2642">
        <v>8</v>
      </c>
      <c r="K2642">
        <v>2</v>
      </c>
      <c r="L2642">
        <v>1.5509259259259259E-3</v>
      </c>
      <c r="M2642" t="s">
        <v>117</v>
      </c>
      <c r="N2642" t="s">
        <v>822</v>
      </c>
      <c r="O2642" s="24">
        <v>46128</v>
      </c>
      <c r="P2642">
        <v>605</v>
      </c>
      <c r="Q2642" t="s">
        <v>34</v>
      </c>
      <c r="R2642">
        <v>46137</v>
      </c>
      <c r="S2642" s="51">
        <v>0.42499999999999999</v>
      </c>
      <c r="T2642" s="51">
        <v>0.4465277777777778</v>
      </c>
      <c r="X2642" t="s">
        <v>3662</v>
      </c>
      <c r="Y2642" t="s">
        <v>3029</v>
      </c>
      <c r="Z2642">
        <v>3219209</v>
      </c>
    </row>
    <row r="2643" spans="1:26" x14ac:dyDescent="0.25">
      <c r="A2643">
        <v>2639</v>
      </c>
      <c r="B2643" t="s">
        <v>29</v>
      </c>
      <c r="C2643" t="s">
        <v>27</v>
      </c>
      <c r="D2643">
        <v>16</v>
      </c>
      <c r="E2643" t="s">
        <v>367</v>
      </c>
      <c r="F2643" t="s">
        <v>1594</v>
      </c>
      <c r="G2643">
        <v>4227</v>
      </c>
      <c r="H2643" t="s">
        <v>2601</v>
      </c>
      <c r="I2643" t="s">
        <v>2226</v>
      </c>
      <c r="J2643">
        <v>8</v>
      </c>
      <c r="K2643">
        <v>1</v>
      </c>
      <c r="L2643">
        <v>1.4004629629629629E-3</v>
      </c>
      <c r="M2643" t="s">
        <v>117</v>
      </c>
      <c r="N2643" t="s">
        <v>822</v>
      </c>
      <c r="O2643" s="24">
        <v>46128</v>
      </c>
      <c r="P2643">
        <v>605</v>
      </c>
      <c r="Q2643" t="s">
        <v>34</v>
      </c>
      <c r="R2643">
        <v>46137</v>
      </c>
      <c r="S2643" s="51">
        <v>0.42499999999999999</v>
      </c>
      <c r="T2643" s="51">
        <v>0.4465277777777778</v>
      </c>
      <c r="X2643" t="s">
        <v>3662</v>
      </c>
      <c r="Y2643" t="s">
        <v>3029</v>
      </c>
      <c r="Z2643">
        <v>3219209</v>
      </c>
    </row>
    <row r="2644" spans="1:26" x14ac:dyDescent="0.25">
      <c r="A2644">
        <v>2640</v>
      </c>
      <c r="B2644" t="s">
        <v>29</v>
      </c>
      <c r="C2644" t="s">
        <v>27</v>
      </c>
      <c r="D2644">
        <v>16</v>
      </c>
      <c r="E2644" t="s">
        <v>367</v>
      </c>
      <c r="F2644" t="s">
        <v>427</v>
      </c>
      <c r="G2644">
        <v>4281</v>
      </c>
      <c r="H2644" t="s">
        <v>2234</v>
      </c>
      <c r="I2644" t="s">
        <v>2235</v>
      </c>
      <c r="J2644">
        <v>8</v>
      </c>
      <c r="K2644">
        <v>1</v>
      </c>
      <c r="L2644">
        <v>5.8101851851851847E-3</v>
      </c>
      <c r="M2644" t="s">
        <v>117</v>
      </c>
      <c r="N2644" t="s">
        <v>822</v>
      </c>
      <c r="O2644" s="24">
        <v>46128</v>
      </c>
      <c r="P2644">
        <v>605</v>
      </c>
      <c r="Q2644" t="s">
        <v>34</v>
      </c>
      <c r="R2644">
        <v>46137</v>
      </c>
      <c r="S2644" s="51">
        <v>0.40347222222222223</v>
      </c>
      <c r="T2644" s="51">
        <v>0.4201388888888889</v>
      </c>
      <c r="X2644" t="s">
        <v>3663</v>
      </c>
      <c r="Y2644" t="s">
        <v>3029</v>
      </c>
      <c r="Z2644">
        <v>3219209</v>
      </c>
    </row>
    <row r="2645" spans="1:26" x14ac:dyDescent="0.25">
      <c r="A2645">
        <v>2641</v>
      </c>
      <c r="B2645" t="s">
        <v>29</v>
      </c>
      <c r="C2645" t="s">
        <v>27</v>
      </c>
      <c r="D2645">
        <v>16</v>
      </c>
      <c r="E2645" t="s">
        <v>367</v>
      </c>
      <c r="F2645" t="s">
        <v>512</v>
      </c>
      <c r="G2645">
        <v>4281</v>
      </c>
      <c r="H2645" t="s">
        <v>2203</v>
      </c>
      <c r="I2645" t="s">
        <v>2204</v>
      </c>
      <c r="J2645">
        <v>8</v>
      </c>
      <c r="K2645">
        <v>1</v>
      </c>
      <c r="L2645">
        <v>1.1805555555555556E-3</v>
      </c>
      <c r="M2645" t="s">
        <v>117</v>
      </c>
      <c r="N2645" t="s">
        <v>822</v>
      </c>
      <c r="O2645" s="24">
        <v>46128</v>
      </c>
      <c r="P2645">
        <v>605</v>
      </c>
      <c r="Q2645" t="s">
        <v>34</v>
      </c>
      <c r="R2645">
        <v>46137</v>
      </c>
      <c r="S2645" s="51">
        <v>0.40347222222222223</v>
      </c>
      <c r="T2645" s="51">
        <v>0.4201388888888889</v>
      </c>
      <c r="X2645" t="s">
        <v>3663</v>
      </c>
      <c r="Y2645" t="s">
        <v>3029</v>
      </c>
      <c r="Z2645">
        <v>3219209</v>
      </c>
    </row>
    <row r="2646" spans="1:26" x14ac:dyDescent="0.25">
      <c r="A2646">
        <v>2642</v>
      </c>
      <c r="B2646" t="s">
        <v>29</v>
      </c>
      <c r="C2646" t="s">
        <v>27</v>
      </c>
      <c r="D2646">
        <v>16</v>
      </c>
      <c r="E2646" t="s">
        <v>367</v>
      </c>
      <c r="F2646" t="s">
        <v>1594</v>
      </c>
      <c r="G2646">
        <v>4281</v>
      </c>
      <c r="H2646" t="s">
        <v>2280</v>
      </c>
      <c r="I2646" t="s">
        <v>2273</v>
      </c>
      <c r="J2646">
        <v>8</v>
      </c>
      <c r="K2646">
        <v>3</v>
      </c>
      <c r="L2646">
        <v>6.1111111111111106E-3</v>
      </c>
      <c r="M2646" t="s">
        <v>117</v>
      </c>
      <c r="N2646" t="s">
        <v>822</v>
      </c>
      <c r="O2646" s="24">
        <v>46128</v>
      </c>
      <c r="P2646">
        <v>605</v>
      </c>
      <c r="Q2646" t="s">
        <v>34</v>
      </c>
      <c r="R2646">
        <v>46137</v>
      </c>
      <c r="S2646" s="51">
        <v>0.40347222222222223</v>
      </c>
      <c r="T2646" s="51">
        <v>0.4201388888888889</v>
      </c>
      <c r="X2646" t="s">
        <v>3663</v>
      </c>
      <c r="Y2646" t="s">
        <v>3029</v>
      </c>
      <c r="Z2646">
        <v>3219209</v>
      </c>
    </row>
    <row r="2647" spans="1:26" x14ac:dyDescent="0.25">
      <c r="A2647">
        <v>2643</v>
      </c>
      <c r="B2647" t="s">
        <v>29</v>
      </c>
      <c r="C2647" t="s">
        <v>27</v>
      </c>
      <c r="D2647">
        <v>16</v>
      </c>
      <c r="E2647" t="s">
        <v>2296</v>
      </c>
      <c r="F2647" t="s">
        <v>44</v>
      </c>
      <c r="G2647">
        <v>4281</v>
      </c>
      <c r="H2647" t="s">
        <v>48</v>
      </c>
      <c r="I2647" t="s">
        <v>1119</v>
      </c>
      <c r="J2647">
        <v>8</v>
      </c>
      <c r="K2647">
        <v>6</v>
      </c>
      <c r="L2647">
        <v>8.5532407407407397E-3</v>
      </c>
      <c r="M2647" t="s">
        <v>117</v>
      </c>
      <c r="N2647" t="s">
        <v>822</v>
      </c>
      <c r="O2647" s="24">
        <v>46128</v>
      </c>
      <c r="P2647">
        <v>605</v>
      </c>
      <c r="Q2647" t="s">
        <v>34</v>
      </c>
      <c r="R2647">
        <v>46137</v>
      </c>
      <c r="S2647" s="51">
        <v>0.40347222222222223</v>
      </c>
      <c r="T2647" s="51">
        <v>0.4201388888888889</v>
      </c>
      <c r="X2647" t="s">
        <v>3663</v>
      </c>
      <c r="Y2647" t="s">
        <v>3029</v>
      </c>
      <c r="Z2647">
        <v>3219209</v>
      </c>
    </row>
    <row r="2648" spans="1:26" x14ac:dyDescent="0.25">
      <c r="A2648">
        <v>2644</v>
      </c>
      <c r="B2648" t="s">
        <v>29</v>
      </c>
      <c r="C2648" t="s">
        <v>27</v>
      </c>
      <c r="D2648">
        <v>16</v>
      </c>
      <c r="E2648" t="s">
        <v>829</v>
      </c>
      <c r="F2648" t="s">
        <v>368</v>
      </c>
      <c r="G2648">
        <v>3899</v>
      </c>
      <c r="H2648" t="s">
        <v>2064</v>
      </c>
      <c r="I2648" t="s">
        <v>2065</v>
      </c>
      <c r="J2648">
        <v>8</v>
      </c>
      <c r="K2648">
        <v>1</v>
      </c>
      <c r="L2648">
        <v>2.2106481481481482E-3</v>
      </c>
      <c r="M2648" t="s">
        <v>117</v>
      </c>
      <c r="N2648" t="s">
        <v>822</v>
      </c>
      <c r="O2648" s="24">
        <v>46128</v>
      </c>
      <c r="P2648">
        <v>605</v>
      </c>
      <c r="Q2648" t="s">
        <v>34</v>
      </c>
      <c r="R2648">
        <v>46137</v>
      </c>
      <c r="S2648" s="51">
        <v>0.39930555555555558</v>
      </c>
      <c r="T2648" s="51">
        <v>0.40625</v>
      </c>
      <c r="X2648" t="s">
        <v>3664</v>
      </c>
      <c r="Y2648" t="s">
        <v>3029</v>
      </c>
      <c r="Z2648">
        <v>3219255</v>
      </c>
    </row>
    <row r="2649" spans="1:26" x14ac:dyDescent="0.25">
      <c r="A2649">
        <v>2645</v>
      </c>
      <c r="B2649" t="s">
        <v>29</v>
      </c>
      <c r="C2649" t="s">
        <v>27</v>
      </c>
      <c r="D2649">
        <v>16</v>
      </c>
      <c r="E2649" t="s">
        <v>829</v>
      </c>
      <c r="F2649" t="s">
        <v>367</v>
      </c>
      <c r="G2649">
        <v>3899</v>
      </c>
      <c r="H2649" t="s">
        <v>2579</v>
      </c>
      <c r="I2649" t="s">
        <v>2580</v>
      </c>
      <c r="J2649">
        <v>8</v>
      </c>
      <c r="K2649">
        <v>1</v>
      </c>
      <c r="L2649">
        <v>6.4699074074074069E-3</v>
      </c>
      <c r="M2649" t="s">
        <v>117</v>
      </c>
      <c r="N2649" t="s">
        <v>822</v>
      </c>
      <c r="O2649" s="24">
        <v>46128</v>
      </c>
      <c r="P2649">
        <v>605</v>
      </c>
      <c r="Q2649" t="s">
        <v>34</v>
      </c>
      <c r="R2649">
        <v>46137</v>
      </c>
      <c r="S2649" s="51">
        <v>0.39930555555555558</v>
      </c>
      <c r="T2649" s="51">
        <v>0.40625</v>
      </c>
      <c r="X2649" t="s">
        <v>3664</v>
      </c>
      <c r="Y2649" t="s">
        <v>3029</v>
      </c>
      <c r="Z2649">
        <v>3219255</v>
      </c>
    </row>
    <row r="2650" spans="1:26" x14ac:dyDescent="0.25">
      <c r="A2650">
        <v>2646</v>
      </c>
      <c r="B2650" t="s">
        <v>29</v>
      </c>
      <c r="C2650" t="s">
        <v>27</v>
      </c>
      <c r="D2650">
        <v>16</v>
      </c>
      <c r="E2650" t="s">
        <v>367</v>
      </c>
      <c r="F2650" t="s">
        <v>427</v>
      </c>
      <c r="G2650">
        <v>3899</v>
      </c>
      <c r="H2650" t="s">
        <v>2417</v>
      </c>
      <c r="I2650" t="s">
        <v>2418</v>
      </c>
      <c r="J2650">
        <v>8</v>
      </c>
      <c r="K2650">
        <v>1</v>
      </c>
      <c r="L2650">
        <v>2.0023148148148148E-3</v>
      </c>
      <c r="M2650" t="s">
        <v>117</v>
      </c>
      <c r="N2650" t="s">
        <v>822</v>
      </c>
      <c r="O2650" s="24">
        <v>46128</v>
      </c>
      <c r="P2650">
        <v>605</v>
      </c>
      <c r="Q2650" t="s">
        <v>34</v>
      </c>
      <c r="R2650">
        <v>46137</v>
      </c>
      <c r="S2650" s="51">
        <v>0.39930555555555558</v>
      </c>
      <c r="T2650" s="51">
        <v>0.40625</v>
      </c>
      <c r="X2650" t="s">
        <v>3664</v>
      </c>
      <c r="Y2650" t="s">
        <v>3029</v>
      </c>
      <c r="Z2650">
        <v>3219255</v>
      </c>
    </row>
    <row r="2651" spans="1:26" x14ac:dyDescent="0.25">
      <c r="A2651">
        <v>2647</v>
      </c>
      <c r="B2651" t="s">
        <v>29</v>
      </c>
      <c r="C2651" t="s">
        <v>27</v>
      </c>
      <c r="D2651">
        <v>16</v>
      </c>
      <c r="E2651" t="s">
        <v>1665</v>
      </c>
      <c r="F2651" t="s">
        <v>498</v>
      </c>
      <c r="G2651">
        <v>3900</v>
      </c>
      <c r="H2651" t="s">
        <v>2110</v>
      </c>
      <c r="I2651" t="s">
        <v>2111</v>
      </c>
      <c r="J2651">
        <v>8</v>
      </c>
      <c r="K2651">
        <v>1</v>
      </c>
      <c r="L2651">
        <v>6.134259259259259E-4</v>
      </c>
      <c r="M2651" t="s">
        <v>117</v>
      </c>
      <c r="N2651" t="s">
        <v>822</v>
      </c>
      <c r="O2651" s="24">
        <v>46128</v>
      </c>
      <c r="P2651">
        <v>605</v>
      </c>
      <c r="Q2651" t="s">
        <v>34</v>
      </c>
      <c r="R2651">
        <v>46137</v>
      </c>
      <c r="S2651" s="51">
        <v>6.805555555555555E-2</v>
      </c>
      <c r="T2651" s="51">
        <v>7.9861111111111105E-2</v>
      </c>
      <c r="X2651" t="s">
        <v>3665</v>
      </c>
      <c r="Y2651" t="s">
        <v>3029</v>
      </c>
      <c r="Z2651">
        <v>3219209</v>
      </c>
    </row>
    <row r="2652" spans="1:26" x14ac:dyDescent="0.25">
      <c r="A2652">
        <v>2648</v>
      </c>
      <c r="B2652" t="s">
        <v>29</v>
      </c>
      <c r="C2652" t="s">
        <v>27</v>
      </c>
      <c r="D2652">
        <v>16</v>
      </c>
      <c r="E2652" t="s">
        <v>367</v>
      </c>
      <c r="F2652" t="s">
        <v>367</v>
      </c>
      <c r="G2652">
        <v>3900</v>
      </c>
      <c r="H2652" t="s">
        <v>2328</v>
      </c>
      <c r="I2652" t="s">
        <v>2329</v>
      </c>
      <c r="J2652">
        <v>8</v>
      </c>
      <c r="K2652">
        <v>1</v>
      </c>
      <c r="L2652">
        <v>7.2916666666666659E-4</v>
      </c>
      <c r="M2652" t="s">
        <v>117</v>
      </c>
      <c r="N2652" t="s">
        <v>822</v>
      </c>
      <c r="O2652" s="24">
        <v>46128</v>
      </c>
      <c r="P2652">
        <v>605</v>
      </c>
      <c r="Q2652" t="s">
        <v>34</v>
      </c>
      <c r="R2652">
        <v>46137</v>
      </c>
      <c r="S2652" s="51">
        <v>6.805555555555555E-2</v>
      </c>
      <c r="T2652" s="51">
        <v>7.9861111111111105E-2</v>
      </c>
      <c r="X2652" t="s">
        <v>3665</v>
      </c>
      <c r="Y2652" t="s">
        <v>3029</v>
      </c>
      <c r="Z2652">
        <v>3219209</v>
      </c>
    </row>
    <row r="2653" spans="1:26" x14ac:dyDescent="0.25">
      <c r="A2653">
        <v>2649</v>
      </c>
      <c r="B2653" t="s">
        <v>29</v>
      </c>
      <c r="C2653" t="s">
        <v>27</v>
      </c>
      <c r="D2653">
        <v>16</v>
      </c>
      <c r="E2653" t="s">
        <v>367</v>
      </c>
      <c r="F2653" t="s">
        <v>368</v>
      </c>
      <c r="G2653">
        <v>3900</v>
      </c>
      <c r="H2653" t="s">
        <v>2096</v>
      </c>
      <c r="I2653" t="s">
        <v>2097</v>
      </c>
      <c r="J2653">
        <v>8</v>
      </c>
      <c r="K2653">
        <v>1</v>
      </c>
      <c r="L2653">
        <v>6.8287037037037036E-4</v>
      </c>
      <c r="M2653" t="s">
        <v>117</v>
      </c>
      <c r="N2653" t="s">
        <v>822</v>
      </c>
      <c r="O2653" s="24">
        <v>46128</v>
      </c>
      <c r="P2653">
        <v>605</v>
      </c>
      <c r="Q2653" t="s">
        <v>34</v>
      </c>
      <c r="R2653">
        <v>46137</v>
      </c>
      <c r="S2653" s="51">
        <v>6.805555555555555E-2</v>
      </c>
      <c r="T2653" s="51">
        <v>7.9861111111111105E-2</v>
      </c>
      <c r="X2653" t="s">
        <v>3665</v>
      </c>
      <c r="Y2653" t="s">
        <v>3029</v>
      </c>
      <c r="Z2653">
        <v>3219209</v>
      </c>
    </row>
    <row r="2654" spans="1:26" x14ac:dyDescent="0.25">
      <c r="A2654">
        <v>2650</v>
      </c>
      <c r="B2654" t="s">
        <v>29</v>
      </c>
      <c r="C2654" t="s">
        <v>27</v>
      </c>
      <c r="D2654">
        <v>16</v>
      </c>
      <c r="E2654" t="s">
        <v>367</v>
      </c>
      <c r="F2654" t="s">
        <v>427</v>
      </c>
      <c r="G2654">
        <v>3900</v>
      </c>
      <c r="H2654" t="s">
        <v>2417</v>
      </c>
      <c r="I2654" t="s">
        <v>2418</v>
      </c>
      <c r="J2654">
        <v>8</v>
      </c>
      <c r="K2654">
        <v>1</v>
      </c>
      <c r="L2654">
        <v>1.7708333333333332E-3</v>
      </c>
      <c r="M2654" t="s">
        <v>117</v>
      </c>
      <c r="N2654" t="s">
        <v>822</v>
      </c>
      <c r="O2654" s="24">
        <v>46128</v>
      </c>
      <c r="P2654">
        <v>605</v>
      </c>
      <c r="Q2654" t="s">
        <v>34</v>
      </c>
      <c r="R2654">
        <v>46137</v>
      </c>
      <c r="S2654" s="51">
        <v>6.805555555555555E-2</v>
      </c>
      <c r="T2654" s="51">
        <v>7.9861111111111105E-2</v>
      </c>
      <c r="X2654" t="s">
        <v>3665</v>
      </c>
      <c r="Y2654" t="s">
        <v>3029</v>
      </c>
      <c r="Z2654">
        <v>3219209</v>
      </c>
    </row>
    <row r="2655" spans="1:26" x14ac:dyDescent="0.25">
      <c r="A2655">
        <v>2651</v>
      </c>
      <c r="B2655" t="s">
        <v>29</v>
      </c>
      <c r="C2655" t="s">
        <v>27</v>
      </c>
      <c r="D2655">
        <v>16</v>
      </c>
      <c r="E2655" t="s">
        <v>1141</v>
      </c>
      <c r="F2655" t="s">
        <v>1594</v>
      </c>
      <c r="G2655">
        <v>3900</v>
      </c>
      <c r="H2655" t="s">
        <v>2581</v>
      </c>
      <c r="I2655" t="s">
        <v>2582</v>
      </c>
      <c r="J2655">
        <v>8</v>
      </c>
      <c r="K2655">
        <v>1</v>
      </c>
      <c r="L2655">
        <v>2.3958333333333331E-3</v>
      </c>
      <c r="M2655" t="s">
        <v>117</v>
      </c>
      <c r="N2655" t="s">
        <v>822</v>
      </c>
      <c r="O2655" s="24">
        <v>46128</v>
      </c>
      <c r="P2655">
        <v>605</v>
      </c>
      <c r="Q2655" t="s">
        <v>34</v>
      </c>
      <c r="R2655">
        <v>46137</v>
      </c>
      <c r="S2655" s="51">
        <v>6.805555555555555E-2</v>
      </c>
      <c r="T2655" s="51">
        <v>7.9861111111111105E-2</v>
      </c>
      <c r="X2655" t="s">
        <v>3665</v>
      </c>
      <c r="Y2655" t="s">
        <v>3029</v>
      </c>
      <c r="Z2655">
        <v>3219209</v>
      </c>
    </row>
    <row r="2656" spans="1:26" x14ac:dyDescent="0.25">
      <c r="A2656">
        <v>2652</v>
      </c>
      <c r="B2656" t="s">
        <v>29</v>
      </c>
      <c r="C2656" t="s">
        <v>27</v>
      </c>
      <c r="D2656">
        <v>16</v>
      </c>
      <c r="E2656" t="s">
        <v>829</v>
      </c>
      <c r="F2656" t="s">
        <v>1594</v>
      </c>
      <c r="G2656">
        <v>3900</v>
      </c>
      <c r="H2656" t="s">
        <v>2326</v>
      </c>
      <c r="I2656" t="s">
        <v>2327</v>
      </c>
      <c r="J2656">
        <v>8</v>
      </c>
      <c r="K2656">
        <v>1</v>
      </c>
      <c r="L2656">
        <v>3.6921296296296294E-3</v>
      </c>
      <c r="M2656" t="s">
        <v>117</v>
      </c>
      <c r="N2656" t="s">
        <v>822</v>
      </c>
      <c r="O2656" s="24">
        <v>46128</v>
      </c>
      <c r="P2656">
        <v>605</v>
      </c>
      <c r="Q2656" t="s">
        <v>34</v>
      </c>
      <c r="R2656">
        <v>46137</v>
      </c>
      <c r="S2656" s="51">
        <v>6.805555555555555E-2</v>
      </c>
      <c r="T2656" s="51">
        <v>7.9861111111111105E-2</v>
      </c>
      <c r="X2656" t="s">
        <v>3665</v>
      </c>
      <c r="Y2656" t="s">
        <v>3029</v>
      </c>
      <c r="Z2656">
        <v>3219209</v>
      </c>
    </row>
    <row r="2657" spans="1:26" x14ac:dyDescent="0.25">
      <c r="A2657">
        <v>2653</v>
      </c>
      <c r="B2657" t="s">
        <v>29</v>
      </c>
      <c r="C2657" t="s">
        <v>27</v>
      </c>
      <c r="D2657">
        <v>16</v>
      </c>
      <c r="E2657" t="s">
        <v>2195</v>
      </c>
      <c r="F2657" t="s">
        <v>44</v>
      </c>
      <c r="G2657">
        <v>3900</v>
      </c>
      <c r="H2657" t="s">
        <v>48</v>
      </c>
      <c r="I2657" t="s">
        <v>1119</v>
      </c>
      <c r="J2657">
        <v>8</v>
      </c>
      <c r="K2657">
        <v>1</v>
      </c>
      <c r="L2657">
        <v>1.4351851851851852E-3</v>
      </c>
      <c r="M2657" t="s">
        <v>117</v>
      </c>
      <c r="N2657" t="s">
        <v>822</v>
      </c>
      <c r="O2657" s="24">
        <v>46128</v>
      </c>
      <c r="P2657">
        <v>605</v>
      </c>
      <c r="Q2657" t="s">
        <v>34</v>
      </c>
      <c r="R2657">
        <v>46137</v>
      </c>
      <c r="S2657" s="51">
        <v>6.805555555555555E-2</v>
      </c>
      <c r="T2657" s="51">
        <v>7.9861111111111105E-2</v>
      </c>
      <c r="X2657" t="s">
        <v>3665</v>
      </c>
      <c r="Y2657" t="s">
        <v>3029</v>
      </c>
      <c r="Z2657">
        <v>3219209</v>
      </c>
    </row>
    <row r="2658" spans="1:26" x14ac:dyDescent="0.25">
      <c r="A2658">
        <v>2654</v>
      </c>
      <c r="B2658" t="s">
        <v>29</v>
      </c>
      <c r="C2658" t="s">
        <v>27</v>
      </c>
      <c r="D2658">
        <v>16</v>
      </c>
      <c r="E2658" t="s">
        <v>147</v>
      </c>
      <c r="F2658" t="s">
        <v>147</v>
      </c>
      <c r="G2658">
        <v>3900</v>
      </c>
      <c r="H2658" t="s">
        <v>2657</v>
      </c>
      <c r="I2658" t="s">
        <v>2658</v>
      </c>
      <c r="J2658">
        <v>8</v>
      </c>
      <c r="K2658">
        <v>1</v>
      </c>
      <c r="L2658">
        <v>3.2407407407407406E-4</v>
      </c>
      <c r="M2658" t="s">
        <v>117</v>
      </c>
      <c r="N2658" t="s">
        <v>822</v>
      </c>
      <c r="O2658" s="24">
        <v>46128</v>
      </c>
      <c r="P2658">
        <v>605</v>
      </c>
      <c r="Q2658" t="s">
        <v>34</v>
      </c>
      <c r="R2658">
        <v>46137</v>
      </c>
      <c r="S2658" s="51">
        <v>6.805555555555555E-2</v>
      </c>
      <c r="T2658" s="51">
        <v>7.9861111111111105E-2</v>
      </c>
      <c r="X2658" t="s">
        <v>3665</v>
      </c>
      <c r="Y2658" t="s">
        <v>3029</v>
      </c>
      <c r="Z2658">
        <v>3219209</v>
      </c>
    </row>
    <row r="2659" spans="1:26" x14ac:dyDescent="0.25">
      <c r="A2659">
        <v>2655</v>
      </c>
      <c r="B2659" t="s">
        <v>29</v>
      </c>
      <c r="C2659" t="s">
        <v>27</v>
      </c>
      <c r="D2659">
        <v>16</v>
      </c>
      <c r="E2659" t="s">
        <v>1665</v>
      </c>
      <c r="F2659" t="s">
        <v>498</v>
      </c>
      <c r="G2659">
        <v>3903</v>
      </c>
      <c r="H2659" t="s">
        <v>2110</v>
      </c>
      <c r="I2659" t="s">
        <v>2111</v>
      </c>
      <c r="J2659">
        <v>8</v>
      </c>
      <c r="K2659">
        <v>1</v>
      </c>
      <c r="L2659">
        <v>6.134259259259259E-4</v>
      </c>
      <c r="M2659" t="s">
        <v>3079</v>
      </c>
      <c r="X2659" t="s">
        <v>3666</v>
      </c>
    </row>
    <row r="2660" spans="1:26" x14ac:dyDescent="0.25">
      <c r="A2660">
        <v>2656</v>
      </c>
      <c r="B2660" t="s">
        <v>29</v>
      </c>
      <c r="C2660" t="s">
        <v>27</v>
      </c>
      <c r="D2660">
        <v>16</v>
      </c>
      <c r="E2660" t="s">
        <v>1665</v>
      </c>
      <c r="F2660" t="s">
        <v>115</v>
      </c>
      <c r="G2660">
        <v>3903</v>
      </c>
      <c r="H2660" t="s">
        <v>2113</v>
      </c>
      <c r="I2660" t="s">
        <v>2111</v>
      </c>
      <c r="J2660">
        <v>8</v>
      </c>
      <c r="K2660">
        <v>1</v>
      </c>
      <c r="L2660">
        <v>6.134259259259259E-4</v>
      </c>
      <c r="M2660" t="s">
        <v>3079</v>
      </c>
      <c r="X2660" t="s">
        <v>3666</v>
      </c>
    </row>
    <row r="2661" spans="1:26" x14ac:dyDescent="0.25">
      <c r="A2661">
        <v>2657</v>
      </c>
      <c r="B2661" t="s">
        <v>29</v>
      </c>
      <c r="C2661" t="s">
        <v>27</v>
      </c>
      <c r="D2661">
        <v>16</v>
      </c>
      <c r="E2661" t="s">
        <v>367</v>
      </c>
      <c r="F2661" t="s">
        <v>367</v>
      </c>
      <c r="G2661">
        <v>3903</v>
      </c>
      <c r="H2661" t="s">
        <v>2328</v>
      </c>
      <c r="I2661" t="s">
        <v>2329</v>
      </c>
      <c r="J2661">
        <v>8</v>
      </c>
      <c r="K2661">
        <v>1</v>
      </c>
      <c r="L2661">
        <v>7.2916666666666659E-4</v>
      </c>
      <c r="M2661" t="s">
        <v>3079</v>
      </c>
      <c r="X2661" t="s">
        <v>3666</v>
      </c>
    </row>
    <row r="2662" spans="1:26" x14ac:dyDescent="0.25">
      <c r="A2662">
        <v>2658</v>
      </c>
      <c r="B2662" t="s">
        <v>29</v>
      </c>
      <c r="C2662" t="s">
        <v>27</v>
      </c>
      <c r="D2662">
        <v>16</v>
      </c>
      <c r="E2662" t="s">
        <v>367</v>
      </c>
      <c r="F2662" t="s">
        <v>368</v>
      </c>
      <c r="G2662">
        <v>3903</v>
      </c>
      <c r="H2662" t="s">
        <v>2114</v>
      </c>
      <c r="I2662" t="s">
        <v>2097</v>
      </c>
      <c r="J2662">
        <v>8</v>
      </c>
      <c r="K2662">
        <v>1</v>
      </c>
      <c r="L2662">
        <v>6.9444444444444436E-4</v>
      </c>
      <c r="M2662" t="s">
        <v>3079</v>
      </c>
      <c r="X2662" t="s">
        <v>3666</v>
      </c>
    </row>
    <row r="2663" spans="1:26" x14ac:dyDescent="0.25">
      <c r="A2663">
        <v>2659</v>
      </c>
      <c r="B2663" t="s">
        <v>29</v>
      </c>
      <c r="C2663" t="s">
        <v>27</v>
      </c>
      <c r="D2663">
        <v>16</v>
      </c>
      <c r="E2663" t="s">
        <v>367</v>
      </c>
      <c r="F2663" t="s">
        <v>368</v>
      </c>
      <c r="G2663">
        <v>3903</v>
      </c>
      <c r="H2663" t="s">
        <v>2457</v>
      </c>
      <c r="I2663" t="s">
        <v>2458</v>
      </c>
      <c r="J2663">
        <v>8</v>
      </c>
      <c r="K2663">
        <v>1</v>
      </c>
      <c r="L2663">
        <v>1.9097222222222222E-3</v>
      </c>
      <c r="M2663" t="s">
        <v>3079</v>
      </c>
      <c r="X2663" t="s">
        <v>3666</v>
      </c>
    </row>
    <row r="2664" spans="1:26" x14ac:dyDescent="0.25">
      <c r="A2664">
        <v>2660</v>
      </c>
      <c r="B2664" t="s">
        <v>29</v>
      </c>
      <c r="C2664" t="s">
        <v>27</v>
      </c>
      <c r="D2664">
        <v>16</v>
      </c>
      <c r="E2664" t="s">
        <v>367</v>
      </c>
      <c r="F2664" t="s">
        <v>368</v>
      </c>
      <c r="G2664">
        <v>3903</v>
      </c>
      <c r="H2664" t="s">
        <v>2375</v>
      </c>
      <c r="I2664" t="s">
        <v>2376</v>
      </c>
      <c r="J2664">
        <v>8</v>
      </c>
      <c r="K2664">
        <v>1</v>
      </c>
      <c r="L2664">
        <v>1.8981481481481482E-3</v>
      </c>
      <c r="M2664" t="s">
        <v>3079</v>
      </c>
      <c r="X2664" t="s">
        <v>3666</v>
      </c>
    </row>
    <row r="2665" spans="1:26" x14ac:dyDescent="0.25">
      <c r="A2665">
        <v>2661</v>
      </c>
      <c r="B2665" t="s">
        <v>29</v>
      </c>
      <c r="C2665" t="s">
        <v>27</v>
      </c>
      <c r="D2665">
        <v>16</v>
      </c>
      <c r="E2665" t="s">
        <v>829</v>
      </c>
      <c r="F2665" t="s">
        <v>1594</v>
      </c>
      <c r="G2665">
        <v>3903</v>
      </c>
      <c r="H2665" t="s">
        <v>2610</v>
      </c>
      <c r="I2665" t="s">
        <v>2611</v>
      </c>
      <c r="J2665">
        <v>8</v>
      </c>
      <c r="K2665">
        <v>1</v>
      </c>
      <c r="L2665">
        <v>4.6180555555555549E-3</v>
      </c>
      <c r="M2665" t="s">
        <v>3079</v>
      </c>
      <c r="X2665" t="s">
        <v>3666</v>
      </c>
    </row>
    <row r="2666" spans="1:26" x14ac:dyDescent="0.25">
      <c r="A2666">
        <v>2662</v>
      </c>
      <c r="B2666" t="s">
        <v>29</v>
      </c>
      <c r="C2666" t="s">
        <v>27</v>
      </c>
      <c r="D2666">
        <v>16</v>
      </c>
      <c r="E2666" t="s">
        <v>829</v>
      </c>
      <c r="F2666" t="s">
        <v>1594</v>
      </c>
      <c r="G2666">
        <v>3903</v>
      </c>
      <c r="H2666" t="s">
        <v>2433</v>
      </c>
      <c r="I2666" t="s">
        <v>2434</v>
      </c>
      <c r="J2666">
        <v>8</v>
      </c>
      <c r="K2666">
        <v>1</v>
      </c>
      <c r="L2666">
        <v>3.6458333333333334E-3</v>
      </c>
      <c r="M2666" t="s">
        <v>3079</v>
      </c>
      <c r="X2666" t="s">
        <v>3666</v>
      </c>
    </row>
    <row r="2667" spans="1:26" x14ac:dyDescent="0.25">
      <c r="A2667">
        <v>2663</v>
      </c>
      <c r="B2667" t="s">
        <v>29</v>
      </c>
      <c r="C2667" t="s">
        <v>27</v>
      </c>
      <c r="D2667">
        <v>16</v>
      </c>
      <c r="E2667" t="s">
        <v>367</v>
      </c>
      <c r="F2667" t="s">
        <v>427</v>
      </c>
      <c r="G2667">
        <v>3903</v>
      </c>
      <c r="H2667" t="s">
        <v>2271</v>
      </c>
      <c r="I2667" t="s">
        <v>2270</v>
      </c>
      <c r="J2667">
        <v>8</v>
      </c>
      <c r="K2667">
        <v>1</v>
      </c>
      <c r="L2667">
        <v>1.8171296296296295E-3</v>
      </c>
      <c r="M2667" t="s">
        <v>3079</v>
      </c>
      <c r="X2667" t="s">
        <v>3666</v>
      </c>
    </row>
    <row r="2668" spans="1:26" x14ac:dyDescent="0.25">
      <c r="A2668">
        <v>2664</v>
      </c>
      <c r="B2668" t="s">
        <v>29</v>
      </c>
      <c r="C2668" t="s">
        <v>27</v>
      </c>
      <c r="D2668">
        <v>16</v>
      </c>
      <c r="E2668" t="s">
        <v>367</v>
      </c>
      <c r="F2668" t="s">
        <v>1594</v>
      </c>
      <c r="G2668">
        <v>3903</v>
      </c>
      <c r="H2668" t="s">
        <v>2601</v>
      </c>
      <c r="I2668" t="s">
        <v>2226</v>
      </c>
      <c r="J2668">
        <v>8</v>
      </c>
      <c r="K2668">
        <v>1</v>
      </c>
      <c r="L2668">
        <v>1.7129629629629628E-3</v>
      </c>
      <c r="M2668" t="s">
        <v>3079</v>
      </c>
      <c r="X2668" t="s">
        <v>3666</v>
      </c>
    </row>
    <row r="2669" spans="1:26" x14ac:dyDescent="0.25">
      <c r="A2669">
        <v>2665</v>
      </c>
      <c r="B2669" t="s">
        <v>29</v>
      </c>
      <c r="C2669" t="s">
        <v>27</v>
      </c>
      <c r="D2669">
        <v>16</v>
      </c>
      <c r="E2669" t="s">
        <v>550</v>
      </c>
      <c r="F2669" t="s">
        <v>512</v>
      </c>
      <c r="G2669">
        <v>3904</v>
      </c>
      <c r="H2669" t="s">
        <v>551</v>
      </c>
      <c r="I2669" t="s">
        <v>119</v>
      </c>
      <c r="J2669">
        <v>8</v>
      </c>
      <c r="K2669">
        <v>1</v>
      </c>
      <c r="L2669">
        <v>6.9212962962962961E-3</v>
      </c>
      <c r="M2669" t="s">
        <v>778</v>
      </c>
      <c r="N2669" t="s">
        <v>1282</v>
      </c>
      <c r="O2669" s="24">
        <v>46136</v>
      </c>
      <c r="P2669">
        <v>603</v>
      </c>
      <c r="Q2669" t="s">
        <v>34</v>
      </c>
      <c r="X2669" t="s">
        <v>3667</v>
      </c>
    </row>
    <row r="2670" spans="1:26" x14ac:dyDescent="0.25">
      <c r="A2670">
        <v>2666</v>
      </c>
      <c r="B2670" t="s">
        <v>29</v>
      </c>
      <c r="C2670" t="s">
        <v>27</v>
      </c>
      <c r="D2670">
        <v>16</v>
      </c>
      <c r="E2670" t="s">
        <v>550</v>
      </c>
      <c r="F2670" t="s">
        <v>512</v>
      </c>
      <c r="G2670">
        <v>3905</v>
      </c>
      <c r="H2670" t="s">
        <v>551</v>
      </c>
      <c r="I2670" t="s">
        <v>119</v>
      </c>
      <c r="J2670">
        <v>8</v>
      </c>
      <c r="K2670">
        <v>1</v>
      </c>
      <c r="L2670">
        <v>6.9212962962962961E-3</v>
      </c>
      <c r="M2670" t="s">
        <v>778</v>
      </c>
      <c r="N2670" t="s">
        <v>1282</v>
      </c>
      <c r="O2670" s="24">
        <v>46136</v>
      </c>
      <c r="P2670">
        <v>603</v>
      </c>
      <c r="Q2670" t="s">
        <v>34</v>
      </c>
      <c r="X2670" t="s">
        <v>3668</v>
      </c>
    </row>
    <row r="2671" spans="1:26" x14ac:dyDescent="0.25">
      <c r="A2671">
        <v>2667</v>
      </c>
      <c r="B2671" t="s">
        <v>29</v>
      </c>
      <c r="C2671" t="s">
        <v>27</v>
      </c>
      <c r="D2671">
        <v>16</v>
      </c>
      <c r="E2671" t="s">
        <v>550</v>
      </c>
      <c r="F2671" t="s">
        <v>512</v>
      </c>
      <c r="G2671">
        <v>3850</v>
      </c>
      <c r="H2671" t="s">
        <v>551</v>
      </c>
      <c r="I2671" t="s">
        <v>119</v>
      </c>
      <c r="J2671">
        <v>8</v>
      </c>
      <c r="K2671">
        <v>1</v>
      </c>
      <c r="L2671">
        <v>6.9212962962962961E-3</v>
      </c>
      <c r="M2671" t="s">
        <v>778</v>
      </c>
      <c r="N2671" t="s">
        <v>1282</v>
      </c>
      <c r="O2671" s="24">
        <v>46136</v>
      </c>
      <c r="P2671">
        <v>603</v>
      </c>
      <c r="Q2671" t="s">
        <v>34</v>
      </c>
      <c r="X2671" t="s">
        <v>3669</v>
      </c>
    </row>
    <row r="2672" spans="1:26" x14ac:dyDescent="0.25">
      <c r="A2672">
        <v>2668</v>
      </c>
      <c r="B2672" t="s">
        <v>29</v>
      </c>
      <c r="C2672" t="s">
        <v>27</v>
      </c>
      <c r="D2672">
        <v>16</v>
      </c>
      <c r="E2672" t="s">
        <v>550</v>
      </c>
      <c r="F2672" t="s">
        <v>512</v>
      </c>
      <c r="G2672">
        <v>3906</v>
      </c>
      <c r="H2672" t="s">
        <v>551</v>
      </c>
      <c r="I2672" t="s">
        <v>119</v>
      </c>
      <c r="J2672">
        <v>8</v>
      </c>
      <c r="K2672">
        <v>1</v>
      </c>
      <c r="L2672">
        <v>6.9212962962962961E-3</v>
      </c>
      <c r="M2672" t="s">
        <v>778</v>
      </c>
      <c r="N2672" t="s">
        <v>1282</v>
      </c>
      <c r="O2672" s="24">
        <v>46136</v>
      </c>
      <c r="P2672">
        <v>603</v>
      </c>
      <c r="Q2672" t="s">
        <v>34</v>
      </c>
      <c r="X2672" t="s">
        <v>3670</v>
      </c>
    </row>
    <row r="2673" spans="1:26" x14ac:dyDescent="0.25">
      <c r="A2673">
        <v>2669</v>
      </c>
      <c r="B2673" t="s">
        <v>29</v>
      </c>
      <c r="C2673" t="s">
        <v>27</v>
      </c>
      <c r="D2673">
        <v>16</v>
      </c>
      <c r="E2673" t="s">
        <v>550</v>
      </c>
      <c r="F2673" t="s">
        <v>512</v>
      </c>
      <c r="G2673">
        <v>3852</v>
      </c>
      <c r="H2673" t="s">
        <v>551</v>
      </c>
      <c r="I2673" t="s">
        <v>119</v>
      </c>
      <c r="J2673">
        <v>8</v>
      </c>
      <c r="K2673">
        <v>1</v>
      </c>
      <c r="L2673">
        <v>6.9212962962962961E-3</v>
      </c>
      <c r="M2673" t="s">
        <v>778</v>
      </c>
      <c r="N2673" t="s">
        <v>1282</v>
      </c>
      <c r="O2673" s="24">
        <v>46136</v>
      </c>
      <c r="P2673">
        <v>603</v>
      </c>
      <c r="Q2673" t="s">
        <v>34</v>
      </c>
      <c r="X2673" t="s">
        <v>3671</v>
      </c>
    </row>
    <row r="2674" spans="1:26" x14ac:dyDescent="0.25">
      <c r="A2674">
        <v>2670</v>
      </c>
      <c r="B2674" t="s">
        <v>29</v>
      </c>
      <c r="C2674" t="s">
        <v>27</v>
      </c>
      <c r="D2674">
        <v>16</v>
      </c>
      <c r="E2674" t="s">
        <v>550</v>
      </c>
      <c r="F2674" t="s">
        <v>512</v>
      </c>
      <c r="G2674">
        <v>3853</v>
      </c>
      <c r="H2674" t="s">
        <v>551</v>
      </c>
      <c r="I2674" t="s">
        <v>119</v>
      </c>
      <c r="J2674">
        <v>8</v>
      </c>
      <c r="K2674">
        <v>1</v>
      </c>
      <c r="L2674">
        <v>6.9212962962962961E-3</v>
      </c>
      <c r="M2674" t="s">
        <v>778</v>
      </c>
      <c r="N2674" t="s">
        <v>1282</v>
      </c>
      <c r="O2674" s="24">
        <v>46136</v>
      </c>
      <c r="P2674">
        <v>603</v>
      </c>
      <c r="Q2674" t="s">
        <v>34</v>
      </c>
      <c r="X2674" t="s">
        <v>3672</v>
      </c>
    </row>
    <row r="2675" spans="1:26" x14ac:dyDescent="0.25">
      <c r="A2675">
        <v>2671</v>
      </c>
      <c r="B2675" t="s">
        <v>29</v>
      </c>
      <c r="C2675" t="s">
        <v>27</v>
      </c>
      <c r="D2675">
        <v>16</v>
      </c>
      <c r="E2675" t="s">
        <v>829</v>
      </c>
      <c r="F2675" t="s">
        <v>368</v>
      </c>
      <c r="G2675">
        <v>3907</v>
      </c>
      <c r="H2675" t="s">
        <v>2322</v>
      </c>
      <c r="I2675" t="s">
        <v>2666</v>
      </c>
      <c r="J2675">
        <v>8</v>
      </c>
      <c r="K2675">
        <v>1</v>
      </c>
      <c r="L2675">
        <v>1.6319444444444443E-3</v>
      </c>
      <c r="M2675" t="s">
        <v>117</v>
      </c>
      <c r="N2675" t="s">
        <v>822</v>
      </c>
      <c r="O2675" s="24">
        <v>46128</v>
      </c>
      <c r="P2675">
        <v>605</v>
      </c>
      <c r="Q2675" t="s">
        <v>34</v>
      </c>
      <c r="R2675">
        <v>46137</v>
      </c>
      <c r="S2675" s="51">
        <v>1.1805555555555555E-2</v>
      </c>
      <c r="T2675" s="51">
        <v>6.5972222222222224E-2</v>
      </c>
      <c r="X2675" t="s">
        <v>3673</v>
      </c>
      <c r="Y2675" t="s">
        <v>3029</v>
      </c>
      <c r="Z2675">
        <v>3219225</v>
      </c>
    </row>
    <row r="2676" spans="1:26" x14ac:dyDescent="0.25">
      <c r="A2676">
        <v>2672</v>
      </c>
      <c r="B2676" t="s">
        <v>29</v>
      </c>
      <c r="C2676" t="s">
        <v>27</v>
      </c>
      <c r="D2676">
        <v>16</v>
      </c>
      <c r="E2676" t="s">
        <v>367</v>
      </c>
      <c r="F2676" t="s">
        <v>367</v>
      </c>
      <c r="G2676">
        <v>3907</v>
      </c>
      <c r="H2676" t="s">
        <v>2324</v>
      </c>
      <c r="I2676" t="s">
        <v>2325</v>
      </c>
      <c r="J2676">
        <v>8</v>
      </c>
      <c r="K2676">
        <v>1</v>
      </c>
      <c r="L2676">
        <v>1.4120370370370369E-3</v>
      </c>
      <c r="M2676" t="s">
        <v>117</v>
      </c>
      <c r="N2676" t="s">
        <v>822</v>
      </c>
      <c r="O2676" s="24">
        <v>46128</v>
      </c>
      <c r="P2676">
        <v>605</v>
      </c>
      <c r="Q2676" t="s">
        <v>34</v>
      </c>
      <c r="R2676">
        <v>46137</v>
      </c>
      <c r="S2676" s="51">
        <v>1.1805555555555555E-2</v>
      </c>
      <c r="T2676" s="51">
        <v>6.5972222222222224E-2</v>
      </c>
      <c r="X2676" t="s">
        <v>3673</v>
      </c>
      <c r="Y2676" t="s">
        <v>3029</v>
      </c>
      <c r="Z2676">
        <v>3219225</v>
      </c>
    </row>
    <row r="2677" spans="1:26" x14ac:dyDescent="0.25">
      <c r="A2677">
        <v>2673</v>
      </c>
      <c r="B2677" t="s">
        <v>29</v>
      </c>
      <c r="C2677" t="s">
        <v>27</v>
      </c>
      <c r="D2677">
        <v>16</v>
      </c>
      <c r="E2677" t="s">
        <v>829</v>
      </c>
      <c r="F2677" t="s">
        <v>1594</v>
      </c>
      <c r="G2677">
        <v>3907</v>
      </c>
      <c r="H2677" t="s">
        <v>2236</v>
      </c>
      <c r="I2677" t="s">
        <v>2237</v>
      </c>
      <c r="J2677">
        <v>8</v>
      </c>
      <c r="K2677">
        <v>1</v>
      </c>
      <c r="L2677">
        <v>4.7337962962962958E-3</v>
      </c>
      <c r="M2677" t="s">
        <v>117</v>
      </c>
      <c r="N2677" t="s">
        <v>822</v>
      </c>
      <c r="O2677" s="24">
        <v>46128</v>
      </c>
      <c r="P2677">
        <v>605</v>
      </c>
      <c r="Q2677" t="s">
        <v>34</v>
      </c>
      <c r="R2677">
        <v>46137</v>
      </c>
      <c r="S2677" s="51">
        <v>1.1805555555555555E-2</v>
      </c>
      <c r="T2677" s="51">
        <v>6.5972222222222224E-2</v>
      </c>
      <c r="X2677" t="s">
        <v>3673</v>
      </c>
      <c r="Y2677" t="s">
        <v>3029</v>
      </c>
      <c r="Z2677">
        <v>3219225</v>
      </c>
    </row>
    <row r="2678" spans="1:26" x14ac:dyDescent="0.25">
      <c r="A2678">
        <v>2674</v>
      </c>
      <c r="B2678" t="s">
        <v>29</v>
      </c>
      <c r="C2678" t="s">
        <v>27</v>
      </c>
      <c r="D2678">
        <v>16</v>
      </c>
      <c r="E2678" t="s">
        <v>367</v>
      </c>
      <c r="F2678" t="s">
        <v>512</v>
      </c>
      <c r="G2678">
        <v>3907</v>
      </c>
      <c r="H2678" t="s">
        <v>2203</v>
      </c>
      <c r="I2678" t="s">
        <v>2204</v>
      </c>
      <c r="J2678">
        <v>8</v>
      </c>
      <c r="K2678">
        <v>1</v>
      </c>
      <c r="L2678">
        <v>1.2037037037037036E-3</v>
      </c>
      <c r="M2678" t="s">
        <v>117</v>
      </c>
      <c r="N2678" t="s">
        <v>822</v>
      </c>
      <c r="O2678" s="24">
        <v>46128</v>
      </c>
      <c r="P2678">
        <v>605</v>
      </c>
      <c r="Q2678" t="s">
        <v>34</v>
      </c>
      <c r="R2678">
        <v>46137</v>
      </c>
      <c r="S2678" s="51">
        <v>1.1805555555555555E-2</v>
      </c>
      <c r="T2678" s="51">
        <v>6.5972222222222224E-2</v>
      </c>
      <c r="X2678" t="s">
        <v>3673</v>
      </c>
      <c r="Y2678" t="s">
        <v>3029</v>
      </c>
      <c r="Z2678">
        <v>3219225</v>
      </c>
    </row>
    <row r="2679" spans="1:26" x14ac:dyDescent="0.25">
      <c r="A2679">
        <v>2675</v>
      </c>
      <c r="B2679" t="s">
        <v>29</v>
      </c>
      <c r="C2679" t="s">
        <v>27</v>
      </c>
      <c r="D2679">
        <v>16</v>
      </c>
      <c r="E2679" t="s">
        <v>2094</v>
      </c>
      <c r="F2679" t="s">
        <v>44</v>
      </c>
      <c r="G2679">
        <v>3907</v>
      </c>
      <c r="H2679" t="s">
        <v>48</v>
      </c>
      <c r="I2679" t="s">
        <v>1119</v>
      </c>
      <c r="J2679">
        <v>8</v>
      </c>
      <c r="K2679">
        <v>3</v>
      </c>
      <c r="L2679">
        <v>4.386574074074074E-3</v>
      </c>
      <c r="M2679" t="s">
        <v>117</v>
      </c>
      <c r="N2679" t="s">
        <v>822</v>
      </c>
      <c r="O2679" s="24">
        <v>46128</v>
      </c>
      <c r="P2679">
        <v>605</v>
      </c>
      <c r="Q2679" t="s">
        <v>34</v>
      </c>
      <c r="R2679">
        <v>46137</v>
      </c>
      <c r="S2679" s="51">
        <v>1.1805555555555555E-2</v>
      </c>
      <c r="T2679" s="51">
        <v>6.5972222222222224E-2</v>
      </c>
      <c r="X2679" t="s">
        <v>3673</v>
      </c>
      <c r="Y2679" t="s">
        <v>3029</v>
      </c>
      <c r="Z2679">
        <v>3219225</v>
      </c>
    </row>
    <row r="2680" spans="1:26" x14ac:dyDescent="0.25">
      <c r="A2680">
        <v>2676</v>
      </c>
      <c r="B2680" t="s">
        <v>29</v>
      </c>
      <c r="C2680" t="s">
        <v>27</v>
      </c>
      <c r="D2680">
        <v>16</v>
      </c>
      <c r="E2680" t="s">
        <v>150</v>
      </c>
      <c r="F2680" t="s">
        <v>512</v>
      </c>
      <c r="G2680">
        <v>3908</v>
      </c>
      <c r="H2680" t="s">
        <v>95</v>
      </c>
      <c r="I2680" t="s">
        <v>119</v>
      </c>
      <c r="J2680">
        <v>8</v>
      </c>
      <c r="K2680">
        <v>1</v>
      </c>
      <c r="L2680">
        <v>8.0092592592592594E-3</v>
      </c>
      <c r="M2680" t="s">
        <v>3079</v>
      </c>
      <c r="X2680" t="s">
        <v>3674</v>
      </c>
    </row>
    <row r="2681" spans="1:26" x14ac:dyDescent="0.25">
      <c r="A2681">
        <v>2677</v>
      </c>
      <c r="B2681" t="s">
        <v>29</v>
      </c>
      <c r="C2681" t="s">
        <v>27</v>
      </c>
      <c r="D2681">
        <v>16</v>
      </c>
      <c r="E2681" t="s">
        <v>114</v>
      </c>
      <c r="F2681" t="s">
        <v>512</v>
      </c>
      <c r="G2681">
        <v>3855</v>
      </c>
      <c r="H2681" t="s">
        <v>94</v>
      </c>
      <c r="I2681" t="s">
        <v>119</v>
      </c>
      <c r="J2681">
        <v>8</v>
      </c>
      <c r="K2681">
        <v>1</v>
      </c>
      <c r="L2681">
        <v>7.5231481481481477E-3</v>
      </c>
      <c r="M2681" t="s">
        <v>3079</v>
      </c>
      <c r="X2681" t="s">
        <v>3675</v>
      </c>
    </row>
    <row r="2682" spans="1:26" x14ac:dyDescent="0.25">
      <c r="A2682">
        <v>2678</v>
      </c>
      <c r="B2682" t="s">
        <v>29</v>
      </c>
      <c r="C2682" t="s">
        <v>27</v>
      </c>
      <c r="D2682">
        <v>16</v>
      </c>
      <c r="E2682" t="s">
        <v>114</v>
      </c>
      <c r="F2682" t="s">
        <v>498</v>
      </c>
      <c r="G2682">
        <v>3909</v>
      </c>
      <c r="H2682" t="s">
        <v>502</v>
      </c>
      <c r="I2682" t="s">
        <v>500</v>
      </c>
      <c r="J2682">
        <v>8</v>
      </c>
      <c r="K2682">
        <v>1</v>
      </c>
      <c r="L2682">
        <v>6.875E-3</v>
      </c>
      <c r="M2682" t="s">
        <v>778</v>
      </c>
      <c r="N2682" t="s">
        <v>1058</v>
      </c>
      <c r="O2682" s="24">
        <v>46120</v>
      </c>
      <c r="P2682">
        <v>603</v>
      </c>
      <c r="Q2682" t="s">
        <v>34</v>
      </c>
      <c r="X2682" t="s">
        <v>3676</v>
      </c>
    </row>
    <row r="2683" spans="1:26" x14ac:dyDescent="0.25">
      <c r="A2683">
        <v>2679</v>
      </c>
      <c r="B2683" t="s">
        <v>29</v>
      </c>
      <c r="C2683" t="s">
        <v>27</v>
      </c>
      <c r="D2683">
        <v>16</v>
      </c>
      <c r="E2683" t="s">
        <v>1672</v>
      </c>
      <c r="F2683" t="s">
        <v>115</v>
      </c>
      <c r="G2683">
        <v>3549</v>
      </c>
      <c r="H2683" t="s">
        <v>2090</v>
      </c>
      <c r="I2683" t="s">
        <v>2091</v>
      </c>
      <c r="J2683">
        <v>8</v>
      </c>
      <c r="K2683">
        <v>1</v>
      </c>
      <c r="L2683">
        <v>6.4583333333333333E-3</v>
      </c>
      <c r="M2683" t="s">
        <v>3079</v>
      </c>
      <c r="X2683" t="s">
        <v>3677</v>
      </c>
    </row>
    <row r="2684" spans="1:26" x14ac:dyDescent="0.25">
      <c r="A2684">
        <v>2680</v>
      </c>
      <c r="B2684" t="s">
        <v>29</v>
      </c>
      <c r="C2684" t="s">
        <v>27</v>
      </c>
      <c r="D2684">
        <v>16</v>
      </c>
      <c r="E2684" t="s">
        <v>367</v>
      </c>
      <c r="F2684" t="s">
        <v>512</v>
      </c>
      <c r="G2684">
        <v>3549</v>
      </c>
      <c r="H2684" t="s">
        <v>2203</v>
      </c>
      <c r="I2684" t="s">
        <v>2204</v>
      </c>
      <c r="J2684">
        <v>8</v>
      </c>
      <c r="K2684">
        <v>1</v>
      </c>
      <c r="L2684">
        <v>1.261574074074074E-3</v>
      </c>
      <c r="M2684" t="s">
        <v>3079</v>
      </c>
      <c r="X2684" t="s">
        <v>3677</v>
      </c>
    </row>
    <row r="2685" spans="1:26" x14ac:dyDescent="0.25">
      <c r="A2685">
        <v>2681</v>
      </c>
      <c r="B2685" t="s">
        <v>29</v>
      </c>
      <c r="C2685" t="s">
        <v>27</v>
      </c>
      <c r="D2685">
        <v>16</v>
      </c>
      <c r="E2685" t="s">
        <v>152</v>
      </c>
      <c r="F2685" t="s">
        <v>152</v>
      </c>
      <c r="G2685">
        <v>3885</v>
      </c>
      <c r="H2685" t="s">
        <v>153</v>
      </c>
      <c r="I2685" t="s">
        <v>119</v>
      </c>
      <c r="J2685">
        <v>8</v>
      </c>
      <c r="K2685">
        <v>1</v>
      </c>
      <c r="L2685">
        <v>6.9212962962962961E-3</v>
      </c>
      <c r="M2685" t="s">
        <v>3079</v>
      </c>
      <c r="X2685" t="s">
        <v>3678</v>
      </c>
    </row>
    <row r="2686" spans="1:26" x14ac:dyDescent="0.25">
      <c r="A2686">
        <v>2682</v>
      </c>
      <c r="B2686" t="s">
        <v>29</v>
      </c>
      <c r="C2686" t="s">
        <v>27</v>
      </c>
      <c r="D2686">
        <v>16</v>
      </c>
      <c r="E2686" t="s">
        <v>133</v>
      </c>
      <c r="F2686" t="s">
        <v>115</v>
      </c>
      <c r="G2686">
        <v>3910</v>
      </c>
      <c r="H2686" t="s">
        <v>97</v>
      </c>
      <c r="I2686" t="s">
        <v>116</v>
      </c>
      <c r="J2686">
        <v>8</v>
      </c>
      <c r="K2686">
        <v>1</v>
      </c>
      <c r="L2686">
        <v>7.951388888888888E-3</v>
      </c>
      <c r="M2686" t="s">
        <v>3079</v>
      </c>
      <c r="X2686" t="s">
        <v>3679</v>
      </c>
    </row>
    <row r="2687" spans="1:26" x14ac:dyDescent="0.25">
      <c r="A2687">
        <v>2683</v>
      </c>
      <c r="B2687" t="s">
        <v>29</v>
      </c>
      <c r="C2687" t="s">
        <v>27</v>
      </c>
      <c r="D2687">
        <v>16</v>
      </c>
      <c r="E2687" t="s">
        <v>114</v>
      </c>
      <c r="F2687" t="s">
        <v>115</v>
      </c>
      <c r="G2687">
        <v>3892</v>
      </c>
      <c r="H2687" t="s">
        <v>92</v>
      </c>
      <c r="I2687" t="s">
        <v>116</v>
      </c>
      <c r="J2687">
        <v>8</v>
      </c>
      <c r="K2687">
        <v>1</v>
      </c>
      <c r="L2687">
        <v>7.8819444444444449E-3</v>
      </c>
      <c r="M2687" t="s">
        <v>3079</v>
      </c>
      <c r="X2687" t="s">
        <v>3680</v>
      </c>
    </row>
    <row r="2688" spans="1:26" x14ac:dyDescent="0.25">
      <c r="A2688">
        <v>2684</v>
      </c>
      <c r="B2688" t="s">
        <v>29</v>
      </c>
      <c r="C2688" t="s">
        <v>27</v>
      </c>
      <c r="D2688">
        <v>16</v>
      </c>
      <c r="E2688" t="s">
        <v>114</v>
      </c>
      <c r="F2688" t="s">
        <v>115</v>
      </c>
      <c r="G2688">
        <v>3856</v>
      </c>
      <c r="H2688" t="s">
        <v>93</v>
      </c>
      <c r="I2688" t="s">
        <v>119</v>
      </c>
      <c r="J2688">
        <v>8</v>
      </c>
      <c r="K2688">
        <v>1</v>
      </c>
      <c r="L2688">
        <v>6.9097222222222216E-3</v>
      </c>
      <c r="M2688" t="s">
        <v>3079</v>
      </c>
      <c r="X2688" t="s">
        <v>3681</v>
      </c>
    </row>
    <row r="2689" spans="1:24" x14ac:dyDescent="0.25">
      <c r="A2689">
        <v>2685</v>
      </c>
      <c r="B2689" t="s">
        <v>29</v>
      </c>
      <c r="C2689" t="s">
        <v>27</v>
      </c>
      <c r="D2689">
        <v>16</v>
      </c>
      <c r="E2689" t="s">
        <v>114</v>
      </c>
      <c r="F2689" t="s">
        <v>498</v>
      </c>
      <c r="G2689">
        <v>3857</v>
      </c>
      <c r="H2689" t="s">
        <v>559</v>
      </c>
      <c r="I2689" t="s">
        <v>560</v>
      </c>
      <c r="J2689">
        <v>8</v>
      </c>
      <c r="K2689">
        <v>1</v>
      </c>
      <c r="L2689">
        <v>6.8402777777777776E-3</v>
      </c>
      <c r="M2689" t="s">
        <v>778</v>
      </c>
      <c r="N2689" t="s">
        <v>1058</v>
      </c>
      <c r="O2689" s="24">
        <v>46120</v>
      </c>
      <c r="P2689">
        <v>603</v>
      </c>
      <c r="Q2689" t="s">
        <v>34</v>
      </c>
      <c r="X2689" t="s">
        <v>3682</v>
      </c>
    </row>
    <row r="2690" spans="1:24" x14ac:dyDescent="0.25">
      <c r="A2690">
        <v>2686</v>
      </c>
      <c r="B2690" t="s">
        <v>29</v>
      </c>
      <c r="C2690" t="s">
        <v>27</v>
      </c>
      <c r="D2690">
        <v>16</v>
      </c>
      <c r="E2690" t="s">
        <v>150</v>
      </c>
      <c r="F2690" t="s">
        <v>115</v>
      </c>
      <c r="G2690">
        <v>3558</v>
      </c>
      <c r="H2690" t="s">
        <v>87</v>
      </c>
      <c r="I2690" t="s">
        <v>116</v>
      </c>
      <c r="J2690">
        <v>8</v>
      </c>
      <c r="K2690">
        <v>1</v>
      </c>
      <c r="L2690">
        <v>7.7546296296296295E-3</v>
      </c>
      <c r="M2690" t="s">
        <v>3079</v>
      </c>
      <c r="X2690" t="s">
        <v>3683</v>
      </c>
    </row>
    <row r="2691" spans="1:24" x14ac:dyDescent="0.25">
      <c r="A2691">
        <v>2687</v>
      </c>
      <c r="B2691" t="s">
        <v>29</v>
      </c>
      <c r="C2691" t="s">
        <v>27</v>
      </c>
      <c r="D2691">
        <v>16</v>
      </c>
      <c r="E2691" t="s">
        <v>114</v>
      </c>
      <c r="F2691" t="s">
        <v>115</v>
      </c>
      <c r="G2691">
        <v>3911</v>
      </c>
      <c r="H2691" t="s">
        <v>2184</v>
      </c>
      <c r="I2691" t="s">
        <v>2138</v>
      </c>
      <c r="J2691">
        <v>8</v>
      </c>
      <c r="K2691">
        <v>1</v>
      </c>
      <c r="L2691">
        <v>6.0300925925925921E-3</v>
      </c>
      <c r="M2691" t="s">
        <v>3079</v>
      </c>
      <c r="X2691" t="s">
        <v>3684</v>
      </c>
    </row>
    <row r="2692" spans="1:24" x14ac:dyDescent="0.25">
      <c r="A2692">
        <v>2688</v>
      </c>
      <c r="B2692" t="s">
        <v>29</v>
      </c>
      <c r="C2692" t="s">
        <v>27</v>
      </c>
      <c r="D2692">
        <v>16</v>
      </c>
      <c r="E2692" t="s">
        <v>1672</v>
      </c>
      <c r="F2692" t="s">
        <v>512</v>
      </c>
      <c r="G2692">
        <v>3911</v>
      </c>
      <c r="H2692" t="s">
        <v>2152</v>
      </c>
      <c r="I2692" t="s">
        <v>2153</v>
      </c>
      <c r="J2692">
        <v>8</v>
      </c>
      <c r="K2692">
        <v>2</v>
      </c>
      <c r="L2692">
        <v>3.3449074074074071E-3</v>
      </c>
      <c r="M2692" t="s">
        <v>3079</v>
      </c>
      <c r="X2692" t="s">
        <v>3684</v>
      </c>
    </row>
    <row r="2693" spans="1:24" x14ac:dyDescent="0.25">
      <c r="A2693">
        <v>2689</v>
      </c>
      <c r="B2693" t="s">
        <v>29</v>
      </c>
      <c r="C2693" t="s">
        <v>27</v>
      </c>
      <c r="D2693">
        <v>16</v>
      </c>
      <c r="E2693" t="s">
        <v>367</v>
      </c>
      <c r="F2693" t="s">
        <v>368</v>
      </c>
      <c r="G2693">
        <v>3911</v>
      </c>
      <c r="H2693" t="s">
        <v>2096</v>
      </c>
      <c r="I2693" t="s">
        <v>2097</v>
      </c>
      <c r="J2693">
        <v>8</v>
      </c>
      <c r="K2693">
        <v>3</v>
      </c>
      <c r="L2693">
        <v>2.0717592592592593E-3</v>
      </c>
      <c r="M2693" t="s">
        <v>3079</v>
      </c>
      <c r="X2693" t="s">
        <v>3684</v>
      </c>
    </row>
    <row r="2694" spans="1:24" x14ac:dyDescent="0.25">
      <c r="A2694">
        <v>2690</v>
      </c>
      <c r="B2694" t="s">
        <v>29</v>
      </c>
      <c r="C2694" t="s">
        <v>27</v>
      </c>
      <c r="D2694">
        <v>16</v>
      </c>
      <c r="E2694" t="s">
        <v>367</v>
      </c>
      <c r="F2694" t="s">
        <v>367</v>
      </c>
      <c r="G2694">
        <v>3911</v>
      </c>
      <c r="H2694" t="s">
        <v>2162</v>
      </c>
      <c r="I2694" t="s">
        <v>2163</v>
      </c>
      <c r="J2694">
        <v>8</v>
      </c>
      <c r="K2694">
        <v>1</v>
      </c>
      <c r="L2694">
        <v>2.3495370370370371E-3</v>
      </c>
      <c r="M2694" t="s">
        <v>3079</v>
      </c>
      <c r="X2694" t="s">
        <v>3684</v>
      </c>
    </row>
    <row r="2695" spans="1:24" x14ac:dyDescent="0.25">
      <c r="A2695">
        <v>2691</v>
      </c>
      <c r="B2695" t="s">
        <v>29</v>
      </c>
      <c r="C2695" t="s">
        <v>27</v>
      </c>
      <c r="D2695">
        <v>16</v>
      </c>
      <c r="E2695" t="s">
        <v>150</v>
      </c>
      <c r="F2695" t="s">
        <v>498</v>
      </c>
      <c r="G2695">
        <v>3560</v>
      </c>
      <c r="H2695" t="s">
        <v>564</v>
      </c>
      <c r="I2695" t="s">
        <v>500</v>
      </c>
      <c r="J2695">
        <v>8</v>
      </c>
      <c r="K2695">
        <v>1</v>
      </c>
      <c r="L2695">
        <v>6.875E-3</v>
      </c>
      <c r="M2695" t="s">
        <v>778</v>
      </c>
      <c r="N2695" t="s">
        <v>1058</v>
      </c>
      <c r="O2695" s="24">
        <v>46120</v>
      </c>
      <c r="P2695">
        <v>603</v>
      </c>
      <c r="Q2695" t="s">
        <v>34</v>
      </c>
      <c r="X2695" t="s">
        <v>3685</v>
      </c>
    </row>
    <row r="2696" spans="1:24" x14ac:dyDescent="0.25">
      <c r="A2696">
        <v>2692</v>
      </c>
      <c r="B2696" t="s">
        <v>29</v>
      </c>
      <c r="C2696" t="s">
        <v>27</v>
      </c>
      <c r="D2696">
        <v>16</v>
      </c>
      <c r="E2696" t="s">
        <v>129</v>
      </c>
      <c r="F2696" t="s">
        <v>498</v>
      </c>
      <c r="G2696">
        <v>3561</v>
      </c>
      <c r="H2696" t="s">
        <v>539</v>
      </c>
      <c r="I2696" t="s">
        <v>500</v>
      </c>
      <c r="J2696">
        <v>8</v>
      </c>
      <c r="K2696">
        <v>1</v>
      </c>
      <c r="L2696">
        <v>6.875E-3</v>
      </c>
      <c r="M2696" t="s">
        <v>778</v>
      </c>
      <c r="N2696" t="s">
        <v>1058</v>
      </c>
      <c r="O2696" s="24">
        <v>46120</v>
      </c>
      <c r="P2696">
        <v>603</v>
      </c>
      <c r="Q2696" t="s">
        <v>34</v>
      </c>
      <c r="X2696" t="s">
        <v>3686</v>
      </c>
    </row>
    <row r="2697" spans="1:24" x14ac:dyDescent="0.25">
      <c r="A2697">
        <v>2693</v>
      </c>
      <c r="B2697" t="s">
        <v>29</v>
      </c>
      <c r="C2697" t="s">
        <v>27</v>
      </c>
      <c r="D2697">
        <v>16</v>
      </c>
      <c r="E2697" t="s">
        <v>133</v>
      </c>
      <c r="F2697" t="s">
        <v>498</v>
      </c>
      <c r="G2697">
        <v>3562</v>
      </c>
      <c r="H2697" t="s">
        <v>566</v>
      </c>
      <c r="I2697" t="s">
        <v>500</v>
      </c>
      <c r="J2697">
        <v>8</v>
      </c>
      <c r="K2697">
        <v>1</v>
      </c>
      <c r="L2697">
        <v>6.875E-3</v>
      </c>
      <c r="M2697" t="s">
        <v>778</v>
      </c>
      <c r="N2697" t="s">
        <v>1058</v>
      </c>
      <c r="O2697" s="24">
        <v>46120</v>
      </c>
      <c r="P2697">
        <v>603</v>
      </c>
      <c r="Q2697" t="s">
        <v>34</v>
      </c>
      <c r="X2697" t="s">
        <v>3687</v>
      </c>
    </row>
    <row r="2698" spans="1:24" x14ac:dyDescent="0.25">
      <c r="A2698">
        <v>2694</v>
      </c>
      <c r="B2698" t="s">
        <v>29</v>
      </c>
      <c r="C2698" t="s">
        <v>27</v>
      </c>
      <c r="D2698">
        <v>16</v>
      </c>
      <c r="E2698" t="s">
        <v>150</v>
      </c>
      <c r="F2698" t="s">
        <v>115</v>
      </c>
      <c r="G2698">
        <v>3563</v>
      </c>
      <c r="H2698" t="s">
        <v>96</v>
      </c>
      <c r="I2698" t="s">
        <v>119</v>
      </c>
      <c r="J2698">
        <v>8</v>
      </c>
      <c r="K2698">
        <v>1</v>
      </c>
      <c r="L2698">
        <v>6.9212962962962961E-3</v>
      </c>
      <c r="M2698" t="s">
        <v>3079</v>
      </c>
      <c r="X2698" t="s">
        <v>3688</v>
      </c>
    </row>
    <row r="2699" spans="1:24" x14ac:dyDescent="0.25">
      <c r="A2699">
        <v>2695</v>
      </c>
      <c r="B2699" t="s">
        <v>29</v>
      </c>
      <c r="C2699" t="s">
        <v>27</v>
      </c>
      <c r="D2699">
        <v>16</v>
      </c>
      <c r="E2699" t="s">
        <v>133</v>
      </c>
      <c r="F2699" t="s">
        <v>498</v>
      </c>
      <c r="G2699">
        <v>3565</v>
      </c>
      <c r="H2699" t="s">
        <v>784</v>
      </c>
      <c r="I2699" t="s">
        <v>560</v>
      </c>
      <c r="J2699">
        <v>8</v>
      </c>
      <c r="K2699">
        <v>1</v>
      </c>
      <c r="L2699">
        <v>6.8402777777777776E-3</v>
      </c>
      <c r="M2699" t="s">
        <v>778</v>
      </c>
      <c r="N2699" t="s">
        <v>1058</v>
      </c>
      <c r="O2699" s="24">
        <v>46120</v>
      </c>
      <c r="P2699">
        <v>603</v>
      </c>
      <c r="Q2699" t="s">
        <v>34</v>
      </c>
      <c r="X2699" t="s">
        <v>3689</v>
      </c>
    </row>
    <row r="2700" spans="1:24" x14ac:dyDescent="0.25">
      <c r="A2700">
        <v>2696</v>
      </c>
      <c r="B2700" t="s">
        <v>29</v>
      </c>
      <c r="C2700" t="s">
        <v>27</v>
      </c>
      <c r="D2700">
        <v>16</v>
      </c>
      <c r="E2700" t="s">
        <v>147</v>
      </c>
      <c r="F2700" t="s">
        <v>115</v>
      </c>
      <c r="G2700">
        <v>3566</v>
      </c>
      <c r="H2700" t="s">
        <v>101</v>
      </c>
      <c r="I2700" t="s">
        <v>116</v>
      </c>
      <c r="J2700">
        <v>8</v>
      </c>
      <c r="K2700">
        <v>1</v>
      </c>
      <c r="L2700">
        <v>7.7546296296296295E-3</v>
      </c>
      <c r="M2700" t="s">
        <v>3079</v>
      </c>
      <c r="X2700" t="s">
        <v>3690</v>
      </c>
    </row>
    <row r="2701" spans="1:24" x14ac:dyDescent="0.25">
      <c r="A2701">
        <v>2697</v>
      </c>
      <c r="B2701" t="s">
        <v>29</v>
      </c>
      <c r="C2701" t="s">
        <v>27</v>
      </c>
      <c r="D2701">
        <v>16</v>
      </c>
      <c r="E2701" t="s">
        <v>1665</v>
      </c>
      <c r="F2701" t="s">
        <v>115</v>
      </c>
      <c r="G2701">
        <v>3567</v>
      </c>
      <c r="H2701" t="s">
        <v>2563</v>
      </c>
      <c r="I2701" t="s">
        <v>2091</v>
      </c>
      <c r="J2701">
        <v>8</v>
      </c>
      <c r="K2701">
        <v>1</v>
      </c>
      <c r="L2701">
        <v>6.4467592592592588E-3</v>
      </c>
      <c r="M2701" t="s">
        <v>3079</v>
      </c>
      <c r="X2701" t="s">
        <v>3691</v>
      </c>
    </row>
    <row r="2702" spans="1:24" x14ac:dyDescent="0.25">
      <c r="A2702">
        <v>2698</v>
      </c>
      <c r="B2702" t="s">
        <v>29</v>
      </c>
      <c r="C2702" t="s">
        <v>27</v>
      </c>
      <c r="D2702">
        <v>16</v>
      </c>
      <c r="E2702" t="s">
        <v>367</v>
      </c>
      <c r="F2702" t="s">
        <v>512</v>
      </c>
      <c r="G2702">
        <v>3567</v>
      </c>
      <c r="H2702" t="s">
        <v>2203</v>
      </c>
      <c r="I2702" t="s">
        <v>2204</v>
      </c>
      <c r="J2702">
        <v>8</v>
      </c>
      <c r="K2702">
        <v>1</v>
      </c>
      <c r="L2702">
        <v>1.261574074074074E-3</v>
      </c>
      <c r="M2702" t="s">
        <v>3079</v>
      </c>
      <c r="X2702" t="s">
        <v>3691</v>
      </c>
    </row>
    <row r="2703" spans="1:24" x14ac:dyDescent="0.25">
      <c r="A2703">
        <v>2699</v>
      </c>
      <c r="B2703" t="s">
        <v>29</v>
      </c>
      <c r="C2703" t="s">
        <v>27</v>
      </c>
      <c r="D2703">
        <v>16</v>
      </c>
      <c r="E2703" t="s">
        <v>147</v>
      </c>
      <c r="F2703" t="s">
        <v>115</v>
      </c>
      <c r="G2703">
        <v>3568</v>
      </c>
      <c r="H2703" t="s">
        <v>102</v>
      </c>
      <c r="I2703" t="s">
        <v>119</v>
      </c>
      <c r="J2703">
        <v>8</v>
      </c>
      <c r="K2703">
        <v>1</v>
      </c>
      <c r="L2703">
        <v>6.9212962962962961E-3</v>
      </c>
      <c r="M2703" t="s">
        <v>3079</v>
      </c>
      <c r="X2703" t="s">
        <v>3692</v>
      </c>
    </row>
    <row r="2704" spans="1:24" x14ac:dyDescent="0.25">
      <c r="A2704">
        <v>2700</v>
      </c>
      <c r="B2704" t="s">
        <v>29</v>
      </c>
      <c r="C2704" t="s">
        <v>27</v>
      </c>
      <c r="D2704">
        <v>16</v>
      </c>
      <c r="E2704" t="s">
        <v>1672</v>
      </c>
      <c r="F2704" t="s">
        <v>498</v>
      </c>
      <c r="G2704">
        <v>3570</v>
      </c>
      <c r="H2704" t="s">
        <v>2471</v>
      </c>
      <c r="I2704" t="s">
        <v>2472</v>
      </c>
      <c r="J2704">
        <v>8</v>
      </c>
      <c r="K2704">
        <v>1</v>
      </c>
      <c r="L2704">
        <v>6.0300925925925921E-3</v>
      </c>
      <c r="M2704" t="s">
        <v>3079</v>
      </c>
      <c r="X2704" t="s">
        <v>3693</v>
      </c>
    </row>
    <row r="2705" spans="1:24" x14ac:dyDescent="0.25">
      <c r="A2705">
        <v>2701</v>
      </c>
      <c r="B2705" t="s">
        <v>29</v>
      </c>
      <c r="C2705" t="s">
        <v>27</v>
      </c>
      <c r="D2705">
        <v>16</v>
      </c>
      <c r="E2705" t="s">
        <v>367</v>
      </c>
      <c r="F2705" t="s">
        <v>512</v>
      </c>
      <c r="G2705">
        <v>3570</v>
      </c>
      <c r="H2705" t="s">
        <v>2200</v>
      </c>
      <c r="I2705" t="s">
        <v>2201</v>
      </c>
      <c r="J2705">
        <v>8</v>
      </c>
      <c r="K2705">
        <v>1</v>
      </c>
      <c r="L2705">
        <v>1.2268518518518518E-3</v>
      </c>
      <c r="M2705" t="s">
        <v>3079</v>
      </c>
      <c r="X2705" t="s">
        <v>3693</v>
      </c>
    </row>
    <row r="2706" spans="1:24" x14ac:dyDescent="0.25">
      <c r="A2706">
        <v>2702</v>
      </c>
      <c r="B2706" t="s">
        <v>29</v>
      </c>
      <c r="C2706" t="s">
        <v>27</v>
      </c>
      <c r="D2706">
        <v>16</v>
      </c>
      <c r="E2706" t="s">
        <v>2195</v>
      </c>
      <c r="F2706" t="s">
        <v>44</v>
      </c>
      <c r="G2706">
        <v>3570</v>
      </c>
      <c r="H2706" t="s">
        <v>48</v>
      </c>
      <c r="I2706" t="s">
        <v>1119</v>
      </c>
      <c r="J2706">
        <v>8</v>
      </c>
      <c r="K2706">
        <v>1</v>
      </c>
      <c r="L2706">
        <v>1.4930555555555554E-3</v>
      </c>
      <c r="M2706" t="s">
        <v>3079</v>
      </c>
      <c r="X2706" t="s">
        <v>3693</v>
      </c>
    </row>
    <row r="2707" spans="1:24" x14ac:dyDescent="0.25">
      <c r="A2707">
        <v>2703</v>
      </c>
      <c r="B2707" t="s">
        <v>29</v>
      </c>
      <c r="C2707" t="s">
        <v>27</v>
      </c>
      <c r="D2707">
        <v>16</v>
      </c>
      <c r="E2707" t="s">
        <v>147</v>
      </c>
      <c r="F2707" t="s">
        <v>498</v>
      </c>
      <c r="G2707">
        <v>3571</v>
      </c>
      <c r="H2707" t="s">
        <v>570</v>
      </c>
      <c r="I2707" t="s">
        <v>500</v>
      </c>
      <c r="J2707">
        <v>8</v>
      </c>
      <c r="K2707">
        <v>1</v>
      </c>
      <c r="L2707">
        <v>6.875E-3</v>
      </c>
      <c r="M2707" t="s">
        <v>778</v>
      </c>
      <c r="N2707" t="s">
        <v>1058</v>
      </c>
      <c r="O2707" s="24">
        <v>46120</v>
      </c>
      <c r="P2707">
        <v>603</v>
      </c>
      <c r="Q2707" t="s">
        <v>34</v>
      </c>
      <c r="X2707" t="s">
        <v>3694</v>
      </c>
    </row>
    <row r="2708" spans="1:24" x14ac:dyDescent="0.25">
      <c r="A2708">
        <v>2704</v>
      </c>
      <c r="B2708" t="s">
        <v>29</v>
      </c>
      <c r="C2708" t="s">
        <v>27</v>
      </c>
      <c r="D2708">
        <v>16</v>
      </c>
      <c r="E2708" t="s">
        <v>530</v>
      </c>
      <c r="F2708" t="s">
        <v>368</v>
      </c>
      <c r="G2708">
        <v>3859</v>
      </c>
      <c r="H2708" t="s">
        <v>531</v>
      </c>
      <c r="I2708" t="s">
        <v>119</v>
      </c>
      <c r="J2708">
        <v>8</v>
      </c>
      <c r="K2708">
        <v>1</v>
      </c>
      <c r="L2708">
        <v>6.9212962962962961E-3</v>
      </c>
      <c r="M2708" t="s">
        <v>778</v>
      </c>
      <c r="N2708" t="s">
        <v>1282</v>
      </c>
      <c r="O2708" s="24">
        <v>46136</v>
      </c>
      <c r="P2708">
        <v>603</v>
      </c>
      <c r="Q2708" t="s">
        <v>34</v>
      </c>
      <c r="X2708" t="s">
        <v>3695</v>
      </c>
    </row>
    <row r="2709" spans="1:24" x14ac:dyDescent="0.25">
      <c r="A2709">
        <v>2705</v>
      </c>
      <c r="B2709" t="s">
        <v>29</v>
      </c>
      <c r="C2709" t="s">
        <v>27</v>
      </c>
      <c r="D2709">
        <v>16</v>
      </c>
      <c r="E2709" t="s">
        <v>530</v>
      </c>
      <c r="F2709" t="s">
        <v>368</v>
      </c>
      <c r="G2709">
        <v>3860</v>
      </c>
      <c r="H2709" t="s">
        <v>531</v>
      </c>
      <c r="I2709" t="s">
        <v>119</v>
      </c>
      <c r="J2709">
        <v>8</v>
      </c>
      <c r="K2709">
        <v>1</v>
      </c>
      <c r="L2709">
        <v>6.9212962962962961E-3</v>
      </c>
      <c r="M2709" t="s">
        <v>778</v>
      </c>
      <c r="N2709" t="s">
        <v>1282</v>
      </c>
      <c r="O2709" s="24">
        <v>46136</v>
      </c>
      <c r="P2709">
        <v>603</v>
      </c>
      <c r="Q2709" t="s">
        <v>34</v>
      </c>
      <c r="X2709" t="s">
        <v>3696</v>
      </c>
    </row>
    <row r="2710" spans="1:24" x14ac:dyDescent="0.25">
      <c r="A2710">
        <v>2706</v>
      </c>
      <c r="B2710" t="s">
        <v>29</v>
      </c>
      <c r="C2710" t="s">
        <v>27</v>
      </c>
      <c r="D2710">
        <v>16</v>
      </c>
      <c r="E2710" t="s">
        <v>530</v>
      </c>
      <c r="F2710" t="s">
        <v>368</v>
      </c>
      <c r="G2710">
        <v>3861</v>
      </c>
      <c r="H2710" t="s">
        <v>531</v>
      </c>
      <c r="I2710" t="s">
        <v>119</v>
      </c>
      <c r="J2710">
        <v>8</v>
      </c>
      <c r="K2710">
        <v>1</v>
      </c>
      <c r="L2710">
        <v>6.9097222222222216E-3</v>
      </c>
      <c r="M2710" t="s">
        <v>778</v>
      </c>
      <c r="N2710" t="s">
        <v>1282</v>
      </c>
      <c r="O2710" s="24">
        <v>46136</v>
      </c>
      <c r="P2710">
        <v>603</v>
      </c>
      <c r="Q2710" t="s">
        <v>34</v>
      </c>
      <c r="X2710" t="s">
        <v>3697</v>
      </c>
    </row>
    <row r="2711" spans="1:24" x14ac:dyDescent="0.25">
      <c r="A2711">
        <v>2707</v>
      </c>
      <c r="B2711" t="s">
        <v>29</v>
      </c>
      <c r="C2711" t="s">
        <v>27</v>
      </c>
      <c r="D2711">
        <v>16</v>
      </c>
      <c r="E2711" t="s">
        <v>530</v>
      </c>
      <c r="F2711" t="s">
        <v>368</v>
      </c>
      <c r="G2711">
        <v>3862</v>
      </c>
      <c r="H2711" t="s">
        <v>531</v>
      </c>
      <c r="I2711" t="s">
        <v>119</v>
      </c>
      <c r="J2711">
        <v>8</v>
      </c>
      <c r="K2711">
        <v>1</v>
      </c>
      <c r="L2711">
        <v>6.9097222222222216E-3</v>
      </c>
      <c r="M2711" t="s">
        <v>778</v>
      </c>
      <c r="N2711" t="s">
        <v>1282</v>
      </c>
      <c r="O2711" s="24">
        <v>46136</v>
      </c>
      <c r="P2711">
        <v>603</v>
      </c>
      <c r="Q2711" t="s">
        <v>34</v>
      </c>
      <c r="X2711" t="s">
        <v>3698</v>
      </c>
    </row>
    <row r="2712" spans="1:24" x14ac:dyDescent="0.25">
      <c r="A2712">
        <v>2708</v>
      </c>
      <c r="B2712" t="s">
        <v>29</v>
      </c>
      <c r="C2712" t="s">
        <v>27</v>
      </c>
      <c r="D2712">
        <v>16</v>
      </c>
      <c r="E2712" t="s">
        <v>530</v>
      </c>
      <c r="F2712" t="s">
        <v>368</v>
      </c>
      <c r="G2712">
        <v>3863</v>
      </c>
      <c r="H2712" t="s">
        <v>531</v>
      </c>
      <c r="I2712" t="s">
        <v>119</v>
      </c>
      <c r="J2712">
        <v>8</v>
      </c>
      <c r="K2712">
        <v>1</v>
      </c>
      <c r="L2712">
        <v>6.9097222222222216E-3</v>
      </c>
      <c r="M2712" t="s">
        <v>778</v>
      </c>
      <c r="N2712" t="s">
        <v>1282</v>
      </c>
      <c r="O2712" s="24">
        <v>46136</v>
      </c>
      <c r="P2712">
        <v>603</v>
      </c>
      <c r="Q2712" t="s">
        <v>34</v>
      </c>
      <c r="X2712" t="s">
        <v>3699</v>
      </c>
    </row>
    <row r="2713" spans="1:24" x14ac:dyDescent="0.25">
      <c r="A2713">
        <v>2709</v>
      </c>
      <c r="B2713" t="s">
        <v>29</v>
      </c>
      <c r="C2713" t="s">
        <v>27</v>
      </c>
      <c r="D2713">
        <v>16</v>
      </c>
      <c r="E2713" t="s">
        <v>530</v>
      </c>
      <c r="F2713" t="s">
        <v>368</v>
      </c>
      <c r="G2713">
        <v>3864</v>
      </c>
      <c r="H2713" t="s">
        <v>531</v>
      </c>
      <c r="I2713" t="s">
        <v>119</v>
      </c>
      <c r="J2713">
        <v>8</v>
      </c>
      <c r="K2713">
        <v>1</v>
      </c>
      <c r="L2713">
        <v>6.9097222222222216E-3</v>
      </c>
      <c r="M2713" t="s">
        <v>778</v>
      </c>
      <c r="N2713" t="s">
        <v>1282</v>
      </c>
      <c r="O2713" s="24">
        <v>46136</v>
      </c>
      <c r="P2713">
        <v>603</v>
      </c>
      <c r="Q2713" t="s">
        <v>34</v>
      </c>
      <c r="X2713" t="s">
        <v>3700</v>
      </c>
    </row>
    <row r="2714" spans="1:24" x14ac:dyDescent="0.25">
      <c r="A2714">
        <v>2710</v>
      </c>
      <c r="B2714" t="s">
        <v>29</v>
      </c>
      <c r="C2714" t="s">
        <v>27</v>
      </c>
      <c r="D2714">
        <v>16</v>
      </c>
      <c r="E2714" t="s">
        <v>530</v>
      </c>
      <c r="F2714" t="s">
        <v>368</v>
      </c>
      <c r="G2714">
        <v>3865</v>
      </c>
      <c r="H2714" t="s">
        <v>531</v>
      </c>
      <c r="I2714" t="s">
        <v>119</v>
      </c>
      <c r="J2714">
        <v>8</v>
      </c>
      <c r="K2714">
        <v>1</v>
      </c>
      <c r="L2714">
        <v>6.9212962962962961E-3</v>
      </c>
      <c r="M2714" t="s">
        <v>778</v>
      </c>
      <c r="N2714" t="s">
        <v>1282</v>
      </c>
      <c r="O2714" s="24">
        <v>46136</v>
      </c>
      <c r="P2714">
        <v>603</v>
      </c>
      <c r="Q2714" t="s">
        <v>34</v>
      </c>
      <c r="X2714" t="s">
        <v>3701</v>
      </c>
    </row>
    <row r="2715" spans="1:24" x14ac:dyDescent="0.25">
      <c r="A2715">
        <v>2711</v>
      </c>
      <c r="B2715" t="s">
        <v>29</v>
      </c>
      <c r="C2715" t="s">
        <v>27</v>
      </c>
      <c r="D2715">
        <v>16</v>
      </c>
      <c r="E2715" t="s">
        <v>1672</v>
      </c>
      <c r="F2715" t="s">
        <v>115</v>
      </c>
      <c r="G2715">
        <v>3866</v>
      </c>
      <c r="H2715" t="s">
        <v>2309</v>
      </c>
      <c r="I2715" t="s">
        <v>2310</v>
      </c>
      <c r="J2715">
        <v>8</v>
      </c>
      <c r="K2715">
        <v>6</v>
      </c>
      <c r="L2715">
        <v>1.1655092592592592E-2</v>
      </c>
      <c r="M2715" t="s">
        <v>3079</v>
      </c>
      <c r="X2715" t="s">
        <v>3702</v>
      </c>
    </row>
    <row r="2716" spans="1:24" x14ac:dyDescent="0.25">
      <c r="A2716">
        <v>2712</v>
      </c>
      <c r="B2716" t="s">
        <v>29</v>
      </c>
      <c r="C2716" t="s">
        <v>27</v>
      </c>
      <c r="D2716">
        <v>16</v>
      </c>
      <c r="E2716" t="s">
        <v>511</v>
      </c>
      <c r="F2716" t="s">
        <v>512</v>
      </c>
      <c r="G2716">
        <v>3866</v>
      </c>
      <c r="H2716" t="s">
        <v>2295</v>
      </c>
      <c r="I2716" t="s">
        <v>2183</v>
      </c>
      <c r="J2716">
        <v>8</v>
      </c>
      <c r="K2716">
        <v>1</v>
      </c>
      <c r="L2716">
        <v>5.9837962962962961E-3</v>
      </c>
      <c r="M2716" t="s">
        <v>3079</v>
      </c>
      <c r="X2716" t="s">
        <v>3702</v>
      </c>
    </row>
    <row r="2717" spans="1:24" x14ac:dyDescent="0.25">
      <c r="A2717">
        <v>2713</v>
      </c>
      <c r="B2717" t="s">
        <v>29</v>
      </c>
      <c r="C2717" t="s">
        <v>27</v>
      </c>
      <c r="D2717">
        <v>16</v>
      </c>
      <c r="E2717" t="s">
        <v>1665</v>
      </c>
      <c r="F2717" t="s">
        <v>512</v>
      </c>
      <c r="G2717">
        <v>3866</v>
      </c>
      <c r="H2717" t="s">
        <v>2228</v>
      </c>
      <c r="I2717" t="s">
        <v>2153</v>
      </c>
      <c r="J2717">
        <v>8</v>
      </c>
      <c r="K2717">
        <v>1</v>
      </c>
      <c r="L2717">
        <v>1.7013888888888888E-3</v>
      </c>
      <c r="M2717" t="s">
        <v>3079</v>
      </c>
      <c r="X2717" t="s">
        <v>3702</v>
      </c>
    </row>
    <row r="2718" spans="1:24" x14ac:dyDescent="0.25">
      <c r="A2718">
        <v>2714</v>
      </c>
      <c r="B2718" t="s">
        <v>29</v>
      </c>
      <c r="C2718" t="s">
        <v>27</v>
      </c>
      <c r="D2718">
        <v>16</v>
      </c>
      <c r="E2718" t="s">
        <v>367</v>
      </c>
      <c r="F2718" t="s">
        <v>427</v>
      </c>
      <c r="G2718">
        <v>3866</v>
      </c>
      <c r="H2718" t="s">
        <v>2271</v>
      </c>
      <c r="I2718" t="s">
        <v>2270</v>
      </c>
      <c r="J2718">
        <v>8</v>
      </c>
      <c r="K2718">
        <v>1</v>
      </c>
      <c r="L2718">
        <v>1.8402777777777777E-3</v>
      </c>
      <c r="M2718" t="s">
        <v>3079</v>
      </c>
      <c r="X2718" t="s">
        <v>3702</v>
      </c>
    </row>
    <row r="2719" spans="1:24" x14ac:dyDescent="0.25">
      <c r="A2719">
        <v>2715</v>
      </c>
      <c r="B2719" t="s">
        <v>29</v>
      </c>
      <c r="C2719" t="s">
        <v>27</v>
      </c>
      <c r="D2719">
        <v>16</v>
      </c>
      <c r="E2719" t="s">
        <v>1665</v>
      </c>
      <c r="F2719" t="s">
        <v>512</v>
      </c>
      <c r="G2719">
        <v>4375</v>
      </c>
      <c r="H2719" t="s">
        <v>2561</v>
      </c>
      <c r="I2719" t="s">
        <v>2198</v>
      </c>
      <c r="J2719">
        <v>8</v>
      </c>
      <c r="K2719">
        <v>1</v>
      </c>
      <c r="L2719">
        <v>7.5462962962962957E-3</v>
      </c>
      <c r="M2719" t="s">
        <v>3079</v>
      </c>
      <c r="X2719" t="s">
        <v>3703</v>
      </c>
    </row>
    <row r="2720" spans="1:24" x14ac:dyDescent="0.25">
      <c r="A2720">
        <v>2716</v>
      </c>
      <c r="B2720" t="s">
        <v>29</v>
      </c>
      <c r="C2720" t="s">
        <v>27</v>
      </c>
      <c r="D2720">
        <v>16</v>
      </c>
      <c r="E2720" t="s">
        <v>2195</v>
      </c>
      <c r="F2720" t="s">
        <v>44</v>
      </c>
      <c r="G2720">
        <v>4375</v>
      </c>
      <c r="H2720" t="s">
        <v>48</v>
      </c>
      <c r="I2720" t="s">
        <v>1119</v>
      </c>
      <c r="J2720">
        <v>8</v>
      </c>
      <c r="K2720">
        <v>1</v>
      </c>
      <c r="L2720">
        <v>1.6319444444444443E-3</v>
      </c>
      <c r="M2720" t="s">
        <v>3079</v>
      </c>
      <c r="X2720" t="s">
        <v>3703</v>
      </c>
    </row>
    <row r="2721" spans="1:24" x14ac:dyDescent="0.25">
      <c r="A2721">
        <v>2717</v>
      </c>
      <c r="B2721" t="s">
        <v>29</v>
      </c>
      <c r="C2721" t="s">
        <v>27</v>
      </c>
      <c r="D2721">
        <v>16</v>
      </c>
      <c r="E2721" t="s">
        <v>367</v>
      </c>
      <c r="F2721" t="s">
        <v>427</v>
      </c>
      <c r="G2721">
        <v>3868</v>
      </c>
      <c r="H2721" t="s">
        <v>428</v>
      </c>
      <c r="I2721" t="s">
        <v>429</v>
      </c>
      <c r="J2721">
        <v>8</v>
      </c>
      <c r="K2721">
        <v>1</v>
      </c>
      <c r="L2721">
        <v>6.9212962962962961E-3</v>
      </c>
      <c r="M2721" t="s">
        <v>3079</v>
      </c>
      <c r="X2721" t="s">
        <v>3704</v>
      </c>
    </row>
    <row r="2722" spans="1:24" x14ac:dyDescent="0.25">
      <c r="A2722">
        <v>2718</v>
      </c>
      <c r="B2722" t="s">
        <v>29</v>
      </c>
      <c r="C2722" t="s">
        <v>27</v>
      </c>
      <c r="D2722">
        <v>16</v>
      </c>
      <c r="E2722" t="s">
        <v>147</v>
      </c>
      <c r="F2722" t="s">
        <v>512</v>
      </c>
      <c r="G2722">
        <v>3869</v>
      </c>
      <c r="H2722" t="s">
        <v>100</v>
      </c>
      <c r="I2722" t="s">
        <v>119</v>
      </c>
      <c r="J2722">
        <v>8</v>
      </c>
      <c r="K2722">
        <v>1</v>
      </c>
      <c r="L2722">
        <v>8.0208333333333329E-3</v>
      </c>
      <c r="M2722" t="s">
        <v>3079</v>
      </c>
      <c r="X2722" t="s">
        <v>3705</v>
      </c>
    </row>
    <row r="2723" spans="1:24" x14ac:dyDescent="0.25">
      <c r="A2723">
        <v>2719</v>
      </c>
      <c r="B2723" t="s">
        <v>29</v>
      </c>
      <c r="C2723" t="s">
        <v>27</v>
      </c>
      <c r="D2723">
        <v>16</v>
      </c>
      <c r="E2723" t="s">
        <v>511</v>
      </c>
      <c r="F2723" t="s">
        <v>512</v>
      </c>
      <c r="G2723">
        <v>3870</v>
      </c>
      <c r="H2723" t="s">
        <v>513</v>
      </c>
      <c r="I2723" t="s">
        <v>119</v>
      </c>
      <c r="J2723">
        <v>8</v>
      </c>
      <c r="K2723">
        <v>1</v>
      </c>
      <c r="L2723">
        <v>6.9212962962962961E-3</v>
      </c>
      <c r="M2723" t="s">
        <v>778</v>
      </c>
      <c r="N2723" t="s">
        <v>1282</v>
      </c>
      <c r="O2723" s="24">
        <v>46136</v>
      </c>
      <c r="P2723">
        <v>603</v>
      </c>
      <c r="Q2723" t="s">
        <v>34</v>
      </c>
      <c r="X2723" t="s">
        <v>3706</v>
      </c>
    </row>
    <row r="2724" spans="1:24" x14ac:dyDescent="0.25">
      <c r="A2724">
        <v>2720</v>
      </c>
      <c r="B2724" t="s">
        <v>29</v>
      </c>
      <c r="C2724" t="s">
        <v>27</v>
      </c>
      <c r="D2724">
        <v>16</v>
      </c>
      <c r="E2724" t="s">
        <v>511</v>
      </c>
      <c r="F2724" t="s">
        <v>512</v>
      </c>
      <c r="G2724">
        <v>3872</v>
      </c>
      <c r="H2724" t="s">
        <v>513</v>
      </c>
      <c r="I2724" t="s">
        <v>119</v>
      </c>
      <c r="J2724">
        <v>8</v>
      </c>
      <c r="K2724">
        <v>1</v>
      </c>
      <c r="L2724">
        <v>6.9212962962962961E-3</v>
      </c>
      <c r="M2724" t="s">
        <v>778</v>
      </c>
      <c r="N2724" t="s">
        <v>1282</v>
      </c>
      <c r="O2724" s="24">
        <v>46136</v>
      </c>
      <c r="P2724">
        <v>603</v>
      </c>
      <c r="Q2724" t="s">
        <v>34</v>
      </c>
      <c r="X2724" t="s">
        <v>3707</v>
      </c>
    </row>
    <row r="2725" spans="1:24" x14ac:dyDescent="0.25">
      <c r="A2725">
        <v>2721</v>
      </c>
      <c r="B2725" t="s">
        <v>29</v>
      </c>
      <c r="C2725" t="s">
        <v>27</v>
      </c>
      <c r="D2725">
        <v>16</v>
      </c>
      <c r="E2725" t="s">
        <v>150</v>
      </c>
      <c r="F2725" t="s">
        <v>498</v>
      </c>
      <c r="G2725">
        <v>3873</v>
      </c>
      <c r="H2725" t="s">
        <v>562</v>
      </c>
      <c r="I2725" t="s">
        <v>505</v>
      </c>
      <c r="J2725">
        <v>8</v>
      </c>
      <c r="K2725">
        <v>1</v>
      </c>
      <c r="L2725">
        <v>6.8402777777777776E-3</v>
      </c>
      <c r="M2725" t="s">
        <v>778</v>
      </c>
      <c r="N2725" t="s">
        <v>1058</v>
      </c>
      <c r="O2725" s="24">
        <v>46120</v>
      </c>
      <c r="P2725">
        <v>603</v>
      </c>
      <c r="Q2725" t="s">
        <v>34</v>
      </c>
      <c r="X2725" t="s">
        <v>3708</v>
      </c>
    </row>
    <row r="2726" spans="1:24" x14ac:dyDescent="0.25">
      <c r="A2726">
        <v>2722</v>
      </c>
      <c r="B2726" t="s">
        <v>29</v>
      </c>
      <c r="C2726" t="s">
        <v>27</v>
      </c>
      <c r="D2726">
        <v>16</v>
      </c>
      <c r="E2726" t="s">
        <v>511</v>
      </c>
      <c r="F2726" t="s">
        <v>512</v>
      </c>
      <c r="G2726">
        <v>3874</v>
      </c>
      <c r="H2726" t="s">
        <v>513</v>
      </c>
      <c r="I2726" t="s">
        <v>119</v>
      </c>
      <c r="J2726">
        <v>8</v>
      </c>
      <c r="K2726">
        <v>1</v>
      </c>
      <c r="L2726">
        <v>6.9212962962962961E-3</v>
      </c>
      <c r="M2726" t="s">
        <v>778</v>
      </c>
      <c r="N2726" t="s">
        <v>1282</v>
      </c>
      <c r="O2726" s="24">
        <v>46136</v>
      </c>
      <c r="P2726">
        <v>603</v>
      </c>
      <c r="Q2726" t="s">
        <v>34</v>
      </c>
      <c r="X2726" t="s">
        <v>3709</v>
      </c>
    </row>
    <row r="2727" spans="1:24" x14ac:dyDescent="0.25">
      <c r="A2727">
        <v>2723</v>
      </c>
      <c r="B2727" t="s">
        <v>29</v>
      </c>
      <c r="C2727" t="s">
        <v>27</v>
      </c>
      <c r="D2727">
        <v>16</v>
      </c>
      <c r="E2727" t="s">
        <v>511</v>
      </c>
      <c r="F2727" t="s">
        <v>512</v>
      </c>
      <c r="G2727">
        <v>3875</v>
      </c>
      <c r="H2727" t="s">
        <v>513</v>
      </c>
      <c r="I2727" t="s">
        <v>119</v>
      </c>
      <c r="J2727">
        <v>8</v>
      </c>
      <c r="K2727">
        <v>1</v>
      </c>
      <c r="L2727">
        <v>6.9212962962962961E-3</v>
      </c>
      <c r="M2727" t="s">
        <v>778</v>
      </c>
      <c r="N2727" t="s">
        <v>1282</v>
      </c>
      <c r="O2727" s="24">
        <v>46136</v>
      </c>
      <c r="P2727">
        <v>603</v>
      </c>
      <c r="Q2727" t="s">
        <v>34</v>
      </c>
      <c r="X2727" t="s">
        <v>3710</v>
      </c>
    </row>
    <row r="2728" spans="1:24" x14ac:dyDescent="0.25">
      <c r="A2728">
        <v>2724</v>
      </c>
      <c r="B2728" t="s">
        <v>29</v>
      </c>
      <c r="C2728" t="s">
        <v>27</v>
      </c>
      <c r="D2728">
        <v>16</v>
      </c>
      <c r="E2728" t="s">
        <v>147</v>
      </c>
      <c r="F2728" t="s">
        <v>498</v>
      </c>
      <c r="G2728">
        <v>3590</v>
      </c>
      <c r="H2728" t="s">
        <v>568</v>
      </c>
      <c r="I2728" t="s">
        <v>505</v>
      </c>
      <c r="J2728">
        <v>8</v>
      </c>
      <c r="K2728">
        <v>1</v>
      </c>
      <c r="L2728">
        <v>6.8402777777777776E-3</v>
      </c>
      <c r="M2728" t="s">
        <v>778</v>
      </c>
      <c r="N2728" t="s">
        <v>1058</v>
      </c>
      <c r="O2728" s="24">
        <v>46120</v>
      </c>
      <c r="P2728">
        <v>603</v>
      </c>
      <c r="Q2728" t="s">
        <v>34</v>
      </c>
      <c r="X2728" t="s">
        <v>3711</v>
      </c>
    </row>
    <row r="2729" spans="1:24" x14ac:dyDescent="0.25">
      <c r="A2729">
        <v>2725</v>
      </c>
      <c r="B2729" t="s">
        <v>29</v>
      </c>
      <c r="C2729" t="s">
        <v>27</v>
      </c>
      <c r="D2729">
        <v>16</v>
      </c>
      <c r="E2729" t="s">
        <v>129</v>
      </c>
      <c r="F2729" t="s">
        <v>512</v>
      </c>
      <c r="G2729">
        <v>3592</v>
      </c>
      <c r="H2729" t="s">
        <v>1176</v>
      </c>
      <c r="I2729" t="s">
        <v>119</v>
      </c>
      <c r="J2729">
        <v>8</v>
      </c>
      <c r="K2729">
        <v>1</v>
      </c>
      <c r="L2729">
        <v>8.067129629629629E-3</v>
      </c>
      <c r="M2729" t="s">
        <v>3079</v>
      </c>
      <c r="X2729" t="s">
        <v>3712</v>
      </c>
    </row>
    <row r="2730" spans="1:24" x14ac:dyDescent="0.25">
      <c r="A2730">
        <v>2726</v>
      </c>
      <c r="B2730" t="s">
        <v>29</v>
      </c>
      <c r="C2730" t="s">
        <v>27</v>
      </c>
      <c r="D2730">
        <v>16</v>
      </c>
      <c r="E2730" t="s">
        <v>511</v>
      </c>
      <c r="F2730" t="s">
        <v>512</v>
      </c>
      <c r="G2730">
        <v>3877</v>
      </c>
      <c r="H2730" t="s">
        <v>513</v>
      </c>
      <c r="I2730" t="s">
        <v>119</v>
      </c>
      <c r="J2730">
        <v>8</v>
      </c>
      <c r="K2730">
        <v>1</v>
      </c>
      <c r="L2730">
        <v>6.9212962962962961E-3</v>
      </c>
      <c r="M2730" t="s">
        <v>778</v>
      </c>
      <c r="N2730" t="s">
        <v>1282</v>
      </c>
      <c r="O2730" s="24">
        <v>46136</v>
      </c>
      <c r="P2730">
        <v>603</v>
      </c>
      <c r="Q2730" t="s">
        <v>34</v>
      </c>
      <c r="X2730" t="s">
        <v>3713</v>
      </c>
    </row>
    <row r="2731" spans="1:24" x14ac:dyDescent="0.25">
      <c r="A2731">
        <v>2727</v>
      </c>
      <c r="B2731" t="s">
        <v>29</v>
      </c>
      <c r="C2731" t="s">
        <v>27</v>
      </c>
      <c r="D2731">
        <v>16</v>
      </c>
      <c r="E2731" t="s">
        <v>511</v>
      </c>
      <c r="F2731" t="s">
        <v>512</v>
      </c>
      <c r="G2731">
        <v>3883</v>
      </c>
      <c r="H2731" t="s">
        <v>513</v>
      </c>
      <c r="I2731" t="s">
        <v>119</v>
      </c>
      <c r="J2731">
        <v>8</v>
      </c>
      <c r="K2731">
        <v>1</v>
      </c>
      <c r="L2731">
        <v>6.9212962962962961E-3</v>
      </c>
      <c r="M2731" t="s">
        <v>778</v>
      </c>
      <c r="N2731" t="s">
        <v>1282</v>
      </c>
      <c r="O2731" s="24">
        <v>46136</v>
      </c>
      <c r="P2731">
        <v>603</v>
      </c>
      <c r="Q2731" t="s">
        <v>34</v>
      </c>
      <c r="X2731" t="s">
        <v>3714</v>
      </c>
    </row>
    <row r="2732" spans="1:24" x14ac:dyDescent="0.25">
      <c r="A2732">
        <v>2728</v>
      </c>
      <c r="B2732" t="s">
        <v>29</v>
      </c>
      <c r="C2732" t="s">
        <v>27</v>
      </c>
      <c r="D2732">
        <v>16</v>
      </c>
      <c r="E2732" t="s">
        <v>511</v>
      </c>
      <c r="F2732" t="s">
        <v>512</v>
      </c>
      <c r="G2732">
        <v>3878</v>
      </c>
      <c r="H2732" t="s">
        <v>513</v>
      </c>
      <c r="I2732" t="s">
        <v>119</v>
      </c>
      <c r="J2732">
        <v>8</v>
      </c>
      <c r="K2732">
        <v>1</v>
      </c>
      <c r="L2732">
        <v>6.9212962962962961E-3</v>
      </c>
      <c r="M2732" t="s">
        <v>778</v>
      </c>
      <c r="N2732" t="s">
        <v>1282</v>
      </c>
      <c r="O2732" s="24">
        <v>46136</v>
      </c>
      <c r="P2732">
        <v>603</v>
      </c>
      <c r="Q2732" t="s">
        <v>34</v>
      </c>
      <c r="X2732" t="s">
        <v>3715</v>
      </c>
    </row>
    <row r="2733" spans="1:24" x14ac:dyDescent="0.25">
      <c r="A2733">
        <v>2729</v>
      </c>
      <c r="B2733" t="s">
        <v>29</v>
      </c>
      <c r="C2733" t="s">
        <v>27</v>
      </c>
      <c r="D2733">
        <v>16</v>
      </c>
      <c r="E2733" t="s">
        <v>131</v>
      </c>
      <c r="F2733" t="s">
        <v>498</v>
      </c>
      <c r="G2733">
        <v>3879</v>
      </c>
      <c r="H2733" t="s">
        <v>541</v>
      </c>
      <c r="I2733" t="s">
        <v>505</v>
      </c>
      <c r="J2733">
        <v>8</v>
      </c>
      <c r="K2733">
        <v>1</v>
      </c>
      <c r="L2733">
        <v>6.8402777777777776E-3</v>
      </c>
      <c r="M2733" t="s">
        <v>778</v>
      </c>
      <c r="N2733" t="s">
        <v>1058</v>
      </c>
      <c r="O2733" s="24">
        <v>46120</v>
      </c>
      <c r="P2733">
        <v>603</v>
      </c>
      <c r="Q2733" t="s">
        <v>34</v>
      </c>
      <c r="X2733" t="s">
        <v>3716</v>
      </c>
    </row>
    <row r="2734" spans="1:24" x14ac:dyDescent="0.25">
      <c r="A2734">
        <v>2730</v>
      </c>
      <c r="B2734" t="s">
        <v>29</v>
      </c>
      <c r="C2734" t="s">
        <v>27</v>
      </c>
      <c r="D2734">
        <v>16</v>
      </c>
      <c r="E2734" t="s">
        <v>131</v>
      </c>
      <c r="F2734" t="s">
        <v>498</v>
      </c>
      <c r="G2734">
        <v>3598</v>
      </c>
      <c r="H2734" t="s">
        <v>499</v>
      </c>
      <c r="I2734" t="s">
        <v>500</v>
      </c>
      <c r="J2734">
        <v>8</v>
      </c>
      <c r="K2734">
        <v>1</v>
      </c>
      <c r="L2734">
        <v>6.875E-3</v>
      </c>
      <c r="M2734" t="s">
        <v>778</v>
      </c>
      <c r="N2734" t="s">
        <v>1058</v>
      </c>
      <c r="O2734" s="24">
        <v>46120</v>
      </c>
      <c r="P2734">
        <v>603</v>
      </c>
      <c r="Q2734" t="s">
        <v>34</v>
      </c>
      <c r="X2734" t="s">
        <v>3717</v>
      </c>
    </row>
    <row r="2735" spans="1:24" x14ac:dyDescent="0.25">
      <c r="A2735">
        <v>2731</v>
      </c>
      <c r="B2735" t="s">
        <v>29</v>
      </c>
      <c r="C2735" t="s">
        <v>27</v>
      </c>
      <c r="D2735">
        <v>16</v>
      </c>
      <c r="E2735" t="s">
        <v>367</v>
      </c>
      <c r="F2735" t="s">
        <v>1599</v>
      </c>
      <c r="G2735">
        <v>4228</v>
      </c>
      <c r="H2735" t="s">
        <v>1633</v>
      </c>
      <c r="I2735" t="s">
        <v>1634</v>
      </c>
      <c r="J2735">
        <v>8</v>
      </c>
      <c r="K2735">
        <v>1</v>
      </c>
      <c r="L2735">
        <v>7.7546296296296293E-4</v>
      </c>
      <c r="M2735" t="s">
        <v>3079</v>
      </c>
      <c r="X2735" t="s">
        <v>3718</v>
      </c>
    </row>
    <row r="2736" spans="1:24" x14ac:dyDescent="0.25">
      <c r="A2736">
        <v>2732</v>
      </c>
      <c r="B2736" t="s">
        <v>29</v>
      </c>
      <c r="C2736" t="s">
        <v>27</v>
      </c>
      <c r="D2736">
        <v>16</v>
      </c>
      <c r="E2736" t="s">
        <v>367</v>
      </c>
      <c r="F2736" t="s">
        <v>512</v>
      </c>
      <c r="G2736">
        <v>4228</v>
      </c>
      <c r="H2736" t="s">
        <v>2713</v>
      </c>
      <c r="I2736" t="s">
        <v>2599</v>
      </c>
      <c r="J2736">
        <v>8</v>
      </c>
      <c r="K2736">
        <v>1</v>
      </c>
      <c r="L2736">
        <v>9.7222222222222219E-4</v>
      </c>
      <c r="M2736" t="s">
        <v>3079</v>
      </c>
      <c r="X2736" t="s">
        <v>3718</v>
      </c>
    </row>
    <row r="2737" spans="1:24" x14ac:dyDescent="0.25">
      <c r="A2737">
        <v>2733</v>
      </c>
      <c r="B2737" t="s">
        <v>29</v>
      </c>
      <c r="C2737" t="s">
        <v>27</v>
      </c>
      <c r="D2737">
        <v>16</v>
      </c>
      <c r="E2737" t="s">
        <v>367</v>
      </c>
      <c r="F2737" t="s">
        <v>1594</v>
      </c>
      <c r="G2737">
        <v>4228</v>
      </c>
      <c r="H2737" t="s">
        <v>2486</v>
      </c>
      <c r="I2737" t="s">
        <v>2487</v>
      </c>
      <c r="J2737">
        <v>8</v>
      </c>
      <c r="K2737">
        <v>1</v>
      </c>
      <c r="L2737">
        <v>9.837962962962962E-4</v>
      </c>
      <c r="M2737" t="s">
        <v>3079</v>
      </c>
      <c r="X2737" t="s">
        <v>3718</v>
      </c>
    </row>
    <row r="2738" spans="1:24" x14ac:dyDescent="0.25">
      <c r="A2738">
        <v>2734</v>
      </c>
      <c r="B2738" t="s">
        <v>29</v>
      </c>
      <c r="C2738" t="s">
        <v>27</v>
      </c>
      <c r="D2738">
        <v>16</v>
      </c>
      <c r="E2738" t="s">
        <v>2195</v>
      </c>
      <c r="F2738" t="s">
        <v>44</v>
      </c>
      <c r="G2738">
        <v>4228</v>
      </c>
      <c r="H2738" t="s">
        <v>48</v>
      </c>
      <c r="I2738" t="s">
        <v>1119</v>
      </c>
      <c r="J2738">
        <v>8</v>
      </c>
      <c r="K2738">
        <v>1</v>
      </c>
      <c r="L2738">
        <v>1.4699074074074074E-3</v>
      </c>
      <c r="M2738" t="s">
        <v>3079</v>
      </c>
      <c r="X2738" t="s">
        <v>3718</v>
      </c>
    </row>
    <row r="2739" spans="1:24" x14ac:dyDescent="0.25">
      <c r="A2739">
        <v>2735</v>
      </c>
      <c r="B2739" t="s">
        <v>29</v>
      </c>
      <c r="C2739" t="s">
        <v>27</v>
      </c>
      <c r="D2739">
        <v>16</v>
      </c>
      <c r="E2739" t="s">
        <v>1672</v>
      </c>
      <c r="F2739" t="s">
        <v>115</v>
      </c>
      <c r="G2739">
        <v>4228</v>
      </c>
      <c r="H2739" t="s">
        <v>2277</v>
      </c>
      <c r="I2739" t="s">
        <v>2278</v>
      </c>
      <c r="J2739">
        <v>8</v>
      </c>
      <c r="K2739">
        <v>1</v>
      </c>
      <c r="L2739">
        <v>6.8634259259259256E-3</v>
      </c>
      <c r="M2739" t="s">
        <v>3079</v>
      </c>
      <c r="X2739" t="s">
        <v>3718</v>
      </c>
    </row>
    <row r="2740" spans="1:24" x14ac:dyDescent="0.25">
      <c r="A2740">
        <v>2736</v>
      </c>
      <c r="B2740" t="s">
        <v>29</v>
      </c>
      <c r="C2740" t="s">
        <v>27</v>
      </c>
      <c r="D2740">
        <v>16</v>
      </c>
      <c r="E2740" t="s">
        <v>133</v>
      </c>
      <c r="F2740" t="s">
        <v>115</v>
      </c>
      <c r="G2740">
        <v>3601</v>
      </c>
      <c r="H2740" t="s">
        <v>2369</v>
      </c>
      <c r="I2740" t="s">
        <v>2138</v>
      </c>
      <c r="J2740">
        <v>8</v>
      </c>
      <c r="K2740">
        <v>1</v>
      </c>
      <c r="L2740">
        <v>6.3541666666666668E-3</v>
      </c>
      <c r="M2740" t="s">
        <v>3079</v>
      </c>
      <c r="X2740" t="s">
        <v>3719</v>
      </c>
    </row>
    <row r="2741" spans="1:24" x14ac:dyDescent="0.25">
      <c r="A2741">
        <v>2737</v>
      </c>
      <c r="B2741" t="s">
        <v>29</v>
      </c>
      <c r="C2741" t="s">
        <v>27</v>
      </c>
      <c r="D2741">
        <v>16</v>
      </c>
      <c r="E2741" t="s">
        <v>1665</v>
      </c>
      <c r="F2741" t="s">
        <v>498</v>
      </c>
      <c r="G2741">
        <v>3601</v>
      </c>
      <c r="H2741" t="s">
        <v>2311</v>
      </c>
      <c r="I2741" t="s">
        <v>2300</v>
      </c>
      <c r="J2741">
        <v>8</v>
      </c>
      <c r="K2741">
        <v>1</v>
      </c>
      <c r="L2741">
        <v>2.0254629629629629E-3</v>
      </c>
      <c r="M2741" t="s">
        <v>3079</v>
      </c>
      <c r="X2741" t="s">
        <v>3719</v>
      </c>
    </row>
    <row r="2742" spans="1:24" x14ac:dyDescent="0.25">
      <c r="A2742">
        <v>2738</v>
      </c>
      <c r="B2742" t="s">
        <v>29</v>
      </c>
      <c r="C2742" t="s">
        <v>27</v>
      </c>
      <c r="D2742">
        <v>16</v>
      </c>
      <c r="E2742" t="s">
        <v>131</v>
      </c>
      <c r="F2742" t="s">
        <v>115</v>
      </c>
      <c r="G2742">
        <v>3601</v>
      </c>
      <c r="H2742" t="s">
        <v>2715</v>
      </c>
      <c r="I2742" t="s">
        <v>2310</v>
      </c>
      <c r="J2742">
        <v>8</v>
      </c>
      <c r="K2742">
        <v>1</v>
      </c>
      <c r="L2742">
        <v>2.0023148148148148E-3</v>
      </c>
      <c r="M2742" t="s">
        <v>3079</v>
      </c>
      <c r="X2742" t="s">
        <v>3719</v>
      </c>
    </row>
    <row r="2743" spans="1:24" x14ac:dyDescent="0.25">
      <c r="A2743">
        <v>2739</v>
      </c>
      <c r="B2743" t="s">
        <v>29</v>
      </c>
      <c r="C2743" t="s">
        <v>27</v>
      </c>
      <c r="D2743">
        <v>16</v>
      </c>
      <c r="E2743" t="s">
        <v>1665</v>
      </c>
      <c r="F2743" t="s">
        <v>512</v>
      </c>
      <c r="G2743">
        <v>3601</v>
      </c>
      <c r="H2743" t="s">
        <v>2228</v>
      </c>
      <c r="I2743" t="s">
        <v>2153</v>
      </c>
      <c r="J2743">
        <v>8</v>
      </c>
      <c r="K2743">
        <v>2</v>
      </c>
      <c r="L2743">
        <v>3.49537037037037E-3</v>
      </c>
      <c r="M2743" t="s">
        <v>3079</v>
      </c>
      <c r="X2743" t="s">
        <v>3719</v>
      </c>
    </row>
    <row r="2744" spans="1:24" x14ac:dyDescent="0.25">
      <c r="A2744">
        <v>2740</v>
      </c>
      <c r="B2744" t="s">
        <v>29</v>
      </c>
      <c r="C2744" t="s">
        <v>27</v>
      </c>
      <c r="D2744">
        <v>16</v>
      </c>
      <c r="E2744" t="s">
        <v>1672</v>
      </c>
      <c r="F2744" t="s">
        <v>498</v>
      </c>
      <c r="G2744">
        <v>4244</v>
      </c>
      <c r="H2744" t="s">
        <v>2299</v>
      </c>
      <c r="I2744" t="s">
        <v>2300</v>
      </c>
      <c r="J2744">
        <v>8</v>
      </c>
      <c r="K2744">
        <v>1</v>
      </c>
      <c r="L2744">
        <v>1.9097222222222222E-3</v>
      </c>
      <c r="M2744" t="s">
        <v>778</v>
      </c>
      <c r="N2744" t="s">
        <v>1058</v>
      </c>
      <c r="O2744" s="24">
        <v>46120</v>
      </c>
      <c r="P2744">
        <v>603</v>
      </c>
      <c r="Q2744" t="s">
        <v>34</v>
      </c>
      <c r="X2744" t="s">
        <v>3720</v>
      </c>
    </row>
    <row r="2745" spans="1:24" x14ac:dyDescent="0.25">
      <c r="A2745">
        <v>2741</v>
      </c>
      <c r="B2745" t="s">
        <v>29</v>
      </c>
      <c r="C2745" t="s">
        <v>27</v>
      </c>
      <c r="D2745">
        <v>16</v>
      </c>
      <c r="E2745" t="s">
        <v>131</v>
      </c>
      <c r="F2745" t="s">
        <v>115</v>
      </c>
      <c r="G2745">
        <v>4244</v>
      </c>
      <c r="H2745" t="s">
        <v>2715</v>
      </c>
      <c r="I2745" t="s">
        <v>2310</v>
      </c>
      <c r="J2745">
        <v>8</v>
      </c>
      <c r="K2745">
        <v>1</v>
      </c>
      <c r="L2745">
        <v>1.8749999999999999E-3</v>
      </c>
      <c r="M2745" t="s">
        <v>778</v>
      </c>
      <c r="N2745" t="s">
        <v>1058</v>
      </c>
      <c r="O2745" s="24">
        <v>46120</v>
      </c>
      <c r="P2745">
        <v>603</v>
      </c>
      <c r="Q2745" t="s">
        <v>34</v>
      </c>
      <c r="X2745" t="s">
        <v>3720</v>
      </c>
    </row>
    <row r="2746" spans="1:24" x14ac:dyDescent="0.25">
      <c r="A2746">
        <v>2742</v>
      </c>
      <c r="B2746" t="s">
        <v>29</v>
      </c>
      <c r="C2746" t="s">
        <v>27</v>
      </c>
      <c r="D2746">
        <v>16</v>
      </c>
      <c r="E2746" t="s">
        <v>1588</v>
      </c>
      <c r="F2746" t="s">
        <v>44</v>
      </c>
      <c r="G2746">
        <v>4244</v>
      </c>
      <c r="H2746" t="s">
        <v>2057</v>
      </c>
      <c r="I2746" t="s">
        <v>2049</v>
      </c>
      <c r="J2746">
        <v>8</v>
      </c>
      <c r="K2746">
        <v>1</v>
      </c>
      <c r="L2746">
        <v>1.3194444444444445E-3</v>
      </c>
      <c r="M2746" t="s">
        <v>778</v>
      </c>
      <c r="N2746" t="s">
        <v>1058</v>
      </c>
      <c r="O2746" s="24">
        <v>46120</v>
      </c>
      <c r="P2746">
        <v>603</v>
      </c>
      <c r="Q2746" t="s">
        <v>34</v>
      </c>
      <c r="X2746" t="s">
        <v>3720</v>
      </c>
    </row>
    <row r="2747" spans="1:24" x14ac:dyDescent="0.25">
      <c r="A2747">
        <v>2743</v>
      </c>
      <c r="B2747" t="s">
        <v>29</v>
      </c>
      <c r="C2747" t="s">
        <v>27</v>
      </c>
      <c r="D2747">
        <v>16</v>
      </c>
      <c r="E2747" t="s">
        <v>367</v>
      </c>
      <c r="F2747" t="s">
        <v>368</v>
      </c>
      <c r="G2747">
        <v>4244</v>
      </c>
      <c r="H2747" t="s">
        <v>2114</v>
      </c>
      <c r="I2747" t="s">
        <v>2097</v>
      </c>
      <c r="J2747">
        <v>8</v>
      </c>
      <c r="K2747">
        <v>1</v>
      </c>
      <c r="L2747">
        <v>6.7129629629629625E-4</v>
      </c>
      <c r="M2747" t="s">
        <v>778</v>
      </c>
      <c r="N2747" t="s">
        <v>1058</v>
      </c>
      <c r="O2747" s="24">
        <v>46120</v>
      </c>
      <c r="P2747">
        <v>603</v>
      </c>
      <c r="Q2747" t="s">
        <v>34</v>
      </c>
      <c r="X2747" t="s">
        <v>3720</v>
      </c>
    </row>
    <row r="2748" spans="1:24" x14ac:dyDescent="0.25">
      <c r="A2748">
        <v>2744</v>
      </c>
      <c r="B2748" t="s">
        <v>29</v>
      </c>
      <c r="C2748" t="s">
        <v>27</v>
      </c>
      <c r="D2748">
        <v>16</v>
      </c>
      <c r="E2748" t="s">
        <v>367</v>
      </c>
      <c r="F2748" t="s">
        <v>427</v>
      </c>
      <c r="G2748">
        <v>4244</v>
      </c>
      <c r="H2748" t="s">
        <v>2234</v>
      </c>
      <c r="I2748" t="s">
        <v>2235</v>
      </c>
      <c r="J2748">
        <v>8</v>
      </c>
      <c r="K2748">
        <v>1</v>
      </c>
      <c r="L2748">
        <v>5.7523148148148143E-3</v>
      </c>
      <c r="M2748" t="s">
        <v>778</v>
      </c>
      <c r="N2748" t="s">
        <v>1058</v>
      </c>
      <c r="O2748" s="24">
        <v>46120</v>
      </c>
      <c r="P2748">
        <v>603</v>
      </c>
      <c r="Q2748" t="s">
        <v>34</v>
      </c>
      <c r="X2748" t="s">
        <v>3720</v>
      </c>
    </row>
    <row r="2749" spans="1:24" x14ac:dyDescent="0.25">
      <c r="A2749">
        <v>2745</v>
      </c>
      <c r="B2749" t="s">
        <v>29</v>
      </c>
      <c r="C2749" t="s">
        <v>27</v>
      </c>
      <c r="D2749">
        <v>16</v>
      </c>
      <c r="E2749" t="s">
        <v>2717</v>
      </c>
      <c r="F2749" t="s">
        <v>44</v>
      </c>
      <c r="G2749">
        <v>4244</v>
      </c>
      <c r="H2749" t="s">
        <v>48</v>
      </c>
      <c r="I2749" t="s">
        <v>1119</v>
      </c>
      <c r="J2749">
        <v>8</v>
      </c>
      <c r="K2749">
        <v>5</v>
      </c>
      <c r="L2749">
        <v>7.0717592592592585E-3</v>
      </c>
      <c r="M2749" t="s">
        <v>778</v>
      </c>
      <c r="N2749" t="s">
        <v>1058</v>
      </c>
      <c r="O2749" s="24">
        <v>46120</v>
      </c>
      <c r="P2749">
        <v>603</v>
      </c>
      <c r="Q2749" t="s">
        <v>34</v>
      </c>
      <c r="X2749" t="s">
        <v>3720</v>
      </c>
    </row>
    <row r="2750" spans="1:24" x14ac:dyDescent="0.25">
      <c r="A2750">
        <v>2746</v>
      </c>
      <c r="B2750" t="s">
        <v>29</v>
      </c>
      <c r="C2750" t="s">
        <v>27</v>
      </c>
      <c r="D2750">
        <v>16</v>
      </c>
      <c r="E2750" t="s">
        <v>367</v>
      </c>
      <c r="F2750" t="s">
        <v>1594</v>
      </c>
      <c r="G2750">
        <v>4244</v>
      </c>
      <c r="H2750" t="s">
        <v>2272</v>
      </c>
      <c r="I2750" t="s">
        <v>2273</v>
      </c>
      <c r="J2750">
        <v>8</v>
      </c>
      <c r="K2750">
        <v>1</v>
      </c>
      <c r="L2750">
        <v>2.0138888888888888E-3</v>
      </c>
      <c r="M2750" t="s">
        <v>778</v>
      </c>
      <c r="N2750" t="s">
        <v>1058</v>
      </c>
      <c r="O2750" s="24">
        <v>46120</v>
      </c>
      <c r="P2750">
        <v>603</v>
      </c>
      <c r="Q2750" t="s">
        <v>34</v>
      </c>
      <c r="X2750" t="s">
        <v>3720</v>
      </c>
    </row>
    <row r="2751" spans="1:24" x14ac:dyDescent="0.25">
      <c r="A2751">
        <v>2747</v>
      </c>
      <c r="B2751" t="s">
        <v>29</v>
      </c>
      <c r="C2751" t="s">
        <v>27</v>
      </c>
      <c r="D2751">
        <v>16</v>
      </c>
      <c r="E2751" t="s">
        <v>114</v>
      </c>
      <c r="F2751" t="s">
        <v>512</v>
      </c>
      <c r="G2751">
        <v>3913</v>
      </c>
      <c r="H2751" t="s">
        <v>2307</v>
      </c>
      <c r="I2751" t="s">
        <v>1620</v>
      </c>
      <c r="J2751">
        <v>8</v>
      </c>
      <c r="K2751">
        <v>1</v>
      </c>
      <c r="L2751">
        <v>5.8680555555555552E-3</v>
      </c>
      <c r="M2751" t="s">
        <v>3079</v>
      </c>
      <c r="X2751" t="s">
        <v>3721</v>
      </c>
    </row>
    <row r="2752" spans="1:24" x14ac:dyDescent="0.25">
      <c r="A2752">
        <v>2748</v>
      </c>
      <c r="B2752" t="s">
        <v>29</v>
      </c>
      <c r="C2752" t="s">
        <v>27</v>
      </c>
      <c r="D2752">
        <v>16</v>
      </c>
      <c r="E2752" t="s">
        <v>2296</v>
      </c>
      <c r="F2752" t="s">
        <v>44</v>
      </c>
      <c r="G2752">
        <v>3913</v>
      </c>
      <c r="H2752" t="s">
        <v>48</v>
      </c>
      <c r="I2752" t="s">
        <v>1119</v>
      </c>
      <c r="J2752">
        <v>8</v>
      </c>
      <c r="K2752">
        <v>6</v>
      </c>
      <c r="L2752">
        <v>8.5763888888888886E-3</v>
      </c>
      <c r="M2752" t="s">
        <v>3079</v>
      </c>
      <c r="X2752" t="s">
        <v>3721</v>
      </c>
    </row>
    <row r="2753" spans="1:24" x14ac:dyDescent="0.25">
      <c r="A2753">
        <v>2749</v>
      </c>
      <c r="B2753" t="s">
        <v>29</v>
      </c>
      <c r="C2753" t="s">
        <v>27</v>
      </c>
      <c r="D2753">
        <v>16</v>
      </c>
      <c r="E2753" t="s">
        <v>1665</v>
      </c>
      <c r="F2753" t="s">
        <v>498</v>
      </c>
      <c r="G2753">
        <v>3605</v>
      </c>
      <c r="H2753" t="s">
        <v>2110</v>
      </c>
      <c r="I2753" t="s">
        <v>2111</v>
      </c>
      <c r="J2753">
        <v>8</v>
      </c>
      <c r="K2753">
        <v>2</v>
      </c>
      <c r="L2753">
        <v>1.2037037037037036E-3</v>
      </c>
      <c r="M2753" t="s">
        <v>3079</v>
      </c>
      <c r="X2753" t="s">
        <v>3722</v>
      </c>
    </row>
    <row r="2754" spans="1:24" x14ac:dyDescent="0.25">
      <c r="A2754">
        <v>2750</v>
      </c>
      <c r="B2754" t="s">
        <v>29</v>
      </c>
      <c r="C2754" t="s">
        <v>27</v>
      </c>
      <c r="D2754">
        <v>16</v>
      </c>
      <c r="E2754" t="s">
        <v>150</v>
      </c>
      <c r="F2754" t="s">
        <v>512</v>
      </c>
      <c r="G2754">
        <v>3605</v>
      </c>
      <c r="H2754" t="s">
        <v>1619</v>
      </c>
      <c r="I2754" t="s">
        <v>1620</v>
      </c>
      <c r="J2754">
        <v>8</v>
      </c>
      <c r="K2754">
        <v>1</v>
      </c>
      <c r="L2754">
        <v>5.7986111111111112E-3</v>
      </c>
      <c r="M2754" t="s">
        <v>3079</v>
      </c>
      <c r="X2754" t="s">
        <v>3722</v>
      </c>
    </row>
    <row r="2755" spans="1:24" x14ac:dyDescent="0.25">
      <c r="A2755">
        <v>2751</v>
      </c>
      <c r="B2755" t="s">
        <v>29</v>
      </c>
      <c r="C2755" t="s">
        <v>27</v>
      </c>
      <c r="D2755">
        <v>16</v>
      </c>
      <c r="E2755" t="s">
        <v>1672</v>
      </c>
      <c r="F2755" t="s">
        <v>498</v>
      </c>
      <c r="G2755">
        <v>3605</v>
      </c>
      <c r="H2755" t="s">
        <v>2299</v>
      </c>
      <c r="I2755" t="s">
        <v>2300</v>
      </c>
      <c r="J2755">
        <v>8</v>
      </c>
      <c r="K2755">
        <v>6</v>
      </c>
      <c r="L2755">
        <v>1.1446759259259259E-2</v>
      </c>
      <c r="M2755" t="s">
        <v>3079</v>
      </c>
      <c r="X2755" t="s">
        <v>3722</v>
      </c>
    </row>
    <row r="2756" spans="1:24" x14ac:dyDescent="0.25">
      <c r="A2756">
        <v>2752</v>
      </c>
      <c r="B2756" t="s">
        <v>29</v>
      </c>
      <c r="C2756" t="s">
        <v>27</v>
      </c>
      <c r="D2756">
        <v>16</v>
      </c>
      <c r="E2756" t="s">
        <v>367</v>
      </c>
      <c r="F2756" t="s">
        <v>1599</v>
      </c>
      <c r="G2756">
        <v>3605</v>
      </c>
      <c r="H2756" t="s">
        <v>1633</v>
      </c>
      <c r="I2756" t="s">
        <v>1634</v>
      </c>
      <c r="J2756">
        <v>8</v>
      </c>
      <c r="K2756">
        <v>1</v>
      </c>
      <c r="L2756">
        <v>7.5231481481481482E-4</v>
      </c>
      <c r="M2756" t="s">
        <v>3079</v>
      </c>
      <c r="X2756" t="s">
        <v>3722</v>
      </c>
    </row>
    <row r="2757" spans="1:24" x14ac:dyDescent="0.25">
      <c r="A2757">
        <v>2753</v>
      </c>
      <c r="B2757" t="s">
        <v>29</v>
      </c>
      <c r="C2757" t="s">
        <v>27</v>
      </c>
      <c r="D2757">
        <v>16</v>
      </c>
      <c r="E2757" t="s">
        <v>2195</v>
      </c>
      <c r="F2757" t="s">
        <v>44</v>
      </c>
      <c r="G2757">
        <v>3605</v>
      </c>
      <c r="H2757" t="s">
        <v>48</v>
      </c>
      <c r="I2757" t="s">
        <v>1119</v>
      </c>
      <c r="J2757">
        <v>8</v>
      </c>
      <c r="K2757">
        <v>1</v>
      </c>
      <c r="L2757">
        <v>1.4120370370370369E-3</v>
      </c>
      <c r="M2757" t="s">
        <v>3079</v>
      </c>
      <c r="X2757" t="s">
        <v>3722</v>
      </c>
    </row>
    <row r="2758" spans="1:24" x14ac:dyDescent="0.25">
      <c r="A2758">
        <v>2754</v>
      </c>
      <c r="B2758" t="s">
        <v>29</v>
      </c>
      <c r="C2758" t="s">
        <v>27</v>
      </c>
      <c r="D2758">
        <v>16</v>
      </c>
      <c r="E2758" t="s">
        <v>1665</v>
      </c>
      <c r="F2758" t="s">
        <v>498</v>
      </c>
      <c r="G2758">
        <v>3606</v>
      </c>
      <c r="H2758" t="s">
        <v>2311</v>
      </c>
      <c r="I2758" t="s">
        <v>2300</v>
      </c>
      <c r="J2758">
        <v>8</v>
      </c>
      <c r="K2758">
        <v>8</v>
      </c>
      <c r="L2758">
        <v>1.5787037037037037E-2</v>
      </c>
      <c r="M2758" t="s">
        <v>3079</v>
      </c>
      <c r="X2758" t="s">
        <v>3723</v>
      </c>
    </row>
    <row r="2759" spans="1:24" x14ac:dyDescent="0.25">
      <c r="A2759">
        <v>2755</v>
      </c>
      <c r="B2759" t="s">
        <v>29</v>
      </c>
      <c r="C2759" t="s">
        <v>27</v>
      </c>
      <c r="D2759">
        <v>16</v>
      </c>
      <c r="E2759" t="s">
        <v>147</v>
      </c>
      <c r="F2759" t="s">
        <v>512</v>
      </c>
      <c r="G2759">
        <v>3606</v>
      </c>
      <c r="H2759" t="s">
        <v>2214</v>
      </c>
      <c r="I2759" t="s">
        <v>1620</v>
      </c>
      <c r="J2759">
        <v>8</v>
      </c>
      <c r="K2759">
        <v>1</v>
      </c>
      <c r="L2759">
        <v>5.9953703703703705E-3</v>
      </c>
      <c r="M2759" t="s">
        <v>3079</v>
      </c>
      <c r="X2759" t="s">
        <v>3723</v>
      </c>
    </row>
    <row r="2760" spans="1:24" x14ac:dyDescent="0.25">
      <c r="A2760">
        <v>2756</v>
      </c>
      <c r="B2760" t="s">
        <v>29</v>
      </c>
      <c r="C2760" t="s">
        <v>27</v>
      </c>
      <c r="D2760">
        <v>16</v>
      </c>
      <c r="E2760" t="s">
        <v>1672</v>
      </c>
      <c r="F2760" t="s">
        <v>512</v>
      </c>
      <c r="G2760">
        <v>4347</v>
      </c>
      <c r="H2760" t="s">
        <v>2571</v>
      </c>
      <c r="I2760" t="s">
        <v>2198</v>
      </c>
      <c r="J2760">
        <v>8</v>
      </c>
      <c r="K2760">
        <v>1</v>
      </c>
      <c r="L2760">
        <v>8.1597222222222227E-3</v>
      </c>
      <c r="M2760" t="s">
        <v>3079</v>
      </c>
      <c r="X2760" t="s">
        <v>3724</v>
      </c>
    </row>
    <row r="2761" spans="1:24" x14ac:dyDescent="0.25">
      <c r="A2761">
        <v>2757</v>
      </c>
      <c r="B2761" t="s">
        <v>29</v>
      </c>
      <c r="C2761" t="s">
        <v>27</v>
      </c>
      <c r="D2761">
        <v>16</v>
      </c>
      <c r="E2761" t="s">
        <v>2195</v>
      </c>
      <c r="F2761" t="s">
        <v>44</v>
      </c>
      <c r="G2761">
        <v>4347</v>
      </c>
      <c r="H2761" t="s">
        <v>48</v>
      </c>
      <c r="I2761" t="s">
        <v>1119</v>
      </c>
      <c r="J2761">
        <v>8</v>
      </c>
      <c r="K2761">
        <v>1</v>
      </c>
      <c r="L2761">
        <v>1.6203703703703703E-3</v>
      </c>
      <c r="M2761" t="s">
        <v>3079</v>
      </c>
      <c r="X2761" t="s">
        <v>3724</v>
      </c>
    </row>
    <row r="2762" spans="1:24" x14ac:dyDescent="0.25">
      <c r="A2762">
        <v>2758</v>
      </c>
      <c r="B2762" t="s">
        <v>29</v>
      </c>
      <c r="C2762" t="s">
        <v>27</v>
      </c>
      <c r="D2762">
        <v>16</v>
      </c>
      <c r="E2762" t="s">
        <v>1672</v>
      </c>
      <c r="F2762" t="s">
        <v>512</v>
      </c>
      <c r="G2762">
        <v>3914</v>
      </c>
      <c r="H2762" t="s">
        <v>2297</v>
      </c>
      <c r="I2762" t="s">
        <v>2226</v>
      </c>
      <c r="J2762">
        <v>8</v>
      </c>
      <c r="K2762">
        <v>2</v>
      </c>
      <c r="L2762">
        <v>3.8773148148148148E-3</v>
      </c>
      <c r="M2762" t="s">
        <v>3079</v>
      </c>
      <c r="X2762" t="s">
        <v>3725</v>
      </c>
    </row>
    <row r="2763" spans="1:24" x14ac:dyDescent="0.25">
      <c r="A2763">
        <v>2759</v>
      </c>
      <c r="B2763" t="s">
        <v>29</v>
      </c>
      <c r="C2763" t="s">
        <v>27</v>
      </c>
      <c r="D2763">
        <v>16</v>
      </c>
      <c r="E2763" t="s">
        <v>1672</v>
      </c>
      <c r="F2763" t="s">
        <v>498</v>
      </c>
      <c r="G2763">
        <v>3914</v>
      </c>
      <c r="H2763" t="s">
        <v>2299</v>
      </c>
      <c r="I2763" t="s">
        <v>2300</v>
      </c>
      <c r="J2763">
        <v>8</v>
      </c>
      <c r="K2763">
        <v>1</v>
      </c>
      <c r="L2763">
        <v>1.9675925925925924E-3</v>
      </c>
      <c r="M2763" t="s">
        <v>3079</v>
      </c>
      <c r="X2763" t="s">
        <v>3725</v>
      </c>
    </row>
    <row r="2764" spans="1:24" x14ac:dyDescent="0.25">
      <c r="A2764">
        <v>2760</v>
      </c>
      <c r="B2764" t="s">
        <v>29</v>
      </c>
      <c r="C2764" t="s">
        <v>27</v>
      </c>
      <c r="D2764">
        <v>16</v>
      </c>
      <c r="E2764" t="s">
        <v>114</v>
      </c>
      <c r="F2764" t="s">
        <v>512</v>
      </c>
      <c r="G2764">
        <v>3914</v>
      </c>
      <c r="H2764" t="s">
        <v>2394</v>
      </c>
      <c r="I2764" t="s">
        <v>2161</v>
      </c>
      <c r="J2764">
        <v>8</v>
      </c>
      <c r="K2764">
        <v>3</v>
      </c>
      <c r="L2764">
        <v>5.3819444444444444E-3</v>
      </c>
      <c r="M2764" t="s">
        <v>3079</v>
      </c>
      <c r="X2764" t="s">
        <v>3725</v>
      </c>
    </row>
    <row r="2765" spans="1:24" x14ac:dyDescent="0.25">
      <c r="A2765">
        <v>2761</v>
      </c>
      <c r="B2765" t="s">
        <v>29</v>
      </c>
      <c r="C2765" t="s">
        <v>27</v>
      </c>
      <c r="D2765">
        <v>16</v>
      </c>
      <c r="E2765" t="s">
        <v>2195</v>
      </c>
      <c r="F2765" t="s">
        <v>44</v>
      </c>
      <c r="G2765">
        <v>3914</v>
      </c>
      <c r="H2765" t="s">
        <v>48</v>
      </c>
      <c r="I2765" t="s">
        <v>1119</v>
      </c>
      <c r="J2765">
        <v>8</v>
      </c>
      <c r="K2765">
        <v>1</v>
      </c>
      <c r="L2765">
        <v>1.4583333333333332E-3</v>
      </c>
      <c r="M2765" t="s">
        <v>3079</v>
      </c>
      <c r="X2765" t="s">
        <v>3725</v>
      </c>
    </row>
    <row r="2766" spans="1:24" x14ac:dyDescent="0.25">
      <c r="A2766">
        <v>2762</v>
      </c>
      <c r="B2766" t="s">
        <v>29</v>
      </c>
      <c r="C2766" t="s">
        <v>27</v>
      </c>
      <c r="D2766">
        <v>16</v>
      </c>
      <c r="E2766" t="s">
        <v>550</v>
      </c>
      <c r="F2766" t="s">
        <v>512</v>
      </c>
      <c r="G2766">
        <v>3914</v>
      </c>
      <c r="H2766" t="s">
        <v>2182</v>
      </c>
      <c r="I2766" t="s">
        <v>2183</v>
      </c>
      <c r="J2766">
        <v>8</v>
      </c>
      <c r="K2766">
        <v>1</v>
      </c>
      <c r="L2766">
        <v>5.9953703703703705E-3</v>
      </c>
      <c r="M2766" t="s">
        <v>3079</v>
      </c>
      <c r="X2766" t="s">
        <v>3725</v>
      </c>
    </row>
    <row r="2767" spans="1:24" x14ac:dyDescent="0.25">
      <c r="A2767">
        <v>2763</v>
      </c>
      <c r="B2767" t="s">
        <v>29</v>
      </c>
      <c r="C2767" t="s">
        <v>27</v>
      </c>
      <c r="D2767">
        <v>16</v>
      </c>
      <c r="E2767" t="s">
        <v>1672</v>
      </c>
      <c r="F2767" t="s">
        <v>498</v>
      </c>
      <c r="G2767">
        <v>4348</v>
      </c>
      <c r="H2767" t="s">
        <v>2055</v>
      </c>
      <c r="I2767" t="s">
        <v>2056</v>
      </c>
      <c r="J2767">
        <v>8</v>
      </c>
      <c r="K2767">
        <v>1</v>
      </c>
      <c r="L2767">
        <v>9.1435185185185185E-4</v>
      </c>
      <c r="M2767" t="s">
        <v>3079</v>
      </c>
      <c r="X2767" t="s">
        <v>3726</v>
      </c>
    </row>
    <row r="2768" spans="1:24" x14ac:dyDescent="0.25">
      <c r="A2768">
        <v>2764</v>
      </c>
      <c r="B2768" t="s">
        <v>29</v>
      </c>
      <c r="C2768" t="s">
        <v>27</v>
      </c>
      <c r="D2768">
        <v>16</v>
      </c>
      <c r="E2768" t="s">
        <v>1665</v>
      </c>
      <c r="F2768" t="s">
        <v>498</v>
      </c>
      <c r="G2768">
        <v>4348</v>
      </c>
      <c r="H2768" t="s">
        <v>2192</v>
      </c>
      <c r="I2768" t="s">
        <v>2193</v>
      </c>
      <c r="J2768">
        <v>8</v>
      </c>
      <c r="K2768">
        <v>1</v>
      </c>
      <c r="L2768">
        <v>5.9375000000000001E-3</v>
      </c>
      <c r="M2768" t="s">
        <v>3079</v>
      </c>
      <c r="X2768" t="s">
        <v>3726</v>
      </c>
    </row>
    <row r="2769" spans="1:26" x14ac:dyDescent="0.25">
      <c r="A2769">
        <v>2765</v>
      </c>
      <c r="B2769" t="s">
        <v>29</v>
      </c>
      <c r="C2769" t="s">
        <v>27</v>
      </c>
      <c r="D2769">
        <v>16</v>
      </c>
      <c r="E2769" t="s">
        <v>2195</v>
      </c>
      <c r="F2769" t="s">
        <v>44</v>
      </c>
      <c r="G2769">
        <v>4348</v>
      </c>
      <c r="H2769" t="s">
        <v>48</v>
      </c>
      <c r="I2769" t="s">
        <v>1119</v>
      </c>
      <c r="J2769">
        <v>8</v>
      </c>
      <c r="K2769">
        <v>1</v>
      </c>
      <c r="L2769">
        <v>1.4699074074074074E-3</v>
      </c>
      <c r="M2769" t="s">
        <v>3079</v>
      </c>
      <c r="X2769" t="s">
        <v>3726</v>
      </c>
    </row>
    <row r="2770" spans="1:26" x14ac:dyDescent="0.25">
      <c r="A2770">
        <v>2766</v>
      </c>
      <c r="B2770" t="s">
        <v>29</v>
      </c>
      <c r="C2770" t="s">
        <v>27</v>
      </c>
      <c r="D2770">
        <v>16</v>
      </c>
      <c r="E2770" t="s">
        <v>2195</v>
      </c>
      <c r="F2770" t="s">
        <v>44</v>
      </c>
      <c r="G2770">
        <v>3915</v>
      </c>
      <c r="H2770" t="s">
        <v>48</v>
      </c>
      <c r="I2770" t="s">
        <v>1119</v>
      </c>
      <c r="J2770">
        <v>8</v>
      </c>
      <c r="K2770">
        <v>1</v>
      </c>
      <c r="L2770">
        <v>1.6319444444444443E-3</v>
      </c>
      <c r="M2770" t="s">
        <v>3079</v>
      </c>
      <c r="X2770" t="s">
        <v>3727</v>
      </c>
    </row>
    <row r="2771" spans="1:26" x14ac:dyDescent="0.25">
      <c r="A2771">
        <v>2767</v>
      </c>
      <c r="B2771" t="s">
        <v>29</v>
      </c>
      <c r="C2771" t="s">
        <v>27</v>
      </c>
      <c r="D2771">
        <v>16</v>
      </c>
      <c r="E2771" t="s">
        <v>1665</v>
      </c>
      <c r="F2771" t="s">
        <v>115</v>
      </c>
      <c r="G2771">
        <v>3915</v>
      </c>
      <c r="H2771" t="s">
        <v>2431</v>
      </c>
      <c r="I2771" t="s">
        <v>2278</v>
      </c>
      <c r="J2771">
        <v>8</v>
      </c>
      <c r="K2771">
        <v>1</v>
      </c>
      <c r="L2771">
        <v>7.6273148148148142E-3</v>
      </c>
      <c r="M2771" t="s">
        <v>3079</v>
      </c>
      <c r="X2771" t="s">
        <v>3727</v>
      </c>
    </row>
    <row r="2772" spans="1:26" x14ac:dyDescent="0.25">
      <c r="A2772">
        <v>2768</v>
      </c>
      <c r="B2772" t="s">
        <v>29</v>
      </c>
      <c r="C2772" t="s">
        <v>27</v>
      </c>
      <c r="D2772">
        <v>16</v>
      </c>
      <c r="E2772" t="s">
        <v>1672</v>
      </c>
      <c r="F2772" t="s">
        <v>115</v>
      </c>
      <c r="G2772">
        <v>3916</v>
      </c>
      <c r="H2772" t="s">
        <v>2309</v>
      </c>
      <c r="I2772" t="s">
        <v>2310</v>
      </c>
      <c r="J2772">
        <v>8</v>
      </c>
      <c r="K2772">
        <v>8</v>
      </c>
      <c r="L2772">
        <v>1.5162037037037036E-2</v>
      </c>
      <c r="M2772" t="s">
        <v>3079</v>
      </c>
      <c r="X2772" t="s">
        <v>3728</v>
      </c>
    </row>
    <row r="2773" spans="1:26" x14ac:dyDescent="0.25">
      <c r="A2773">
        <v>2769</v>
      </c>
      <c r="B2773" t="s">
        <v>29</v>
      </c>
      <c r="C2773" t="s">
        <v>27</v>
      </c>
      <c r="D2773">
        <v>16</v>
      </c>
      <c r="E2773" t="s">
        <v>1665</v>
      </c>
      <c r="F2773" t="s">
        <v>512</v>
      </c>
      <c r="G2773">
        <v>3916</v>
      </c>
      <c r="H2773" t="s">
        <v>2607</v>
      </c>
      <c r="I2773" t="s">
        <v>2585</v>
      </c>
      <c r="J2773">
        <v>8</v>
      </c>
      <c r="K2773">
        <v>1</v>
      </c>
      <c r="L2773">
        <v>5.4629629629629629E-3</v>
      </c>
      <c r="M2773" t="s">
        <v>3079</v>
      </c>
      <c r="X2773" t="s">
        <v>3728</v>
      </c>
    </row>
    <row r="2774" spans="1:26" x14ac:dyDescent="0.25">
      <c r="A2774">
        <v>2770</v>
      </c>
      <c r="B2774" t="s">
        <v>29</v>
      </c>
      <c r="C2774" t="s">
        <v>27</v>
      </c>
      <c r="D2774">
        <v>16</v>
      </c>
      <c r="E2774" t="s">
        <v>367</v>
      </c>
      <c r="F2774" t="s">
        <v>368</v>
      </c>
      <c r="G2774">
        <v>3916</v>
      </c>
      <c r="H2774" t="s">
        <v>2114</v>
      </c>
      <c r="I2774" t="s">
        <v>2097</v>
      </c>
      <c r="J2774">
        <v>8</v>
      </c>
      <c r="K2774">
        <v>2</v>
      </c>
      <c r="L2774">
        <v>1.3657407407407407E-3</v>
      </c>
      <c r="M2774" t="s">
        <v>3079</v>
      </c>
      <c r="X2774" t="s">
        <v>3728</v>
      </c>
    </row>
    <row r="2775" spans="1:26" x14ac:dyDescent="0.25">
      <c r="A2775">
        <v>2771</v>
      </c>
      <c r="B2775" t="s">
        <v>29</v>
      </c>
      <c r="C2775" t="s">
        <v>27</v>
      </c>
      <c r="D2775">
        <v>16</v>
      </c>
      <c r="E2775" t="s">
        <v>367</v>
      </c>
      <c r="F2775" t="s">
        <v>368</v>
      </c>
      <c r="G2775">
        <v>3916</v>
      </c>
      <c r="H2775" t="s">
        <v>2096</v>
      </c>
      <c r="I2775" t="s">
        <v>2097</v>
      </c>
      <c r="J2775">
        <v>8</v>
      </c>
      <c r="K2775">
        <v>1</v>
      </c>
      <c r="L2775">
        <v>6.8287037037037036E-4</v>
      </c>
      <c r="M2775" t="s">
        <v>3079</v>
      </c>
      <c r="X2775" t="s">
        <v>3728</v>
      </c>
    </row>
    <row r="2776" spans="1:26" x14ac:dyDescent="0.25">
      <c r="A2776">
        <v>2772</v>
      </c>
      <c r="B2776" t="s">
        <v>29</v>
      </c>
      <c r="C2776" t="s">
        <v>27</v>
      </c>
      <c r="D2776">
        <v>16</v>
      </c>
      <c r="E2776" t="s">
        <v>1672</v>
      </c>
      <c r="F2776" t="s">
        <v>498</v>
      </c>
      <c r="G2776">
        <v>4282</v>
      </c>
      <c r="H2776" t="s">
        <v>2055</v>
      </c>
      <c r="I2776" t="s">
        <v>2056</v>
      </c>
      <c r="J2776">
        <v>8</v>
      </c>
      <c r="K2776">
        <v>1</v>
      </c>
      <c r="L2776">
        <v>8.4490740740740739E-4</v>
      </c>
      <c r="M2776" t="s">
        <v>117</v>
      </c>
      <c r="N2776" t="s">
        <v>822</v>
      </c>
      <c r="O2776" s="24">
        <v>46128</v>
      </c>
      <c r="P2776">
        <v>605</v>
      </c>
      <c r="Q2776" t="s">
        <v>34</v>
      </c>
      <c r="R2776">
        <v>46137</v>
      </c>
      <c r="S2776" s="51">
        <v>0.77430555555555558</v>
      </c>
      <c r="T2776" s="51">
        <v>0.79513888888888884</v>
      </c>
      <c r="X2776" t="s">
        <v>3729</v>
      </c>
      <c r="Y2776" t="s">
        <v>3029</v>
      </c>
      <c r="Z2776">
        <v>2784148</v>
      </c>
    </row>
    <row r="2777" spans="1:26" x14ac:dyDescent="0.25">
      <c r="A2777">
        <v>2773</v>
      </c>
      <c r="B2777" t="s">
        <v>29</v>
      </c>
      <c r="C2777" t="s">
        <v>27</v>
      </c>
      <c r="D2777">
        <v>16</v>
      </c>
      <c r="E2777" t="s">
        <v>367</v>
      </c>
      <c r="F2777" t="s">
        <v>367</v>
      </c>
      <c r="G2777">
        <v>4282</v>
      </c>
      <c r="H2777" t="s">
        <v>2416</v>
      </c>
      <c r="I2777" t="s">
        <v>2329</v>
      </c>
      <c r="J2777">
        <v>8</v>
      </c>
      <c r="K2777">
        <v>1</v>
      </c>
      <c r="L2777">
        <v>6.8287037037037036E-4</v>
      </c>
      <c r="M2777" t="s">
        <v>117</v>
      </c>
      <c r="N2777" t="s">
        <v>822</v>
      </c>
      <c r="O2777" s="24">
        <v>46128</v>
      </c>
      <c r="P2777">
        <v>605</v>
      </c>
      <c r="Q2777" t="s">
        <v>34</v>
      </c>
      <c r="R2777">
        <v>46137</v>
      </c>
      <c r="S2777" s="51">
        <v>0.77430555555555558</v>
      </c>
      <c r="T2777" s="51">
        <v>0.79513888888888884</v>
      </c>
      <c r="X2777" t="s">
        <v>3729</v>
      </c>
      <c r="Y2777" t="s">
        <v>3029</v>
      </c>
      <c r="Z2777">
        <v>2784148</v>
      </c>
    </row>
    <row r="2778" spans="1:26" x14ac:dyDescent="0.25">
      <c r="A2778">
        <v>2774</v>
      </c>
      <c r="B2778" t="s">
        <v>29</v>
      </c>
      <c r="C2778" t="s">
        <v>27</v>
      </c>
      <c r="D2778">
        <v>16</v>
      </c>
      <c r="E2778" t="s">
        <v>367</v>
      </c>
      <c r="F2778" t="s">
        <v>368</v>
      </c>
      <c r="G2778">
        <v>4282</v>
      </c>
      <c r="H2778" t="s">
        <v>2114</v>
      </c>
      <c r="I2778" t="s">
        <v>2097</v>
      </c>
      <c r="J2778">
        <v>8</v>
      </c>
      <c r="K2778">
        <v>1</v>
      </c>
      <c r="L2778">
        <v>6.4814814814814813E-4</v>
      </c>
      <c r="M2778" t="s">
        <v>117</v>
      </c>
      <c r="N2778" t="s">
        <v>822</v>
      </c>
      <c r="O2778" s="24">
        <v>46128</v>
      </c>
      <c r="P2778">
        <v>605</v>
      </c>
      <c r="Q2778" t="s">
        <v>34</v>
      </c>
      <c r="R2778">
        <v>46137</v>
      </c>
      <c r="S2778" s="51">
        <v>0.77430555555555558</v>
      </c>
      <c r="T2778" s="51">
        <v>0.79513888888888884</v>
      </c>
      <c r="X2778" t="s">
        <v>3729</v>
      </c>
      <c r="Y2778" t="s">
        <v>3029</v>
      </c>
      <c r="Z2778">
        <v>2784148</v>
      </c>
    </row>
    <row r="2779" spans="1:26" x14ac:dyDescent="0.25">
      <c r="A2779">
        <v>2775</v>
      </c>
      <c r="B2779" t="s">
        <v>29</v>
      </c>
      <c r="C2779" t="s">
        <v>27</v>
      </c>
      <c r="D2779">
        <v>16</v>
      </c>
      <c r="E2779" t="s">
        <v>1141</v>
      </c>
      <c r="F2779" t="s">
        <v>1594</v>
      </c>
      <c r="G2779">
        <v>4282</v>
      </c>
      <c r="H2779" t="s">
        <v>2610</v>
      </c>
      <c r="I2779" t="s">
        <v>2611</v>
      </c>
      <c r="J2779">
        <v>8</v>
      </c>
      <c r="K2779">
        <v>1</v>
      </c>
      <c r="L2779">
        <v>4.363425925925926E-3</v>
      </c>
      <c r="M2779" t="s">
        <v>117</v>
      </c>
      <c r="N2779" t="s">
        <v>822</v>
      </c>
      <c r="O2779" s="24">
        <v>46128</v>
      </c>
      <c r="P2779">
        <v>605</v>
      </c>
      <c r="Q2779" t="s">
        <v>34</v>
      </c>
      <c r="R2779">
        <v>46137</v>
      </c>
      <c r="S2779" s="51">
        <v>0.77430555555555558</v>
      </c>
      <c r="T2779" s="51">
        <v>0.79513888888888884</v>
      </c>
      <c r="X2779" t="s">
        <v>3729</v>
      </c>
      <c r="Y2779" t="s">
        <v>3029</v>
      </c>
      <c r="Z2779">
        <v>2784148</v>
      </c>
    </row>
    <row r="2780" spans="1:26" x14ac:dyDescent="0.25">
      <c r="A2780">
        <v>2776</v>
      </c>
      <c r="B2780" t="s">
        <v>29</v>
      </c>
      <c r="C2780" t="s">
        <v>27</v>
      </c>
      <c r="D2780">
        <v>16</v>
      </c>
      <c r="E2780" t="s">
        <v>367</v>
      </c>
      <c r="F2780" t="s">
        <v>1594</v>
      </c>
      <c r="G2780">
        <v>4282</v>
      </c>
      <c r="H2780" t="s">
        <v>2280</v>
      </c>
      <c r="I2780" t="s">
        <v>2273</v>
      </c>
      <c r="J2780">
        <v>8</v>
      </c>
      <c r="K2780">
        <v>1</v>
      </c>
      <c r="L2780">
        <v>1.9444444444444444E-3</v>
      </c>
      <c r="M2780" t="s">
        <v>117</v>
      </c>
      <c r="N2780" t="s">
        <v>822</v>
      </c>
      <c r="O2780" s="24">
        <v>46128</v>
      </c>
      <c r="P2780">
        <v>605</v>
      </c>
      <c r="Q2780" t="s">
        <v>34</v>
      </c>
      <c r="R2780">
        <v>46137</v>
      </c>
      <c r="S2780" s="51">
        <v>0.77430555555555558</v>
      </c>
      <c r="T2780" s="51">
        <v>0.79513888888888884</v>
      </c>
      <c r="X2780" t="s">
        <v>3729</v>
      </c>
      <c r="Y2780" t="s">
        <v>3029</v>
      </c>
      <c r="Z2780">
        <v>2784148</v>
      </c>
    </row>
    <row r="2781" spans="1:26" x14ac:dyDescent="0.25">
      <c r="A2781">
        <v>2777</v>
      </c>
      <c r="B2781" t="s">
        <v>29</v>
      </c>
      <c r="C2781" t="s">
        <v>27</v>
      </c>
      <c r="D2781">
        <v>16</v>
      </c>
      <c r="E2781" t="s">
        <v>2729</v>
      </c>
      <c r="F2781" t="s">
        <v>512</v>
      </c>
      <c r="G2781">
        <v>4282</v>
      </c>
      <c r="H2781" t="s">
        <v>2727</v>
      </c>
      <c r="I2781" t="s">
        <v>2728</v>
      </c>
      <c r="J2781">
        <v>8</v>
      </c>
      <c r="K2781">
        <v>1</v>
      </c>
      <c r="L2781">
        <v>1.4120370370370369E-3</v>
      </c>
      <c r="M2781" t="s">
        <v>117</v>
      </c>
      <c r="N2781" t="s">
        <v>822</v>
      </c>
      <c r="O2781" s="24">
        <v>46128</v>
      </c>
      <c r="P2781">
        <v>605</v>
      </c>
      <c r="Q2781" t="s">
        <v>34</v>
      </c>
      <c r="R2781">
        <v>46137</v>
      </c>
      <c r="S2781" s="51">
        <v>0.77430555555555558</v>
      </c>
      <c r="T2781" s="51">
        <v>0.79513888888888884</v>
      </c>
      <c r="X2781" t="s">
        <v>3729</v>
      </c>
      <c r="Y2781" t="s">
        <v>3029</v>
      </c>
      <c r="Z2781">
        <v>2784148</v>
      </c>
    </row>
    <row r="2782" spans="1:26" x14ac:dyDescent="0.25">
      <c r="A2782">
        <v>2778</v>
      </c>
      <c r="B2782" t="s">
        <v>29</v>
      </c>
      <c r="C2782" t="s">
        <v>27</v>
      </c>
      <c r="D2782">
        <v>16</v>
      </c>
      <c r="E2782" t="s">
        <v>2730</v>
      </c>
      <c r="F2782" t="s">
        <v>44</v>
      </c>
      <c r="G2782">
        <v>4282</v>
      </c>
      <c r="H2782" t="s">
        <v>48</v>
      </c>
      <c r="I2782" t="s">
        <v>1119</v>
      </c>
      <c r="J2782">
        <v>8</v>
      </c>
      <c r="K2782">
        <v>7</v>
      </c>
      <c r="L2782">
        <v>9.525462962962963E-3</v>
      </c>
      <c r="M2782" t="s">
        <v>117</v>
      </c>
      <c r="N2782" t="s">
        <v>822</v>
      </c>
      <c r="O2782" s="24">
        <v>46128</v>
      </c>
      <c r="P2782">
        <v>605</v>
      </c>
      <c r="Q2782" t="s">
        <v>34</v>
      </c>
      <c r="R2782">
        <v>46137</v>
      </c>
      <c r="S2782" s="51">
        <v>0.77430555555555558</v>
      </c>
      <c r="T2782" s="51">
        <v>0.79513888888888884</v>
      </c>
      <c r="X2782" t="s">
        <v>3729</v>
      </c>
      <c r="Y2782" t="s">
        <v>3029</v>
      </c>
      <c r="Z2782">
        <v>2784148</v>
      </c>
    </row>
    <row r="2783" spans="1:26" x14ac:dyDescent="0.25">
      <c r="A2783">
        <v>2779</v>
      </c>
      <c r="B2783" t="s">
        <v>29</v>
      </c>
      <c r="C2783" t="s">
        <v>27</v>
      </c>
      <c r="D2783">
        <v>16</v>
      </c>
      <c r="E2783" t="s">
        <v>1672</v>
      </c>
      <c r="F2783" t="s">
        <v>115</v>
      </c>
      <c r="G2783">
        <v>3917</v>
      </c>
      <c r="H2783" t="s">
        <v>2309</v>
      </c>
      <c r="I2783" t="s">
        <v>2310</v>
      </c>
      <c r="J2783">
        <v>8</v>
      </c>
      <c r="K2783">
        <v>1</v>
      </c>
      <c r="L2783">
        <v>2.0370370370370369E-3</v>
      </c>
      <c r="M2783" t="s">
        <v>3079</v>
      </c>
      <c r="X2783" t="s">
        <v>3730</v>
      </c>
    </row>
    <row r="2784" spans="1:26" x14ac:dyDescent="0.25">
      <c r="A2784">
        <v>2780</v>
      </c>
      <c r="B2784" t="s">
        <v>29</v>
      </c>
      <c r="C2784" t="s">
        <v>27</v>
      </c>
      <c r="D2784">
        <v>16</v>
      </c>
      <c r="E2784" t="s">
        <v>1665</v>
      </c>
      <c r="F2784" t="s">
        <v>115</v>
      </c>
      <c r="G2784">
        <v>3917</v>
      </c>
      <c r="H2784" t="s">
        <v>2732</v>
      </c>
      <c r="I2784" t="s">
        <v>2267</v>
      </c>
      <c r="J2784">
        <v>8</v>
      </c>
      <c r="K2784">
        <v>1</v>
      </c>
      <c r="L2784">
        <v>6.3078703703703699E-3</v>
      </c>
      <c r="M2784" t="s">
        <v>3079</v>
      </c>
      <c r="X2784" t="s">
        <v>3730</v>
      </c>
    </row>
    <row r="2785" spans="1:24" x14ac:dyDescent="0.25">
      <c r="A2785">
        <v>2781</v>
      </c>
      <c r="B2785" t="s">
        <v>29</v>
      </c>
      <c r="C2785" t="s">
        <v>27</v>
      </c>
      <c r="D2785">
        <v>16</v>
      </c>
      <c r="E2785" t="s">
        <v>367</v>
      </c>
      <c r="F2785" t="s">
        <v>1592</v>
      </c>
      <c r="G2785">
        <v>3917</v>
      </c>
      <c r="H2785" t="s">
        <v>2062</v>
      </c>
      <c r="I2785" t="s">
        <v>2063</v>
      </c>
      <c r="J2785">
        <v>8</v>
      </c>
      <c r="K2785">
        <v>1</v>
      </c>
      <c r="L2785">
        <v>5.0925925925925921E-4</v>
      </c>
      <c r="M2785" t="s">
        <v>3079</v>
      </c>
      <c r="X2785" t="s">
        <v>3730</v>
      </c>
    </row>
    <row r="2786" spans="1:24" x14ac:dyDescent="0.25">
      <c r="A2786">
        <v>2782</v>
      </c>
      <c r="B2786" t="s">
        <v>29</v>
      </c>
      <c r="C2786" t="s">
        <v>27</v>
      </c>
      <c r="D2786">
        <v>16</v>
      </c>
      <c r="E2786" t="s">
        <v>367</v>
      </c>
      <c r="F2786" t="s">
        <v>512</v>
      </c>
      <c r="G2786">
        <v>3917</v>
      </c>
      <c r="H2786" t="s">
        <v>2598</v>
      </c>
      <c r="I2786" t="s">
        <v>2599</v>
      </c>
      <c r="J2786">
        <v>8</v>
      </c>
      <c r="K2786">
        <v>1</v>
      </c>
      <c r="L2786">
        <v>1.0185185185185184E-3</v>
      </c>
      <c r="M2786" t="s">
        <v>3079</v>
      </c>
      <c r="X2786" t="s">
        <v>3730</v>
      </c>
    </row>
    <row r="2787" spans="1:24" x14ac:dyDescent="0.25">
      <c r="A2787">
        <v>2783</v>
      </c>
      <c r="B2787" t="s">
        <v>29</v>
      </c>
      <c r="C2787" t="s">
        <v>27</v>
      </c>
      <c r="D2787">
        <v>16</v>
      </c>
      <c r="E2787" t="s">
        <v>367</v>
      </c>
      <c r="F2787" t="s">
        <v>1594</v>
      </c>
      <c r="G2787">
        <v>3917</v>
      </c>
      <c r="H2787" t="s">
        <v>2280</v>
      </c>
      <c r="I2787" t="s">
        <v>2273</v>
      </c>
      <c r="J2787">
        <v>8</v>
      </c>
      <c r="K2787">
        <v>2</v>
      </c>
      <c r="L2787">
        <v>4.3981481481481476E-3</v>
      </c>
      <c r="M2787" t="s">
        <v>3079</v>
      </c>
      <c r="X2787" t="s">
        <v>3730</v>
      </c>
    </row>
    <row r="2788" spans="1:24" x14ac:dyDescent="0.25">
      <c r="A2788">
        <v>2784</v>
      </c>
      <c r="B2788" t="s">
        <v>29</v>
      </c>
      <c r="C2788" t="s">
        <v>27</v>
      </c>
      <c r="D2788">
        <v>16</v>
      </c>
      <c r="E2788" t="s">
        <v>367</v>
      </c>
      <c r="F2788" t="s">
        <v>1594</v>
      </c>
      <c r="G2788">
        <v>3917</v>
      </c>
      <c r="H2788" t="s">
        <v>2574</v>
      </c>
      <c r="I2788" t="s">
        <v>2487</v>
      </c>
      <c r="J2788">
        <v>8</v>
      </c>
      <c r="K2788">
        <v>1</v>
      </c>
      <c r="L2788">
        <v>1.0300925925925926E-3</v>
      </c>
      <c r="M2788" t="s">
        <v>3079</v>
      </c>
      <c r="X2788" t="s">
        <v>3730</v>
      </c>
    </row>
    <row r="2789" spans="1:24" x14ac:dyDescent="0.25">
      <c r="A2789">
        <v>2785</v>
      </c>
      <c r="B2789" t="s">
        <v>29</v>
      </c>
      <c r="C2789" t="s">
        <v>27</v>
      </c>
      <c r="D2789">
        <v>16</v>
      </c>
      <c r="E2789" t="s">
        <v>1588</v>
      </c>
      <c r="F2789" t="s">
        <v>512</v>
      </c>
      <c r="G2789">
        <v>4349</v>
      </c>
      <c r="H2789" t="s">
        <v>2197</v>
      </c>
      <c r="I2789" t="s">
        <v>2198</v>
      </c>
      <c r="J2789">
        <v>8</v>
      </c>
      <c r="K2789">
        <v>1</v>
      </c>
      <c r="L2789">
        <v>6.192129629629629E-3</v>
      </c>
      <c r="M2789" t="s">
        <v>778</v>
      </c>
      <c r="N2789" t="s">
        <v>1058</v>
      </c>
      <c r="O2789" s="24">
        <v>46120</v>
      </c>
      <c r="P2789">
        <v>603</v>
      </c>
      <c r="Q2789" t="s">
        <v>34</v>
      </c>
      <c r="X2789" t="s">
        <v>3731</v>
      </c>
    </row>
    <row r="2790" spans="1:24" x14ac:dyDescent="0.25">
      <c r="A2790">
        <v>2786</v>
      </c>
      <c r="B2790" t="s">
        <v>29</v>
      </c>
      <c r="C2790" t="s">
        <v>27</v>
      </c>
      <c r="D2790">
        <v>16</v>
      </c>
      <c r="E2790" t="s">
        <v>2195</v>
      </c>
      <c r="F2790" t="s">
        <v>44</v>
      </c>
      <c r="G2790">
        <v>4349</v>
      </c>
      <c r="H2790" t="s">
        <v>48</v>
      </c>
      <c r="I2790" t="s">
        <v>1119</v>
      </c>
      <c r="J2790">
        <v>8</v>
      </c>
      <c r="K2790">
        <v>1</v>
      </c>
      <c r="L2790">
        <v>1.5162037037037036E-3</v>
      </c>
      <c r="M2790" t="s">
        <v>778</v>
      </c>
      <c r="N2790" t="s">
        <v>1058</v>
      </c>
      <c r="O2790" s="24">
        <v>46120</v>
      </c>
      <c r="P2790">
        <v>603</v>
      </c>
      <c r="Q2790" t="s">
        <v>34</v>
      </c>
      <c r="X2790" t="s">
        <v>3731</v>
      </c>
    </row>
    <row r="2791" spans="1:24" x14ac:dyDescent="0.25">
      <c r="A2791">
        <v>2787</v>
      </c>
      <c r="B2791" t="s">
        <v>29</v>
      </c>
      <c r="C2791" t="s">
        <v>27</v>
      </c>
      <c r="D2791">
        <v>16</v>
      </c>
      <c r="E2791" t="s">
        <v>1665</v>
      </c>
      <c r="F2791" t="s">
        <v>498</v>
      </c>
      <c r="G2791">
        <v>4229</v>
      </c>
      <c r="H2791" t="s">
        <v>2311</v>
      </c>
      <c r="I2791" t="s">
        <v>2300</v>
      </c>
      <c r="J2791">
        <v>8</v>
      </c>
      <c r="K2791">
        <v>6</v>
      </c>
      <c r="L2791">
        <v>1.1805555555555555E-2</v>
      </c>
      <c r="M2791" t="s">
        <v>3079</v>
      </c>
      <c r="X2791" t="s">
        <v>3732</v>
      </c>
    </row>
    <row r="2792" spans="1:24" x14ac:dyDescent="0.25">
      <c r="A2792">
        <v>2788</v>
      </c>
      <c r="B2792" t="s">
        <v>29</v>
      </c>
      <c r="C2792" t="s">
        <v>27</v>
      </c>
      <c r="D2792">
        <v>16</v>
      </c>
      <c r="E2792" t="s">
        <v>367</v>
      </c>
      <c r="F2792" t="s">
        <v>368</v>
      </c>
      <c r="G2792">
        <v>4229</v>
      </c>
      <c r="H2792" t="s">
        <v>2357</v>
      </c>
      <c r="I2792" t="s">
        <v>2183</v>
      </c>
      <c r="J2792">
        <v>8</v>
      </c>
      <c r="K2792">
        <v>1</v>
      </c>
      <c r="L2792">
        <v>5.9837962962962961E-3</v>
      </c>
      <c r="M2792" t="s">
        <v>3079</v>
      </c>
      <c r="X2792" t="s">
        <v>3732</v>
      </c>
    </row>
    <row r="2793" spans="1:24" x14ac:dyDescent="0.25">
      <c r="A2793">
        <v>2789</v>
      </c>
      <c r="B2793" t="s">
        <v>29</v>
      </c>
      <c r="C2793" t="s">
        <v>27</v>
      </c>
      <c r="D2793">
        <v>16</v>
      </c>
      <c r="E2793" t="s">
        <v>2195</v>
      </c>
      <c r="F2793" t="s">
        <v>44</v>
      </c>
      <c r="G2793">
        <v>4229</v>
      </c>
      <c r="H2793" t="s">
        <v>48</v>
      </c>
      <c r="I2793" t="s">
        <v>1119</v>
      </c>
      <c r="J2793">
        <v>8</v>
      </c>
      <c r="K2793">
        <v>1</v>
      </c>
      <c r="L2793">
        <v>1.4467592592592592E-3</v>
      </c>
      <c r="M2793" t="s">
        <v>3079</v>
      </c>
      <c r="X2793" t="s">
        <v>3732</v>
      </c>
    </row>
    <row r="2794" spans="1:24" x14ac:dyDescent="0.25">
      <c r="A2794">
        <v>2790</v>
      </c>
      <c r="B2794" t="s">
        <v>29</v>
      </c>
      <c r="C2794" t="s">
        <v>27</v>
      </c>
      <c r="D2794">
        <v>16</v>
      </c>
      <c r="E2794" t="s">
        <v>1665</v>
      </c>
      <c r="F2794" t="s">
        <v>512</v>
      </c>
      <c r="G2794">
        <v>3920</v>
      </c>
      <c r="H2794" t="s">
        <v>2225</v>
      </c>
      <c r="I2794" t="s">
        <v>2226</v>
      </c>
      <c r="J2794">
        <v>8</v>
      </c>
      <c r="K2794">
        <v>6</v>
      </c>
      <c r="L2794">
        <v>1.1597222222222222E-2</v>
      </c>
      <c r="M2794" t="s">
        <v>3079</v>
      </c>
      <c r="X2794" t="s">
        <v>3733</v>
      </c>
    </row>
    <row r="2795" spans="1:24" x14ac:dyDescent="0.25">
      <c r="A2795">
        <v>2791</v>
      </c>
      <c r="B2795" t="s">
        <v>29</v>
      </c>
      <c r="C2795" t="s">
        <v>27</v>
      </c>
      <c r="D2795">
        <v>16</v>
      </c>
      <c r="E2795" t="s">
        <v>129</v>
      </c>
      <c r="F2795" t="s">
        <v>512</v>
      </c>
      <c r="G2795">
        <v>3920</v>
      </c>
      <c r="H2795" t="s">
        <v>2736</v>
      </c>
      <c r="I2795" t="s">
        <v>1620</v>
      </c>
      <c r="J2795">
        <v>8</v>
      </c>
      <c r="K2795">
        <v>1</v>
      </c>
      <c r="L2795">
        <v>5.9722222222222216E-3</v>
      </c>
      <c r="M2795" t="s">
        <v>3079</v>
      </c>
      <c r="X2795" t="s">
        <v>3733</v>
      </c>
    </row>
    <row r="2796" spans="1:24" x14ac:dyDescent="0.25">
      <c r="A2796">
        <v>2792</v>
      </c>
      <c r="B2796" t="s">
        <v>29</v>
      </c>
      <c r="C2796" t="s">
        <v>27</v>
      </c>
      <c r="D2796">
        <v>16</v>
      </c>
      <c r="E2796" t="s">
        <v>367</v>
      </c>
      <c r="F2796" t="s">
        <v>512</v>
      </c>
      <c r="G2796">
        <v>3920</v>
      </c>
      <c r="H2796" t="s">
        <v>2231</v>
      </c>
      <c r="I2796" t="s">
        <v>2232</v>
      </c>
      <c r="J2796">
        <v>8</v>
      </c>
      <c r="K2796">
        <v>2</v>
      </c>
      <c r="L2796">
        <v>3.3912037037037036E-3</v>
      </c>
      <c r="M2796" t="s">
        <v>3079</v>
      </c>
      <c r="X2796" t="s">
        <v>3733</v>
      </c>
    </row>
    <row r="2797" spans="1:24" x14ac:dyDescent="0.25">
      <c r="A2797">
        <v>2793</v>
      </c>
      <c r="B2797" t="s">
        <v>29</v>
      </c>
      <c r="C2797" t="s">
        <v>27</v>
      </c>
      <c r="D2797">
        <v>16</v>
      </c>
      <c r="E2797" t="s">
        <v>1665</v>
      </c>
      <c r="F2797" t="s">
        <v>512</v>
      </c>
      <c r="G2797">
        <v>3921</v>
      </c>
      <c r="H2797" t="s">
        <v>2225</v>
      </c>
      <c r="I2797" t="s">
        <v>2226</v>
      </c>
      <c r="J2797">
        <v>8</v>
      </c>
      <c r="K2797">
        <v>1</v>
      </c>
      <c r="L2797">
        <v>2.0254629629629629E-3</v>
      </c>
      <c r="M2797" t="s">
        <v>3079</v>
      </c>
      <c r="X2797" t="s">
        <v>3734</v>
      </c>
    </row>
    <row r="2798" spans="1:24" x14ac:dyDescent="0.25">
      <c r="A2798">
        <v>2794</v>
      </c>
      <c r="B2798" t="s">
        <v>29</v>
      </c>
      <c r="C2798" t="s">
        <v>27</v>
      </c>
      <c r="D2798">
        <v>16</v>
      </c>
      <c r="E2798" t="s">
        <v>114</v>
      </c>
      <c r="F2798" t="s">
        <v>512</v>
      </c>
      <c r="G2798">
        <v>3921</v>
      </c>
      <c r="H2798" t="s">
        <v>2394</v>
      </c>
      <c r="I2798" t="s">
        <v>2161</v>
      </c>
      <c r="J2798">
        <v>8</v>
      </c>
      <c r="K2798">
        <v>2</v>
      </c>
      <c r="L2798">
        <v>3.7499999999999999E-3</v>
      </c>
      <c r="M2798" t="s">
        <v>3079</v>
      </c>
      <c r="X2798" t="s">
        <v>3734</v>
      </c>
    </row>
    <row r="2799" spans="1:24" x14ac:dyDescent="0.25">
      <c r="A2799">
        <v>2795</v>
      </c>
      <c r="B2799" t="s">
        <v>29</v>
      </c>
      <c r="C2799" t="s">
        <v>27</v>
      </c>
      <c r="D2799">
        <v>16</v>
      </c>
      <c r="E2799" t="s">
        <v>147</v>
      </c>
      <c r="F2799" t="s">
        <v>115</v>
      </c>
      <c r="G2799">
        <v>3921</v>
      </c>
      <c r="H2799" t="s">
        <v>2137</v>
      </c>
      <c r="I2799" t="s">
        <v>2138</v>
      </c>
      <c r="J2799">
        <v>8</v>
      </c>
      <c r="K2799">
        <v>1</v>
      </c>
      <c r="L2799">
        <v>6.4236111111111108E-3</v>
      </c>
      <c r="M2799" t="s">
        <v>3079</v>
      </c>
      <c r="X2799" t="s">
        <v>3734</v>
      </c>
    </row>
    <row r="2800" spans="1:24" x14ac:dyDescent="0.25">
      <c r="A2800">
        <v>2796</v>
      </c>
      <c r="B2800" t="s">
        <v>29</v>
      </c>
      <c r="C2800" t="s">
        <v>27</v>
      </c>
      <c r="D2800">
        <v>16</v>
      </c>
      <c r="E2800" t="s">
        <v>1141</v>
      </c>
      <c r="F2800" t="s">
        <v>368</v>
      </c>
      <c r="G2800">
        <v>3924</v>
      </c>
      <c r="H2800" t="s">
        <v>2064</v>
      </c>
      <c r="I2800" t="s">
        <v>2065</v>
      </c>
      <c r="J2800">
        <v>8</v>
      </c>
      <c r="K2800">
        <v>1</v>
      </c>
      <c r="L2800">
        <v>2.1412037037037038E-3</v>
      </c>
      <c r="M2800" t="s">
        <v>778</v>
      </c>
      <c r="N2800" t="s">
        <v>1253</v>
      </c>
      <c r="O2800" s="24">
        <v>46135</v>
      </c>
      <c r="P2800">
        <v>605</v>
      </c>
      <c r="Q2800" t="s">
        <v>34</v>
      </c>
      <c r="X2800" t="s">
        <v>3735</v>
      </c>
    </row>
    <row r="2801" spans="1:24" x14ac:dyDescent="0.25">
      <c r="A2801">
        <v>2797</v>
      </c>
      <c r="B2801" t="s">
        <v>29</v>
      </c>
      <c r="C2801" t="s">
        <v>27</v>
      </c>
      <c r="D2801">
        <v>16</v>
      </c>
      <c r="E2801" t="s">
        <v>1141</v>
      </c>
      <c r="F2801" t="s">
        <v>1594</v>
      </c>
      <c r="G2801">
        <v>3924</v>
      </c>
      <c r="H2801" t="s">
        <v>2326</v>
      </c>
      <c r="I2801" t="s">
        <v>2327</v>
      </c>
      <c r="J2801">
        <v>8</v>
      </c>
      <c r="K2801">
        <v>1</v>
      </c>
      <c r="L2801">
        <v>4.0277777777777777E-3</v>
      </c>
      <c r="M2801" t="s">
        <v>778</v>
      </c>
      <c r="N2801" t="s">
        <v>1253</v>
      </c>
      <c r="O2801" s="24">
        <v>46135</v>
      </c>
      <c r="P2801">
        <v>605</v>
      </c>
      <c r="Q2801" t="s">
        <v>34</v>
      </c>
      <c r="X2801" t="s">
        <v>3735</v>
      </c>
    </row>
    <row r="2802" spans="1:24" x14ac:dyDescent="0.25">
      <c r="A2802">
        <v>2798</v>
      </c>
      <c r="B2802" t="s">
        <v>29</v>
      </c>
      <c r="C2802" t="s">
        <v>27</v>
      </c>
      <c r="D2802">
        <v>16</v>
      </c>
      <c r="E2802" t="s">
        <v>1141</v>
      </c>
      <c r="F2802" t="s">
        <v>1599</v>
      </c>
      <c r="G2802">
        <v>3924</v>
      </c>
      <c r="H2802" t="s">
        <v>2239</v>
      </c>
      <c r="I2802" t="s">
        <v>2240</v>
      </c>
      <c r="J2802">
        <v>8</v>
      </c>
      <c r="K2802">
        <v>1</v>
      </c>
      <c r="L2802">
        <v>2.8124999999999999E-3</v>
      </c>
      <c r="M2802" t="s">
        <v>778</v>
      </c>
      <c r="N2802" t="s">
        <v>1253</v>
      </c>
      <c r="O2802" s="24">
        <v>46135</v>
      </c>
      <c r="P2802">
        <v>605</v>
      </c>
      <c r="Q2802" t="s">
        <v>34</v>
      </c>
      <c r="X2802" t="s">
        <v>3735</v>
      </c>
    </row>
    <row r="2803" spans="1:24" x14ac:dyDescent="0.25">
      <c r="A2803">
        <v>2799</v>
      </c>
      <c r="B2803" t="s">
        <v>29</v>
      </c>
      <c r="C2803" t="s">
        <v>27</v>
      </c>
      <c r="D2803">
        <v>16</v>
      </c>
      <c r="E2803" t="s">
        <v>1665</v>
      </c>
      <c r="F2803" t="s">
        <v>512</v>
      </c>
      <c r="G2803">
        <v>3925</v>
      </c>
      <c r="H2803" t="s">
        <v>2225</v>
      </c>
      <c r="I2803" t="s">
        <v>2226</v>
      </c>
      <c r="J2803">
        <v>8</v>
      </c>
      <c r="K2803">
        <v>6</v>
      </c>
      <c r="L2803">
        <v>1.1701388888888888E-2</v>
      </c>
      <c r="M2803" t="s">
        <v>3079</v>
      </c>
      <c r="X2803" t="s">
        <v>3736</v>
      </c>
    </row>
    <row r="2804" spans="1:24" x14ac:dyDescent="0.25">
      <c r="A2804">
        <v>2800</v>
      </c>
      <c r="B2804" t="s">
        <v>29</v>
      </c>
      <c r="C2804" t="s">
        <v>27</v>
      </c>
      <c r="D2804">
        <v>16</v>
      </c>
      <c r="E2804" t="s">
        <v>133</v>
      </c>
      <c r="F2804" t="s">
        <v>512</v>
      </c>
      <c r="G2804">
        <v>3925</v>
      </c>
      <c r="H2804" t="s">
        <v>2451</v>
      </c>
      <c r="I2804" t="s">
        <v>1620</v>
      </c>
      <c r="J2804">
        <v>8</v>
      </c>
      <c r="K2804">
        <v>1</v>
      </c>
      <c r="L2804">
        <v>6.0185185185185185E-3</v>
      </c>
      <c r="M2804" t="s">
        <v>3079</v>
      </c>
      <c r="X2804" t="s">
        <v>3736</v>
      </c>
    </row>
    <row r="2805" spans="1:24" x14ac:dyDescent="0.25">
      <c r="A2805">
        <v>2801</v>
      </c>
      <c r="B2805" t="s">
        <v>29</v>
      </c>
      <c r="C2805" t="s">
        <v>27</v>
      </c>
      <c r="D2805">
        <v>16</v>
      </c>
      <c r="E2805" t="s">
        <v>1588</v>
      </c>
      <c r="F2805" t="s">
        <v>44</v>
      </c>
      <c r="G2805">
        <v>3925</v>
      </c>
      <c r="H2805" t="s">
        <v>2215</v>
      </c>
      <c r="I2805" t="s">
        <v>2216</v>
      </c>
      <c r="J2805">
        <v>8</v>
      </c>
      <c r="K2805">
        <v>1</v>
      </c>
      <c r="L2805">
        <v>1.747685185185185E-3</v>
      </c>
      <c r="M2805" t="s">
        <v>3079</v>
      </c>
      <c r="X2805" t="s">
        <v>3736</v>
      </c>
    </row>
    <row r="2806" spans="1:24" x14ac:dyDescent="0.25">
      <c r="A2806">
        <v>2802</v>
      </c>
      <c r="B2806" t="s">
        <v>29</v>
      </c>
      <c r="C2806" t="s">
        <v>27</v>
      </c>
      <c r="D2806">
        <v>16</v>
      </c>
      <c r="E2806" t="s">
        <v>1665</v>
      </c>
      <c r="F2806" t="s">
        <v>115</v>
      </c>
      <c r="G2806">
        <v>3926</v>
      </c>
      <c r="H2806" t="s">
        <v>2113</v>
      </c>
      <c r="I2806" t="s">
        <v>2111</v>
      </c>
      <c r="J2806">
        <v>8</v>
      </c>
      <c r="K2806">
        <v>1</v>
      </c>
      <c r="L2806">
        <v>6.0185185185185179E-4</v>
      </c>
      <c r="M2806" t="s">
        <v>3079</v>
      </c>
      <c r="X2806" t="s">
        <v>3737</v>
      </c>
    </row>
    <row r="2807" spans="1:24" x14ac:dyDescent="0.25">
      <c r="A2807">
        <v>2803</v>
      </c>
      <c r="B2807" t="s">
        <v>29</v>
      </c>
      <c r="C2807" t="s">
        <v>27</v>
      </c>
      <c r="D2807">
        <v>16</v>
      </c>
      <c r="E2807" t="s">
        <v>1672</v>
      </c>
      <c r="F2807" t="s">
        <v>512</v>
      </c>
      <c r="G2807">
        <v>3926</v>
      </c>
      <c r="H2807" t="s">
        <v>2297</v>
      </c>
      <c r="I2807" t="s">
        <v>2226</v>
      </c>
      <c r="J2807">
        <v>8</v>
      </c>
      <c r="K2807">
        <v>2</v>
      </c>
      <c r="L2807">
        <v>3.7731481481481479E-3</v>
      </c>
      <c r="M2807" t="s">
        <v>3079</v>
      </c>
      <c r="X2807" t="s">
        <v>3737</v>
      </c>
    </row>
    <row r="2808" spans="1:24" x14ac:dyDescent="0.25">
      <c r="A2808">
        <v>2804</v>
      </c>
      <c r="B2808" t="s">
        <v>29</v>
      </c>
      <c r="C2808" t="s">
        <v>27</v>
      </c>
      <c r="D2808">
        <v>16</v>
      </c>
      <c r="E2808" t="s">
        <v>1665</v>
      </c>
      <c r="F2808" t="s">
        <v>115</v>
      </c>
      <c r="G2808">
        <v>3926</v>
      </c>
      <c r="H2808" t="s">
        <v>2356</v>
      </c>
      <c r="I2808" t="s">
        <v>2310</v>
      </c>
      <c r="J2808">
        <v>8</v>
      </c>
      <c r="K2808">
        <v>1</v>
      </c>
      <c r="L2808">
        <v>1.8865740740740739E-3</v>
      </c>
      <c r="M2808" t="s">
        <v>3079</v>
      </c>
      <c r="X2808" t="s">
        <v>3737</v>
      </c>
    </row>
    <row r="2809" spans="1:24" x14ac:dyDescent="0.25">
      <c r="A2809">
        <v>2805</v>
      </c>
      <c r="B2809" t="s">
        <v>29</v>
      </c>
      <c r="C2809" t="s">
        <v>27</v>
      </c>
      <c r="D2809">
        <v>16</v>
      </c>
      <c r="E2809" t="s">
        <v>1672</v>
      </c>
      <c r="F2809" t="s">
        <v>512</v>
      </c>
      <c r="G2809">
        <v>3926</v>
      </c>
      <c r="H2809" t="s">
        <v>2584</v>
      </c>
      <c r="I2809" t="s">
        <v>2585</v>
      </c>
      <c r="J2809">
        <v>8</v>
      </c>
      <c r="K2809">
        <v>1</v>
      </c>
      <c r="L2809">
        <v>5.4398148148148149E-3</v>
      </c>
      <c r="M2809" t="s">
        <v>3079</v>
      </c>
      <c r="X2809" t="s">
        <v>3737</v>
      </c>
    </row>
    <row r="2810" spans="1:24" x14ac:dyDescent="0.25">
      <c r="A2810">
        <v>2806</v>
      </c>
      <c r="B2810" t="s">
        <v>29</v>
      </c>
      <c r="C2810" t="s">
        <v>27</v>
      </c>
      <c r="D2810">
        <v>16</v>
      </c>
      <c r="E2810" t="s">
        <v>1672</v>
      </c>
      <c r="F2810" t="s">
        <v>512</v>
      </c>
      <c r="G2810">
        <v>3926</v>
      </c>
      <c r="H2810" t="s">
        <v>2152</v>
      </c>
      <c r="I2810" t="s">
        <v>2153</v>
      </c>
      <c r="J2810">
        <v>8</v>
      </c>
      <c r="K2810">
        <v>1</v>
      </c>
      <c r="L2810">
        <v>1.6435185185185185E-3</v>
      </c>
      <c r="M2810" t="s">
        <v>3079</v>
      </c>
      <c r="X2810" t="s">
        <v>3737</v>
      </c>
    </row>
    <row r="2811" spans="1:24" x14ac:dyDescent="0.25">
      <c r="A2811">
        <v>2807</v>
      </c>
      <c r="B2811" t="s">
        <v>29</v>
      </c>
      <c r="C2811" t="s">
        <v>27</v>
      </c>
      <c r="D2811">
        <v>16</v>
      </c>
      <c r="E2811" t="s">
        <v>367</v>
      </c>
      <c r="F2811" t="s">
        <v>1599</v>
      </c>
      <c r="G2811">
        <v>3926</v>
      </c>
      <c r="H2811" t="s">
        <v>1633</v>
      </c>
      <c r="I2811" t="s">
        <v>1634</v>
      </c>
      <c r="J2811">
        <v>8</v>
      </c>
      <c r="K2811">
        <v>1</v>
      </c>
      <c r="L2811">
        <v>7.5231481481481482E-4</v>
      </c>
      <c r="M2811" t="s">
        <v>3079</v>
      </c>
      <c r="X2811" t="s">
        <v>3737</v>
      </c>
    </row>
    <row r="2812" spans="1:24" x14ac:dyDescent="0.25">
      <c r="A2812">
        <v>2808</v>
      </c>
      <c r="B2812" t="s">
        <v>29</v>
      </c>
      <c r="C2812" t="s">
        <v>27</v>
      </c>
      <c r="D2812">
        <v>16</v>
      </c>
      <c r="E2812" t="s">
        <v>367</v>
      </c>
      <c r="F2812" t="s">
        <v>368</v>
      </c>
      <c r="G2812">
        <v>3926</v>
      </c>
      <c r="H2812" t="s">
        <v>2096</v>
      </c>
      <c r="I2812" t="s">
        <v>2097</v>
      </c>
      <c r="J2812">
        <v>8</v>
      </c>
      <c r="K2812">
        <v>1</v>
      </c>
      <c r="L2812">
        <v>6.8287037037037036E-4</v>
      </c>
      <c r="M2812" t="s">
        <v>3079</v>
      </c>
      <c r="X2812" t="s">
        <v>3737</v>
      </c>
    </row>
    <row r="2813" spans="1:24" x14ac:dyDescent="0.25">
      <c r="A2813">
        <v>2809</v>
      </c>
      <c r="B2813" t="s">
        <v>29</v>
      </c>
      <c r="C2813" t="s">
        <v>27</v>
      </c>
      <c r="D2813">
        <v>16</v>
      </c>
      <c r="E2813" t="s">
        <v>367</v>
      </c>
      <c r="F2813" t="s">
        <v>427</v>
      </c>
      <c r="G2813">
        <v>3926</v>
      </c>
      <c r="H2813" t="s">
        <v>2276</v>
      </c>
      <c r="I2813" t="s">
        <v>2270</v>
      </c>
      <c r="J2813">
        <v>8</v>
      </c>
      <c r="K2813">
        <v>1</v>
      </c>
      <c r="L2813">
        <v>1.6666666666666666E-3</v>
      </c>
      <c r="M2813" t="s">
        <v>3079</v>
      </c>
      <c r="X2813" t="s">
        <v>3737</v>
      </c>
    </row>
    <row r="2814" spans="1:24" x14ac:dyDescent="0.25">
      <c r="A2814">
        <v>2810</v>
      </c>
      <c r="B2814" t="s">
        <v>29</v>
      </c>
      <c r="C2814" t="s">
        <v>27</v>
      </c>
      <c r="D2814">
        <v>16</v>
      </c>
      <c r="E2814" t="s">
        <v>367</v>
      </c>
      <c r="F2814" t="s">
        <v>1594</v>
      </c>
      <c r="G2814">
        <v>3926</v>
      </c>
      <c r="H2814" t="s">
        <v>2574</v>
      </c>
      <c r="I2814" t="s">
        <v>2487</v>
      </c>
      <c r="J2814">
        <v>8</v>
      </c>
      <c r="K2814">
        <v>1</v>
      </c>
      <c r="L2814">
        <v>9.4907407407407408E-4</v>
      </c>
      <c r="M2814" t="s">
        <v>3079</v>
      </c>
      <c r="X2814" t="s">
        <v>3737</v>
      </c>
    </row>
    <row r="2815" spans="1:24" x14ac:dyDescent="0.25">
      <c r="A2815">
        <v>2811</v>
      </c>
      <c r="B2815" t="s">
        <v>29</v>
      </c>
      <c r="C2815" t="s">
        <v>27</v>
      </c>
      <c r="D2815">
        <v>16</v>
      </c>
      <c r="E2815" t="s">
        <v>2729</v>
      </c>
      <c r="F2815" t="s">
        <v>512</v>
      </c>
      <c r="G2815">
        <v>3926</v>
      </c>
      <c r="H2815" t="s">
        <v>2727</v>
      </c>
      <c r="I2815" t="s">
        <v>2728</v>
      </c>
      <c r="J2815">
        <v>8</v>
      </c>
      <c r="K2815">
        <v>1</v>
      </c>
      <c r="L2815">
        <v>1.4699074074074074E-3</v>
      </c>
      <c r="M2815" t="s">
        <v>3079</v>
      </c>
      <c r="X2815" t="s">
        <v>3737</v>
      </c>
    </row>
    <row r="2816" spans="1:24" x14ac:dyDescent="0.25">
      <c r="A2816">
        <v>2812</v>
      </c>
      <c r="B2816" t="s">
        <v>29</v>
      </c>
      <c r="C2816" t="s">
        <v>27</v>
      </c>
      <c r="D2816">
        <v>16</v>
      </c>
      <c r="E2816" t="s">
        <v>2742</v>
      </c>
      <c r="F2816" t="s">
        <v>512</v>
      </c>
      <c r="G2816">
        <v>3926</v>
      </c>
      <c r="H2816" t="s">
        <v>2741</v>
      </c>
      <c r="I2816" t="s">
        <v>2728</v>
      </c>
      <c r="J2816">
        <v>8</v>
      </c>
      <c r="K2816">
        <v>1</v>
      </c>
      <c r="L2816">
        <v>1.4699074074074074E-3</v>
      </c>
      <c r="M2816" t="s">
        <v>3079</v>
      </c>
      <c r="X2816" t="s">
        <v>3737</v>
      </c>
    </row>
    <row r="2817" spans="1:24" x14ac:dyDescent="0.25">
      <c r="A2817">
        <v>2813</v>
      </c>
      <c r="B2817" t="s">
        <v>29</v>
      </c>
      <c r="C2817" t="s">
        <v>27</v>
      </c>
      <c r="D2817">
        <v>16</v>
      </c>
      <c r="E2817" t="s">
        <v>1665</v>
      </c>
      <c r="F2817" t="s">
        <v>498</v>
      </c>
      <c r="G2817">
        <v>3928</v>
      </c>
      <c r="H2817" t="s">
        <v>2110</v>
      </c>
      <c r="I2817" t="s">
        <v>2111</v>
      </c>
      <c r="J2817">
        <v>8</v>
      </c>
      <c r="K2817">
        <v>2</v>
      </c>
      <c r="L2817">
        <v>1.1805555555555556E-3</v>
      </c>
      <c r="M2817" t="s">
        <v>3079</v>
      </c>
      <c r="X2817" t="s">
        <v>3738</v>
      </c>
    </row>
    <row r="2818" spans="1:24" x14ac:dyDescent="0.25">
      <c r="A2818">
        <v>2814</v>
      </c>
      <c r="B2818" t="s">
        <v>29</v>
      </c>
      <c r="C2818" t="s">
        <v>27</v>
      </c>
      <c r="D2818">
        <v>16</v>
      </c>
      <c r="E2818" t="s">
        <v>1672</v>
      </c>
      <c r="F2818" t="s">
        <v>512</v>
      </c>
      <c r="G2818">
        <v>3928</v>
      </c>
      <c r="H2818" t="s">
        <v>2297</v>
      </c>
      <c r="I2818" t="s">
        <v>2226</v>
      </c>
      <c r="J2818">
        <v>8</v>
      </c>
      <c r="K2818">
        <v>1</v>
      </c>
      <c r="L2818">
        <v>1.8287037037037037E-3</v>
      </c>
      <c r="M2818" t="s">
        <v>3079</v>
      </c>
      <c r="X2818" t="s">
        <v>3738</v>
      </c>
    </row>
    <row r="2819" spans="1:24" x14ac:dyDescent="0.25">
      <c r="A2819">
        <v>2815</v>
      </c>
      <c r="B2819" t="s">
        <v>29</v>
      </c>
      <c r="C2819" t="s">
        <v>27</v>
      </c>
      <c r="D2819">
        <v>16</v>
      </c>
      <c r="E2819" t="s">
        <v>1672</v>
      </c>
      <c r="F2819" t="s">
        <v>115</v>
      </c>
      <c r="G2819">
        <v>3928</v>
      </c>
      <c r="H2819" t="s">
        <v>2087</v>
      </c>
      <c r="I2819" t="s">
        <v>2088</v>
      </c>
      <c r="J2819">
        <v>8</v>
      </c>
      <c r="K2819">
        <v>2</v>
      </c>
      <c r="L2819">
        <v>1.7129629629629628E-3</v>
      </c>
      <c r="M2819" t="s">
        <v>3079</v>
      </c>
      <c r="X2819" t="s">
        <v>3738</v>
      </c>
    </row>
    <row r="2820" spans="1:24" x14ac:dyDescent="0.25">
      <c r="A2820">
        <v>2816</v>
      </c>
      <c r="B2820" t="s">
        <v>29</v>
      </c>
      <c r="C2820" t="s">
        <v>27</v>
      </c>
      <c r="D2820">
        <v>16</v>
      </c>
      <c r="E2820" t="s">
        <v>131</v>
      </c>
      <c r="F2820" t="s">
        <v>115</v>
      </c>
      <c r="G2820">
        <v>3928</v>
      </c>
      <c r="H2820" t="s">
        <v>2744</v>
      </c>
      <c r="I2820" t="s">
        <v>2088</v>
      </c>
      <c r="J2820">
        <v>8</v>
      </c>
      <c r="K2820">
        <v>2</v>
      </c>
      <c r="L2820">
        <v>1.7129629629629628E-3</v>
      </c>
      <c r="M2820" t="s">
        <v>3079</v>
      </c>
      <c r="X2820" t="s">
        <v>3738</v>
      </c>
    </row>
    <row r="2821" spans="1:24" x14ac:dyDescent="0.25">
      <c r="A2821">
        <v>2817</v>
      </c>
      <c r="B2821" t="s">
        <v>29</v>
      </c>
      <c r="C2821" t="s">
        <v>27</v>
      </c>
      <c r="D2821">
        <v>16</v>
      </c>
      <c r="E2821" t="s">
        <v>1672</v>
      </c>
      <c r="F2821" t="s">
        <v>115</v>
      </c>
      <c r="G2821">
        <v>3928</v>
      </c>
      <c r="H2821" t="s">
        <v>2266</v>
      </c>
      <c r="I2821" t="s">
        <v>2267</v>
      </c>
      <c r="J2821">
        <v>8</v>
      </c>
      <c r="K2821">
        <v>1</v>
      </c>
      <c r="L2821">
        <v>5.6597222222222222E-3</v>
      </c>
      <c r="M2821" t="s">
        <v>3079</v>
      </c>
      <c r="X2821" t="s">
        <v>3738</v>
      </c>
    </row>
    <row r="2822" spans="1:24" x14ac:dyDescent="0.25">
      <c r="A2822">
        <v>2818</v>
      </c>
      <c r="B2822" t="s">
        <v>29</v>
      </c>
      <c r="C2822" t="s">
        <v>27</v>
      </c>
      <c r="D2822">
        <v>16</v>
      </c>
      <c r="E2822" t="s">
        <v>367</v>
      </c>
      <c r="F2822" t="s">
        <v>368</v>
      </c>
      <c r="G2822">
        <v>3928</v>
      </c>
      <c r="H2822" t="s">
        <v>2096</v>
      </c>
      <c r="I2822" t="s">
        <v>2097</v>
      </c>
      <c r="J2822">
        <v>8</v>
      </c>
      <c r="K2822">
        <v>1</v>
      </c>
      <c r="L2822">
        <v>6.5972222222222224E-4</v>
      </c>
      <c r="M2822" t="s">
        <v>3079</v>
      </c>
      <c r="X2822" t="s">
        <v>3738</v>
      </c>
    </row>
    <row r="2823" spans="1:24" x14ac:dyDescent="0.25">
      <c r="A2823">
        <v>2819</v>
      </c>
      <c r="B2823" t="s">
        <v>29</v>
      </c>
      <c r="C2823" t="s">
        <v>27</v>
      </c>
      <c r="D2823">
        <v>16</v>
      </c>
      <c r="E2823" t="s">
        <v>367</v>
      </c>
      <c r="F2823" t="s">
        <v>512</v>
      </c>
      <c r="G2823">
        <v>3928</v>
      </c>
      <c r="H2823" t="s">
        <v>2203</v>
      </c>
      <c r="I2823" t="s">
        <v>2204</v>
      </c>
      <c r="J2823">
        <v>8</v>
      </c>
      <c r="K2823">
        <v>1</v>
      </c>
      <c r="L2823">
        <v>1.1342592592592591E-3</v>
      </c>
      <c r="M2823" t="s">
        <v>3079</v>
      </c>
      <c r="X2823" t="s">
        <v>3738</v>
      </c>
    </row>
    <row r="2824" spans="1:24" x14ac:dyDescent="0.25">
      <c r="A2824">
        <v>2820</v>
      </c>
      <c r="B2824" t="s">
        <v>29</v>
      </c>
      <c r="C2824" t="s">
        <v>27</v>
      </c>
      <c r="D2824">
        <v>16</v>
      </c>
      <c r="E2824" t="s">
        <v>367</v>
      </c>
      <c r="F2824" t="s">
        <v>427</v>
      </c>
      <c r="G2824">
        <v>3928</v>
      </c>
      <c r="H2824" t="s">
        <v>2312</v>
      </c>
      <c r="I2824" t="s">
        <v>2270</v>
      </c>
      <c r="J2824">
        <v>8</v>
      </c>
      <c r="K2824">
        <v>1</v>
      </c>
      <c r="L2824">
        <v>1.6203703703703703E-3</v>
      </c>
      <c r="M2824" t="s">
        <v>3079</v>
      </c>
      <c r="X2824" t="s">
        <v>3738</v>
      </c>
    </row>
    <row r="2825" spans="1:24" x14ac:dyDescent="0.25">
      <c r="A2825">
        <v>2821</v>
      </c>
      <c r="B2825" t="s">
        <v>29</v>
      </c>
      <c r="C2825" t="s">
        <v>27</v>
      </c>
      <c r="D2825">
        <v>16</v>
      </c>
      <c r="E2825" t="s">
        <v>1665</v>
      </c>
      <c r="F2825" t="s">
        <v>512</v>
      </c>
      <c r="G2825">
        <v>4370</v>
      </c>
      <c r="H2825" t="s">
        <v>2225</v>
      </c>
      <c r="I2825" t="s">
        <v>2226</v>
      </c>
      <c r="J2825">
        <v>8</v>
      </c>
      <c r="K2825">
        <v>2</v>
      </c>
      <c r="L2825">
        <v>3.9004629629629628E-3</v>
      </c>
      <c r="M2825" t="s">
        <v>3079</v>
      </c>
      <c r="X2825" t="s">
        <v>3739</v>
      </c>
    </row>
    <row r="2826" spans="1:24" x14ac:dyDescent="0.25">
      <c r="A2826">
        <v>2822</v>
      </c>
      <c r="B2826" t="s">
        <v>29</v>
      </c>
      <c r="C2826" t="s">
        <v>27</v>
      </c>
      <c r="D2826">
        <v>16</v>
      </c>
      <c r="E2826" t="s">
        <v>1672</v>
      </c>
      <c r="F2826" t="s">
        <v>512</v>
      </c>
      <c r="G2826">
        <v>4370</v>
      </c>
      <c r="H2826" t="s">
        <v>2297</v>
      </c>
      <c r="I2826" t="s">
        <v>2226</v>
      </c>
      <c r="J2826">
        <v>8</v>
      </c>
      <c r="K2826">
        <v>4</v>
      </c>
      <c r="L2826">
        <v>7.8009259259259256E-3</v>
      </c>
      <c r="M2826" t="s">
        <v>3079</v>
      </c>
      <c r="X2826" t="s">
        <v>3739</v>
      </c>
    </row>
    <row r="2827" spans="1:24" x14ac:dyDescent="0.25">
      <c r="A2827">
        <v>2823</v>
      </c>
      <c r="B2827" t="s">
        <v>29</v>
      </c>
      <c r="C2827" t="s">
        <v>27</v>
      </c>
      <c r="D2827">
        <v>16</v>
      </c>
      <c r="E2827" t="s">
        <v>131</v>
      </c>
      <c r="F2827" t="s">
        <v>512</v>
      </c>
      <c r="G2827">
        <v>4370</v>
      </c>
      <c r="H2827" t="s">
        <v>2746</v>
      </c>
      <c r="I2827" t="s">
        <v>1620</v>
      </c>
      <c r="J2827">
        <v>8</v>
      </c>
      <c r="K2827">
        <v>1</v>
      </c>
      <c r="L2827">
        <v>6.0185185185185185E-3</v>
      </c>
      <c r="M2827" t="s">
        <v>3079</v>
      </c>
      <c r="X2827" t="s">
        <v>3739</v>
      </c>
    </row>
    <row r="2828" spans="1:24" x14ac:dyDescent="0.25">
      <c r="A2828">
        <v>2824</v>
      </c>
      <c r="B2828" t="s">
        <v>29</v>
      </c>
      <c r="C2828" t="s">
        <v>27</v>
      </c>
      <c r="D2828">
        <v>16</v>
      </c>
      <c r="E2828" t="s">
        <v>1588</v>
      </c>
      <c r="F2828" t="s">
        <v>44</v>
      </c>
      <c r="G2828">
        <v>4370</v>
      </c>
      <c r="H2828" t="s">
        <v>2275</v>
      </c>
      <c r="I2828" t="s">
        <v>2216</v>
      </c>
      <c r="J2828">
        <v>8</v>
      </c>
      <c r="K2828">
        <v>1</v>
      </c>
      <c r="L2828">
        <v>1.747685185185185E-3</v>
      </c>
      <c r="M2828" t="s">
        <v>3079</v>
      </c>
      <c r="X2828" t="s">
        <v>3739</v>
      </c>
    </row>
    <row r="2829" spans="1:24" x14ac:dyDescent="0.25">
      <c r="A2829">
        <v>2825</v>
      </c>
      <c r="B2829" t="s">
        <v>29</v>
      </c>
      <c r="C2829" t="s">
        <v>27</v>
      </c>
      <c r="D2829">
        <v>16</v>
      </c>
      <c r="E2829" t="s">
        <v>1588</v>
      </c>
      <c r="F2829" t="s">
        <v>512</v>
      </c>
      <c r="G2829">
        <v>4354</v>
      </c>
      <c r="H2829" t="s">
        <v>2197</v>
      </c>
      <c r="I2829" t="s">
        <v>2198</v>
      </c>
      <c r="J2829">
        <v>8</v>
      </c>
      <c r="K2829">
        <v>1</v>
      </c>
      <c r="L2829">
        <v>6.192129629629629E-3</v>
      </c>
      <c r="M2829" t="s">
        <v>778</v>
      </c>
      <c r="N2829" t="s">
        <v>1058</v>
      </c>
      <c r="O2829" s="24">
        <v>46120</v>
      </c>
      <c r="P2829">
        <v>603</v>
      </c>
      <c r="Q2829" t="s">
        <v>34</v>
      </c>
      <c r="X2829" t="s">
        <v>3740</v>
      </c>
    </row>
    <row r="2830" spans="1:24" x14ac:dyDescent="0.25">
      <c r="A2830">
        <v>2826</v>
      </c>
      <c r="B2830" t="s">
        <v>29</v>
      </c>
      <c r="C2830" t="s">
        <v>27</v>
      </c>
      <c r="D2830">
        <v>16</v>
      </c>
      <c r="E2830" t="s">
        <v>2195</v>
      </c>
      <c r="F2830" t="s">
        <v>44</v>
      </c>
      <c r="G2830">
        <v>4354</v>
      </c>
      <c r="H2830" t="s">
        <v>48</v>
      </c>
      <c r="I2830" t="s">
        <v>1119</v>
      </c>
      <c r="J2830">
        <v>8</v>
      </c>
      <c r="K2830">
        <v>1</v>
      </c>
      <c r="L2830">
        <v>1.5162037037037036E-3</v>
      </c>
      <c r="M2830" t="s">
        <v>778</v>
      </c>
      <c r="N2830" t="s">
        <v>1058</v>
      </c>
      <c r="O2830" s="24">
        <v>46120</v>
      </c>
      <c r="P2830">
        <v>603</v>
      </c>
      <c r="Q2830" t="s">
        <v>34</v>
      </c>
      <c r="X2830" t="s">
        <v>3740</v>
      </c>
    </row>
    <row r="2831" spans="1:24" x14ac:dyDescent="0.25">
      <c r="A2831">
        <v>2827</v>
      </c>
      <c r="B2831" t="s">
        <v>29</v>
      </c>
      <c r="C2831" t="s">
        <v>27</v>
      </c>
      <c r="D2831">
        <v>16</v>
      </c>
      <c r="E2831" t="s">
        <v>1588</v>
      </c>
      <c r="F2831" t="s">
        <v>512</v>
      </c>
      <c r="G2831">
        <v>4355</v>
      </c>
      <c r="H2831" t="s">
        <v>2197</v>
      </c>
      <c r="I2831" t="s">
        <v>2198</v>
      </c>
      <c r="J2831">
        <v>8</v>
      </c>
      <c r="K2831">
        <v>1</v>
      </c>
      <c r="L2831">
        <v>6.192129629629629E-3</v>
      </c>
      <c r="M2831" t="s">
        <v>778</v>
      </c>
      <c r="N2831" t="s">
        <v>1058</v>
      </c>
      <c r="O2831" s="24">
        <v>46120</v>
      </c>
      <c r="P2831">
        <v>603</v>
      </c>
      <c r="Q2831" t="s">
        <v>34</v>
      </c>
      <c r="X2831" t="s">
        <v>3741</v>
      </c>
    </row>
    <row r="2832" spans="1:24" x14ac:dyDescent="0.25">
      <c r="A2832">
        <v>2828</v>
      </c>
      <c r="B2832" t="s">
        <v>29</v>
      </c>
      <c r="C2832" t="s">
        <v>27</v>
      </c>
      <c r="D2832">
        <v>16</v>
      </c>
      <c r="E2832" t="s">
        <v>2195</v>
      </c>
      <c r="F2832" t="s">
        <v>44</v>
      </c>
      <c r="G2832">
        <v>4355</v>
      </c>
      <c r="H2832" t="s">
        <v>48</v>
      </c>
      <c r="I2832" t="s">
        <v>1119</v>
      </c>
      <c r="J2832">
        <v>8</v>
      </c>
      <c r="K2832">
        <v>1</v>
      </c>
      <c r="L2832">
        <v>1.5162037037037036E-3</v>
      </c>
      <c r="M2832" t="s">
        <v>778</v>
      </c>
      <c r="N2832" t="s">
        <v>1058</v>
      </c>
      <c r="O2832" s="24">
        <v>46120</v>
      </c>
      <c r="P2832">
        <v>603</v>
      </c>
      <c r="Q2832" t="s">
        <v>34</v>
      </c>
      <c r="X2832" t="s">
        <v>3741</v>
      </c>
    </row>
    <row r="2833" spans="1:26" x14ac:dyDescent="0.25">
      <c r="A2833">
        <v>2829</v>
      </c>
      <c r="B2833" t="s">
        <v>29</v>
      </c>
      <c r="C2833" t="s">
        <v>27</v>
      </c>
      <c r="D2833">
        <v>16</v>
      </c>
      <c r="E2833" t="s">
        <v>1588</v>
      </c>
      <c r="F2833" t="s">
        <v>512</v>
      </c>
      <c r="G2833">
        <v>4353</v>
      </c>
      <c r="H2833" t="s">
        <v>2197</v>
      </c>
      <c r="I2833" t="s">
        <v>2198</v>
      </c>
      <c r="J2833">
        <v>8</v>
      </c>
      <c r="K2833">
        <v>1</v>
      </c>
      <c r="L2833">
        <v>6.0185185185185185E-3</v>
      </c>
      <c r="M2833" t="s">
        <v>778</v>
      </c>
      <c r="N2833" t="s">
        <v>1058</v>
      </c>
      <c r="O2833" s="24">
        <v>46120</v>
      </c>
      <c r="P2833">
        <v>603</v>
      </c>
      <c r="Q2833" t="s">
        <v>34</v>
      </c>
      <c r="X2833" t="s">
        <v>3742</v>
      </c>
    </row>
    <row r="2834" spans="1:26" x14ac:dyDescent="0.25">
      <c r="A2834">
        <v>2830</v>
      </c>
      <c r="B2834" t="s">
        <v>29</v>
      </c>
      <c r="C2834" t="s">
        <v>27</v>
      </c>
      <c r="D2834">
        <v>16</v>
      </c>
      <c r="E2834" t="s">
        <v>367</v>
      </c>
      <c r="F2834" t="s">
        <v>1594</v>
      </c>
      <c r="G2834">
        <v>4353</v>
      </c>
      <c r="H2834" t="s">
        <v>2474</v>
      </c>
      <c r="I2834" t="s">
        <v>2475</v>
      </c>
      <c r="J2834">
        <v>8</v>
      </c>
      <c r="K2834">
        <v>1</v>
      </c>
      <c r="L2834">
        <v>9.4907407407407408E-4</v>
      </c>
      <c r="M2834" t="s">
        <v>778</v>
      </c>
      <c r="N2834" t="s">
        <v>1058</v>
      </c>
      <c r="O2834" s="24">
        <v>46120</v>
      </c>
      <c r="P2834">
        <v>603</v>
      </c>
      <c r="Q2834" t="s">
        <v>34</v>
      </c>
      <c r="X2834" t="s">
        <v>3742</v>
      </c>
    </row>
    <row r="2835" spans="1:26" x14ac:dyDescent="0.25">
      <c r="A2835">
        <v>2831</v>
      </c>
      <c r="B2835" t="s">
        <v>29</v>
      </c>
      <c r="C2835" t="s">
        <v>27</v>
      </c>
      <c r="D2835">
        <v>16</v>
      </c>
      <c r="E2835" t="s">
        <v>2195</v>
      </c>
      <c r="F2835" t="s">
        <v>44</v>
      </c>
      <c r="G2835">
        <v>4353</v>
      </c>
      <c r="H2835" t="s">
        <v>48</v>
      </c>
      <c r="I2835" t="s">
        <v>1119</v>
      </c>
      <c r="J2835">
        <v>8</v>
      </c>
      <c r="K2835">
        <v>1</v>
      </c>
      <c r="L2835">
        <v>1.4699074074074074E-3</v>
      </c>
      <c r="M2835" t="s">
        <v>778</v>
      </c>
      <c r="N2835" t="s">
        <v>1058</v>
      </c>
      <c r="O2835" s="24">
        <v>46120</v>
      </c>
      <c r="P2835">
        <v>603</v>
      </c>
      <c r="Q2835" t="s">
        <v>34</v>
      </c>
      <c r="X2835" t="s">
        <v>3742</v>
      </c>
    </row>
    <row r="2836" spans="1:26" x14ac:dyDescent="0.25">
      <c r="A2836">
        <v>2832</v>
      </c>
      <c r="B2836" t="s">
        <v>29</v>
      </c>
      <c r="C2836" t="s">
        <v>27</v>
      </c>
      <c r="D2836">
        <v>16</v>
      </c>
      <c r="E2836" t="s">
        <v>1588</v>
      </c>
      <c r="F2836" t="s">
        <v>512</v>
      </c>
      <c r="G2836">
        <v>4352</v>
      </c>
      <c r="H2836" t="s">
        <v>2197</v>
      </c>
      <c r="I2836" t="s">
        <v>2198</v>
      </c>
      <c r="J2836">
        <v>8</v>
      </c>
      <c r="K2836">
        <v>1</v>
      </c>
      <c r="L2836">
        <v>6.192129629629629E-3</v>
      </c>
      <c r="M2836" t="s">
        <v>778</v>
      </c>
      <c r="N2836" t="s">
        <v>1058</v>
      </c>
      <c r="O2836" s="24">
        <v>46120</v>
      </c>
      <c r="P2836">
        <v>603</v>
      </c>
      <c r="Q2836" t="s">
        <v>34</v>
      </c>
      <c r="X2836" t="s">
        <v>3743</v>
      </c>
    </row>
    <row r="2837" spans="1:26" x14ac:dyDescent="0.25">
      <c r="A2837">
        <v>2833</v>
      </c>
      <c r="B2837" t="s">
        <v>29</v>
      </c>
      <c r="C2837" t="s">
        <v>27</v>
      </c>
      <c r="D2837">
        <v>16</v>
      </c>
      <c r="E2837" t="s">
        <v>2195</v>
      </c>
      <c r="F2837" t="s">
        <v>44</v>
      </c>
      <c r="G2837">
        <v>4352</v>
      </c>
      <c r="H2837" t="s">
        <v>48</v>
      </c>
      <c r="I2837" t="s">
        <v>1119</v>
      </c>
      <c r="J2837">
        <v>8</v>
      </c>
      <c r="K2837">
        <v>1</v>
      </c>
      <c r="L2837">
        <v>1.5162037037037036E-3</v>
      </c>
      <c r="M2837" t="s">
        <v>778</v>
      </c>
      <c r="N2837" t="s">
        <v>1058</v>
      </c>
      <c r="O2837" s="24">
        <v>46120</v>
      </c>
      <c r="P2837">
        <v>603</v>
      </c>
      <c r="Q2837" t="s">
        <v>34</v>
      </c>
      <c r="X2837" t="s">
        <v>3743</v>
      </c>
    </row>
    <row r="2838" spans="1:26" x14ac:dyDescent="0.25">
      <c r="A2838">
        <v>2834</v>
      </c>
      <c r="B2838" t="s">
        <v>29</v>
      </c>
      <c r="C2838" t="s">
        <v>27</v>
      </c>
      <c r="D2838">
        <v>16</v>
      </c>
      <c r="E2838" t="s">
        <v>1672</v>
      </c>
      <c r="F2838" t="s">
        <v>512</v>
      </c>
      <c r="G2838">
        <v>3934</v>
      </c>
      <c r="H2838" t="s">
        <v>2297</v>
      </c>
      <c r="I2838" t="s">
        <v>2226</v>
      </c>
      <c r="J2838">
        <v>8</v>
      </c>
      <c r="K2838">
        <v>3</v>
      </c>
      <c r="L2838">
        <v>5.0115740740740737E-3</v>
      </c>
      <c r="M2838" t="s">
        <v>117</v>
      </c>
      <c r="N2838" t="s">
        <v>822</v>
      </c>
      <c r="O2838" s="24">
        <v>46128</v>
      </c>
      <c r="P2838">
        <v>605</v>
      </c>
      <c r="Q2838" t="s">
        <v>34</v>
      </c>
      <c r="R2838">
        <v>46137</v>
      </c>
      <c r="S2838" s="51">
        <v>3.8194444444444448E-2</v>
      </c>
      <c r="T2838" s="51">
        <v>5.1388888888888887E-2</v>
      </c>
      <c r="X2838" t="s">
        <v>3744</v>
      </c>
      <c r="Y2838" t="s">
        <v>3029</v>
      </c>
      <c r="Z2838">
        <v>3219209</v>
      </c>
    </row>
    <row r="2839" spans="1:26" x14ac:dyDescent="0.25">
      <c r="A2839">
        <v>2835</v>
      </c>
      <c r="B2839" t="s">
        <v>29</v>
      </c>
      <c r="C2839" t="s">
        <v>27</v>
      </c>
      <c r="D2839">
        <v>16</v>
      </c>
      <c r="E2839" t="s">
        <v>1588</v>
      </c>
      <c r="F2839" t="s">
        <v>44</v>
      </c>
      <c r="G2839">
        <v>3934</v>
      </c>
      <c r="H2839" t="s">
        <v>1623</v>
      </c>
      <c r="I2839" t="s">
        <v>1624</v>
      </c>
      <c r="J2839">
        <v>8</v>
      </c>
      <c r="K2839">
        <v>2</v>
      </c>
      <c r="L2839">
        <v>2.7083333333333334E-3</v>
      </c>
      <c r="M2839" t="s">
        <v>117</v>
      </c>
      <c r="N2839" t="s">
        <v>822</v>
      </c>
      <c r="O2839" s="24">
        <v>46128</v>
      </c>
      <c r="P2839">
        <v>605</v>
      </c>
      <c r="Q2839" t="s">
        <v>34</v>
      </c>
      <c r="R2839">
        <v>46137</v>
      </c>
      <c r="S2839" s="51">
        <v>3.8194444444444448E-2</v>
      </c>
      <c r="T2839" s="51">
        <v>5.1388888888888887E-2</v>
      </c>
      <c r="X2839" t="s">
        <v>3744</v>
      </c>
      <c r="Y2839" t="s">
        <v>3029</v>
      </c>
      <c r="Z2839">
        <v>3219209</v>
      </c>
    </row>
    <row r="2840" spans="1:26" x14ac:dyDescent="0.25">
      <c r="A2840">
        <v>2836</v>
      </c>
      <c r="B2840" t="s">
        <v>29</v>
      </c>
      <c r="C2840" t="s">
        <v>27</v>
      </c>
      <c r="D2840">
        <v>16</v>
      </c>
      <c r="E2840" t="s">
        <v>1588</v>
      </c>
      <c r="F2840" t="s">
        <v>44</v>
      </c>
      <c r="G2840">
        <v>3934</v>
      </c>
      <c r="H2840" t="s">
        <v>2048</v>
      </c>
      <c r="I2840" t="s">
        <v>2049</v>
      </c>
      <c r="J2840">
        <v>8</v>
      </c>
      <c r="K2840">
        <v>1</v>
      </c>
      <c r="L2840">
        <v>1.2037037037037036E-3</v>
      </c>
      <c r="M2840" t="s">
        <v>117</v>
      </c>
      <c r="N2840" t="s">
        <v>822</v>
      </c>
      <c r="O2840" s="24">
        <v>46128</v>
      </c>
      <c r="P2840">
        <v>605</v>
      </c>
      <c r="Q2840" t="s">
        <v>34</v>
      </c>
      <c r="R2840">
        <v>46137</v>
      </c>
      <c r="S2840" s="51">
        <v>3.8194444444444448E-2</v>
      </c>
      <c r="T2840" s="51">
        <v>5.1388888888888887E-2</v>
      </c>
      <c r="X2840" t="s">
        <v>3744</v>
      </c>
      <c r="Y2840" t="s">
        <v>3029</v>
      </c>
      <c r="Z2840">
        <v>3219209</v>
      </c>
    </row>
    <row r="2841" spans="1:26" x14ac:dyDescent="0.25">
      <c r="A2841">
        <v>2837</v>
      </c>
      <c r="B2841" t="s">
        <v>29</v>
      </c>
      <c r="C2841" t="s">
        <v>27</v>
      </c>
      <c r="D2841">
        <v>16</v>
      </c>
      <c r="E2841" t="s">
        <v>367</v>
      </c>
      <c r="F2841" t="s">
        <v>1592</v>
      </c>
      <c r="G2841">
        <v>3934</v>
      </c>
      <c r="H2841" t="s">
        <v>2062</v>
      </c>
      <c r="I2841" t="s">
        <v>2063</v>
      </c>
      <c r="J2841">
        <v>8</v>
      </c>
      <c r="K2841">
        <v>11</v>
      </c>
      <c r="L2841">
        <v>4.5949074074074069E-3</v>
      </c>
      <c r="M2841" t="s">
        <v>117</v>
      </c>
      <c r="N2841" t="s">
        <v>822</v>
      </c>
      <c r="O2841" s="24">
        <v>46128</v>
      </c>
      <c r="P2841">
        <v>605</v>
      </c>
      <c r="Q2841" t="s">
        <v>34</v>
      </c>
      <c r="R2841">
        <v>46137</v>
      </c>
      <c r="S2841" s="51">
        <v>3.8194444444444448E-2</v>
      </c>
      <c r="T2841" s="51">
        <v>5.1388888888888887E-2</v>
      </c>
      <c r="X2841" t="s">
        <v>3744</v>
      </c>
      <c r="Y2841" t="s">
        <v>3029</v>
      </c>
      <c r="Z2841">
        <v>3219209</v>
      </c>
    </row>
    <row r="2842" spans="1:26" x14ac:dyDescent="0.25">
      <c r="A2842">
        <v>2838</v>
      </c>
      <c r="B2842" t="s">
        <v>29</v>
      </c>
      <c r="C2842" t="s">
        <v>27</v>
      </c>
      <c r="D2842">
        <v>16</v>
      </c>
      <c r="E2842" t="s">
        <v>1141</v>
      </c>
      <c r="F2842" t="s">
        <v>1594</v>
      </c>
      <c r="G2842">
        <v>3934</v>
      </c>
      <c r="H2842" t="s">
        <v>2433</v>
      </c>
      <c r="I2842" t="s">
        <v>2434</v>
      </c>
      <c r="J2842">
        <v>8</v>
      </c>
      <c r="K2842">
        <v>1</v>
      </c>
      <c r="L2842">
        <v>3.1828703703703702E-3</v>
      </c>
      <c r="M2842" t="s">
        <v>117</v>
      </c>
      <c r="N2842" t="s">
        <v>822</v>
      </c>
      <c r="O2842" s="24">
        <v>46128</v>
      </c>
      <c r="P2842">
        <v>605</v>
      </c>
      <c r="Q2842" t="s">
        <v>34</v>
      </c>
      <c r="R2842">
        <v>46137</v>
      </c>
      <c r="S2842" s="51">
        <v>3.8194444444444448E-2</v>
      </c>
      <c r="T2842" s="51">
        <v>5.1388888888888887E-2</v>
      </c>
      <c r="X2842" t="s">
        <v>3744</v>
      </c>
      <c r="Y2842" t="s">
        <v>3029</v>
      </c>
      <c r="Z2842">
        <v>3219209</v>
      </c>
    </row>
    <row r="2843" spans="1:26" x14ac:dyDescent="0.25">
      <c r="A2843">
        <v>2839</v>
      </c>
      <c r="B2843" t="s">
        <v>29</v>
      </c>
      <c r="C2843" t="s">
        <v>27</v>
      </c>
      <c r="D2843">
        <v>16</v>
      </c>
      <c r="E2843" t="s">
        <v>1141</v>
      </c>
      <c r="F2843" t="s">
        <v>1598</v>
      </c>
      <c r="G2843">
        <v>3934</v>
      </c>
      <c r="H2843" t="s">
        <v>2249</v>
      </c>
      <c r="I2843" t="s">
        <v>2240</v>
      </c>
      <c r="J2843">
        <v>8</v>
      </c>
      <c r="K2843">
        <v>1</v>
      </c>
      <c r="L2843">
        <v>2.2569444444444442E-3</v>
      </c>
      <c r="M2843" t="s">
        <v>117</v>
      </c>
      <c r="N2843" t="s">
        <v>822</v>
      </c>
      <c r="O2843" s="24">
        <v>46128</v>
      </c>
      <c r="P2843">
        <v>605</v>
      </c>
      <c r="Q2843" t="s">
        <v>34</v>
      </c>
      <c r="R2843">
        <v>46137</v>
      </c>
      <c r="S2843" s="51">
        <v>3.8194444444444448E-2</v>
      </c>
      <c r="T2843" s="51">
        <v>5.1388888888888887E-2</v>
      </c>
      <c r="X2843" t="s">
        <v>3744</v>
      </c>
      <c r="Y2843" t="s">
        <v>3029</v>
      </c>
      <c r="Z2843">
        <v>3219209</v>
      </c>
    </row>
    <row r="2844" spans="1:26" x14ac:dyDescent="0.25">
      <c r="A2844">
        <v>2840</v>
      </c>
      <c r="B2844" t="s">
        <v>29</v>
      </c>
      <c r="C2844" t="s">
        <v>27</v>
      </c>
      <c r="D2844">
        <v>16</v>
      </c>
      <c r="E2844" t="s">
        <v>1141</v>
      </c>
      <c r="F2844" t="s">
        <v>368</v>
      </c>
      <c r="G2844">
        <v>3632</v>
      </c>
      <c r="H2844" t="s">
        <v>369</v>
      </c>
      <c r="I2844" t="s">
        <v>370</v>
      </c>
      <c r="J2844">
        <v>8</v>
      </c>
      <c r="K2844">
        <v>1</v>
      </c>
      <c r="L2844">
        <v>6.898148148148148E-3</v>
      </c>
      <c r="M2844" t="s">
        <v>778</v>
      </c>
      <c r="N2844" t="s">
        <v>1253</v>
      </c>
      <c r="O2844" s="24">
        <v>46135</v>
      </c>
      <c r="P2844">
        <v>605</v>
      </c>
      <c r="Q2844" t="s">
        <v>34</v>
      </c>
      <c r="X2844" t="s">
        <v>3745</v>
      </c>
    </row>
    <row r="2845" spans="1:26" x14ac:dyDescent="0.25">
      <c r="A2845">
        <v>2841</v>
      </c>
      <c r="B2845" t="s">
        <v>29</v>
      </c>
      <c r="C2845" t="s">
        <v>27</v>
      </c>
      <c r="D2845">
        <v>16</v>
      </c>
      <c r="E2845" t="s">
        <v>1588</v>
      </c>
      <c r="F2845" t="s">
        <v>512</v>
      </c>
      <c r="G2845">
        <v>4356</v>
      </c>
      <c r="H2845" t="s">
        <v>2197</v>
      </c>
      <c r="I2845" t="s">
        <v>2198</v>
      </c>
      <c r="J2845">
        <v>8</v>
      </c>
      <c r="K2845">
        <v>1</v>
      </c>
      <c r="L2845">
        <v>6.0185185185185185E-3</v>
      </c>
      <c r="M2845" t="s">
        <v>778</v>
      </c>
      <c r="N2845" t="s">
        <v>1058</v>
      </c>
      <c r="O2845" s="24">
        <v>46120</v>
      </c>
      <c r="P2845">
        <v>603</v>
      </c>
      <c r="Q2845" t="s">
        <v>34</v>
      </c>
      <c r="X2845" t="s">
        <v>3746</v>
      </c>
    </row>
    <row r="2846" spans="1:26" x14ac:dyDescent="0.25">
      <c r="A2846">
        <v>2842</v>
      </c>
      <c r="B2846" t="s">
        <v>29</v>
      </c>
      <c r="C2846" t="s">
        <v>27</v>
      </c>
      <c r="D2846">
        <v>16</v>
      </c>
      <c r="E2846" t="s">
        <v>367</v>
      </c>
      <c r="F2846" t="s">
        <v>512</v>
      </c>
      <c r="G2846">
        <v>4356</v>
      </c>
      <c r="H2846" t="s">
        <v>2598</v>
      </c>
      <c r="I2846" t="s">
        <v>2599</v>
      </c>
      <c r="J2846">
        <v>8</v>
      </c>
      <c r="K2846">
        <v>1</v>
      </c>
      <c r="L2846">
        <v>9.7222222222222219E-4</v>
      </c>
      <c r="M2846" t="s">
        <v>778</v>
      </c>
      <c r="N2846" t="s">
        <v>1058</v>
      </c>
      <c r="O2846" s="24">
        <v>46120</v>
      </c>
      <c r="P2846">
        <v>603</v>
      </c>
      <c r="Q2846" t="s">
        <v>34</v>
      </c>
      <c r="X2846" t="s">
        <v>3746</v>
      </c>
    </row>
    <row r="2847" spans="1:26" x14ac:dyDescent="0.25">
      <c r="A2847">
        <v>2843</v>
      </c>
      <c r="B2847" t="s">
        <v>29</v>
      </c>
      <c r="C2847" t="s">
        <v>27</v>
      </c>
      <c r="D2847">
        <v>16</v>
      </c>
      <c r="E2847" t="s">
        <v>2195</v>
      </c>
      <c r="F2847" t="s">
        <v>44</v>
      </c>
      <c r="G2847">
        <v>4356</v>
      </c>
      <c r="H2847" t="s">
        <v>48</v>
      </c>
      <c r="I2847" t="s">
        <v>1119</v>
      </c>
      <c r="J2847">
        <v>8</v>
      </c>
      <c r="K2847">
        <v>1</v>
      </c>
      <c r="L2847">
        <v>1.4699074074074074E-3</v>
      </c>
      <c r="M2847" t="s">
        <v>778</v>
      </c>
      <c r="N2847" t="s">
        <v>1058</v>
      </c>
      <c r="O2847" s="24">
        <v>46120</v>
      </c>
      <c r="P2847">
        <v>603</v>
      </c>
      <c r="Q2847" t="s">
        <v>34</v>
      </c>
      <c r="X2847" t="s">
        <v>3746</v>
      </c>
    </row>
    <row r="2848" spans="1:26" x14ac:dyDescent="0.25">
      <c r="A2848">
        <v>2844</v>
      </c>
      <c r="B2848" t="s">
        <v>29</v>
      </c>
      <c r="C2848" t="s">
        <v>27</v>
      </c>
      <c r="D2848">
        <v>16</v>
      </c>
      <c r="E2848" t="s">
        <v>1665</v>
      </c>
      <c r="F2848" t="s">
        <v>115</v>
      </c>
      <c r="G2848">
        <v>3634</v>
      </c>
      <c r="H2848" t="s">
        <v>2113</v>
      </c>
      <c r="I2848" t="s">
        <v>2111</v>
      </c>
      <c r="J2848">
        <v>8</v>
      </c>
      <c r="K2848">
        <v>2</v>
      </c>
      <c r="L2848">
        <v>1.2962962962962963E-3</v>
      </c>
      <c r="M2848" t="s">
        <v>778</v>
      </c>
      <c r="N2848" t="s">
        <v>1253</v>
      </c>
      <c r="O2848" s="24">
        <v>46135</v>
      </c>
      <c r="P2848">
        <v>605</v>
      </c>
      <c r="Q2848" t="s">
        <v>34</v>
      </c>
      <c r="X2848" t="s">
        <v>3747</v>
      </c>
    </row>
    <row r="2849" spans="1:24" x14ac:dyDescent="0.25">
      <c r="A2849">
        <v>2845</v>
      </c>
      <c r="B2849" t="s">
        <v>29</v>
      </c>
      <c r="C2849" t="s">
        <v>27</v>
      </c>
      <c r="D2849">
        <v>16</v>
      </c>
      <c r="E2849" t="s">
        <v>147</v>
      </c>
      <c r="F2849" t="s">
        <v>512</v>
      </c>
      <c r="G2849">
        <v>3634</v>
      </c>
      <c r="H2849" t="s">
        <v>2352</v>
      </c>
      <c r="I2849" t="s">
        <v>2161</v>
      </c>
      <c r="J2849">
        <v>8</v>
      </c>
      <c r="K2849">
        <v>4</v>
      </c>
      <c r="L2849">
        <v>7.4421296296296293E-3</v>
      </c>
      <c r="M2849" t="s">
        <v>778</v>
      </c>
      <c r="N2849" t="s">
        <v>1253</v>
      </c>
      <c r="O2849" s="24">
        <v>46135</v>
      </c>
      <c r="P2849">
        <v>605</v>
      </c>
      <c r="Q2849" t="s">
        <v>34</v>
      </c>
      <c r="X2849" t="s">
        <v>3747</v>
      </c>
    </row>
    <row r="2850" spans="1:24" x14ac:dyDescent="0.25">
      <c r="A2850">
        <v>2846</v>
      </c>
      <c r="B2850" t="s">
        <v>29</v>
      </c>
      <c r="C2850" t="s">
        <v>27</v>
      </c>
      <c r="D2850">
        <v>16</v>
      </c>
      <c r="E2850" t="s">
        <v>1141</v>
      </c>
      <c r="F2850" t="s">
        <v>367</v>
      </c>
      <c r="G2850">
        <v>3634</v>
      </c>
      <c r="H2850" t="s">
        <v>2579</v>
      </c>
      <c r="I2850" t="s">
        <v>2580</v>
      </c>
      <c r="J2850">
        <v>8</v>
      </c>
      <c r="K2850">
        <v>1</v>
      </c>
      <c r="L2850">
        <v>6.0185185185185185E-3</v>
      </c>
      <c r="M2850" t="s">
        <v>778</v>
      </c>
      <c r="N2850" t="s">
        <v>1253</v>
      </c>
      <c r="O2850" s="24">
        <v>46135</v>
      </c>
      <c r="P2850">
        <v>605</v>
      </c>
      <c r="Q2850" t="s">
        <v>34</v>
      </c>
      <c r="X2850" t="s">
        <v>3747</v>
      </c>
    </row>
    <row r="2851" spans="1:24" x14ac:dyDescent="0.25">
      <c r="A2851">
        <v>2847</v>
      </c>
      <c r="B2851" t="s">
        <v>29</v>
      </c>
      <c r="C2851" t="s">
        <v>27</v>
      </c>
      <c r="D2851">
        <v>16</v>
      </c>
      <c r="E2851" t="s">
        <v>367</v>
      </c>
      <c r="F2851" t="s">
        <v>1594</v>
      </c>
      <c r="G2851">
        <v>3634</v>
      </c>
      <c r="H2851" t="s">
        <v>2474</v>
      </c>
      <c r="I2851" t="s">
        <v>2475</v>
      </c>
      <c r="J2851">
        <v>8</v>
      </c>
      <c r="K2851">
        <v>1</v>
      </c>
      <c r="L2851">
        <v>9.7222222222222219E-4</v>
      </c>
      <c r="M2851" t="s">
        <v>778</v>
      </c>
      <c r="N2851" t="s">
        <v>1253</v>
      </c>
      <c r="O2851" s="24">
        <v>46135</v>
      </c>
      <c r="P2851">
        <v>605</v>
      </c>
      <c r="Q2851" t="s">
        <v>34</v>
      </c>
      <c r="X2851" t="s">
        <v>3747</v>
      </c>
    </row>
    <row r="2852" spans="1:24" x14ac:dyDescent="0.25">
      <c r="A2852">
        <v>2848</v>
      </c>
      <c r="B2852" t="s">
        <v>29</v>
      </c>
      <c r="C2852" t="s">
        <v>27</v>
      </c>
      <c r="D2852">
        <v>16</v>
      </c>
      <c r="E2852" t="s">
        <v>2195</v>
      </c>
      <c r="F2852" t="s">
        <v>44</v>
      </c>
      <c r="G2852">
        <v>3634</v>
      </c>
      <c r="H2852" t="s">
        <v>48</v>
      </c>
      <c r="I2852" t="s">
        <v>1119</v>
      </c>
      <c r="J2852">
        <v>8</v>
      </c>
      <c r="K2852">
        <v>1</v>
      </c>
      <c r="L2852">
        <v>1.5046296296296296E-3</v>
      </c>
      <c r="M2852" t="s">
        <v>778</v>
      </c>
      <c r="N2852" t="s">
        <v>1253</v>
      </c>
      <c r="O2852" s="24">
        <v>46135</v>
      </c>
      <c r="P2852">
        <v>605</v>
      </c>
      <c r="Q2852" t="s">
        <v>34</v>
      </c>
      <c r="X2852" t="s">
        <v>3747</v>
      </c>
    </row>
    <row r="2853" spans="1:24" x14ac:dyDescent="0.25">
      <c r="A2853">
        <v>2849</v>
      </c>
      <c r="B2853" t="s">
        <v>29</v>
      </c>
      <c r="C2853" t="s">
        <v>27</v>
      </c>
      <c r="D2853">
        <v>16</v>
      </c>
      <c r="E2853" t="s">
        <v>1672</v>
      </c>
      <c r="F2853" t="s">
        <v>512</v>
      </c>
      <c r="G2853">
        <v>3635</v>
      </c>
      <c r="H2853" t="s">
        <v>2297</v>
      </c>
      <c r="I2853" t="s">
        <v>2226</v>
      </c>
      <c r="J2853">
        <v>8</v>
      </c>
      <c r="K2853">
        <v>3</v>
      </c>
      <c r="L2853">
        <v>5.6365740740740742E-3</v>
      </c>
      <c r="M2853" t="s">
        <v>778</v>
      </c>
      <c r="N2853" t="s">
        <v>1253</v>
      </c>
      <c r="O2853" s="24">
        <v>46135</v>
      </c>
      <c r="P2853">
        <v>605</v>
      </c>
      <c r="Q2853" t="s">
        <v>34</v>
      </c>
      <c r="X2853" t="s">
        <v>3748</v>
      </c>
    </row>
    <row r="2854" spans="1:24" x14ac:dyDescent="0.25">
      <c r="A2854">
        <v>2850</v>
      </c>
      <c r="B2854" t="s">
        <v>29</v>
      </c>
      <c r="C2854" t="s">
        <v>27</v>
      </c>
      <c r="D2854">
        <v>16</v>
      </c>
      <c r="E2854" t="s">
        <v>147</v>
      </c>
      <c r="F2854" t="s">
        <v>512</v>
      </c>
      <c r="G2854">
        <v>3635</v>
      </c>
      <c r="H2854" t="s">
        <v>2352</v>
      </c>
      <c r="I2854" t="s">
        <v>2161</v>
      </c>
      <c r="J2854">
        <v>8</v>
      </c>
      <c r="K2854">
        <v>3</v>
      </c>
      <c r="L2854">
        <v>5.2199074074074075E-3</v>
      </c>
      <c r="M2854" t="s">
        <v>778</v>
      </c>
      <c r="N2854" t="s">
        <v>1253</v>
      </c>
      <c r="O2854" s="24">
        <v>46135</v>
      </c>
      <c r="P2854">
        <v>605</v>
      </c>
      <c r="Q2854" t="s">
        <v>34</v>
      </c>
      <c r="X2854" t="s">
        <v>3748</v>
      </c>
    </row>
    <row r="2855" spans="1:24" x14ac:dyDescent="0.25">
      <c r="A2855">
        <v>2851</v>
      </c>
      <c r="B2855" t="s">
        <v>29</v>
      </c>
      <c r="C2855" t="s">
        <v>27</v>
      </c>
      <c r="D2855">
        <v>16</v>
      </c>
      <c r="E2855" t="s">
        <v>1672</v>
      </c>
      <c r="F2855" t="s">
        <v>512</v>
      </c>
      <c r="G2855">
        <v>3635</v>
      </c>
      <c r="H2855" t="s">
        <v>2152</v>
      </c>
      <c r="I2855" t="s">
        <v>2153</v>
      </c>
      <c r="J2855">
        <v>8</v>
      </c>
      <c r="K2855">
        <v>1</v>
      </c>
      <c r="L2855">
        <v>1.6435185185185185E-3</v>
      </c>
      <c r="M2855" t="s">
        <v>778</v>
      </c>
      <c r="N2855" t="s">
        <v>1253</v>
      </c>
      <c r="O2855" s="24">
        <v>46135</v>
      </c>
      <c r="P2855">
        <v>605</v>
      </c>
      <c r="Q2855" t="s">
        <v>34</v>
      </c>
      <c r="X2855" t="s">
        <v>3748</v>
      </c>
    </row>
    <row r="2856" spans="1:24" x14ac:dyDescent="0.25">
      <c r="A2856">
        <v>2852</v>
      </c>
      <c r="B2856" t="s">
        <v>29</v>
      </c>
      <c r="C2856" t="s">
        <v>27</v>
      </c>
      <c r="D2856">
        <v>16</v>
      </c>
      <c r="E2856" t="s">
        <v>1141</v>
      </c>
      <c r="F2856" t="s">
        <v>368</v>
      </c>
      <c r="G2856">
        <v>3635</v>
      </c>
      <c r="H2856" t="s">
        <v>2331</v>
      </c>
      <c r="I2856" t="s">
        <v>2653</v>
      </c>
      <c r="J2856">
        <v>8</v>
      </c>
      <c r="K2856">
        <v>1</v>
      </c>
      <c r="L2856">
        <v>5.7986111111111112E-3</v>
      </c>
      <c r="M2856" t="s">
        <v>778</v>
      </c>
      <c r="N2856" t="s">
        <v>1253</v>
      </c>
      <c r="O2856" s="24">
        <v>46135</v>
      </c>
      <c r="P2856">
        <v>605</v>
      </c>
      <c r="Q2856" t="s">
        <v>34</v>
      </c>
      <c r="X2856" t="s">
        <v>3748</v>
      </c>
    </row>
    <row r="2857" spans="1:24" x14ac:dyDescent="0.25">
      <c r="A2857">
        <v>2853</v>
      </c>
      <c r="B2857" t="s">
        <v>29</v>
      </c>
      <c r="C2857" t="s">
        <v>27</v>
      </c>
      <c r="D2857">
        <v>16</v>
      </c>
      <c r="E2857" t="s">
        <v>367</v>
      </c>
      <c r="F2857" t="s">
        <v>427</v>
      </c>
      <c r="G2857">
        <v>3635</v>
      </c>
      <c r="H2857" t="s">
        <v>2271</v>
      </c>
      <c r="I2857" t="s">
        <v>2270</v>
      </c>
      <c r="J2857">
        <v>8</v>
      </c>
      <c r="K2857">
        <v>1</v>
      </c>
      <c r="L2857">
        <v>1.7824074074074072E-3</v>
      </c>
      <c r="M2857" t="s">
        <v>778</v>
      </c>
      <c r="N2857" t="s">
        <v>1253</v>
      </c>
      <c r="O2857" s="24">
        <v>46135</v>
      </c>
      <c r="P2857">
        <v>605</v>
      </c>
      <c r="Q2857" t="s">
        <v>34</v>
      </c>
      <c r="X2857" t="s">
        <v>3748</v>
      </c>
    </row>
    <row r="2858" spans="1:24" x14ac:dyDescent="0.25">
      <c r="A2858">
        <v>2854</v>
      </c>
      <c r="B2858" t="s">
        <v>29</v>
      </c>
      <c r="C2858" t="s">
        <v>27</v>
      </c>
      <c r="D2858">
        <v>16</v>
      </c>
      <c r="E2858" t="s">
        <v>1588</v>
      </c>
      <c r="F2858" t="s">
        <v>512</v>
      </c>
      <c r="G2858">
        <v>4357</v>
      </c>
      <c r="H2858" t="s">
        <v>2197</v>
      </c>
      <c r="I2858" t="s">
        <v>2198</v>
      </c>
      <c r="J2858">
        <v>8</v>
      </c>
      <c r="K2858">
        <v>1</v>
      </c>
      <c r="L2858">
        <v>6.192129629629629E-3</v>
      </c>
      <c r="M2858" t="s">
        <v>778</v>
      </c>
      <c r="N2858" t="s">
        <v>1058</v>
      </c>
      <c r="O2858" s="24">
        <v>46120</v>
      </c>
      <c r="P2858">
        <v>603</v>
      </c>
      <c r="Q2858" t="s">
        <v>34</v>
      </c>
      <c r="X2858" t="s">
        <v>3749</v>
      </c>
    </row>
    <row r="2859" spans="1:24" x14ac:dyDescent="0.25">
      <c r="A2859">
        <v>2855</v>
      </c>
      <c r="B2859" t="s">
        <v>29</v>
      </c>
      <c r="C2859" t="s">
        <v>27</v>
      </c>
      <c r="D2859">
        <v>16</v>
      </c>
      <c r="E2859" t="s">
        <v>2195</v>
      </c>
      <c r="F2859" t="s">
        <v>44</v>
      </c>
      <c r="G2859">
        <v>4357</v>
      </c>
      <c r="H2859" t="s">
        <v>48</v>
      </c>
      <c r="I2859" t="s">
        <v>1119</v>
      </c>
      <c r="J2859">
        <v>8</v>
      </c>
      <c r="K2859">
        <v>1</v>
      </c>
      <c r="L2859">
        <v>1.5162037037037036E-3</v>
      </c>
      <c r="M2859" t="s">
        <v>778</v>
      </c>
      <c r="N2859" t="s">
        <v>1058</v>
      </c>
      <c r="O2859" s="24">
        <v>46120</v>
      </c>
      <c r="P2859">
        <v>603</v>
      </c>
      <c r="Q2859" t="s">
        <v>34</v>
      </c>
      <c r="X2859" t="s">
        <v>3749</v>
      </c>
    </row>
    <row r="2860" spans="1:24" x14ac:dyDescent="0.25">
      <c r="A2860">
        <v>2856</v>
      </c>
      <c r="B2860" t="s">
        <v>29</v>
      </c>
      <c r="C2860" t="s">
        <v>27</v>
      </c>
      <c r="D2860">
        <v>16</v>
      </c>
      <c r="E2860" t="s">
        <v>1672</v>
      </c>
      <c r="F2860" t="s">
        <v>498</v>
      </c>
      <c r="G2860">
        <v>4358</v>
      </c>
      <c r="H2860" t="s">
        <v>2480</v>
      </c>
      <c r="I2860" t="s">
        <v>2193</v>
      </c>
      <c r="J2860">
        <v>8</v>
      </c>
      <c r="K2860">
        <v>1</v>
      </c>
      <c r="L2860">
        <v>6.1111111111111106E-3</v>
      </c>
      <c r="M2860" t="s">
        <v>3079</v>
      </c>
      <c r="X2860" t="s">
        <v>3750</v>
      </c>
    </row>
    <row r="2861" spans="1:24" x14ac:dyDescent="0.25">
      <c r="A2861">
        <v>2857</v>
      </c>
      <c r="B2861" t="s">
        <v>29</v>
      </c>
      <c r="C2861" t="s">
        <v>27</v>
      </c>
      <c r="D2861">
        <v>16</v>
      </c>
      <c r="E2861" t="s">
        <v>2195</v>
      </c>
      <c r="F2861" t="s">
        <v>44</v>
      </c>
      <c r="G2861">
        <v>4358</v>
      </c>
      <c r="H2861" t="s">
        <v>48</v>
      </c>
      <c r="I2861" t="s">
        <v>1119</v>
      </c>
      <c r="J2861">
        <v>8</v>
      </c>
      <c r="K2861">
        <v>1</v>
      </c>
      <c r="L2861">
        <v>1.5162037037037036E-3</v>
      </c>
      <c r="M2861" t="s">
        <v>3079</v>
      </c>
      <c r="X2861" t="s">
        <v>3750</v>
      </c>
    </row>
    <row r="2862" spans="1:24" x14ac:dyDescent="0.25">
      <c r="A2862">
        <v>2858</v>
      </c>
      <c r="B2862" t="s">
        <v>29</v>
      </c>
      <c r="C2862" t="s">
        <v>27</v>
      </c>
      <c r="D2862">
        <v>16</v>
      </c>
      <c r="E2862" t="s">
        <v>114</v>
      </c>
      <c r="F2862" t="s">
        <v>512</v>
      </c>
      <c r="G2862">
        <v>3938</v>
      </c>
      <c r="H2862" t="s">
        <v>2394</v>
      </c>
      <c r="I2862" t="s">
        <v>2161</v>
      </c>
      <c r="J2862">
        <v>8</v>
      </c>
      <c r="K2862">
        <v>2</v>
      </c>
      <c r="L2862">
        <v>3.2523148148148147E-3</v>
      </c>
      <c r="M2862" t="s">
        <v>3079</v>
      </c>
      <c r="X2862" t="s">
        <v>3751</v>
      </c>
    </row>
    <row r="2863" spans="1:24" x14ac:dyDescent="0.25">
      <c r="A2863">
        <v>2859</v>
      </c>
      <c r="B2863" t="s">
        <v>29</v>
      </c>
      <c r="C2863" t="s">
        <v>27</v>
      </c>
      <c r="D2863">
        <v>16</v>
      </c>
      <c r="E2863" t="s">
        <v>131</v>
      </c>
      <c r="F2863" t="s">
        <v>512</v>
      </c>
      <c r="G2863">
        <v>3938</v>
      </c>
      <c r="H2863" t="s">
        <v>2759</v>
      </c>
      <c r="I2863" t="s">
        <v>2226</v>
      </c>
      <c r="J2863">
        <v>8</v>
      </c>
      <c r="K2863">
        <v>3</v>
      </c>
      <c r="L2863">
        <v>5.2662037037037035E-3</v>
      </c>
      <c r="M2863" t="s">
        <v>3079</v>
      </c>
      <c r="X2863" t="s">
        <v>3751</v>
      </c>
    </row>
    <row r="2864" spans="1:24" x14ac:dyDescent="0.25">
      <c r="A2864">
        <v>2860</v>
      </c>
      <c r="B2864" t="s">
        <v>29</v>
      </c>
      <c r="C2864" t="s">
        <v>27</v>
      </c>
      <c r="D2864">
        <v>16</v>
      </c>
      <c r="E2864" t="s">
        <v>131</v>
      </c>
      <c r="F2864" t="s">
        <v>115</v>
      </c>
      <c r="G2864">
        <v>3938</v>
      </c>
      <c r="H2864" t="s">
        <v>2715</v>
      </c>
      <c r="I2864" t="s">
        <v>2310</v>
      </c>
      <c r="J2864">
        <v>8</v>
      </c>
      <c r="K2864">
        <v>1</v>
      </c>
      <c r="L2864">
        <v>1.7592592592592592E-3</v>
      </c>
      <c r="M2864" t="s">
        <v>3079</v>
      </c>
      <c r="X2864" t="s">
        <v>3751</v>
      </c>
    </row>
    <row r="2865" spans="1:26" x14ac:dyDescent="0.25">
      <c r="A2865">
        <v>2861</v>
      </c>
      <c r="B2865" t="s">
        <v>29</v>
      </c>
      <c r="C2865" t="s">
        <v>27</v>
      </c>
      <c r="D2865">
        <v>16</v>
      </c>
      <c r="E2865" t="s">
        <v>1588</v>
      </c>
      <c r="F2865" t="s">
        <v>512</v>
      </c>
      <c r="G2865">
        <v>3938</v>
      </c>
      <c r="H2865" t="s">
        <v>2596</v>
      </c>
      <c r="I2865" t="s">
        <v>2597</v>
      </c>
      <c r="J2865">
        <v>8</v>
      </c>
      <c r="K2865">
        <v>1</v>
      </c>
      <c r="L2865">
        <v>5.0810185185185186E-3</v>
      </c>
      <c r="M2865" t="s">
        <v>3079</v>
      </c>
      <c r="X2865" t="s">
        <v>3751</v>
      </c>
    </row>
    <row r="2866" spans="1:26" x14ac:dyDescent="0.25">
      <c r="A2866">
        <v>2862</v>
      </c>
      <c r="B2866" t="s">
        <v>29</v>
      </c>
      <c r="C2866" t="s">
        <v>27</v>
      </c>
      <c r="D2866">
        <v>16</v>
      </c>
      <c r="E2866" t="s">
        <v>1588</v>
      </c>
      <c r="F2866" t="s">
        <v>44</v>
      </c>
      <c r="G2866">
        <v>3938</v>
      </c>
      <c r="H2866" t="s">
        <v>2217</v>
      </c>
      <c r="I2866" t="s">
        <v>2049</v>
      </c>
      <c r="J2866">
        <v>8</v>
      </c>
      <c r="K2866">
        <v>1</v>
      </c>
      <c r="L2866">
        <v>1.2384259259259258E-3</v>
      </c>
      <c r="M2866" t="s">
        <v>3079</v>
      </c>
      <c r="X2866" t="s">
        <v>3751</v>
      </c>
    </row>
    <row r="2867" spans="1:26" x14ac:dyDescent="0.25">
      <c r="A2867">
        <v>2863</v>
      </c>
      <c r="B2867" t="s">
        <v>29</v>
      </c>
      <c r="C2867" t="s">
        <v>27</v>
      </c>
      <c r="D2867">
        <v>16</v>
      </c>
      <c r="E2867" t="s">
        <v>367</v>
      </c>
      <c r="F2867" t="s">
        <v>1592</v>
      </c>
      <c r="G2867">
        <v>3938</v>
      </c>
      <c r="H2867" t="s">
        <v>2062</v>
      </c>
      <c r="I2867" t="s">
        <v>2063</v>
      </c>
      <c r="J2867">
        <v>8</v>
      </c>
      <c r="K2867">
        <v>7</v>
      </c>
      <c r="L2867">
        <v>3.0787037037037037E-3</v>
      </c>
      <c r="M2867" t="s">
        <v>3079</v>
      </c>
      <c r="X2867" t="s">
        <v>3751</v>
      </c>
    </row>
    <row r="2868" spans="1:26" x14ac:dyDescent="0.25">
      <c r="A2868">
        <v>2864</v>
      </c>
      <c r="B2868" t="s">
        <v>29</v>
      </c>
      <c r="C2868" t="s">
        <v>27</v>
      </c>
      <c r="D2868">
        <v>16</v>
      </c>
      <c r="E2868" t="s">
        <v>2195</v>
      </c>
      <c r="F2868" t="s">
        <v>44</v>
      </c>
      <c r="G2868">
        <v>3938</v>
      </c>
      <c r="H2868" t="s">
        <v>48</v>
      </c>
      <c r="I2868" t="s">
        <v>1119</v>
      </c>
      <c r="J2868">
        <v>8</v>
      </c>
      <c r="K2868">
        <v>1</v>
      </c>
      <c r="L2868">
        <v>1.3194444444444445E-3</v>
      </c>
      <c r="M2868" t="s">
        <v>3079</v>
      </c>
      <c r="X2868" t="s">
        <v>3751</v>
      </c>
    </row>
    <row r="2869" spans="1:26" x14ac:dyDescent="0.25">
      <c r="A2869">
        <v>2865</v>
      </c>
      <c r="B2869" t="s">
        <v>29</v>
      </c>
      <c r="C2869" t="s">
        <v>27</v>
      </c>
      <c r="D2869">
        <v>16</v>
      </c>
      <c r="E2869" t="s">
        <v>1665</v>
      </c>
      <c r="F2869" t="s">
        <v>115</v>
      </c>
      <c r="G2869">
        <v>3641</v>
      </c>
      <c r="H2869" t="s">
        <v>2113</v>
      </c>
      <c r="I2869" t="s">
        <v>2111</v>
      </c>
      <c r="J2869">
        <v>8</v>
      </c>
      <c r="K2869">
        <v>1</v>
      </c>
      <c r="L2869">
        <v>5.7870370370370367E-4</v>
      </c>
      <c r="M2869" t="s">
        <v>117</v>
      </c>
      <c r="N2869" t="s">
        <v>822</v>
      </c>
      <c r="O2869" s="24">
        <v>46128</v>
      </c>
      <c r="P2869">
        <v>605</v>
      </c>
      <c r="Q2869" t="s">
        <v>34</v>
      </c>
      <c r="R2869">
        <v>46137</v>
      </c>
      <c r="S2869" s="51">
        <v>0.41041666666666665</v>
      </c>
      <c r="T2869" s="51">
        <v>0.41666666666666669</v>
      </c>
      <c r="X2869" t="s">
        <v>3752</v>
      </c>
      <c r="Y2869" t="s">
        <v>3029</v>
      </c>
      <c r="Z2869">
        <v>3219255</v>
      </c>
    </row>
    <row r="2870" spans="1:26" x14ac:dyDescent="0.25">
      <c r="A2870">
        <v>2866</v>
      </c>
      <c r="B2870" t="s">
        <v>29</v>
      </c>
      <c r="C2870" t="s">
        <v>27</v>
      </c>
      <c r="D2870">
        <v>16</v>
      </c>
      <c r="E2870" t="s">
        <v>367</v>
      </c>
      <c r="F2870" t="s">
        <v>368</v>
      </c>
      <c r="G2870">
        <v>3641</v>
      </c>
      <c r="H2870" t="s">
        <v>2114</v>
      </c>
      <c r="I2870" t="s">
        <v>2097</v>
      </c>
      <c r="J2870">
        <v>8</v>
      </c>
      <c r="K2870">
        <v>1</v>
      </c>
      <c r="L2870">
        <v>6.5972222222222224E-4</v>
      </c>
      <c r="M2870" t="s">
        <v>117</v>
      </c>
      <c r="N2870" t="s">
        <v>822</v>
      </c>
      <c r="O2870" s="24">
        <v>46128</v>
      </c>
      <c r="P2870">
        <v>605</v>
      </c>
      <c r="Q2870" t="s">
        <v>34</v>
      </c>
      <c r="R2870">
        <v>46137</v>
      </c>
      <c r="S2870" s="51">
        <v>0.41041666666666665</v>
      </c>
      <c r="T2870" s="51">
        <v>0.41666666666666669</v>
      </c>
      <c r="X2870" t="s">
        <v>3752</v>
      </c>
      <c r="Y2870" t="s">
        <v>3029</v>
      </c>
      <c r="Z2870">
        <v>3219255</v>
      </c>
    </row>
    <row r="2871" spans="1:26" x14ac:dyDescent="0.25">
      <c r="A2871">
        <v>2867</v>
      </c>
      <c r="B2871" t="s">
        <v>29</v>
      </c>
      <c r="C2871" t="s">
        <v>27</v>
      </c>
      <c r="D2871">
        <v>16</v>
      </c>
      <c r="E2871" t="s">
        <v>367</v>
      </c>
      <c r="F2871" t="s">
        <v>368</v>
      </c>
      <c r="G2871">
        <v>3641</v>
      </c>
      <c r="H2871" t="s">
        <v>2096</v>
      </c>
      <c r="I2871" t="s">
        <v>2097</v>
      </c>
      <c r="J2871">
        <v>8</v>
      </c>
      <c r="K2871">
        <v>3</v>
      </c>
      <c r="L2871">
        <v>1.9791666666666664E-3</v>
      </c>
      <c r="M2871" t="s">
        <v>117</v>
      </c>
      <c r="N2871" t="s">
        <v>822</v>
      </c>
      <c r="O2871" s="24">
        <v>46128</v>
      </c>
      <c r="P2871">
        <v>605</v>
      </c>
      <c r="Q2871" t="s">
        <v>34</v>
      </c>
      <c r="R2871">
        <v>46137</v>
      </c>
      <c r="S2871" s="51">
        <v>0.41041666666666665</v>
      </c>
      <c r="T2871" s="51">
        <v>0.41666666666666669</v>
      </c>
      <c r="X2871" t="s">
        <v>3752</v>
      </c>
      <c r="Y2871" t="s">
        <v>3029</v>
      </c>
      <c r="Z2871">
        <v>3219255</v>
      </c>
    </row>
    <row r="2872" spans="1:26" x14ac:dyDescent="0.25">
      <c r="A2872">
        <v>2868</v>
      </c>
      <c r="B2872" t="s">
        <v>29</v>
      </c>
      <c r="C2872" t="s">
        <v>27</v>
      </c>
      <c r="D2872">
        <v>16</v>
      </c>
      <c r="E2872" t="s">
        <v>829</v>
      </c>
      <c r="F2872" t="s">
        <v>1594</v>
      </c>
      <c r="G2872">
        <v>3641</v>
      </c>
      <c r="H2872" t="s">
        <v>2410</v>
      </c>
      <c r="I2872" t="s">
        <v>494</v>
      </c>
      <c r="J2872">
        <v>8</v>
      </c>
      <c r="K2872">
        <v>1</v>
      </c>
      <c r="L2872">
        <v>6.5856481481481478E-3</v>
      </c>
      <c r="M2872" t="s">
        <v>117</v>
      </c>
      <c r="N2872" t="s">
        <v>822</v>
      </c>
      <c r="O2872" s="24">
        <v>46128</v>
      </c>
      <c r="P2872">
        <v>605</v>
      </c>
      <c r="Q2872" t="s">
        <v>34</v>
      </c>
      <c r="R2872">
        <v>46137</v>
      </c>
      <c r="S2872" s="51">
        <v>0.41041666666666665</v>
      </c>
      <c r="T2872" s="51">
        <v>0.41666666666666669</v>
      </c>
      <c r="X2872" t="s">
        <v>3752</v>
      </c>
      <c r="Y2872" t="s">
        <v>3029</v>
      </c>
      <c r="Z2872">
        <v>3219255</v>
      </c>
    </row>
    <row r="2873" spans="1:26" x14ac:dyDescent="0.25">
      <c r="A2873">
        <v>2869</v>
      </c>
      <c r="B2873" t="s">
        <v>29</v>
      </c>
      <c r="C2873" t="s">
        <v>27</v>
      </c>
      <c r="D2873">
        <v>16</v>
      </c>
      <c r="E2873" t="s">
        <v>367</v>
      </c>
      <c r="F2873" t="s">
        <v>1592</v>
      </c>
      <c r="G2873">
        <v>3939</v>
      </c>
      <c r="H2873" t="s">
        <v>2455</v>
      </c>
      <c r="I2873" t="s">
        <v>2456</v>
      </c>
      <c r="J2873">
        <v>8</v>
      </c>
      <c r="K2873">
        <v>7</v>
      </c>
      <c r="L2873">
        <v>2.8472222222222219E-3</v>
      </c>
      <c r="M2873" t="s">
        <v>778</v>
      </c>
      <c r="N2873" t="s">
        <v>1253</v>
      </c>
      <c r="O2873" s="24">
        <v>46135</v>
      </c>
      <c r="P2873">
        <v>605</v>
      </c>
      <c r="Q2873" t="s">
        <v>34</v>
      </c>
      <c r="X2873" t="s">
        <v>3753</v>
      </c>
    </row>
    <row r="2874" spans="1:26" x14ac:dyDescent="0.25">
      <c r="A2874">
        <v>2870</v>
      </c>
      <c r="B2874" t="s">
        <v>29</v>
      </c>
      <c r="C2874" t="s">
        <v>27</v>
      </c>
      <c r="D2874">
        <v>16</v>
      </c>
      <c r="E2874" t="s">
        <v>1141</v>
      </c>
      <c r="F2874" t="s">
        <v>1594</v>
      </c>
      <c r="G2874">
        <v>3939</v>
      </c>
      <c r="H2874" t="s">
        <v>2236</v>
      </c>
      <c r="I2874" t="s">
        <v>2237</v>
      </c>
      <c r="J2874">
        <v>8</v>
      </c>
      <c r="K2874">
        <v>1</v>
      </c>
      <c r="L2874">
        <v>4.2013888888888891E-3</v>
      </c>
      <c r="M2874" t="s">
        <v>778</v>
      </c>
      <c r="N2874" t="s">
        <v>1253</v>
      </c>
      <c r="O2874" s="24">
        <v>46135</v>
      </c>
      <c r="P2874">
        <v>605</v>
      </c>
      <c r="Q2874" t="s">
        <v>34</v>
      </c>
      <c r="X2874" t="s">
        <v>3753</v>
      </c>
    </row>
    <row r="2875" spans="1:26" x14ac:dyDescent="0.25">
      <c r="A2875">
        <v>2871</v>
      </c>
      <c r="B2875" t="s">
        <v>29</v>
      </c>
      <c r="C2875" t="s">
        <v>27</v>
      </c>
      <c r="D2875">
        <v>16</v>
      </c>
      <c r="E2875" t="s">
        <v>1141</v>
      </c>
      <c r="F2875" t="s">
        <v>1598</v>
      </c>
      <c r="G2875">
        <v>3939</v>
      </c>
      <c r="H2875" t="s">
        <v>2249</v>
      </c>
      <c r="I2875" t="s">
        <v>2240</v>
      </c>
      <c r="J2875">
        <v>8</v>
      </c>
      <c r="K2875">
        <v>1</v>
      </c>
      <c r="L2875">
        <v>2.3263888888888887E-3</v>
      </c>
      <c r="M2875" t="s">
        <v>778</v>
      </c>
      <c r="N2875" t="s">
        <v>1253</v>
      </c>
      <c r="O2875" s="24">
        <v>46135</v>
      </c>
      <c r="P2875">
        <v>605</v>
      </c>
      <c r="Q2875" t="s">
        <v>34</v>
      </c>
      <c r="X2875" t="s">
        <v>3753</v>
      </c>
    </row>
    <row r="2876" spans="1:26" x14ac:dyDescent="0.25">
      <c r="A2876">
        <v>2872</v>
      </c>
      <c r="B2876" t="s">
        <v>29</v>
      </c>
      <c r="C2876" t="s">
        <v>27</v>
      </c>
      <c r="D2876">
        <v>16</v>
      </c>
      <c r="E2876" t="s">
        <v>131</v>
      </c>
      <c r="F2876" t="s">
        <v>115</v>
      </c>
      <c r="G2876">
        <v>3940</v>
      </c>
      <c r="H2876" t="s">
        <v>1190</v>
      </c>
      <c r="I2876" t="s">
        <v>1191</v>
      </c>
      <c r="J2876">
        <v>8</v>
      </c>
      <c r="K2876">
        <v>1</v>
      </c>
      <c r="L2876">
        <v>7.9629629629629634E-3</v>
      </c>
      <c r="M2876" t="s">
        <v>3079</v>
      </c>
      <c r="X2876" t="s">
        <v>3754</v>
      </c>
    </row>
    <row r="2877" spans="1:26" x14ac:dyDescent="0.25">
      <c r="A2877">
        <v>2873</v>
      </c>
      <c r="B2877" t="s">
        <v>29</v>
      </c>
      <c r="C2877" t="s">
        <v>27</v>
      </c>
      <c r="D2877">
        <v>16</v>
      </c>
      <c r="E2877" t="s">
        <v>2763</v>
      </c>
      <c r="F2877" t="s">
        <v>44</v>
      </c>
      <c r="G2877">
        <v>3941</v>
      </c>
      <c r="H2877" t="s">
        <v>2463</v>
      </c>
      <c r="I2877" t="s">
        <v>2049</v>
      </c>
      <c r="J2877">
        <v>8</v>
      </c>
      <c r="K2877">
        <v>1</v>
      </c>
      <c r="L2877">
        <v>1.273148148148148E-3</v>
      </c>
      <c r="M2877" t="s">
        <v>778</v>
      </c>
      <c r="N2877" t="s">
        <v>1253</v>
      </c>
      <c r="O2877" s="24">
        <v>46135</v>
      </c>
      <c r="P2877">
        <v>605</v>
      </c>
      <c r="Q2877" t="s">
        <v>34</v>
      </c>
      <c r="X2877" t="s">
        <v>3755</v>
      </c>
    </row>
    <row r="2878" spans="1:26" x14ac:dyDescent="0.25">
      <c r="A2878">
        <v>2874</v>
      </c>
      <c r="B2878" t="s">
        <v>29</v>
      </c>
      <c r="C2878" t="s">
        <v>27</v>
      </c>
      <c r="D2878">
        <v>16</v>
      </c>
      <c r="E2878" t="s">
        <v>2763</v>
      </c>
      <c r="F2878" t="s">
        <v>44</v>
      </c>
      <c r="G2878">
        <v>3941</v>
      </c>
      <c r="H2878" t="s">
        <v>2383</v>
      </c>
      <c r="I2878" t="s">
        <v>2384</v>
      </c>
      <c r="J2878">
        <v>8</v>
      </c>
      <c r="K2878">
        <v>2</v>
      </c>
      <c r="L2878">
        <v>3.0092592592592593E-3</v>
      </c>
      <c r="M2878" t="s">
        <v>778</v>
      </c>
      <c r="N2878" t="s">
        <v>1253</v>
      </c>
      <c r="O2878" s="24">
        <v>46135</v>
      </c>
      <c r="P2878">
        <v>605</v>
      </c>
      <c r="Q2878" t="s">
        <v>34</v>
      </c>
      <c r="X2878" t="s">
        <v>3755</v>
      </c>
    </row>
    <row r="2879" spans="1:26" x14ac:dyDescent="0.25">
      <c r="A2879">
        <v>2875</v>
      </c>
      <c r="B2879" t="s">
        <v>29</v>
      </c>
      <c r="C2879" t="s">
        <v>27</v>
      </c>
      <c r="D2879">
        <v>16</v>
      </c>
      <c r="E2879" t="s">
        <v>2763</v>
      </c>
      <c r="F2879" t="s">
        <v>44</v>
      </c>
      <c r="G2879">
        <v>3941</v>
      </c>
      <c r="H2879" t="s">
        <v>2448</v>
      </c>
      <c r="I2879" t="s">
        <v>2049</v>
      </c>
      <c r="J2879">
        <v>8</v>
      </c>
      <c r="K2879">
        <v>1</v>
      </c>
      <c r="L2879">
        <v>1.273148148148148E-3</v>
      </c>
      <c r="M2879" t="s">
        <v>778</v>
      </c>
      <c r="N2879" t="s">
        <v>1253</v>
      </c>
      <c r="O2879" s="24">
        <v>46135</v>
      </c>
      <c r="P2879">
        <v>605</v>
      </c>
      <c r="Q2879" t="s">
        <v>34</v>
      </c>
      <c r="X2879" t="s">
        <v>3755</v>
      </c>
    </row>
    <row r="2880" spans="1:26" x14ac:dyDescent="0.25">
      <c r="A2880">
        <v>2876</v>
      </c>
      <c r="B2880" t="s">
        <v>29</v>
      </c>
      <c r="C2880" t="s">
        <v>27</v>
      </c>
      <c r="D2880">
        <v>16</v>
      </c>
      <c r="E2880" t="s">
        <v>2763</v>
      </c>
      <c r="F2880" t="s">
        <v>44</v>
      </c>
      <c r="G2880">
        <v>3941</v>
      </c>
      <c r="H2880" t="s">
        <v>2765</v>
      </c>
      <c r="I2880" t="s">
        <v>2766</v>
      </c>
      <c r="J2880">
        <v>8</v>
      </c>
      <c r="K2880">
        <v>1</v>
      </c>
      <c r="L2880">
        <v>1.3425925925925925E-3</v>
      </c>
      <c r="M2880" t="s">
        <v>778</v>
      </c>
      <c r="N2880" t="s">
        <v>1253</v>
      </c>
      <c r="O2880" s="24">
        <v>46135</v>
      </c>
      <c r="P2880">
        <v>605</v>
      </c>
      <c r="Q2880" t="s">
        <v>34</v>
      </c>
      <c r="X2880" t="s">
        <v>3755</v>
      </c>
    </row>
    <row r="2881" spans="1:24" x14ac:dyDescent="0.25">
      <c r="A2881">
        <v>2877</v>
      </c>
      <c r="B2881" t="s">
        <v>29</v>
      </c>
      <c r="C2881" t="s">
        <v>27</v>
      </c>
      <c r="D2881">
        <v>16</v>
      </c>
      <c r="E2881" t="s">
        <v>2763</v>
      </c>
      <c r="F2881" t="s">
        <v>44</v>
      </c>
      <c r="G2881">
        <v>3941</v>
      </c>
      <c r="H2881" t="s">
        <v>2767</v>
      </c>
      <c r="I2881" t="s">
        <v>2766</v>
      </c>
      <c r="J2881">
        <v>8</v>
      </c>
      <c r="K2881">
        <v>1</v>
      </c>
      <c r="L2881">
        <v>1.3425925925925925E-3</v>
      </c>
      <c r="M2881" t="s">
        <v>778</v>
      </c>
      <c r="N2881" t="s">
        <v>1253</v>
      </c>
      <c r="O2881" s="24">
        <v>46135</v>
      </c>
      <c r="P2881">
        <v>605</v>
      </c>
      <c r="Q2881" t="s">
        <v>34</v>
      </c>
      <c r="X2881" t="s">
        <v>3755</v>
      </c>
    </row>
    <row r="2882" spans="1:24" x14ac:dyDescent="0.25">
      <c r="A2882">
        <v>2878</v>
      </c>
      <c r="B2882" t="s">
        <v>29</v>
      </c>
      <c r="C2882" t="s">
        <v>27</v>
      </c>
      <c r="D2882">
        <v>16</v>
      </c>
      <c r="E2882" t="s">
        <v>2763</v>
      </c>
      <c r="F2882" t="s">
        <v>44</v>
      </c>
      <c r="G2882">
        <v>3941</v>
      </c>
      <c r="H2882" t="s">
        <v>2768</v>
      </c>
      <c r="I2882" t="s">
        <v>2216</v>
      </c>
      <c r="J2882">
        <v>8</v>
      </c>
      <c r="K2882">
        <v>1</v>
      </c>
      <c r="L2882">
        <v>1.5972222222222221E-3</v>
      </c>
      <c r="M2882" t="s">
        <v>778</v>
      </c>
      <c r="N2882" t="s">
        <v>1253</v>
      </c>
      <c r="O2882" s="24">
        <v>46135</v>
      </c>
      <c r="P2882">
        <v>605</v>
      </c>
      <c r="Q2882" t="s">
        <v>34</v>
      </c>
      <c r="X2882" t="s">
        <v>3755</v>
      </c>
    </row>
    <row r="2883" spans="1:24" x14ac:dyDescent="0.25">
      <c r="A2883">
        <v>2879</v>
      </c>
      <c r="B2883" t="s">
        <v>29</v>
      </c>
      <c r="C2883" t="s">
        <v>27</v>
      </c>
      <c r="D2883">
        <v>16</v>
      </c>
      <c r="E2883" t="s">
        <v>2763</v>
      </c>
      <c r="F2883" t="s">
        <v>44</v>
      </c>
      <c r="G2883">
        <v>3941</v>
      </c>
      <c r="H2883" t="s">
        <v>2769</v>
      </c>
      <c r="I2883" t="s">
        <v>2216</v>
      </c>
      <c r="J2883">
        <v>8</v>
      </c>
      <c r="K2883">
        <v>1</v>
      </c>
      <c r="L2883">
        <v>1.5972222222222221E-3</v>
      </c>
      <c r="M2883" t="s">
        <v>778</v>
      </c>
      <c r="N2883" t="s">
        <v>1253</v>
      </c>
      <c r="O2883" s="24">
        <v>46135</v>
      </c>
      <c r="P2883">
        <v>605</v>
      </c>
      <c r="Q2883" t="s">
        <v>34</v>
      </c>
      <c r="X2883" t="s">
        <v>3755</v>
      </c>
    </row>
    <row r="2884" spans="1:24" x14ac:dyDescent="0.25">
      <c r="A2884">
        <v>2880</v>
      </c>
      <c r="B2884" t="s">
        <v>29</v>
      </c>
      <c r="C2884" t="s">
        <v>27</v>
      </c>
      <c r="D2884">
        <v>16</v>
      </c>
      <c r="E2884" t="s">
        <v>2259</v>
      </c>
      <c r="F2884" t="s">
        <v>44</v>
      </c>
      <c r="G2884">
        <v>3941</v>
      </c>
      <c r="H2884" t="s">
        <v>45</v>
      </c>
      <c r="I2884" t="s">
        <v>1119</v>
      </c>
      <c r="J2884">
        <v>8</v>
      </c>
      <c r="K2884">
        <v>2</v>
      </c>
      <c r="L2884">
        <v>2.7199074074074074E-3</v>
      </c>
      <c r="M2884" t="s">
        <v>778</v>
      </c>
      <c r="N2884" t="s">
        <v>1253</v>
      </c>
      <c r="O2884" s="24">
        <v>46135</v>
      </c>
      <c r="P2884">
        <v>605</v>
      </c>
      <c r="Q2884" t="s">
        <v>34</v>
      </c>
      <c r="X2884" t="s">
        <v>3755</v>
      </c>
    </row>
    <row r="2885" spans="1:24" x14ac:dyDescent="0.25">
      <c r="A2885">
        <v>2881</v>
      </c>
      <c r="B2885" t="s">
        <v>29</v>
      </c>
      <c r="C2885" t="s">
        <v>27</v>
      </c>
      <c r="D2885">
        <v>16</v>
      </c>
      <c r="E2885" t="s">
        <v>2770</v>
      </c>
      <c r="F2885" t="s">
        <v>44</v>
      </c>
      <c r="G2885">
        <v>3941</v>
      </c>
      <c r="H2885" t="s">
        <v>54</v>
      </c>
      <c r="I2885" t="s">
        <v>1119</v>
      </c>
      <c r="J2885">
        <v>8</v>
      </c>
      <c r="K2885">
        <v>8</v>
      </c>
      <c r="L2885">
        <v>9.8148148148148144E-3</v>
      </c>
      <c r="M2885" t="s">
        <v>778</v>
      </c>
      <c r="N2885" t="s">
        <v>1253</v>
      </c>
      <c r="O2885" s="24">
        <v>46135</v>
      </c>
      <c r="P2885">
        <v>605</v>
      </c>
      <c r="Q2885" t="s">
        <v>34</v>
      </c>
      <c r="X2885" t="s">
        <v>3755</v>
      </c>
    </row>
    <row r="2886" spans="1:24" x14ac:dyDescent="0.25">
      <c r="A2886">
        <v>2882</v>
      </c>
      <c r="B2886" t="s">
        <v>29</v>
      </c>
      <c r="C2886" t="s">
        <v>27</v>
      </c>
      <c r="D2886">
        <v>16</v>
      </c>
      <c r="E2886" t="s">
        <v>367</v>
      </c>
      <c r="F2886" t="s">
        <v>368</v>
      </c>
      <c r="G2886">
        <v>4184</v>
      </c>
      <c r="H2886" t="s">
        <v>1719</v>
      </c>
      <c r="I2886" t="s">
        <v>1720</v>
      </c>
      <c r="J2886">
        <v>16</v>
      </c>
      <c r="K2886">
        <v>1</v>
      </c>
      <c r="L2886">
        <v>6.0185185185185179E-4</v>
      </c>
      <c r="M2886" t="s">
        <v>778</v>
      </c>
      <c r="N2886" t="s">
        <v>871</v>
      </c>
      <c r="O2886" s="24">
        <v>46128</v>
      </c>
      <c r="P2886">
        <v>606</v>
      </c>
      <c r="Q2886" t="s">
        <v>34</v>
      </c>
      <c r="X2886" t="s">
        <v>3756</v>
      </c>
    </row>
    <row r="2887" spans="1:24" x14ac:dyDescent="0.25">
      <c r="A2887">
        <v>2883</v>
      </c>
      <c r="B2887" t="s">
        <v>29</v>
      </c>
      <c r="C2887" t="s">
        <v>27</v>
      </c>
      <c r="D2887">
        <v>16</v>
      </c>
      <c r="E2887" t="s">
        <v>367</v>
      </c>
      <c r="F2887" t="s">
        <v>368</v>
      </c>
      <c r="G2887">
        <v>4184</v>
      </c>
      <c r="H2887" t="s">
        <v>1786</v>
      </c>
      <c r="I2887" t="s">
        <v>1679</v>
      </c>
      <c r="J2887">
        <v>16</v>
      </c>
      <c r="K2887">
        <v>1</v>
      </c>
      <c r="L2887">
        <v>6.0185185185185179E-4</v>
      </c>
      <c r="M2887" t="s">
        <v>778</v>
      </c>
      <c r="N2887" t="s">
        <v>871</v>
      </c>
      <c r="O2887" s="24">
        <v>46128</v>
      </c>
      <c r="P2887">
        <v>606</v>
      </c>
      <c r="Q2887" t="s">
        <v>34</v>
      </c>
      <c r="X2887" t="s">
        <v>3756</v>
      </c>
    </row>
    <row r="2888" spans="1:24" x14ac:dyDescent="0.25">
      <c r="A2888">
        <v>2884</v>
      </c>
      <c r="B2888" t="s">
        <v>29</v>
      </c>
      <c r="C2888" t="s">
        <v>27</v>
      </c>
      <c r="D2888">
        <v>16</v>
      </c>
      <c r="E2888" t="s">
        <v>367</v>
      </c>
      <c r="F2888" t="s">
        <v>368</v>
      </c>
      <c r="G2888">
        <v>4184</v>
      </c>
      <c r="H2888" t="s">
        <v>1784</v>
      </c>
      <c r="I2888" t="s">
        <v>1785</v>
      </c>
      <c r="J2888">
        <v>16</v>
      </c>
      <c r="K2888">
        <v>1</v>
      </c>
      <c r="L2888">
        <v>6.9444444444444436E-4</v>
      </c>
      <c r="M2888" t="s">
        <v>778</v>
      </c>
      <c r="N2888" t="s">
        <v>871</v>
      </c>
      <c r="O2888" s="24">
        <v>46128</v>
      </c>
      <c r="P2888">
        <v>606</v>
      </c>
      <c r="Q2888" t="s">
        <v>34</v>
      </c>
      <c r="X2888" t="s">
        <v>3756</v>
      </c>
    </row>
    <row r="2889" spans="1:24" x14ac:dyDescent="0.25">
      <c r="A2889">
        <v>2885</v>
      </c>
      <c r="B2889" t="s">
        <v>29</v>
      </c>
      <c r="C2889" t="s">
        <v>27</v>
      </c>
      <c r="D2889">
        <v>16</v>
      </c>
      <c r="E2889" t="s">
        <v>367</v>
      </c>
      <c r="F2889" t="s">
        <v>368</v>
      </c>
      <c r="G2889">
        <v>4184</v>
      </c>
      <c r="H2889" t="s">
        <v>1783</v>
      </c>
      <c r="I2889" t="s">
        <v>1679</v>
      </c>
      <c r="J2889">
        <v>16</v>
      </c>
      <c r="K2889">
        <v>1</v>
      </c>
      <c r="L2889">
        <v>6.0185185185185179E-4</v>
      </c>
      <c r="M2889" t="s">
        <v>778</v>
      </c>
      <c r="N2889" t="s">
        <v>871</v>
      </c>
      <c r="O2889" s="24">
        <v>46128</v>
      </c>
      <c r="P2889">
        <v>606</v>
      </c>
      <c r="Q2889" t="s">
        <v>34</v>
      </c>
      <c r="X2889" t="s">
        <v>3756</v>
      </c>
    </row>
    <row r="2890" spans="1:24" x14ac:dyDescent="0.25">
      <c r="A2890">
        <v>2886</v>
      </c>
      <c r="B2890" t="s">
        <v>29</v>
      </c>
      <c r="C2890" t="s">
        <v>27</v>
      </c>
      <c r="D2890">
        <v>16</v>
      </c>
      <c r="E2890" t="s">
        <v>367</v>
      </c>
      <c r="F2890" t="s">
        <v>368</v>
      </c>
      <c r="G2890">
        <v>4184</v>
      </c>
      <c r="H2890" t="s">
        <v>1680</v>
      </c>
      <c r="I2890" t="s">
        <v>1679</v>
      </c>
      <c r="J2890">
        <v>16</v>
      </c>
      <c r="K2890">
        <v>2</v>
      </c>
      <c r="L2890">
        <v>1.2037037037037036E-3</v>
      </c>
      <c r="M2890" t="s">
        <v>778</v>
      </c>
      <c r="N2890" t="s">
        <v>871</v>
      </c>
      <c r="O2890" s="24">
        <v>46128</v>
      </c>
      <c r="P2890">
        <v>606</v>
      </c>
      <c r="Q2890" t="s">
        <v>34</v>
      </c>
      <c r="X2890" t="s">
        <v>3756</v>
      </c>
    </row>
    <row r="2891" spans="1:24" x14ac:dyDescent="0.25">
      <c r="A2891">
        <v>2887</v>
      </c>
      <c r="B2891" t="s">
        <v>29</v>
      </c>
      <c r="C2891" t="s">
        <v>27</v>
      </c>
      <c r="D2891">
        <v>16</v>
      </c>
      <c r="E2891" t="s">
        <v>367</v>
      </c>
      <c r="F2891" t="s">
        <v>368</v>
      </c>
      <c r="G2891">
        <v>4184</v>
      </c>
      <c r="H2891" t="s">
        <v>1721</v>
      </c>
      <c r="I2891" t="s">
        <v>1722</v>
      </c>
      <c r="J2891">
        <v>16</v>
      </c>
      <c r="K2891">
        <v>2</v>
      </c>
      <c r="L2891">
        <v>1.1458333333333333E-3</v>
      </c>
      <c r="M2891" t="s">
        <v>778</v>
      </c>
      <c r="N2891" t="s">
        <v>871</v>
      </c>
      <c r="O2891" s="24">
        <v>46128</v>
      </c>
      <c r="P2891">
        <v>606</v>
      </c>
      <c r="Q2891" t="s">
        <v>34</v>
      </c>
      <c r="X2891" t="s">
        <v>3756</v>
      </c>
    </row>
    <row r="2892" spans="1:24" x14ac:dyDescent="0.25">
      <c r="A2892">
        <v>2888</v>
      </c>
      <c r="B2892" t="s">
        <v>29</v>
      </c>
      <c r="C2892" t="s">
        <v>27</v>
      </c>
      <c r="D2892">
        <v>16</v>
      </c>
      <c r="E2892" t="s">
        <v>1141</v>
      </c>
      <c r="F2892" t="s">
        <v>367</v>
      </c>
      <c r="G2892">
        <v>4184</v>
      </c>
      <c r="H2892" t="s">
        <v>2072</v>
      </c>
      <c r="I2892" t="s">
        <v>2772</v>
      </c>
      <c r="J2892">
        <v>16</v>
      </c>
      <c r="K2892">
        <v>1</v>
      </c>
      <c r="L2892">
        <v>1.5046296296296296E-3</v>
      </c>
      <c r="M2892" t="s">
        <v>778</v>
      </c>
      <c r="N2892" t="s">
        <v>871</v>
      </c>
      <c r="O2892" s="24">
        <v>46128</v>
      </c>
      <c r="P2892">
        <v>606</v>
      </c>
      <c r="Q2892" t="s">
        <v>34</v>
      </c>
      <c r="X2892" t="s">
        <v>3756</v>
      </c>
    </row>
    <row r="2893" spans="1:24" x14ac:dyDescent="0.25">
      <c r="A2893">
        <v>2889</v>
      </c>
      <c r="B2893" t="s">
        <v>29</v>
      </c>
      <c r="C2893" t="s">
        <v>27</v>
      </c>
      <c r="D2893">
        <v>16</v>
      </c>
      <c r="E2893" t="s">
        <v>1141</v>
      </c>
      <c r="F2893" t="s">
        <v>367</v>
      </c>
      <c r="G2893">
        <v>4184</v>
      </c>
      <c r="H2893" t="s">
        <v>2074</v>
      </c>
      <c r="I2893" t="s">
        <v>2772</v>
      </c>
      <c r="J2893">
        <v>16</v>
      </c>
      <c r="K2893">
        <v>1</v>
      </c>
      <c r="L2893">
        <v>1.8634259259259259E-3</v>
      </c>
      <c r="M2893" t="s">
        <v>778</v>
      </c>
      <c r="N2893" t="s">
        <v>871</v>
      </c>
      <c r="O2893" s="24">
        <v>46128</v>
      </c>
      <c r="P2893">
        <v>606</v>
      </c>
      <c r="Q2893" t="s">
        <v>34</v>
      </c>
      <c r="X2893" t="s">
        <v>3756</v>
      </c>
    </row>
    <row r="2894" spans="1:24" x14ac:dyDescent="0.25">
      <c r="A2894">
        <v>2890</v>
      </c>
      <c r="B2894" t="s">
        <v>29</v>
      </c>
      <c r="C2894" t="s">
        <v>27</v>
      </c>
      <c r="D2894">
        <v>16</v>
      </c>
      <c r="E2894" t="s">
        <v>367</v>
      </c>
      <c r="F2894" t="s">
        <v>512</v>
      </c>
      <c r="G2894">
        <v>4184</v>
      </c>
      <c r="H2894" t="s">
        <v>1749</v>
      </c>
      <c r="I2894" t="s">
        <v>1747</v>
      </c>
      <c r="J2894">
        <v>16</v>
      </c>
      <c r="K2894">
        <v>2</v>
      </c>
      <c r="L2894">
        <v>1.1458333333333333E-3</v>
      </c>
      <c r="M2894" t="s">
        <v>778</v>
      </c>
      <c r="N2894" t="s">
        <v>871</v>
      </c>
      <c r="O2894" s="24">
        <v>46128</v>
      </c>
      <c r="P2894">
        <v>606</v>
      </c>
      <c r="Q2894" t="s">
        <v>34</v>
      </c>
      <c r="X2894" t="s">
        <v>3756</v>
      </c>
    </row>
    <row r="2895" spans="1:24" x14ac:dyDescent="0.25">
      <c r="A2895">
        <v>2891</v>
      </c>
      <c r="B2895" t="s">
        <v>29</v>
      </c>
      <c r="C2895" t="s">
        <v>27</v>
      </c>
      <c r="D2895">
        <v>16</v>
      </c>
      <c r="E2895" t="s">
        <v>367</v>
      </c>
      <c r="F2895" t="s">
        <v>512</v>
      </c>
      <c r="G2895">
        <v>4184</v>
      </c>
      <c r="H2895" t="s">
        <v>1750</v>
      </c>
      <c r="I2895" t="s">
        <v>1747</v>
      </c>
      <c r="J2895">
        <v>16</v>
      </c>
      <c r="K2895">
        <v>3</v>
      </c>
      <c r="L2895">
        <v>1.724537037037037E-3</v>
      </c>
      <c r="M2895" t="s">
        <v>778</v>
      </c>
      <c r="N2895" t="s">
        <v>871</v>
      </c>
      <c r="O2895" s="24">
        <v>46128</v>
      </c>
      <c r="P2895">
        <v>606</v>
      </c>
      <c r="Q2895" t="s">
        <v>34</v>
      </c>
      <c r="X2895" t="s">
        <v>3756</v>
      </c>
    </row>
    <row r="2896" spans="1:24" x14ac:dyDescent="0.25">
      <c r="A2896">
        <v>2892</v>
      </c>
      <c r="B2896" t="s">
        <v>29</v>
      </c>
      <c r="C2896" t="s">
        <v>27</v>
      </c>
      <c r="D2896">
        <v>16</v>
      </c>
      <c r="E2896" t="s">
        <v>367</v>
      </c>
      <c r="F2896" t="s">
        <v>512</v>
      </c>
      <c r="G2896">
        <v>4184</v>
      </c>
      <c r="H2896" t="s">
        <v>2081</v>
      </c>
      <c r="I2896" t="s">
        <v>2082</v>
      </c>
      <c r="J2896">
        <v>16</v>
      </c>
      <c r="K2896">
        <v>1</v>
      </c>
      <c r="L2896">
        <v>8.9120370370370362E-4</v>
      </c>
      <c r="M2896" t="s">
        <v>778</v>
      </c>
      <c r="N2896" t="s">
        <v>871</v>
      </c>
      <c r="O2896" s="24">
        <v>46128</v>
      </c>
      <c r="P2896">
        <v>606</v>
      </c>
      <c r="Q2896" t="s">
        <v>34</v>
      </c>
      <c r="X2896" t="s">
        <v>3756</v>
      </c>
    </row>
    <row r="2897" spans="1:24" x14ac:dyDescent="0.25">
      <c r="A2897">
        <v>2893</v>
      </c>
      <c r="B2897" t="s">
        <v>29</v>
      </c>
      <c r="C2897" t="s">
        <v>27</v>
      </c>
      <c r="D2897">
        <v>16</v>
      </c>
      <c r="E2897" t="s">
        <v>367</v>
      </c>
      <c r="F2897" t="s">
        <v>512</v>
      </c>
      <c r="G2897">
        <v>4184</v>
      </c>
      <c r="H2897" t="s">
        <v>2499</v>
      </c>
      <c r="I2897" t="s">
        <v>2500</v>
      </c>
      <c r="J2897">
        <v>16</v>
      </c>
      <c r="K2897">
        <v>1</v>
      </c>
      <c r="L2897">
        <v>8.9120370370370362E-4</v>
      </c>
      <c r="M2897" t="s">
        <v>778</v>
      </c>
      <c r="N2897" t="s">
        <v>871</v>
      </c>
      <c r="O2897" s="24">
        <v>46128</v>
      </c>
      <c r="P2897">
        <v>606</v>
      </c>
      <c r="Q2897" t="s">
        <v>34</v>
      </c>
      <c r="X2897" t="s">
        <v>3756</v>
      </c>
    </row>
    <row r="2898" spans="1:24" x14ac:dyDescent="0.25">
      <c r="A2898">
        <v>2894</v>
      </c>
      <c r="B2898" t="s">
        <v>29</v>
      </c>
      <c r="C2898" t="s">
        <v>27</v>
      </c>
      <c r="D2898">
        <v>16</v>
      </c>
      <c r="E2898" t="s">
        <v>367</v>
      </c>
      <c r="F2898" t="s">
        <v>1594</v>
      </c>
      <c r="G2898">
        <v>4184</v>
      </c>
      <c r="H2898" t="s">
        <v>1641</v>
      </c>
      <c r="I2898" t="s">
        <v>1642</v>
      </c>
      <c r="J2898">
        <v>16</v>
      </c>
      <c r="K2898">
        <v>2</v>
      </c>
      <c r="L2898">
        <v>1.1342592592592591E-3</v>
      </c>
      <c r="M2898" t="s">
        <v>778</v>
      </c>
      <c r="N2898" t="s">
        <v>871</v>
      </c>
      <c r="O2898" s="24">
        <v>46128</v>
      </c>
      <c r="P2898">
        <v>606</v>
      </c>
      <c r="Q2898" t="s">
        <v>34</v>
      </c>
      <c r="X2898" t="s">
        <v>3756</v>
      </c>
    </row>
    <row r="2899" spans="1:24" x14ac:dyDescent="0.25">
      <c r="A2899">
        <v>2895</v>
      </c>
      <c r="B2899" t="s">
        <v>29</v>
      </c>
      <c r="C2899" t="s">
        <v>27</v>
      </c>
      <c r="D2899">
        <v>16</v>
      </c>
      <c r="E2899" t="s">
        <v>367</v>
      </c>
      <c r="F2899" t="s">
        <v>1594</v>
      </c>
      <c r="G2899">
        <v>4184</v>
      </c>
      <c r="H2899" t="s">
        <v>1793</v>
      </c>
      <c r="I2899" t="s">
        <v>1642</v>
      </c>
      <c r="J2899">
        <v>16</v>
      </c>
      <c r="K2899">
        <v>3</v>
      </c>
      <c r="L2899">
        <v>1.7129629629629628E-3</v>
      </c>
      <c r="M2899" t="s">
        <v>778</v>
      </c>
      <c r="N2899" t="s">
        <v>871</v>
      </c>
      <c r="O2899" s="24">
        <v>46128</v>
      </c>
      <c r="P2899">
        <v>606</v>
      </c>
      <c r="Q2899" t="s">
        <v>34</v>
      </c>
      <c r="X2899" t="s">
        <v>3756</v>
      </c>
    </row>
    <row r="2900" spans="1:24" x14ac:dyDescent="0.25">
      <c r="A2900">
        <v>2896</v>
      </c>
      <c r="B2900" t="s">
        <v>29</v>
      </c>
      <c r="C2900" t="s">
        <v>27</v>
      </c>
      <c r="D2900">
        <v>16</v>
      </c>
      <c r="E2900" t="s">
        <v>1141</v>
      </c>
      <c r="F2900" t="s">
        <v>367</v>
      </c>
      <c r="G2900">
        <v>4185</v>
      </c>
      <c r="H2900" t="s">
        <v>2502</v>
      </c>
      <c r="I2900" t="s">
        <v>2503</v>
      </c>
      <c r="J2900">
        <v>16</v>
      </c>
      <c r="K2900">
        <v>1</v>
      </c>
      <c r="L2900">
        <v>1.5624999999999999E-3</v>
      </c>
      <c r="M2900" t="s">
        <v>778</v>
      </c>
      <c r="N2900" t="s">
        <v>871</v>
      </c>
      <c r="O2900" s="24">
        <v>46128</v>
      </c>
      <c r="P2900">
        <v>606</v>
      </c>
      <c r="Q2900" t="s">
        <v>34</v>
      </c>
      <c r="X2900" t="s">
        <v>3757</v>
      </c>
    </row>
    <row r="2901" spans="1:24" x14ac:dyDescent="0.25">
      <c r="A2901">
        <v>2897</v>
      </c>
      <c r="B2901" t="s">
        <v>29</v>
      </c>
      <c r="C2901" t="s">
        <v>27</v>
      </c>
      <c r="D2901">
        <v>16</v>
      </c>
      <c r="E2901" t="s">
        <v>1141</v>
      </c>
      <c r="F2901" t="s">
        <v>367</v>
      </c>
      <c r="G2901">
        <v>4185</v>
      </c>
      <c r="H2901" t="s">
        <v>2504</v>
      </c>
      <c r="I2901" t="s">
        <v>2503</v>
      </c>
      <c r="J2901">
        <v>16</v>
      </c>
      <c r="K2901">
        <v>1</v>
      </c>
      <c r="L2901">
        <v>1.5624999999999999E-3</v>
      </c>
      <c r="M2901" t="s">
        <v>778</v>
      </c>
      <c r="N2901" t="s">
        <v>871</v>
      </c>
      <c r="O2901" s="24">
        <v>46128</v>
      </c>
      <c r="P2901">
        <v>606</v>
      </c>
      <c r="Q2901" t="s">
        <v>34</v>
      </c>
      <c r="X2901" t="s">
        <v>3757</v>
      </c>
    </row>
    <row r="2902" spans="1:24" x14ac:dyDescent="0.25">
      <c r="A2902">
        <v>2898</v>
      </c>
      <c r="B2902" t="s">
        <v>29</v>
      </c>
      <c r="C2902" t="s">
        <v>27</v>
      </c>
      <c r="D2902">
        <v>16</v>
      </c>
      <c r="E2902" t="s">
        <v>1585</v>
      </c>
      <c r="F2902" t="s">
        <v>1585</v>
      </c>
      <c r="G2902">
        <v>4185</v>
      </c>
      <c r="H2902" t="s">
        <v>1635</v>
      </c>
      <c r="I2902" t="s">
        <v>1636</v>
      </c>
      <c r="J2902">
        <v>16</v>
      </c>
      <c r="K2902">
        <v>4</v>
      </c>
      <c r="L2902">
        <v>4.3981481481481476E-3</v>
      </c>
      <c r="M2902" t="s">
        <v>778</v>
      </c>
      <c r="N2902" t="s">
        <v>871</v>
      </c>
      <c r="O2902" s="24">
        <v>46128</v>
      </c>
      <c r="P2902">
        <v>606</v>
      </c>
      <c r="Q2902" t="s">
        <v>34</v>
      </c>
      <c r="X2902" t="s">
        <v>3757</v>
      </c>
    </row>
    <row r="2903" spans="1:24" x14ac:dyDescent="0.25">
      <c r="A2903">
        <v>2899</v>
      </c>
      <c r="B2903" t="s">
        <v>29</v>
      </c>
      <c r="C2903" t="s">
        <v>27</v>
      </c>
      <c r="D2903">
        <v>16</v>
      </c>
      <c r="E2903" t="s">
        <v>367</v>
      </c>
      <c r="F2903" t="s">
        <v>512</v>
      </c>
      <c r="G2903">
        <v>4185</v>
      </c>
      <c r="H2903" t="s">
        <v>1727</v>
      </c>
      <c r="I2903" t="s">
        <v>1726</v>
      </c>
      <c r="J2903">
        <v>16</v>
      </c>
      <c r="K2903">
        <v>1</v>
      </c>
      <c r="L2903">
        <v>1.1342592592592591E-3</v>
      </c>
      <c r="M2903" t="s">
        <v>778</v>
      </c>
      <c r="N2903" t="s">
        <v>871</v>
      </c>
      <c r="O2903" s="24">
        <v>46128</v>
      </c>
      <c r="P2903">
        <v>606</v>
      </c>
      <c r="Q2903" t="s">
        <v>34</v>
      </c>
      <c r="X2903" t="s">
        <v>3757</v>
      </c>
    </row>
    <row r="2904" spans="1:24" x14ac:dyDescent="0.25">
      <c r="A2904">
        <v>2900</v>
      </c>
      <c r="B2904" t="s">
        <v>29</v>
      </c>
      <c r="C2904" t="s">
        <v>27</v>
      </c>
      <c r="D2904">
        <v>16</v>
      </c>
      <c r="E2904" t="s">
        <v>367</v>
      </c>
      <c r="F2904" t="s">
        <v>512</v>
      </c>
      <c r="G2904">
        <v>4185</v>
      </c>
      <c r="H2904" t="s">
        <v>1773</v>
      </c>
      <c r="I2904" t="s">
        <v>1774</v>
      </c>
      <c r="J2904">
        <v>16</v>
      </c>
      <c r="K2904">
        <v>2</v>
      </c>
      <c r="L2904">
        <v>3.1481481481481482E-3</v>
      </c>
      <c r="M2904" t="s">
        <v>778</v>
      </c>
      <c r="N2904" t="s">
        <v>871</v>
      </c>
      <c r="O2904" s="24">
        <v>46128</v>
      </c>
      <c r="P2904">
        <v>606</v>
      </c>
      <c r="Q2904" t="s">
        <v>34</v>
      </c>
      <c r="X2904" t="s">
        <v>3757</v>
      </c>
    </row>
    <row r="2905" spans="1:24" x14ac:dyDescent="0.25">
      <c r="A2905">
        <v>2901</v>
      </c>
      <c r="B2905" t="s">
        <v>29</v>
      </c>
      <c r="C2905" t="s">
        <v>27</v>
      </c>
      <c r="D2905">
        <v>16</v>
      </c>
      <c r="E2905" t="s">
        <v>367</v>
      </c>
      <c r="F2905" t="s">
        <v>512</v>
      </c>
      <c r="G2905">
        <v>4185</v>
      </c>
      <c r="H2905" t="s">
        <v>1775</v>
      </c>
      <c r="I2905" t="s">
        <v>1776</v>
      </c>
      <c r="J2905">
        <v>16</v>
      </c>
      <c r="K2905">
        <v>1</v>
      </c>
      <c r="L2905">
        <v>1.5277777777777776E-3</v>
      </c>
      <c r="M2905" t="s">
        <v>778</v>
      </c>
      <c r="N2905" t="s">
        <v>871</v>
      </c>
      <c r="O2905" s="24">
        <v>46128</v>
      </c>
      <c r="P2905">
        <v>606</v>
      </c>
      <c r="Q2905" t="s">
        <v>34</v>
      </c>
      <c r="X2905" t="s">
        <v>3757</v>
      </c>
    </row>
    <row r="2906" spans="1:24" x14ac:dyDescent="0.25">
      <c r="A2906">
        <v>2902</v>
      </c>
      <c r="B2906" t="s">
        <v>29</v>
      </c>
      <c r="C2906" t="s">
        <v>27</v>
      </c>
      <c r="D2906">
        <v>16</v>
      </c>
      <c r="E2906" t="s">
        <v>367</v>
      </c>
      <c r="F2906" t="s">
        <v>1594</v>
      </c>
      <c r="G2906">
        <v>4185</v>
      </c>
      <c r="H2906" t="s">
        <v>1793</v>
      </c>
      <c r="I2906" t="s">
        <v>1642</v>
      </c>
      <c r="J2906">
        <v>16</v>
      </c>
      <c r="K2906">
        <v>1</v>
      </c>
      <c r="L2906">
        <v>6.8287037037037036E-4</v>
      </c>
      <c r="M2906" t="s">
        <v>778</v>
      </c>
      <c r="N2906" t="s">
        <v>871</v>
      </c>
      <c r="O2906" s="24">
        <v>46128</v>
      </c>
      <c r="P2906">
        <v>606</v>
      </c>
      <c r="Q2906" t="s">
        <v>34</v>
      </c>
      <c r="X2906" t="s">
        <v>3757</v>
      </c>
    </row>
    <row r="2907" spans="1:24" x14ac:dyDescent="0.25">
      <c r="A2907">
        <v>2903</v>
      </c>
      <c r="B2907" t="s">
        <v>29</v>
      </c>
      <c r="C2907" t="s">
        <v>27</v>
      </c>
      <c r="D2907">
        <v>16</v>
      </c>
      <c r="E2907" t="s">
        <v>2763</v>
      </c>
      <c r="F2907" t="s">
        <v>512</v>
      </c>
      <c r="G2907">
        <v>4185</v>
      </c>
      <c r="H2907" t="s">
        <v>2774</v>
      </c>
      <c r="I2907" t="s">
        <v>1714</v>
      </c>
      <c r="J2907">
        <v>16</v>
      </c>
      <c r="K2907">
        <v>1</v>
      </c>
      <c r="L2907">
        <v>6.3657407407407402E-4</v>
      </c>
      <c r="M2907" t="s">
        <v>778</v>
      </c>
      <c r="N2907" t="s">
        <v>871</v>
      </c>
      <c r="O2907" s="24">
        <v>46128</v>
      </c>
      <c r="P2907">
        <v>606</v>
      </c>
      <c r="Q2907" t="s">
        <v>34</v>
      </c>
      <c r="X2907" t="s">
        <v>3757</v>
      </c>
    </row>
    <row r="2908" spans="1:24" x14ac:dyDescent="0.25">
      <c r="A2908">
        <v>2904</v>
      </c>
      <c r="B2908" t="s">
        <v>29</v>
      </c>
      <c r="C2908" t="s">
        <v>27</v>
      </c>
      <c r="D2908">
        <v>16</v>
      </c>
      <c r="E2908" t="s">
        <v>1588</v>
      </c>
      <c r="F2908" t="s">
        <v>1588</v>
      </c>
      <c r="G2908">
        <v>4185</v>
      </c>
      <c r="H2908" t="s">
        <v>1713</v>
      </c>
      <c r="I2908" t="s">
        <v>1714</v>
      </c>
      <c r="J2908">
        <v>16</v>
      </c>
      <c r="K2908">
        <v>1</v>
      </c>
      <c r="L2908">
        <v>6.3657407407407402E-4</v>
      </c>
      <c r="M2908" t="s">
        <v>778</v>
      </c>
      <c r="N2908" t="s">
        <v>871</v>
      </c>
      <c r="O2908" s="24">
        <v>46128</v>
      </c>
      <c r="P2908">
        <v>606</v>
      </c>
      <c r="Q2908" t="s">
        <v>34</v>
      </c>
      <c r="X2908" t="s">
        <v>3757</v>
      </c>
    </row>
    <row r="2909" spans="1:24" x14ac:dyDescent="0.25">
      <c r="A2909">
        <v>2905</v>
      </c>
      <c r="B2909" t="s">
        <v>29</v>
      </c>
      <c r="C2909" t="s">
        <v>27</v>
      </c>
      <c r="D2909">
        <v>16</v>
      </c>
      <c r="E2909" t="s">
        <v>367</v>
      </c>
      <c r="F2909" t="s">
        <v>512</v>
      </c>
      <c r="G2909">
        <v>4185</v>
      </c>
      <c r="H2909" t="s">
        <v>2639</v>
      </c>
      <c r="I2909" t="s">
        <v>1752</v>
      </c>
      <c r="J2909">
        <v>16</v>
      </c>
      <c r="K2909">
        <v>3</v>
      </c>
      <c r="L2909">
        <v>2.8124999999999999E-3</v>
      </c>
      <c r="M2909" t="s">
        <v>778</v>
      </c>
      <c r="N2909" t="s">
        <v>871</v>
      </c>
      <c r="O2909" s="24">
        <v>46128</v>
      </c>
      <c r="P2909">
        <v>606</v>
      </c>
      <c r="Q2909" t="s">
        <v>34</v>
      </c>
      <c r="X2909" t="s">
        <v>3757</v>
      </c>
    </row>
    <row r="2910" spans="1:24" x14ac:dyDescent="0.25">
      <c r="A2910">
        <v>2906</v>
      </c>
      <c r="B2910" t="s">
        <v>29</v>
      </c>
      <c r="C2910" t="s">
        <v>27</v>
      </c>
      <c r="D2910">
        <v>16</v>
      </c>
      <c r="E2910" t="s">
        <v>367</v>
      </c>
      <c r="F2910" t="s">
        <v>368</v>
      </c>
      <c r="G2910">
        <v>4186</v>
      </c>
      <c r="H2910" t="s">
        <v>1784</v>
      </c>
      <c r="I2910" t="s">
        <v>1785</v>
      </c>
      <c r="J2910">
        <v>16</v>
      </c>
      <c r="K2910">
        <v>1</v>
      </c>
      <c r="L2910">
        <v>7.8703703703703705E-4</v>
      </c>
      <c r="M2910" t="s">
        <v>778</v>
      </c>
      <c r="N2910" t="s">
        <v>871</v>
      </c>
      <c r="O2910" s="24">
        <v>46128</v>
      </c>
      <c r="P2910">
        <v>606</v>
      </c>
      <c r="Q2910" t="s">
        <v>34</v>
      </c>
      <c r="X2910" t="s">
        <v>3758</v>
      </c>
    </row>
    <row r="2911" spans="1:24" x14ac:dyDescent="0.25">
      <c r="A2911">
        <v>2907</v>
      </c>
      <c r="B2911" t="s">
        <v>29</v>
      </c>
      <c r="C2911" t="s">
        <v>27</v>
      </c>
      <c r="D2911">
        <v>16</v>
      </c>
      <c r="E2911" t="s">
        <v>367</v>
      </c>
      <c r="F2911" t="s">
        <v>368</v>
      </c>
      <c r="G2911">
        <v>4186</v>
      </c>
      <c r="H2911" t="s">
        <v>1675</v>
      </c>
      <c r="I2911" t="s">
        <v>1676</v>
      </c>
      <c r="J2911">
        <v>16</v>
      </c>
      <c r="K2911">
        <v>1</v>
      </c>
      <c r="L2911">
        <v>6.5972222222222224E-4</v>
      </c>
      <c r="M2911" t="s">
        <v>778</v>
      </c>
      <c r="N2911" t="s">
        <v>871</v>
      </c>
      <c r="O2911" s="24">
        <v>46128</v>
      </c>
      <c r="P2911">
        <v>606</v>
      </c>
      <c r="Q2911" t="s">
        <v>34</v>
      </c>
      <c r="X2911" t="s">
        <v>3758</v>
      </c>
    </row>
    <row r="2912" spans="1:24" x14ac:dyDescent="0.25">
      <c r="A2912">
        <v>2908</v>
      </c>
      <c r="B2912" t="s">
        <v>29</v>
      </c>
      <c r="C2912" t="s">
        <v>27</v>
      </c>
      <c r="D2912">
        <v>16</v>
      </c>
      <c r="E2912" t="s">
        <v>367</v>
      </c>
      <c r="F2912" t="s">
        <v>368</v>
      </c>
      <c r="G2912">
        <v>4186</v>
      </c>
      <c r="H2912" t="s">
        <v>1787</v>
      </c>
      <c r="I2912" t="s">
        <v>1785</v>
      </c>
      <c r="J2912">
        <v>16</v>
      </c>
      <c r="K2912">
        <v>2</v>
      </c>
      <c r="L2912">
        <v>1.5740740740740741E-3</v>
      </c>
      <c r="M2912" t="s">
        <v>778</v>
      </c>
      <c r="N2912" t="s">
        <v>871</v>
      </c>
      <c r="O2912" s="24">
        <v>46128</v>
      </c>
      <c r="P2912">
        <v>606</v>
      </c>
      <c r="Q2912" t="s">
        <v>34</v>
      </c>
      <c r="X2912" t="s">
        <v>3758</v>
      </c>
    </row>
    <row r="2913" spans="1:24" x14ac:dyDescent="0.25">
      <c r="A2913">
        <v>2909</v>
      </c>
      <c r="B2913" t="s">
        <v>29</v>
      </c>
      <c r="C2913" t="s">
        <v>27</v>
      </c>
      <c r="D2913">
        <v>16</v>
      </c>
      <c r="E2913" t="s">
        <v>367</v>
      </c>
      <c r="F2913" t="s">
        <v>368</v>
      </c>
      <c r="G2913">
        <v>4186</v>
      </c>
      <c r="H2913" t="s">
        <v>1721</v>
      </c>
      <c r="I2913" t="s">
        <v>1722</v>
      </c>
      <c r="J2913">
        <v>16</v>
      </c>
      <c r="K2913">
        <v>1</v>
      </c>
      <c r="L2913">
        <v>6.4814814814814813E-4</v>
      </c>
      <c r="M2913" t="s">
        <v>778</v>
      </c>
      <c r="N2913" t="s">
        <v>871</v>
      </c>
      <c r="O2913" s="24">
        <v>46128</v>
      </c>
      <c r="P2913">
        <v>606</v>
      </c>
      <c r="Q2913" t="s">
        <v>34</v>
      </c>
      <c r="X2913" t="s">
        <v>3758</v>
      </c>
    </row>
    <row r="2914" spans="1:24" x14ac:dyDescent="0.25">
      <c r="A2914">
        <v>2910</v>
      </c>
      <c r="B2914" t="s">
        <v>29</v>
      </c>
      <c r="C2914" t="s">
        <v>27</v>
      </c>
      <c r="D2914">
        <v>16</v>
      </c>
      <c r="E2914" t="s">
        <v>1141</v>
      </c>
      <c r="F2914" t="s">
        <v>367</v>
      </c>
      <c r="G2914">
        <v>4186</v>
      </c>
      <c r="H2914" t="s">
        <v>1682</v>
      </c>
      <c r="I2914" t="s">
        <v>2776</v>
      </c>
      <c r="J2914">
        <v>16</v>
      </c>
      <c r="K2914">
        <v>1</v>
      </c>
      <c r="L2914">
        <v>1.7708333333333332E-3</v>
      </c>
      <c r="M2914" t="s">
        <v>778</v>
      </c>
      <c r="N2914" t="s">
        <v>871</v>
      </c>
      <c r="O2914" s="24">
        <v>46128</v>
      </c>
      <c r="P2914">
        <v>606</v>
      </c>
      <c r="Q2914" t="s">
        <v>34</v>
      </c>
      <c r="X2914" t="s">
        <v>3758</v>
      </c>
    </row>
    <row r="2915" spans="1:24" x14ac:dyDescent="0.25">
      <c r="A2915">
        <v>2911</v>
      </c>
      <c r="B2915" t="s">
        <v>29</v>
      </c>
      <c r="C2915" t="s">
        <v>27</v>
      </c>
      <c r="D2915">
        <v>16</v>
      </c>
      <c r="E2915" t="s">
        <v>367</v>
      </c>
      <c r="F2915" t="s">
        <v>367</v>
      </c>
      <c r="G2915">
        <v>4186</v>
      </c>
      <c r="H2915" t="s">
        <v>1684</v>
      </c>
      <c r="I2915" t="s">
        <v>2777</v>
      </c>
      <c r="J2915">
        <v>16</v>
      </c>
      <c r="K2915">
        <v>1</v>
      </c>
      <c r="L2915">
        <v>1.0995370370370369E-3</v>
      </c>
      <c r="M2915" t="s">
        <v>778</v>
      </c>
      <c r="N2915" t="s">
        <v>871</v>
      </c>
      <c r="O2915" s="24">
        <v>46128</v>
      </c>
      <c r="P2915">
        <v>606</v>
      </c>
      <c r="Q2915" t="s">
        <v>34</v>
      </c>
      <c r="X2915" t="s">
        <v>3758</v>
      </c>
    </row>
    <row r="2916" spans="1:24" x14ac:dyDescent="0.25">
      <c r="A2916">
        <v>2912</v>
      </c>
      <c r="B2916" t="s">
        <v>29</v>
      </c>
      <c r="C2916" t="s">
        <v>27</v>
      </c>
      <c r="D2916">
        <v>16</v>
      </c>
      <c r="E2916" t="s">
        <v>367</v>
      </c>
      <c r="F2916" t="s">
        <v>367</v>
      </c>
      <c r="G2916">
        <v>4186</v>
      </c>
      <c r="H2916" t="s">
        <v>1686</v>
      </c>
      <c r="I2916" t="s">
        <v>2777</v>
      </c>
      <c r="J2916">
        <v>16</v>
      </c>
      <c r="K2916">
        <v>1</v>
      </c>
      <c r="L2916">
        <v>9.0277777777777774E-4</v>
      </c>
      <c r="M2916" t="s">
        <v>778</v>
      </c>
      <c r="N2916" t="s">
        <v>871</v>
      </c>
      <c r="O2916" s="24">
        <v>46128</v>
      </c>
      <c r="P2916">
        <v>606</v>
      </c>
      <c r="Q2916" t="s">
        <v>34</v>
      </c>
      <c r="X2916" t="s">
        <v>3758</v>
      </c>
    </row>
    <row r="2917" spans="1:24" x14ac:dyDescent="0.25">
      <c r="A2917">
        <v>2913</v>
      </c>
      <c r="B2917" t="s">
        <v>29</v>
      </c>
      <c r="C2917" t="s">
        <v>27</v>
      </c>
      <c r="D2917">
        <v>16</v>
      </c>
      <c r="E2917" t="s">
        <v>1141</v>
      </c>
      <c r="F2917" t="s">
        <v>367</v>
      </c>
      <c r="G2917">
        <v>4186</v>
      </c>
      <c r="H2917" t="s">
        <v>1687</v>
      </c>
      <c r="I2917" t="s">
        <v>2776</v>
      </c>
      <c r="J2917">
        <v>16</v>
      </c>
      <c r="K2917">
        <v>1</v>
      </c>
      <c r="L2917">
        <v>1.8171296296296295E-3</v>
      </c>
      <c r="M2917" t="s">
        <v>778</v>
      </c>
      <c r="N2917" t="s">
        <v>871</v>
      </c>
      <c r="O2917" s="24">
        <v>46128</v>
      </c>
      <c r="P2917">
        <v>606</v>
      </c>
      <c r="Q2917" t="s">
        <v>34</v>
      </c>
      <c r="X2917" t="s">
        <v>3758</v>
      </c>
    </row>
    <row r="2918" spans="1:24" x14ac:dyDescent="0.25">
      <c r="A2918">
        <v>2914</v>
      </c>
      <c r="B2918" t="s">
        <v>29</v>
      </c>
      <c r="C2918" t="s">
        <v>27</v>
      </c>
      <c r="D2918">
        <v>16</v>
      </c>
      <c r="E2918" t="s">
        <v>2778</v>
      </c>
      <c r="F2918" t="s">
        <v>1594</v>
      </c>
      <c r="G2918">
        <v>4186</v>
      </c>
      <c r="H2918" t="s">
        <v>1723</v>
      </c>
      <c r="I2918" t="s">
        <v>1724</v>
      </c>
      <c r="J2918">
        <v>16</v>
      </c>
      <c r="K2918">
        <v>3</v>
      </c>
      <c r="L2918">
        <v>2.6157407407407405E-3</v>
      </c>
      <c r="M2918" t="s">
        <v>778</v>
      </c>
      <c r="N2918" t="s">
        <v>871</v>
      </c>
      <c r="O2918" s="24">
        <v>46128</v>
      </c>
      <c r="P2918">
        <v>606</v>
      </c>
      <c r="Q2918" t="s">
        <v>34</v>
      </c>
      <c r="X2918" t="s">
        <v>3758</v>
      </c>
    </row>
    <row r="2919" spans="1:24" x14ac:dyDescent="0.25">
      <c r="A2919">
        <v>2915</v>
      </c>
      <c r="B2919" t="s">
        <v>29</v>
      </c>
      <c r="C2919" t="s">
        <v>27</v>
      </c>
      <c r="D2919">
        <v>16</v>
      </c>
      <c r="E2919" t="s">
        <v>367</v>
      </c>
      <c r="F2919" t="s">
        <v>427</v>
      </c>
      <c r="G2919">
        <v>4186</v>
      </c>
      <c r="H2919" t="s">
        <v>2629</v>
      </c>
      <c r="I2919" t="s">
        <v>2630</v>
      </c>
      <c r="J2919">
        <v>16</v>
      </c>
      <c r="K2919">
        <v>2</v>
      </c>
      <c r="L2919">
        <v>2.5694444444444445E-3</v>
      </c>
      <c r="M2919" t="s">
        <v>778</v>
      </c>
      <c r="N2919" t="s">
        <v>871</v>
      </c>
      <c r="O2919" s="24">
        <v>46128</v>
      </c>
      <c r="P2919">
        <v>606</v>
      </c>
      <c r="Q2919" t="s">
        <v>34</v>
      </c>
      <c r="X2919" t="s">
        <v>3758</v>
      </c>
    </row>
    <row r="2920" spans="1:24" x14ac:dyDescent="0.25">
      <c r="A2920">
        <v>2916</v>
      </c>
      <c r="B2920" t="s">
        <v>29</v>
      </c>
      <c r="C2920" t="s">
        <v>27</v>
      </c>
      <c r="D2920">
        <v>16</v>
      </c>
      <c r="E2920" t="s">
        <v>367</v>
      </c>
      <c r="F2920" t="s">
        <v>1595</v>
      </c>
      <c r="G2920">
        <v>4186</v>
      </c>
      <c r="H2920" t="s">
        <v>2631</v>
      </c>
      <c r="I2920" t="s">
        <v>2632</v>
      </c>
      <c r="J2920">
        <v>16</v>
      </c>
      <c r="K2920">
        <v>1</v>
      </c>
      <c r="L2920">
        <v>1.0416666666666667E-3</v>
      </c>
      <c r="M2920" t="s">
        <v>778</v>
      </c>
      <c r="N2920" t="s">
        <v>871</v>
      </c>
      <c r="O2920" s="24">
        <v>46128</v>
      </c>
      <c r="P2920">
        <v>606</v>
      </c>
      <c r="Q2920" t="s">
        <v>34</v>
      </c>
      <c r="X2920" t="s">
        <v>3758</v>
      </c>
    </row>
    <row r="2921" spans="1:24" x14ac:dyDescent="0.25">
      <c r="A2921">
        <v>2917</v>
      </c>
      <c r="B2921" t="s">
        <v>29</v>
      </c>
      <c r="C2921" t="s">
        <v>27</v>
      </c>
      <c r="D2921">
        <v>16</v>
      </c>
      <c r="E2921" t="s">
        <v>1585</v>
      </c>
      <c r="F2921" t="s">
        <v>1585</v>
      </c>
      <c r="G2921">
        <v>4186</v>
      </c>
      <c r="H2921" t="s">
        <v>1635</v>
      </c>
      <c r="I2921" t="s">
        <v>1636</v>
      </c>
      <c r="J2921">
        <v>16</v>
      </c>
      <c r="K2921">
        <v>2</v>
      </c>
      <c r="L2921">
        <v>2.0601851851851853E-3</v>
      </c>
      <c r="M2921" t="s">
        <v>778</v>
      </c>
      <c r="N2921" t="s">
        <v>871</v>
      </c>
      <c r="O2921" s="24">
        <v>46128</v>
      </c>
      <c r="P2921">
        <v>606</v>
      </c>
      <c r="Q2921" t="s">
        <v>34</v>
      </c>
      <c r="X2921" t="s">
        <v>3758</v>
      </c>
    </row>
    <row r="2922" spans="1:24" x14ac:dyDescent="0.25">
      <c r="A2922">
        <v>2918</v>
      </c>
      <c r="B2922" t="s">
        <v>29</v>
      </c>
      <c r="C2922" t="s">
        <v>27</v>
      </c>
      <c r="D2922">
        <v>16</v>
      </c>
      <c r="E2922" t="s">
        <v>367</v>
      </c>
      <c r="F2922" t="s">
        <v>512</v>
      </c>
      <c r="G2922">
        <v>4186</v>
      </c>
      <c r="H2922" t="s">
        <v>1749</v>
      </c>
      <c r="I2922" t="s">
        <v>1747</v>
      </c>
      <c r="J2922">
        <v>16</v>
      </c>
      <c r="K2922">
        <v>2</v>
      </c>
      <c r="L2922">
        <v>1.2962962962962963E-3</v>
      </c>
      <c r="M2922" t="s">
        <v>778</v>
      </c>
      <c r="N2922" t="s">
        <v>871</v>
      </c>
      <c r="O2922" s="24">
        <v>46128</v>
      </c>
      <c r="P2922">
        <v>606</v>
      </c>
      <c r="Q2922" t="s">
        <v>34</v>
      </c>
      <c r="X2922" t="s">
        <v>3758</v>
      </c>
    </row>
    <row r="2923" spans="1:24" x14ac:dyDescent="0.25">
      <c r="A2923">
        <v>2919</v>
      </c>
      <c r="B2923" t="s">
        <v>29</v>
      </c>
      <c r="C2923" t="s">
        <v>27</v>
      </c>
      <c r="D2923">
        <v>16</v>
      </c>
      <c r="E2923" t="s">
        <v>367</v>
      </c>
      <c r="F2923" t="s">
        <v>512</v>
      </c>
      <c r="G2923">
        <v>4186</v>
      </c>
      <c r="H2923" t="s">
        <v>1750</v>
      </c>
      <c r="I2923" t="s">
        <v>1747</v>
      </c>
      <c r="J2923">
        <v>16</v>
      </c>
      <c r="K2923">
        <v>1</v>
      </c>
      <c r="L2923">
        <v>6.4814814814814813E-4</v>
      </c>
      <c r="M2923" t="s">
        <v>778</v>
      </c>
      <c r="N2923" t="s">
        <v>871</v>
      </c>
      <c r="O2923" s="24">
        <v>46128</v>
      </c>
      <c r="P2923">
        <v>606</v>
      </c>
      <c r="Q2923" t="s">
        <v>34</v>
      </c>
      <c r="X2923" t="s">
        <v>3758</v>
      </c>
    </row>
    <row r="2924" spans="1:24" x14ac:dyDescent="0.25">
      <c r="A2924">
        <v>2920</v>
      </c>
      <c r="B2924" t="s">
        <v>29</v>
      </c>
      <c r="C2924" t="s">
        <v>27</v>
      </c>
      <c r="D2924">
        <v>16</v>
      </c>
      <c r="E2924" t="s">
        <v>367</v>
      </c>
      <c r="F2924" t="s">
        <v>512</v>
      </c>
      <c r="G2924">
        <v>4186</v>
      </c>
      <c r="H2924" t="s">
        <v>1792</v>
      </c>
      <c r="I2924" t="s">
        <v>1752</v>
      </c>
      <c r="J2924">
        <v>16</v>
      </c>
      <c r="K2924">
        <v>1</v>
      </c>
      <c r="L2924">
        <v>7.8703703703703705E-4</v>
      </c>
      <c r="M2924" t="s">
        <v>778</v>
      </c>
      <c r="N2924" t="s">
        <v>871</v>
      </c>
      <c r="O2924" s="24">
        <v>46128</v>
      </c>
      <c r="P2924">
        <v>606</v>
      </c>
      <c r="Q2924" t="s">
        <v>34</v>
      </c>
      <c r="X2924" t="s">
        <v>3758</v>
      </c>
    </row>
    <row r="2925" spans="1:24" x14ac:dyDescent="0.25">
      <c r="A2925">
        <v>2921</v>
      </c>
      <c r="B2925" t="s">
        <v>29</v>
      </c>
      <c r="C2925" t="s">
        <v>27</v>
      </c>
      <c r="D2925">
        <v>16</v>
      </c>
      <c r="E2925" t="s">
        <v>367</v>
      </c>
      <c r="F2925" t="s">
        <v>512</v>
      </c>
      <c r="G2925">
        <v>4186</v>
      </c>
      <c r="H2925" t="s">
        <v>1751</v>
      </c>
      <c r="I2925" t="s">
        <v>1752</v>
      </c>
      <c r="J2925">
        <v>16</v>
      </c>
      <c r="K2925">
        <v>1</v>
      </c>
      <c r="L2925">
        <v>1.0648148148148149E-3</v>
      </c>
      <c r="M2925" t="s">
        <v>778</v>
      </c>
      <c r="N2925" t="s">
        <v>871</v>
      </c>
      <c r="O2925" s="24">
        <v>46128</v>
      </c>
      <c r="P2925">
        <v>606</v>
      </c>
      <c r="Q2925" t="s">
        <v>34</v>
      </c>
      <c r="X2925" t="s">
        <v>3758</v>
      </c>
    </row>
    <row r="2926" spans="1:24" x14ac:dyDescent="0.25">
      <c r="A2926">
        <v>2922</v>
      </c>
      <c r="B2926" t="s">
        <v>29</v>
      </c>
      <c r="C2926" t="s">
        <v>27</v>
      </c>
      <c r="D2926">
        <v>16</v>
      </c>
      <c r="E2926" t="s">
        <v>367</v>
      </c>
      <c r="F2926" t="s">
        <v>512</v>
      </c>
      <c r="G2926">
        <v>4186</v>
      </c>
      <c r="H2926" t="s">
        <v>1725</v>
      </c>
      <c r="I2926" t="s">
        <v>1726</v>
      </c>
      <c r="J2926">
        <v>16</v>
      </c>
      <c r="K2926">
        <v>1</v>
      </c>
      <c r="L2926">
        <v>8.7962962962962962E-4</v>
      </c>
      <c r="M2926" t="s">
        <v>778</v>
      </c>
      <c r="N2926" t="s">
        <v>871</v>
      </c>
      <c r="O2926" s="24">
        <v>46128</v>
      </c>
      <c r="P2926">
        <v>606</v>
      </c>
      <c r="Q2926" t="s">
        <v>34</v>
      </c>
      <c r="X2926" t="s">
        <v>3758</v>
      </c>
    </row>
    <row r="2927" spans="1:24" x14ac:dyDescent="0.25">
      <c r="A2927">
        <v>2923</v>
      </c>
      <c r="B2927" t="s">
        <v>29</v>
      </c>
      <c r="C2927" t="s">
        <v>27</v>
      </c>
      <c r="D2927">
        <v>16</v>
      </c>
      <c r="E2927" t="s">
        <v>367</v>
      </c>
      <c r="F2927" t="s">
        <v>512</v>
      </c>
      <c r="G2927">
        <v>4186</v>
      </c>
      <c r="H2927" t="s">
        <v>1727</v>
      </c>
      <c r="I2927" t="s">
        <v>1726</v>
      </c>
      <c r="J2927">
        <v>16</v>
      </c>
      <c r="K2927">
        <v>2</v>
      </c>
      <c r="L2927">
        <v>2.1296296296296298E-3</v>
      </c>
      <c r="M2927" t="s">
        <v>778</v>
      </c>
      <c r="N2927" t="s">
        <v>871</v>
      </c>
      <c r="O2927" s="24">
        <v>46128</v>
      </c>
      <c r="P2927">
        <v>606</v>
      </c>
      <c r="Q2927" t="s">
        <v>34</v>
      </c>
      <c r="X2927" t="s">
        <v>3758</v>
      </c>
    </row>
    <row r="2928" spans="1:24" x14ac:dyDescent="0.25">
      <c r="A2928">
        <v>2924</v>
      </c>
      <c r="B2928" t="s">
        <v>29</v>
      </c>
      <c r="C2928" t="s">
        <v>27</v>
      </c>
      <c r="D2928">
        <v>16</v>
      </c>
      <c r="E2928" t="s">
        <v>367</v>
      </c>
      <c r="F2928" t="s">
        <v>512</v>
      </c>
      <c r="G2928">
        <v>4186</v>
      </c>
      <c r="H2928" t="s">
        <v>2498</v>
      </c>
      <c r="I2928" t="s">
        <v>2779</v>
      </c>
      <c r="J2928">
        <v>16</v>
      </c>
      <c r="K2928">
        <v>2</v>
      </c>
      <c r="L2928">
        <v>1.7824074074074072E-3</v>
      </c>
      <c r="M2928" t="s">
        <v>778</v>
      </c>
      <c r="N2928" t="s">
        <v>871</v>
      </c>
      <c r="O2928" s="24">
        <v>46128</v>
      </c>
      <c r="P2928">
        <v>606</v>
      </c>
      <c r="Q2928" t="s">
        <v>34</v>
      </c>
      <c r="X2928" t="s">
        <v>3758</v>
      </c>
    </row>
    <row r="2929" spans="1:24" x14ac:dyDescent="0.25">
      <c r="A2929">
        <v>2925</v>
      </c>
      <c r="B2929" t="s">
        <v>29</v>
      </c>
      <c r="C2929" t="s">
        <v>27</v>
      </c>
      <c r="D2929">
        <v>16</v>
      </c>
      <c r="E2929" t="s">
        <v>367</v>
      </c>
      <c r="F2929" t="s">
        <v>1594</v>
      </c>
      <c r="G2929">
        <v>4186</v>
      </c>
      <c r="H2929" t="s">
        <v>1793</v>
      </c>
      <c r="I2929" t="s">
        <v>1642</v>
      </c>
      <c r="J2929">
        <v>16</v>
      </c>
      <c r="K2929">
        <v>1</v>
      </c>
      <c r="L2929">
        <v>6.4814814814814813E-4</v>
      </c>
      <c r="M2929" t="s">
        <v>778</v>
      </c>
      <c r="N2929" t="s">
        <v>871</v>
      </c>
      <c r="O2929" s="24">
        <v>46128</v>
      </c>
      <c r="P2929">
        <v>606</v>
      </c>
      <c r="Q2929" t="s">
        <v>34</v>
      </c>
      <c r="X2929" t="s">
        <v>3758</v>
      </c>
    </row>
    <row r="2930" spans="1:24" x14ac:dyDescent="0.25">
      <c r="A2930">
        <v>2926</v>
      </c>
      <c r="B2930" t="s">
        <v>29</v>
      </c>
      <c r="C2930" t="s">
        <v>27</v>
      </c>
      <c r="D2930">
        <v>16</v>
      </c>
      <c r="E2930" t="s">
        <v>2763</v>
      </c>
      <c r="F2930" t="s">
        <v>512</v>
      </c>
      <c r="G2930">
        <v>4186</v>
      </c>
      <c r="H2930" t="s">
        <v>2774</v>
      </c>
      <c r="I2930" t="s">
        <v>1714</v>
      </c>
      <c r="J2930">
        <v>16</v>
      </c>
      <c r="K2930">
        <v>1</v>
      </c>
      <c r="L2930">
        <v>6.0185185185185179E-4</v>
      </c>
      <c r="M2930" t="s">
        <v>778</v>
      </c>
      <c r="N2930" t="s">
        <v>871</v>
      </c>
      <c r="O2930" s="24">
        <v>46128</v>
      </c>
      <c r="P2930">
        <v>606</v>
      </c>
      <c r="Q2930" t="s">
        <v>34</v>
      </c>
      <c r="X2930" t="s">
        <v>3758</v>
      </c>
    </row>
    <row r="2931" spans="1:24" x14ac:dyDescent="0.25">
      <c r="A2931">
        <v>2927</v>
      </c>
      <c r="B2931" t="s">
        <v>29</v>
      </c>
      <c r="C2931" t="s">
        <v>27</v>
      </c>
      <c r="D2931">
        <v>16</v>
      </c>
      <c r="E2931" t="s">
        <v>367</v>
      </c>
      <c r="F2931" t="s">
        <v>512</v>
      </c>
      <c r="G2931">
        <v>4186</v>
      </c>
      <c r="H2931" t="s">
        <v>2638</v>
      </c>
      <c r="I2931" t="s">
        <v>1780</v>
      </c>
      <c r="J2931">
        <v>16</v>
      </c>
      <c r="K2931">
        <v>1</v>
      </c>
      <c r="L2931">
        <v>8.3333333333333328E-4</v>
      </c>
      <c r="M2931" t="s">
        <v>778</v>
      </c>
      <c r="N2931" t="s">
        <v>871</v>
      </c>
      <c r="O2931" s="24">
        <v>46128</v>
      </c>
      <c r="P2931">
        <v>606</v>
      </c>
      <c r="Q2931" t="s">
        <v>34</v>
      </c>
      <c r="X2931" t="s">
        <v>3758</v>
      </c>
    </row>
    <row r="2932" spans="1:24" x14ac:dyDescent="0.25">
      <c r="A2932">
        <v>2928</v>
      </c>
      <c r="B2932" t="s">
        <v>29</v>
      </c>
      <c r="C2932" t="s">
        <v>27</v>
      </c>
      <c r="D2932">
        <v>16</v>
      </c>
      <c r="E2932" t="s">
        <v>367</v>
      </c>
      <c r="F2932" t="s">
        <v>512</v>
      </c>
      <c r="G2932">
        <v>4186</v>
      </c>
      <c r="H2932" t="s">
        <v>2639</v>
      </c>
      <c r="I2932" t="s">
        <v>1752</v>
      </c>
      <c r="J2932">
        <v>16</v>
      </c>
      <c r="K2932">
        <v>1</v>
      </c>
      <c r="L2932">
        <v>8.7962962962962962E-4</v>
      </c>
      <c r="M2932" t="s">
        <v>778</v>
      </c>
      <c r="N2932" t="s">
        <v>871</v>
      </c>
      <c r="O2932" s="24">
        <v>46128</v>
      </c>
      <c r="P2932">
        <v>606</v>
      </c>
      <c r="Q2932" t="s">
        <v>34</v>
      </c>
      <c r="X2932" t="s">
        <v>3758</v>
      </c>
    </row>
    <row r="2933" spans="1:24" x14ac:dyDescent="0.25">
      <c r="A2933">
        <v>2929</v>
      </c>
      <c r="B2933" t="s">
        <v>29</v>
      </c>
      <c r="C2933" t="s">
        <v>27</v>
      </c>
      <c r="D2933">
        <v>16</v>
      </c>
      <c r="E2933" t="s">
        <v>1665</v>
      </c>
      <c r="F2933" t="s">
        <v>498</v>
      </c>
      <c r="G2933">
        <v>3131</v>
      </c>
      <c r="H2933" t="s">
        <v>1981</v>
      </c>
      <c r="I2933" t="s">
        <v>1978</v>
      </c>
      <c r="J2933">
        <v>10</v>
      </c>
      <c r="K2933">
        <v>52</v>
      </c>
      <c r="L2933">
        <v>1.8518518518518517E-2</v>
      </c>
      <c r="M2933" t="s">
        <v>778</v>
      </c>
      <c r="N2933" t="s">
        <v>871</v>
      </c>
      <c r="O2933" s="24">
        <v>46128</v>
      </c>
      <c r="P2933">
        <v>606</v>
      </c>
      <c r="Q2933" t="s">
        <v>34</v>
      </c>
      <c r="X2933" t="s">
        <v>3759</v>
      </c>
    </row>
    <row r="2934" spans="1:24" x14ac:dyDescent="0.25">
      <c r="A2934">
        <v>2930</v>
      </c>
      <c r="B2934" t="s">
        <v>29</v>
      </c>
      <c r="C2934" t="s">
        <v>27</v>
      </c>
      <c r="D2934">
        <v>16</v>
      </c>
      <c r="E2934" t="s">
        <v>367</v>
      </c>
      <c r="F2934" t="s">
        <v>1593</v>
      </c>
      <c r="G2934">
        <v>3131</v>
      </c>
      <c r="H2934" t="s">
        <v>2012</v>
      </c>
      <c r="I2934" t="s">
        <v>2013</v>
      </c>
      <c r="J2934">
        <v>10</v>
      </c>
      <c r="K2934">
        <v>11</v>
      </c>
      <c r="L2934">
        <v>2.7199074074074074E-3</v>
      </c>
      <c r="M2934" t="s">
        <v>778</v>
      </c>
      <c r="N2934" t="s">
        <v>871</v>
      </c>
      <c r="O2934" s="24">
        <v>46128</v>
      </c>
      <c r="P2934">
        <v>606</v>
      </c>
      <c r="Q2934" t="s">
        <v>34</v>
      </c>
      <c r="X2934" t="s">
        <v>3759</v>
      </c>
    </row>
    <row r="2935" spans="1:24" x14ac:dyDescent="0.25">
      <c r="A2935">
        <v>2931</v>
      </c>
      <c r="B2935" t="s">
        <v>29</v>
      </c>
      <c r="C2935" t="s">
        <v>27</v>
      </c>
      <c r="D2935">
        <v>16</v>
      </c>
      <c r="E2935" t="s">
        <v>367</v>
      </c>
      <c r="F2935" t="s">
        <v>367</v>
      </c>
      <c r="G2935">
        <v>3131</v>
      </c>
      <c r="H2935" t="s">
        <v>1982</v>
      </c>
      <c r="I2935" t="s">
        <v>1983</v>
      </c>
      <c r="J2935">
        <v>10</v>
      </c>
      <c r="K2935">
        <v>42</v>
      </c>
      <c r="L2935">
        <v>8.9583333333333338E-3</v>
      </c>
      <c r="M2935" t="s">
        <v>778</v>
      </c>
      <c r="N2935" t="s">
        <v>871</v>
      </c>
      <c r="O2935" s="24">
        <v>46128</v>
      </c>
      <c r="P2935">
        <v>606</v>
      </c>
      <c r="Q2935" t="s">
        <v>34</v>
      </c>
      <c r="X2935" t="s">
        <v>3759</v>
      </c>
    </row>
    <row r="2936" spans="1:24" x14ac:dyDescent="0.25">
      <c r="A2936">
        <v>2932</v>
      </c>
      <c r="B2936" t="s">
        <v>29</v>
      </c>
      <c r="C2936" t="s">
        <v>27</v>
      </c>
      <c r="D2936">
        <v>16</v>
      </c>
      <c r="E2936" t="s">
        <v>1665</v>
      </c>
      <c r="F2936" t="s">
        <v>498</v>
      </c>
      <c r="G2936">
        <v>3132</v>
      </c>
      <c r="H2936" t="s">
        <v>1981</v>
      </c>
      <c r="I2936" t="s">
        <v>1978</v>
      </c>
      <c r="J2936">
        <v>10</v>
      </c>
      <c r="K2936">
        <v>8</v>
      </c>
      <c r="L2936">
        <v>3.0555555555555553E-3</v>
      </c>
      <c r="M2936" t="s">
        <v>778</v>
      </c>
      <c r="N2936" t="s">
        <v>871</v>
      </c>
      <c r="O2936" s="24">
        <v>46128</v>
      </c>
      <c r="P2936">
        <v>606</v>
      </c>
      <c r="Q2936" t="s">
        <v>34</v>
      </c>
      <c r="X2936" t="s">
        <v>3760</v>
      </c>
    </row>
    <row r="2937" spans="1:24" x14ac:dyDescent="0.25">
      <c r="A2937">
        <v>2933</v>
      </c>
      <c r="B2937" t="s">
        <v>29</v>
      </c>
      <c r="C2937" t="s">
        <v>27</v>
      </c>
      <c r="D2937">
        <v>16</v>
      </c>
      <c r="E2937" t="s">
        <v>1672</v>
      </c>
      <c r="F2937" t="s">
        <v>498</v>
      </c>
      <c r="G2937">
        <v>3132</v>
      </c>
      <c r="H2937" t="s">
        <v>1977</v>
      </c>
      <c r="I2937" t="s">
        <v>1978</v>
      </c>
      <c r="J2937">
        <v>10</v>
      </c>
      <c r="K2937">
        <v>48</v>
      </c>
      <c r="L2937">
        <v>1.9328703703703702E-2</v>
      </c>
      <c r="M2937" t="s">
        <v>778</v>
      </c>
      <c r="N2937" t="s">
        <v>871</v>
      </c>
      <c r="O2937" s="24">
        <v>46128</v>
      </c>
      <c r="P2937">
        <v>606</v>
      </c>
      <c r="Q2937" t="s">
        <v>34</v>
      </c>
      <c r="X2937" t="s">
        <v>3760</v>
      </c>
    </row>
    <row r="2938" spans="1:24" x14ac:dyDescent="0.25">
      <c r="A2938">
        <v>2934</v>
      </c>
      <c r="B2938" t="s">
        <v>29</v>
      </c>
      <c r="C2938" t="s">
        <v>27</v>
      </c>
      <c r="D2938">
        <v>16</v>
      </c>
      <c r="E2938" t="s">
        <v>367</v>
      </c>
      <c r="F2938" t="s">
        <v>367</v>
      </c>
      <c r="G2938">
        <v>3132</v>
      </c>
      <c r="H2938" t="s">
        <v>1982</v>
      </c>
      <c r="I2938" t="s">
        <v>1983</v>
      </c>
      <c r="J2938">
        <v>10</v>
      </c>
      <c r="K2938">
        <v>25</v>
      </c>
      <c r="L2938">
        <v>5.7175925925925927E-3</v>
      </c>
      <c r="M2938" t="s">
        <v>778</v>
      </c>
      <c r="N2938" t="s">
        <v>871</v>
      </c>
      <c r="O2938" s="24">
        <v>46128</v>
      </c>
      <c r="P2938">
        <v>606</v>
      </c>
      <c r="Q2938" t="s">
        <v>34</v>
      </c>
      <c r="X2938" t="s">
        <v>3760</v>
      </c>
    </row>
    <row r="2939" spans="1:24" x14ac:dyDescent="0.25">
      <c r="A2939">
        <v>2935</v>
      </c>
      <c r="B2939" t="s">
        <v>29</v>
      </c>
      <c r="C2939" t="s">
        <v>27</v>
      </c>
      <c r="D2939">
        <v>16</v>
      </c>
      <c r="E2939" t="s">
        <v>1665</v>
      </c>
      <c r="F2939" t="s">
        <v>498</v>
      </c>
      <c r="G2939">
        <v>3845</v>
      </c>
      <c r="H2939" t="s">
        <v>1981</v>
      </c>
      <c r="I2939" t="s">
        <v>1978</v>
      </c>
      <c r="J2939">
        <v>10</v>
      </c>
      <c r="K2939">
        <v>9</v>
      </c>
      <c r="L2939">
        <v>3.8078703703703703E-3</v>
      </c>
      <c r="M2939" t="s">
        <v>778</v>
      </c>
      <c r="N2939" t="s">
        <v>871</v>
      </c>
      <c r="O2939" s="24">
        <v>46128</v>
      </c>
      <c r="P2939">
        <v>606</v>
      </c>
      <c r="Q2939" t="s">
        <v>34</v>
      </c>
      <c r="X2939" t="s">
        <v>3761</v>
      </c>
    </row>
    <row r="2940" spans="1:24" x14ac:dyDescent="0.25">
      <c r="A2940">
        <v>2936</v>
      </c>
      <c r="B2940" t="s">
        <v>29</v>
      </c>
      <c r="C2940" t="s">
        <v>27</v>
      </c>
      <c r="D2940">
        <v>16</v>
      </c>
      <c r="E2940" t="s">
        <v>1672</v>
      </c>
      <c r="F2940" t="s">
        <v>498</v>
      </c>
      <c r="G2940">
        <v>3845</v>
      </c>
      <c r="H2940" t="s">
        <v>1977</v>
      </c>
      <c r="I2940" t="s">
        <v>1978</v>
      </c>
      <c r="J2940">
        <v>10</v>
      </c>
      <c r="K2940">
        <v>21</v>
      </c>
      <c r="L2940">
        <v>9.3865740740740732E-3</v>
      </c>
      <c r="M2940" t="s">
        <v>778</v>
      </c>
      <c r="N2940" t="s">
        <v>871</v>
      </c>
      <c r="O2940" s="24">
        <v>46128</v>
      </c>
      <c r="P2940">
        <v>606</v>
      </c>
      <c r="Q2940" t="s">
        <v>34</v>
      </c>
      <c r="X2940" t="s">
        <v>3761</v>
      </c>
    </row>
    <row r="2941" spans="1:24" x14ac:dyDescent="0.25">
      <c r="A2941">
        <v>2937</v>
      </c>
      <c r="B2941" t="s">
        <v>29</v>
      </c>
      <c r="C2941" t="s">
        <v>27</v>
      </c>
      <c r="D2941">
        <v>16</v>
      </c>
      <c r="E2941" t="s">
        <v>367</v>
      </c>
      <c r="F2941" t="s">
        <v>1593</v>
      </c>
      <c r="G2941">
        <v>3845</v>
      </c>
      <c r="H2941" t="s">
        <v>1999</v>
      </c>
      <c r="I2941" t="s">
        <v>2000</v>
      </c>
      <c r="J2941">
        <v>10</v>
      </c>
      <c r="K2941">
        <v>16</v>
      </c>
      <c r="L2941">
        <v>5.1967592592592595E-3</v>
      </c>
      <c r="M2941" t="s">
        <v>778</v>
      </c>
      <c r="N2941" t="s">
        <v>871</v>
      </c>
      <c r="O2941" s="24">
        <v>46128</v>
      </c>
      <c r="P2941">
        <v>606</v>
      </c>
      <c r="Q2941" t="s">
        <v>34</v>
      </c>
      <c r="X2941" t="s">
        <v>3761</v>
      </c>
    </row>
    <row r="2942" spans="1:24" x14ac:dyDescent="0.25">
      <c r="A2942">
        <v>2938</v>
      </c>
      <c r="B2942" t="s">
        <v>29</v>
      </c>
      <c r="C2942" t="s">
        <v>27</v>
      </c>
      <c r="D2942">
        <v>16</v>
      </c>
      <c r="E2942" t="s">
        <v>367</v>
      </c>
      <c r="F2942" t="s">
        <v>1593</v>
      </c>
      <c r="G2942">
        <v>3845</v>
      </c>
      <c r="H2942" t="s">
        <v>2012</v>
      </c>
      <c r="I2942" t="s">
        <v>2013</v>
      </c>
      <c r="J2942">
        <v>10</v>
      </c>
      <c r="K2942">
        <v>1</v>
      </c>
      <c r="L2942">
        <v>2.8935185185185184E-4</v>
      </c>
      <c r="M2942" t="s">
        <v>778</v>
      </c>
      <c r="N2942" t="s">
        <v>871</v>
      </c>
      <c r="O2942" s="24">
        <v>46128</v>
      </c>
      <c r="P2942">
        <v>606</v>
      </c>
      <c r="Q2942" t="s">
        <v>34</v>
      </c>
      <c r="X2942" t="s">
        <v>3761</v>
      </c>
    </row>
    <row r="2943" spans="1:24" x14ac:dyDescent="0.25">
      <c r="A2943">
        <v>2939</v>
      </c>
      <c r="B2943" t="s">
        <v>29</v>
      </c>
      <c r="C2943" t="s">
        <v>27</v>
      </c>
      <c r="D2943">
        <v>16</v>
      </c>
      <c r="E2943" t="s">
        <v>2778</v>
      </c>
      <c r="F2943" t="s">
        <v>1594</v>
      </c>
      <c r="G2943">
        <v>3845</v>
      </c>
      <c r="H2943" t="s">
        <v>2001</v>
      </c>
      <c r="I2943" t="s">
        <v>2002</v>
      </c>
      <c r="J2943">
        <v>10</v>
      </c>
      <c r="K2943">
        <v>2</v>
      </c>
      <c r="L2943">
        <v>2.5231481481481481E-3</v>
      </c>
      <c r="M2943" t="s">
        <v>778</v>
      </c>
      <c r="N2943" t="s">
        <v>871</v>
      </c>
      <c r="O2943" s="24">
        <v>46128</v>
      </c>
      <c r="P2943">
        <v>606</v>
      </c>
      <c r="Q2943" t="s">
        <v>34</v>
      </c>
      <c r="X2943" t="s">
        <v>3761</v>
      </c>
    </row>
    <row r="2944" spans="1:24" x14ac:dyDescent="0.25">
      <c r="A2944">
        <v>2940</v>
      </c>
      <c r="B2944" t="s">
        <v>29</v>
      </c>
      <c r="C2944" t="s">
        <v>27</v>
      </c>
      <c r="D2944">
        <v>16</v>
      </c>
      <c r="E2944" t="s">
        <v>367</v>
      </c>
      <c r="F2944" t="s">
        <v>367</v>
      </c>
      <c r="G2944">
        <v>3845</v>
      </c>
      <c r="H2944" t="s">
        <v>1982</v>
      </c>
      <c r="I2944" t="s">
        <v>1983</v>
      </c>
      <c r="J2944">
        <v>10</v>
      </c>
      <c r="K2944">
        <v>5</v>
      </c>
      <c r="L2944">
        <v>1.261574074074074E-3</v>
      </c>
      <c r="M2944" t="s">
        <v>778</v>
      </c>
      <c r="N2944" t="s">
        <v>871</v>
      </c>
      <c r="O2944" s="24">
        <v>46128</v>
      </c>
      <c r="P2944">
        <v>606</v>
      </c>
      <c r="Q2944" t="s">
        <v>34</v>
      </c>
      <c r="X2944" t="s">
        <v>3761</v>
      </c>
    </row>
    <row r="2945" spans="1:24" x14ac:dyDescent="0.25">
      <c r="A2945">
        <v>2941</v>
      </c>
      <c r="B2945" t="s">
        <v>29</v>
      </c>
      <c r="C2945" t="s">
        <v>27</v>
      </c>
      <c r="D2945">
        <v>16</v>
      </c>
      <c r="E2945" t="s">
        <v>152</v>
      </c>
      <c r="F2945" t="s">
        <v>152</v>
      </c>
      <c r="G2945">
        <v>4456</v>
      </c>
      <c r="H2945" t="s">
        <v>1812</v>
      </c>
      <c r="I2945" t="s">
        <v>1813</v>
      </c>
      <c r="J2945">
        <v>12</v>
      </c>
      <c r="K2945">
        <v>1</v>
      </c>
      <c r="L2945">
        <v>1.5034722222222222E-2</v>
      </c>
      <c r="M2945" t="s">
        <v>3079</v>
      </c>
      <c r="X2945" t="s">
        <v>3762</v>
      </c>
    </row>
    <row r="2946" spans="1:24" x14ac:dyDescent="0.25">
      <c r="A2946">
        <v>2942</v>
      </c>
      <c r="B2946" t="s">
        <v>29</v>
      </c>
      <c r="C2946" t="s">
        <v>27</v>
      </c>
      <c r="D2946">
        <v>16</v>
      </c>
      <c r="E2946" t="s">
        <v>1141</v>
      </c>
      <c r="F2946" t="s">
        <v>512</v>
      </c>
      <c r="G2946">
        <v>4456</v>
      </c>
      <c r="H2946" t="s">
        <v>1848</v>
      </c>
      <c r="I2946" t="s">
        <v>1849</v>
      </c>
      <c r="J2946">
        <v>12</v>
      </c>
      <c r="K2946">
        <v>2</v>
      </c>
      <c r="L2946">
        <v>3.4375E-3</v>
      </c>
      <c r="M2946" t="s">
        <v>3079</v>
      </c>
      <c r="X2946" t="s">
        <v>3762</v>
      </c>
    </row>
    <row r="2947" spans="1:24" x14ac:dyDescent="0.25">
      <c r="A2947">
        <v>2943</v>
      </c>
      <c r="B2947" t="s">
        <v>29</v>
      </c>
      <c r="C2947" t="s">
        <v>27</v>
      </c>
      <c r="D2947">
        <v>16</v>
      </c>
      <c r="E2947" t="s">
        <v>1588</v>
      </c>
      <c r="F2947" t="s">
        <v>512</v>
      </c>
      <c r="G2947">
        <v>4458</v>
      </c>
      <c r="H2947" t="s">
        <v>1968</v>
      </c>
      <c r="I2947" t="s">
        <v>1954</v>
      </c>
      <c r="J2947">
        <v>12</v>
      </c>
      <c r="K2947">
        <v>2</v>
      </c>
      <c r="L2947">
        <v>3.4027777777777776E-3</v>
      </c>
      <c r="M2947" t="s">
        <v>3079</v>
      </c>
      <c r="X2947" t="s">
        <v>3763</v>
      </c>
    </row>
    <row r="2948" spans="1:24" x14ac:dyDescent="0.25">
      <c r="A2948">
        <v>2944</v>
      </c>
      <c r="B2948" t="s">
        <v>29</v>
      </c>
      <c r="C2948" t="s">
        <v>27</v>
      </c>
      <c r="D2948">
        <v>16</v>
      </c>
      <c r="E2948" t="s">
        <v>152</v>
      </c>
      <c r="F2948" t="s">
        <v>152</v>
      </c>
      <c r="G2948">
        <v>4458</v>
      </c>
      <c r="H2948" t="s">
        <v>1812</v>
      </c>
      <c r="I2948" t="s">
        <v>1813</v>
      </c>
      <c r="J2948">
        <v>12</v>
      </c>
      <c r="K2948">
        <v>1</v>
      </c>
      <c r="L2948">
        <v>1.5034722222222222E-2</v>
      </c>
      <c r="M2948" t="s">
        <v>3079</v>
      </c>
      <c r="X2948" t="s">
        <v>3763</v>
      </c>
    </row>
    <row r="2949" spans="1:24" x14ac:dyDescent="0.25">
      <c r="A2949">
        <v>2945</v>
      </c>
      <c r="B2949" t="s">
        <v>29</v>
      </c>
      <c r="C2949" t="s">
        <v>27</v>
      </c>
      <c r="D2949">
        <v>16</v>
      </c>
      <c r="E2949" t="s">
        <v>1588</v>
      </c>
      <c r="F2949" t="s">
        <v>512</v>
      </c>
      <c r="G2949">
        <v>4402</v>
      </c>
      <c r="H2949" t="s">
        <v>1968</v>
      </c>
      <c r="I2949" t="s">
        <v>1954</v>
      </c>
      <c r="J2949">
        <v>12</v>
      </c>
      <c r="K2949">
        <v>1</v>
      </c>
      <c r="L2949">
        <v>1.6666666666666666E-3</v>
      </c>
      <c r="M2949" t="s">
        <v>3079</v>
      </c>
      <c r="X2949" t="s">
        <v>3764</v>
      </c>
    </row>
    <row r="2950" spans="1:24" x14ac:dyDescent="0.25">
      <c r="A2950">
        <v>2946</v>
      </c>
      <c r="B2950" t="s">
        <v>29</v>
      </c>
      <c r="C2950" t="s">
        <v>27</v>
      </c>
      <c r="D2950">
        <v>16</v>
      </c>
      <c r="E2950" t="s">
        <v>1588</v>
      </c>
      <c r="F2950" t="s">
        <v>512</v>
      </c>
      <c r="G2950">
        <v>4402</v>
      </c>
      <c r="H2950" t="s">
        <v>1953</v>
      </c>
      <c r="I2950" t="s">
        <v>1954</v>
      </c>
      <c r="J2950">
        <v>12</v>
      </c>
      <c r="K2950">
        <v>1</v>
      </c>
      <c r="L2950">
        <v>1.9560185185185184E-3</v>
      </c>
      <c r="M2950" t="s">
        <v>3079</v>
      </c>
      <c r="X2950" t="s">
        <v>3764</v>
      </c>
    </row>
    <row r="2951" spans="1:24" x14ac:dyDescent="0.25">
      <c r="A2951">
        <v>2947</v>
      </c>
      <c r="B2951" t="s">
        <v>29</v>
      </c>
      <c r="C2951" t="s">
        <v>27</v>
      </c>
      <c r="D2951">
        <v>16</v>
      </c>
      <c r="E2951" t="s">
        <v>152</v>
      </c>
      <c r="F2951" t="s">
        <v>152</v>
      </c>
      <c r="G2951">
        <v>4402</v>
      </c>
      <c r="H2951" t="s">
        <v>1812</v>
      </c>
      <c r="I2951" t="s">
        <v>1813</v>
      </c>
      <c r="J2951">
        <v>12</v>
      </c>
      <c r="K2951">
        <v>1</v>
      </c>
      <c r="L2951">
        <v>1.480324074074074E-2</v>
      </c>
      <c r="M2951" t="s">
        <v>3079</v>
      </c>
      <c r="X2951" t="s">
        <v>3764</v>
      </c>
    </row>
    <row r="2952" spans="1:24" x14ac:dyDescent="0.25">
      <c r="A2952">
        <v>2948</v>
      </c>
      <c r="B2952" t="s">
        <v>29</v>
      </c>
      <c r="C2952" t="s">
        <v>27</v>
      </c>
      <c r="D2952">
        <v>16</v>
      </c>
      <c r="E2952" t="s">
        <v>1588</v>
      </c>
      <c r="F2952" t="s">
        <v>512</v>
      </c>
      <c r="G2952">
        <v>4403</v>
      </c>
      <c r="H2952" t="s">
        <v>1968</v>
      </c>
      <c r="I2952" t="s">
        <v>1954</v>
      </c>
      <c r="J2952">
        <v>12</v>
      </c>
      <c r="K2952">
        <v>1</v>
      </c>
      <c r="L2952">
        <v>1.7013888888888888E-3</v>
      </c>
      <c r="M2952" t="s">
        <v>3079</v>
      </c>
      <c r="X2952" t="s">
        <v>3765</v>
      </c>
    </row>
    <row r="2953" spans="1:24" x14ac:dyDescent="0.25">
      <c r="A2953">
        <v>2949</v>
      </c>
      <c r="B2953" t="s">
        <v>29</v>
      </c>
      <c r="C2953" t="s">
        <v>27</v>
      </c>
      <c r="D2953">
        <v>16</v>
      </c>
      <c r="E2953" t="s">
        <v>152</v>
      </c>
      <c r="F2953" t="s">
        <v>152</v>
      </c>
      <c r="G2953">
        <v>4403</v>
      </c>
      <c r="H2953" t="s">
        <v>1812</v>
      </c>
      <c r="I2953" t="s">
        <v>1813</v>
      </c>
      <c r="J2953">
        <v>12</v>
      </c>
      <c r="K2953">
        <v>1</v>
      </c>
      <c r="L2953">
        <v>1.5023148148148148E-2</v>
      </c>
      <c r="M2953" t="s">
        <v>3079</v>
      </c>
      <c r="X2953" t="s">
        <v>3765</v>
      </c>
    </row>
    <row r="2954" spans="1:24" x14ac:dyDescent="0.25">
      <c r="A2954">
        <v>2950</v>
      </c>
      <c r="B2954" t="s">
        <v>29</v>
      </c>
      <c r="C2954" t="s">
        <v>27</v>
      </c>
      <c r="D2954">
        <v>16</v>
      </c>
      <c r="E2954" t="s">
        <v>1141</v>
      </c>
      <c r="F2954" t="s">
        <v>512</v>
      </c>
      <c r="G2954">
        <v>4403</v>
      </c>
      <c r="H2954" t="s">
        <v>1848</v>
      </c>
      <c r="I2954" t="s">
        <v>1849</v>
      </c>
      <c r="J2954">
        <v>12</v>
      </c>
      <c r="K2954">
        <v>1</v>
      </c>
      <c r="L2954">
        <v>1.7129629629629628E-3</v>
      </c>
      <c r="M2954" t="s">
        <v>3079</v>
      </c>
      <c r="X2954" t="s">
        <v>3765</v>
      </c>
    </row>
    <row r="2955" spans="1:24" x14ac:dyDescent="0.25">
      <c r="A2955">
        <v>2951</v>
      </c>
      <c r="B2955" t="s">
        <v>29</v>
      </c>
      <c r="C2955" t="s">
        <v>27</v>
      </c>
      <c r="D2955">
        <v>16</v>
      </c>
      <c r="E2955" t="s">
        <v>1588</v>
      </c>
      <c r="F2955" t="s">
        <v>512</v>
      </c>
      <c r="G2955">
        <v>4405</v>
      </c>
      <c r="H2955" t="s">
        <v>1953</v>
      </c>
      <c r="I2955" t="s">
        <v>1954</v>
      </c>
      <c r="J2955">
        <v>12</v>
      </c>
      <c r="K2955">
        <v>2</v>
      </c>
      <c r="L2955">
        <v>3.8541666666666663E-3</v>
      </c>
      <c r="M2955" t="s">
        <v>3079</v>
      </c>
      <c r="X2955" t="s">
        <v>3766</v>
      </c>
    </row>
    <row r="2956" spans="1:24" x14ac:dyDescent="0.25">
      <c r="A2956">
        <v>2952</v>
      </c>
      <c r="B2956" t="s">
        <v>29</v>
      </c>
      <c r="C2956" t="s">
        <v>27</v>
      </c>
      <c r="D2956">
        <v>16</v>
      </c>
      <c r="E2956" t="s">
        <v>152</v>
      </c>
      <c r="F2956" t="s">
        <v>152</v>
      </c>
      <c r="G2956">
        <v>4405</v>
      </c>
      <c r="H2956" t="s">
        <v>1812</v>
      </c>
      <c r="I2956" t="s">
        <v>1813</v>
      </c>
      <c r="J2956">
        <v>12</v>
      </c>
      <c r="K2956">
        <v>1</v>
      </c>
      <c r="L2956">
        <v>1.4571759259259258E-2</v>
      </c>
      <c r="M2956" t="s">
        <v>3079</v>
      </c>
      <c r="X2956" t="s">
        <v>3766</v>
      </c>
    </row>
    <row r="2957" spans="1:24" x14ac:dyDescent="0.25">
      <c r="A2957">
        <v>2953</v>
      </c>
      <c r="B2957" t="s">
        <v>29</v>
      </c>
      <c r="C2957" t="s">
        <v>27</v>
      </c>
      <c r="D2957">
        <v>16</v>
      </c>
      <c r="E2957" t="s">
        <v>511</v>
      </c>
      <c r="F2957" t="s">
        <v>511</v>
      </c>
      <c r="G2957">
        <v>3317</v>
      </c>
      <c r="H2957" t="s">
        <v>1875</v>
      </c>
      <c r="I2957" t="s">
        <v>1813</v>
      </c>
      <c r="J2957">
        <v>12</v>
      </c>
      <c r="K2957">
        <v>1</v>
      </c>
      <c r="L2957">
        <v>1.4270833333333333E-2</v>
      </c>
      <c r="M2957" t="s">
        <v>3079</v>
      </c>
      <c r="X2957" t="s">
        <v>3767</v>
      </c>
    </row>
    <row r="2958" spans="1:24" x14ac:dyDescent="0.25">
      <c r="A2958">
        <v>2954</v>
      </c>
      <c r="B2958" t="s">
        <v>29</v>
      </c>
      <c r="C2958" t="s">
        <v>27</v>
      </c>
      <c r="D2958">
        <v>16</v>
      </c>
      <c r="E2958" t="s">
        <v>1665</v>
      </c>
      <c r="F2958" t="s">
        <v>512</v>
      </c>
      <c r="G2958">
        <v>3317</v>
      </c>
      <c r="H2958" t="s">
        <v>1910</v>
      </c>
      <c r="I2958" t="s">
        <v>2789</v>
      </c>
      <c r="J2958">
        <v>12</v>
      </c>
      <c r="K2958">
        <v>1</v>
      </c>
      <c r="L2958">
        <v>6.2500000000000001E-4</v>
      </c>
      <c r="M2958" t="s">
        <v>3079</v>
      </c>
      <c r="X2958" t="s">
        <v>3767</v>
      </c>
    </row>
    <row r="2959" spans="1:24" x14ac:dyDescent="0.25">
      <c r="A2959">
        <v>2955</v>
      </c>
      <c r="B2959" t="s">
        <v>29</v>
      </c>
      <c r="C2959" t="s">
        <v>27</v>
      </c>
      <c r="D2959">
        <v>16</v>
      </c>
      <c r="E2959" t="s">
        <v>147</v>
      </c>
      <c r="F2959" t="s">
        <v>115</v>
      </c>
      <c r="G2959">
        <v>3317</v>
      </c>
      <c r="H2959" t="s">
        <v>1840</v>
      </c>
      <c r="I2959" t="s">
        <v>1809</v>
      </c>
      <c r="J2959">
        <v>12</v>
      </c>
      <c r="K2959">
        <v>7</v>
      </c>
      <c r="L2959">
        <v>6.7129629629629631E-3</v>
      </c>
      <c r="M2959" t="s">
        <v>3079</v>
      </c>
      <c r="X2959" t="s">
        <v>3767</v>
      </c>
    </row>
    <row r="2960" spans="1:24" x14ac:dyDescent="0.25">
      <c r="A2960">
        <v>2956</v>
      </c>
      <c r="B2960" t="s">
        <v>29</v>
      </c>
      <c r="C2960" t="s">
        <v>27</v>
      </c>
      <c r="D2960">
        <v>16</v>
      </c>
      <c r="E2960" t="s">
        <v>367</v>
      </c>
      <c r="F2960" t="s">
        <v>512</v>
      </c>
      <c r="G2960">
        <v>3317</v>
      </c>
      <c r="H2960" t="s">
        <v>2035</v>
      </c>
      <c r="I2960" t="s">
        <v>2036</v>
      </c>
      <c r="J2960">
        <v>12</v>
      </c>
      <c r="K2960">
        <v>1</v>
      </c>
      <c r="L2960">
        <v>6.8287037037037036E-4</v>
      </c>
      <c r="M2960" t="s">
        <v>3079</v>
      </c>
      <c r="X2960" t="s">
        <v>3767</v>
      </c>
    </row>
    <row r="2961" spans="1:24" x14ac:dyDescent="0.25">
      <c r="A2961">
        <v>2957</v>
      </c>
      <c r="B2961" t="s">
        <v>29</v>
      </c>
      <c r="C2961" t="s">
        <v>27</v>
      </c>
      <c r="D2961">
        <v>16</v>
      </c>
      <c r="E2961" t="s">
        <v>511</v>
      </c>
      <c r="F2961" t="s">
        <v>511</v>
      </c>
      <c r="G2961">
        <v>4410</v>
      </c>
      <c r="H2961" t="s">
        <v>1875</v>
      </c>
      <c r="I2961" t="s">
        <v>1813</v>
      </c>
      <c r="J2961">
        <v>12</v>
      </c>
      <c r="K2961">
        <v>1</v>
      </c>
      <c r="L2961">
        <v>1.3657407407407406E-2</v>
      </c>
      <c r="M2961" t="s">
        <v>3079</v>
      </c>
      <c r="X2961" t="s">
        <v>3768</v>
      </c>
    </row>
    <row r="2962" spans="1:24" x14ac:dyDescent="0.25">
      <c r="A2962">
        <v>2958</v>
      </c>
      <c r="B2962" t="s">
        <v>29</v>
      </c>
      <c r="C2962" t="s">
        <v>27</v>
      </c>
      <c r="D2962">
        <v>16</v>
      </c>
      <c r="E2962" t="s">
        <v>1665</v>
      </c>
      <c r="F2962" t="s">
        <v>512</v>
      </c>
      <c r="G2962">
        <v>4410</v>
      </c>
      <c r="H2962" t="s">
        <v>1910</v>
      </c>
      <c r="I2962" t="s">
        <v>2789</v>
      </c>
      <c r="J2962">
        <v>12</v>
      </c>
      <c r="K2962">
        <v>1</v>
      </c>
      <c r="L2962">
        <v>6.0185185185185179E-4</v>
      </c>
      <c r="M2962" t="s">
        <v>3079</v>
      </c>
      <c r="X2962" t="s">
        <v>3768</v>
      </c>
    </row>
    <row r="2963" spans="1:24" x14ac:dyDescent="0.25">
      <c r="A2963">
        <v>2959</v>
      </c>
      <c r="B2963" t="s">
        <v>29</v>
      </c>
      <c r="C2963" t="s">
        <v>27</v>
      </c>
      <c r="D2963">
        <v>16</v>
      </c>
      <c r="E2963" t="s">
        <v>147</v>
      </c>
      <c r="F2963" t="s">
        <v>115</v>
      </c>
      <c r="G2963">
        <v>4410</v>
      </c>
      <c r="H2963" t="s">
        <v>1840</v>
      </c>
      <c r="I2963" t="s">
        <v>1809</v>
      </c>
      <c r="J2963">
        <v>12</v>
      </c>
      <c r="K2963">
        <v>3</v>
      </c>
      <c r="L2963">
        <v>2.7430555555555554E-3</v>
      </c>
      <c r="M2963" t="s">
        <v>3079</v>
      </c>
      <c r="X2963" t="s">
        <v>3768</v>
      </c>
    </row>
    <row r="2964" spans="1:24" x14ac:dyDescent="0.25">
      <c r="A2964">
        <v>2960</v>
      </c>
      <c r="B2964" t="s">
        <v>29</v>
      </c>
      <c r="C2964" t="s">
        <v>27</v>
      </c>
      <c r="D2964">
        <v>16</v>
      </c>
      <c r="E2964" t="s">
        <v>1665</v>
      </c>
      <c r="F2964" t="s">
        <v>115</v>
      </c>
      <c r="G2964">
        <v>4410</v>
      </c>
      <c r="H2964" t="s">
        <v>1898</v>
      </c>
      <c r="I2964" t="s">
        <v>1899</v>
      </c>
      <c r="J2964">
        <v>12</v>
      </c>
      <c r="K2964">
        <v>4</v>
      </c>
      <c r="L2964">
        <v>4.5717592592592589E-3</v>
      </c>
      <c r="M2964" t="s">
        <v>3079</v>
      </c>
      <c r="X2964" t="s">
        <v>3768</v>
      </c>
    </row>
    <row r="2965" spans="1:24" x14ac:dyDescent="0.25">
      <c r="A2965">
        <v>2961</v>
      </c>
      <c r="B2965" t="s">
        <v>29</v>
      </c>
      <c r="C2965" t="s">
        <v>27</v>
      </c>
      <c r="D2965">
        <v>16</v>
      </c>
      <c r="E2965" t="s">
        <v>367</v>
      </c>
      <c r="F2965" t="s">
        <v>512</v>
      </c>
      <c r="G2965">
        <v>4410</v>
      </c>
      <c r="H2965" t="s">
        <v>1842</v>
      </c>
      <c r="I2965" t="s">
        <v>1843</v>
      </c>
      <c r="J2965">
        <v>12</v>
      </c>
      <c r="K2965">
        <v>1</v>
      </c>
      <c r="L2965">
        <v>6.4814814814814813E-4</v>
      </c>
      <c r="M2965" t="s">
        <v>3079</v>
      </c>
      <c r="X2965" t="s">
        <v>3768</v>
      </c>
    </row>
    <row r="2966" spans="1:24" x14ac:dyDescent="0.25">
      <c r="A2966">
        <v>2962</v>
      </c>
      <c r="B2966" t="s">
        <v>29</v>
      </c>
      <c r="C2966" t="s">
        <v>27</v>
      </c>
      <c r="D2966">
        <v>16</v>
      </c>
      <c r="E2966" t="s">
        <v>511</v>
      </c>
      <c r="F2966" t="s">
        <v>511</v>
      </c>
      <c r="G2966">
        <v>4398</v>
      </c>
      <c r="H2966" t="s">
        <v>1875</v>
      </c>
      <c r="I2966" t="s">
        <v>1813</v>
      </c>
      <c r="J2966">
        <v>12</v>
      </c>
      <c r="K2966">
        <v>1</v>
      </c>
      <c r="L2966">
        <v>1.3530092592592592E-2</v>
      </c>
      <c r="M2966" t="s">
        <v>3079</v>
      </c>
      <c r="X2966" t="s">
        <v>3769</v>
      </c>
    </row>
    <row r="2967" spans="1:24" x14ac:dyDescent="0.25">
      <c r="A2967">
        <v>2963</v>
      </c>
      <c r="B2967" t="s">
        <v>29</v>
      </c>
      <c r="C2967" t="s">
        <v>27</v>
      </c>
      <c r="D2967">
        <v>16</v>
      </c>
      <c r="E2967" t="s">
        <v>1665</v>
      </c>
      <c r="F2967" t="s">
        <v>115</v>
      </c>
      <c r="G2967">
        <v>4398</v>
      </c>
      <c r="H2967" t="s">
        <v>1898</v>
      </c>
      <c r="I2967" t="s">
        <v>1899</v>
      </c>
      <c r="J2967">
        <v>12</v>
      </c>
      <c r="K2967">
        <v>4</v>
      </c>
      <c r="L2967">
        <v>4.5370370370370365E-3</v>
      </c>
      <c r="M2967" t="s">
        <v>3079</v>
      </c>
      <c r="X2967" t="s">
        <v>3769</v>
      </c>
    </row>
    <row r="2968" spans="1:24" x14ac:dyDescent="0.25">
      <c r="A2968">
        <v>2964</v>
      </c>
      <c r="B2968" t="s">
        <v>29</v>
      </c>
      <c r="C2968" t="s">
        <v>27</v>
      </c>
      <c r="D2968">
        <v>16</v>
      </c>
      <c r="E2968" t="s">
        <v>1672</v>
      </c>
      <c r="F2968" t="s">
        <v>115</v>
      </c>
      <c r="G2968">
        <v>4398</v>
      </c>
      <c r="H2968" t="s">
        <v>1900</v>
      </c>
      <c r="I2968" t="s">
        <v>1899</v>
      </c>
      <c r="J2968">
        <v>12</v>
      </c>
      <c r="K2968">
        <v>3</v>
      </c>
      <c r="L2968">
        <v>2.696759259259259E-3</v>
      </c>
      <c r="M2968" t="s">
        <v>3079</v>
      </c>
      <c r="X2968" t="s">
        <v>3769</v>
      </c>
    </row>
    <row r="2969" spans="1:24" x14ac:dyDescent="0.25">
      <c r="A2969">
        <v>2965</v>
      </c>
      <c r="B2969" t="s">
        <v>29</v>
      </c>
      <c r="C2969" t="s">
        <v>27</v>
      </c>
      <c r="D2969">
        <v>16</v>
      </c>
      <c r="E2969" t="s">
        <v>367</v>
      </c>
      <c r="F2969" t="s">
        <v>1594</v>
      </c>
      <c r="G2969">
        <v>4398</v>
      </c>
      <c r="H2969" t="s">
        <v>1969</v>
      </c>
      <c r="I2969" t="s">
        <v>1970</v>
      </c>
      <c r="J2969">
        <v>12</v>
      </c>
      <c r="K2969">
        <v>1</v>
      </c>
      <c r="L2969">
        <v>8.5648148148148139E-4</v>
      </c>
      <c r="M2969" t="s">
        <v>3079</v>
      </c>
      <c r="X2969" t="s">
        <v>3769</v>
      </c>
    </row>
    <row r="2970" spans="1:24" x14ac:dyDescent="0.25">
      <c r="A2970">
        <v>2966</v>
      </c>
      <c r="B2970" t="s">
        <v>29</v>
      </c>
      <c r="C2970" t="s">
        <v>27</v>
      </c>
      <c r="D2970">
        <v>16</v>
      </c>
      <c r="E2970" t="s">
        <v>1665</v>
      </c>
      <c r="F2970" t="s">
        <v>512</v>
      </c>
      <c r="G2970">
        <v>4399</v>
      </c>
      <c r="H2970" t="s">
        <v>2034</v>
      </c>
      <c r="I2970" t="s">
        <v>2792</v>
      </c>
      <c r="J2970">
        <v>12</v>
      </c>
      <c r="K2970">
        <v>2</v>
      </c>
      <c r="L2970">
        <v>1.1921296296296296E-3</v>
      </c>
      <c r="M2970" t="s">
        <v>3079</v>
      </c>
      <c r="X2970" t="s">
        <v>3770</v>
      </c>
    </row>
    <row r="2971" spans="1:24" x14ac:dyDescent="0.25">
      <c r="A2971">
        <v>2967</v>
      </c>
      <c r="B2971" t="s">
        <v>29</v>
      </c>
      <c r="C2971" t="s">
        <v>27</v>
      </c>
      <c r="D2971">
        <v>16</v>
      </c>
      <c r="E2971" t="s">
        <v>511</v>
      </c>
      <c r="F2971" t="s">
        <v>511</v>
      </c>
      <c r="G2971">
        <v>4399</v>
      </c>
      <c r="H2971" t="s">
        <v>1875</v>
      </c>
      <c r="I2971" t="s">
        <v>1813</v>
      </c>
      <c r="J2971">
        <v>12</v>
      </c>
      <c r="K2971">
        <v>1</v>
      </c>
      <c r="L2971">
        <v>1.3599537037037037E-2</v>
      </c>
      <c r="M2971" t="s">
        <v>3079</v>
      </c>
      <c r="X2971" t="s">
        <v>3770</v>
      </c>
    </row>
    <row r="2972" spans="1:24" x14ac:dyDescent="0.25">
      <c r="A2972">
        <v>2968</v>
      </c>
      <c r="B2972" t="s">
        <v>29</v>
      </c>
      <c r="C2972" t="s">
        <v>27</v>
      </c>
      <c r="D2972">
        <v>16</v>
      </c>
      <c r="E2972" t="s">
        <v>150</v>
      </c>
      <c r="F2972" t="s">
        <v>115</v>
      </c>
      <c r="G2972">
        <v>4399</v>
      </c>
      <c r="H2972" t="s">
        <v>1808</v>
      </c>
      <c r="I2972" t="s">
        <v>1809</v>
      </c>
      <c r="J2972">
        <v>12</v>
      </c>
      <c r="K2972">
        <v>2</v>
      </c>
      <c r="L2972">
        <v>2.3032407407407407E-3</v>
      </c>
      <c r="M2972" t="s">
        <v>3079</v>
      </c>
      <c r="X2972" t="s">
        <v>3770</v>
      </c>
    </row>
    <row r="2973" spans="1:24" x14ac:dyDescent="0.25">
      <c r="A2973">
        <v>2969</v>
      </c>
      <c r="B2973" t="s">
        <v>29</v>
      </c>
      <c r="C2973" t="s">
        <v>27</v>
      </c>
      <c r="D2973">
        <v>16</v>
      </c>
      <c r="E2973" t="s">
        <v>1672</v>
      </c>
      <c r="F2973" t="s">
        <v>115</v>
      </c>
      <c r="G2973">
        <v>4399</v>
      </c>
      <c r="H2973" t="s">
        <v>1900</v>
      </c>
      <c r="I2973" t="s">
        <v>1899</v>
      </c>
      <c r="J2973">
        <v>12</v>
      </c>
      <c r="K2973">
        <v>5</v>
      </c>
      <c r="L2973">
        <v>4.5254629629629629E-3</v>
      </c>
      <c r="M2973" t="s">
        <v>3079</v>
      </c>
      <c r="X2973" t="s">
        <v>3770</v>
      </c>
    </row>
    <row r="2974" spans="1:24" x14ac:dyDescent="0.25">
      <c r="A2974">
        <v>2970</v>
      </c>
      <c r="B2974" t="s">
        <v>29</v>
      </c>
      <c r="C2974" t="s">
        <v>27</v>
      </c>
      <c r="D2974">
        <v>16</v>
      </c>
      <c r="E2974" t="s">
        <v>1665</v>
      </c>
      <c r="F2974" t="s">
        <v>512</v>
      </c>
      <c r="G2974">
        <v>4444</v>
      </c>
      <c r="H2974" t="s">
        <v>2034</v>
      </c>
      <c r="I2974" t="s">
        <v>2792</v>
      </c>
      <c r="J2974">
        <v>12</v>
      </c>
      <c r="K2974">
        <v>2</v>
      </c>
      <c r="L2974">
        <v>1.1342592592592591E-3</v>
      </c>
      <c r="M2974" t="s">
        <v>3079</v>
      </c>
      <c r="X2974" t="s">
        <v>3771</v>
      </c>
    </row>
    <row r="2975" spans="1:24" x14ac:dyDescent="0.25">
      <c r="A2975">
        <v>2971</v>
      </c>
      <c r="B2975" t="s">
        <v>29</v>
      </c>
      <c r="C2975" t="s">
        <v>27</v>
      </c>
      <c r="D2975">
        <v>16</v>
      </c>
      <c r="E2975" t="s">
        <v>511</v>
      </c>
      <c r="F2975" t="s">
        <v>511</v>
      </c>
      <c r="G2975">
        <v>4444</v>
      </c>
      <c r="H2975" t="s">
        <v>1875</v>
      </c>
      <c r="I2975" t="s">
        <v>1813</v>
      </c>
      <c r="J2975">
        <v>12</v>
      </c>
      <c r="K2975">
        <v>1</v>
      </c>
      <c r="L2975">
        <v>1.2974537037037036E-2</v>
      </c>
      <c r="M2975" t="s">
        <v>3079</v>
      </c>
      <c r="X2975" t="s">
        <v>3771</v>
      </c>
    </row>
    <row r="2976" spans="1:24" x14ac:dyDescent="0.25">
      <c r="A2976">
        <v>2972</v>
      </c>
      <c r="B2976" t="s">
        <v>29</v>
      </c>
      <c r="C2976" t="s">
        <v>27</v>
      </c>
      <c r="D2976">
        <v>16</v>
      </c>
      <c r="E2976" t="s">
        <v>150</v>
      </c>
      <c r="F2976" t="s">
        <v>115</v>
      </c>
      <c r="G2976">
        <v>4444</v>
      </c>
      <c r="H2976" t="s">
        <v>1808</v>
      </c>
      <c r="I2976" t="s">
        <v>1809</v>
      </c>
      <c r="J2976">
        <v>12</v>
      </c>
      <c r="K2976">
        <v>7</v>
      </c>
      <c r="L2976">
        <v>7.6851851851851847E-3</v>
      </c>
      <c r="M2976" t="s">
        <v>3079</v>
      </c>
      <c r="X2976" t="s">
        <v>3771</v>
      </c>
    </row>
    <row r="2977" spans="1:24" x14ac:dyDescent="0.25">
      <c r="A2977">
        <v>2973</v>
      </c>
      <c r="B2977" t="s">
        <v>29</v>
      </c>
      <c r="C2977" t="s">
        <v>27</v>
      </c>
      <c r="D2977">
        <v>16</v>
      </c>
      <c r="E2977" t="s">
        <v>511</v>
      </c>
      <c r="F2977" t="s">
        <v>511</v>
      </c>
      <c r="G2977">
        <v>4662</v>
      </c>
      <c r="H2977" t="s">
        <v>1875</v>
      </c>
      <c r="I2977" t="s">
        <v>1813</v>
      </c>
      <c r="J2977">
        <v>12</v>
      </c>
      <c r="K2977">
        <v>1</v>
      </c>
      <c r="L2977">
        <v>1.4594907407407407E-2</v>
      </c>
      <c r="M2977" t="s">
        <v>3079</v>
      </c>
      <c r="X2977" t="s">
        <v>3772</v>
      </c>
    </row>
    <row r="2978" spans="1:24" x14ac:dyDescent="0.25">
      <c r="A2978">
        <v>2974</v>
      </c>
      <c r="B2978" t="s">
        <v>29</v>
      </c>
      <c r="C2978" t="s">
        <v>27</v>
      </c>
      <c r="D2978">
        <v>16</v>
      </c>
      <c r="E2978" t="s">
        <v>152</v>
      </c>
      <c r="F2978" t="s">
        <v>152</v>
      </c>
      <c r="G2978">
        <v>4662</v>
      </c>
      <c r="H2978" t="s">
        <v>2796</v>
      </c>
      <c r="I2978" t="s">
        <v>2797</v>
      </c>
      <c r="J2978">
        <v>12</v>
      </c>
      <c r="K2978">
        <v>1</v>
      </c>
      <c r="L2978">
        <v>1.5972222222222221E-3</v>
      </c>
      <c r="M2978" t="s">
        <v>3079</v>
      </c>
      <c r="X2978" t="s">
        <v>3772</v>
      </c>
    </row>
    <row r="2979" spans="1:24" x14ac:dyDescent="0.25">
      <c r="A2979">
        <v>2975</v>
      </c>
      <c r="B2979" t="s">
        <v>29</v>
      </c>
      <c r="C2979" t="s">
        <v>27</v>
      </c>
      <c r="D2979">
        <v>16</v>
      </c>
      <c r="E2979" t="s">
        <v>152</v>
      </c>
      <c r="F2979" t="s">
        <v>152</v>
      </c>
      <c r="G2979">
        <v>4662</v>
      </c>
      <c r="H2979" t="s">
        <v>2798</v>
      </c>
      <c r="I2979" t="s">
        <v>2797</v>
      </c>
      <c r="J2979">
        <v>12</v>
      </c>
      <c r="K2979">
        <v>2</v>
      </c>
      <c r="L2979">
        <v>3.2060185185185182E-3</v>
      </c>
      <c r="M2979" t="s">
        <v>3079</v>
      </c>
      <c r="X2979" t="s">
        <v>3772</v>
      </c>
    </row>
    <row r="2980" spans="1:24" x14ac:dyDescent="0.25">
      <c r="A2980">
        <v>2976</v>
      </c>
      <c r="B2980" t="s">
        <v>29</v>
      </c>
      <c r="C2980" t="s">
        <v>27</v>
      </c>
      <c r="D2980">
        <v>16</v>
      </c>
      <c r="E2980" t="s">
        <v>511</v>
      </c>
      <c r="F2980" t="s">
        <v>511</v>
      </c>
      <c r="G2980">
        <v>4445</v>
      </c>
      <c r="H2980" t="s">
        <v>1875</v>
      </c>
      <c r="I2980" t="s">
        <v>1813</v>
      </c>
      <c r="J2980">
        <v>12</v>
      </c>
      <c r="K2980">
        <v>1</v>
      </c>
      <c r="L2980">
        <v>1.2997685185185185E-2</v>
      </c>
      <c r="M2980" t="s">
        <v>3079</v>
      </c>
      <c r="X2980" t="s">
        <v>3773</v>
      </c>
    </row>
    <row r="2981" spans="1:24" x14ac:dyDescent="0.25">
      <c r="A2981">
        <v>2977</v>
      </c>
      <c r="B2981" t="s">
        <v>29</v>
      </c>
      <c r="C2981" t="s">
        <v>27</v>
      </c>
      <c r="D2981">
        <v>16</v>
      </c>
      <c r="E2981" t="s">
        <v>1665</v>
      </c>
      <c r="F2981" t="s">
        <v>512</v>
      </c>
      <c r="G2981">
        <v>4445</v>
      </c>
      <c r="H2981" t="s">
        <v>1910</v>
      </c>
      <c r="I2981" t="s">
        <v>2789</v>
      </c>
      <c r="J2981">
        <v>12</v>
      </c>
      <c r="K2981">
        <v>4</v>
      </c>
      <c r="L2981">
        <v>2.3148148148148147E-3</v>
      </c>
      <c r="M2981" t="s">
        <v>3079</v>
      </c>
      <c r="X2981" t="s">
        <v>3773</v>
      </c>
    </row>
    <row r="2982" spans="1:24" x14ac:dyDescent="0.25">
      <c r="A2982">
        <v>2978</v>
      </c>
      <c r="B2982" t="s">
        <v>29</v>
      </c>
      <c r="C2982" t="s">
        <v>27</v>
      </c>
      <c r="D2982">
        <v>16</v>
      </c>
      <c r="E2982" t="s">
        <v>147</v>
      </c>
      <c r="F2982" t="s">
        <v>115</v>
      </c>
      <c r="G2982">
        <v>4445</v>
      </c>
      <c r="H2982" t="s">
        <v>1840</v>
      </c>
      <c r="I2982" t="s">
        <v>1809</v>
      </c>
      <c r="J2982">
        <v>12</v>
      </c>
      <c r="K2982">
        <v>7</v>
      </c>
      <c r="L2982">
        <v>6.1111111111111106E-3</v>
      </c>
      <c r="M2982" t="s">
        <v>3079</v>
      </c>
      <c r="X2982" t="s">
        <v>3773</v>
      </c>
    </row>
    <row r="2983" spans="1:24" x14ac:dyDescent="0.25">
      <c r="A2983">
        <v>2979</v>
      </c>
      <c r="B2983" t="s">
        <v>29</v>
      </c>
      <c r="C2983" t="s">
        <v>27</v>
      </c>
      <c r="D2983">
        <v>16</v>
      </c>
      <c r="E2983" t="s">
        <v>367</v>
      </c>
      <c r="F2983" t="s">
        <v>367</v>
      </c>
      <c r="G2983">
        <v>4445</v>
      </c>
      <c r="H2983" t="s">
        <v>1941</v>
      </c>
      <c r="I2983" t="s">
        <v>1942</v>
      </c>
      <c r="J2983">
        <v>12</v>
      </c>
      <c r="K2983">
        <v>3</v>
      </c>
      <c r="L2983">
        <v>1.261574074074074E-3</v>
      </c>
      <c r="M2983" t="s">
        <v>3079</v>
      </c>
      <c r="X2983" t="s">
        <v>3773</v>
      </c>
    </row>
    <row r="2984" spans="1:24" x14ac:dyDescent="0.25">
      <c r="A2984">
        <v>2980</v>
      </c>
      <c r="B2984" t="s">
        <v>29</v>
      </c>
      <c r="C2984" t="s">
        <v>27</v>
      </c>
      <c r="D2984">
        <v>16</v>
      </c>
      <c r="E2984" t="s">
        <v>511</v>
      </c>
      <c r="F2984" t="s">
        <v>511</v>
      </c>
      <c r="G2984">
        <v>4446</v>
      </c>
      <c r="H2984" t="s">
        <v>1875</v>
      </c>
      <c r="I2984" t="s">
        <v>1813</v>
      </c>
      <c r="J2984">
        <v>12</v>
      </c>
      <c r="K2984">
        <v>1</v>
      </c>
      <c r="L2984">
        <v>1.4212962962962962E-2</v>
      </c>
      <c r="M2984" t="s">
        <v>3079</v>
      </c>
      <c r="X2984" t="s">
        <v>3774</v>
      </c>
    </row>
    <row r="2985" spans="1:24" x14ac:dyDescent="0.25">
      <c r="A2985">
        <v>2981</v>
      </c>
      <c r="B2985" t="s">
        <v>29</v>
      </c>
      <c r="C2985" t="s">
        <v>27</v>
      </c>
      <c r="D2985">
        <v>16</v>
      </c>
      <c r="E2985" t="s">
        <v>1665</v>
      </c>
      <c r="F2985" t="s">
        <v>512</v>
      </c>
      <c r="G2985">
        <v>4446</v>
      </c>
      <c r="H2985" t="s">
        <v>1896</v>
      </c>
      <c r="I2985" t="s">
        <v>2792</v>
      </c>
      <c r="J2985">
        <v>12</v>
      </c>
      <c r="K2985">
        <v>2</v>
      </c>
      <c r="L2985">
        <v>1.25E-3</v>
      </c>
      <c r="M2985" t="s">
        <v>3079</v>
      </c>
      <c r="X2985" t="s">
        <v>3774</v>
      </c>
    </row>
    <row r="2986" spans="1:24" x14ac:dyDescent="0.25">
      <c r="A2986">
        <v>2982</v>
      </c>
      <c r="B2986" t="s">
        <v>29</v>
      </c>
      <c r="C2986" t="s">
        <v>27</v>
      </c>
      <c r="D2986">
        <v>16</v>
      </c>
      <c r="E2986" t="s">
        <v>147</v>
      </c>
      <c r="F2986" t="s">
        <v>115</v>
      </c>
      <c r="G2986">
        <v>4446</v>
      </c>
      <c r="H2986" t="s">
        <v>1840</v>
      </c>
      <c r="I2986" t="s">
        <v>1809</v>
      </c>
      <c r="J2986">
        <v>12</v>
      </c>
      <c r="K2986">
        <v>6</v>
      </c>
      <c r="L2986">
        <v>5.7291666666666663E-3</v>
      </c>
      <c r="M2986" t="s">
        <v>3079</v>
      </c>
      <c r="X2986" t="s">
        <v>3774</v>
      </c>
    </row>
    <row r="2987" spans="1:24" x14ac:dyDescent="0.25">
      <c r="A2987">
        <v>2983</v>
      </c>
      <c r="B2987" t="s">
        <v>29</v>
      </c>
      <c r="C2987" t="s">
        <v>27</v>
      </c>
      <c r="D2987">
        <v>16</v>
      </c>
      <c r="E2987" t="s">
        <v>367</v>
      </c>
      <c r="F2987" t="s">
        <v>1594</v>
      </c>
      <c r="G2987">
        <v>4446</v>
      </c>
      <c r="H2987" t="s">
        <v>1914</v>
      </c>
      <c r="I2987" t="s">
        <v>1809</v>
      </c>
      <c r="J2987">
        <v>12</v>
      </c>
      <c r="K2987">
        <v>1</v>
      </c>
      <c r="L2987">
        <v>1.6203703703703703E-3</v>
      </c>
      <c r="M2987" t="s">
        <v>3079</v>
      </c>
      <c r="X2987" t="s">
        <v>3774</v>
      </c>
    </row>
    <row r="2988" spans="1:24" x14ac:dyDescent="0.25">
      <c r="A2988">
        <v>2984</v>
      </c>
      <c r="B2988" t="s">
        <v>29</v>
      </c>
      <c r="C2988" t="s">
        <v>27</v>
      </c>
      <c r="D2988">
        <v>16</v>
      </c>
      <c r="E2988" t="s">
        <v>1583</v>
      </c>
      <c r="F2988" t="s">
        <v>1583</v>
      </c>
      <c r="G2988">
        <v>4447</v>
      </c>
      <c r="H2988" t="s">
        <v>1888</v>
      </c>
      <c r="I2988" t="s">
        <v>1889</v>
      </c>
      <c r="J2988">
        <v>12</v>
      </c>
      <c r="K2988">
        <v>4</v>
      </c>
      <c r="L2988">
        <v>3.7615740740740739E-3</v>
      </c>
      <c r="M2988" t="s">
        <v>3079</v>
      </c>
      <c r="X2988" t="s">
        <v>3775</v>
      </c>
    </row>
    <row r="2989" spans="1:24" x14ac:dyDescent="0.25">
      <c r="A2989">
        <v>2985</v>
      </c>
      <c r="B2989" t="s">
        <v>29</v>
      </c>
      <c r="C2989" t="s">
        <v>27</v>
      </c>
      <c r="D2989">
        <v>16</v>
      </c>
      <c r="E2989" t="s">
        <v>511</v>
      </c>
      <c r="F2989" t="s">
        <v>511</v>
      </c>
      <c r="G2989">
        <v>4447</v>
      </c>
      <c r="H2989" t="s">
        <v>1875</v>
      </c>
      <c r="I2989" t="s">
        <v>1813</v>
      </c>
      <c r="J2989">
        <v>12</v>
      </c>
      <c r="K2989">
        <v>1</v>
      </c>
      <c r="L2989">
        <v>1.3761574074074074E-2</v>
      </c>
      <c r="M2989" t="s">
        <v>3079</v>
      </c>
      <c r="X2989" t="s">
        <v>3775</v>
      </c>
    </row>
    <row r="2990" spans="1:24" x14ac:dyDescent="0.25">
      <c r="A2990">
        <v>2986</v>
      </c>
      <c r="B2990" t="s">
        <v>29</v>
      </c>
      <c r="C2990" t="s">
        <v>27</v>
      </c>
      <c r="D2990">
        <v>16</v>
      </c>
      <c r="E2990" t="s">
        <v>150</v>
      </c>
      <c r="F2990" t="s">
        <v>115</v>
      </c>
      <c r="G2990">
        <v>4447</v>
      </c>
      <c r="H2990" t="s">
        <v>1808</v>
      </c>
      <c r="I2990" t="s">
        <v>1809</v>
      </c>
      <c r="J2990">
        <v>12</v>
      </c>
      <c r="K2990">
        <v>1</v>
      </c>
      <c r="L2990">
        <v>1.1574074074074073E-3</v>
      </c>
      <c r="M2990" t="s">
        <v>3079</v>
      </c>
      <c r="X2990" t="s">
        <v>3775</v>
      </c>
    </row>
    <row r="2991" spans="1:24" x14ac:dyDescent="0.25">
      <c r="A2991">
        <v>2987</v>
      </c>
      <c r="B2991" t="s">
        <v>29</v>
      </c>
      <c r="C2991" t="s">
        <v>27</v>
      </c>
      <c r="D2991">
        <v>16</v>
      </c>
      <c r="E2991" t="s">
        <v>367</v>
      </c>
      <c r="F2991" t="s">
        <v>367</v>
      </c>
      <c r="G2991">
        <v>4447</v>
      </c>
      <c r="H2991" t="s">
        <v>1814</v>
      </c>
      <c r="I2991" t="s">
        <v>1815</v>
      </c>
      <c r="J2991">
        <v>12</v>
      </c>
      <c r="K2991">
        <v>1</v>
      </c>
      <c r="L2991">
        <v>1.2268518518518518E-3</v>
      </c>
      <c r="M2991" t="s">
        <v>3079</v>
      </c>
      <c r="X2991" t="s">
        <v>3775</v>
      </c>
    </row>
    <row r="2992" spans="1:24" x14ac:dyDescent="0.25">
      <c r="A2992">
        <v>2988</v>
      </c>
      <c r="B2992" t="s">
        <v>29</v>
      </c>
      <c r="C2992" t="s">
        <v>27</v>
      </c>
      <c r="D2992">
        <v>16</v>
      </c>
      <c r="E2992" t="s">
        <v>367</v>
      </c>
      <c r="F2992" t="s">
        <v>1594</v>
      </c>
      <c r="G2992">
        <v>4447</v>
      </c>
      <c r="H2992" t="s">
        <v>1950</v>
      </c>
      <c r="I2992" t="s">
        <v>1951</v>
      </c>
      <c r="J2992">
        <v>12</v>
      </c>
      <c r="K2992">
        <v>2</v>
      </c>
      <c r="L2992">
        <v>1.7592592592592592E-3</v>
      </c>
      <c r="M2992" t="s">
        <v>3079</v>
      </c>
      <c r="X2992" t="s">
        <v>3775</v>
      </c>
    </row>
    <row r="2993" spans="1:24" x14ac:dyDescent="0.25">
      <c r="A2993">
        <v>2989</v>
      </c>
      <c r="B2993" t="s">
        <v>29</v>
      </c>
      <c r="C2993" t="s">
        <v>27</v>
      </c>
      <c r="D2993">
        <v>16</v>
      </c>
      <c r="E2993" t="s">
        <v>511</v>
      </c>
      <c r="F2993" t="s">
        <v>511</v>
      </c>
      <c r="G2993">
        <v>4448</v>
      </c>
      <c r="H2993" t="s">
        <v>1875</v>
      </c>
      <c r="I2993" t="s">
        <v>1813</v>
      </c>
      <c r="J2993">
        <v>12</v>
      </c>
      <c r="K2993">
        <v>1</v>
      </c>
      <c r="L2993">
        <v>1.5023148148148148E-2</v>
      </c>
      <c r="M2993" t="s">
        <v>3079</v>
      </c>
      <c r="X2993" t="s">
        <v>3776</v>
      </c>
    </row>
    <row r="2994" spans="1:24" x14ac:dyDescent="0.25">
      <c r="A2994">
        <v>2990</v>
      </c>
      <c r="B2994" t="s">
        <v>29</v>
      </c>
      <c r="C2994" t="s">
        <v>27</v>
      </c>
      <c r="D2994">
        <v>16</v>
      </c>
      <c r="E2994" t="s">
        <v>829</v>
      </c>
      <c r="F2994" t="s">
        <v>512</v>
      </c>
      <c r="G2994">
        <v>4448</v>
      </c>
      <c r="H2994" t="s">
        <v>1848</v>
      </c>
      <c r="I2994" t="s">
        <v>1849</v>
      </c>
      <c r="J2994">
        <v>12</v>
      </c>
      <c r="K2994">
        <v>2</v>
      </c>
      <c r="L2994">
        <v>3.4375E-3</v>
      </c>
      <c r="M2994" t="s">
        <v>3079</v>
      </c>
      <c r="X2994" t="s">
        <v>3776</v>
      </c>
    </row>
    <row r="2995" spans="1:24" x14ac:dyDescent="0.25">
      <c r="A2995">
        <v>2991</v>
      </c>
      <c r="B2995" t="s">
        <v>29</v>
      </c>
      <c r="C2995" t="s">
        <v>27</v>
      </c>
      <c r="D2995">
        <v>16</v>
      </c>
      <c r="E2995" t="s">
        <v>511</v>
      </c>
      <c r="F2995" t="s">
        <v>511</v>
      </c>
      <c r="G2995">
        <v>4449</v>
      </c>
      <c r="H2995" t="s">
        <v>1875</v>
      </c>
      <c r="I2995" t="s">
        <v>1813</v>
      </c>
      <c r="J2995">
        <v>12</v>
      </c>
      <c r="K2995">
        <v>1</v>
      </c>
      <c r="L2995">
        <v>1.3622685185185184E-2</v>
      </c>
      <c r="M2995" t="s">
        <v>3079</v>
      </c>
      <c r="X2995" t="s">
        <v>3777</v>
      </c>
    </row>
    <row r="2996" spans="1:24" x14ac:dyDescent="0.25">
      <c r="A2996">
        <v>2992</v>
      </c>
      <c r="B2996" t="s">
        <v>29</v>
      </c>
      <c r="C2996" t="s">
        <v>27</v>
      </c>
      <c r="D2996">
        <v>16</v>
      </c>
      <c r="E2996" t="s">
        <v>1665</v>
      </c>
      <c r="F2996" t="s">
        <v>512</v>
      </c>
      <c r="G2996">
        <v>4449</v>
      </c>
      <c r="H2996" t="s">
        <v>1896</v>
      </c>
      <c r="I2996" t="s">
        <v>2792</v>
      </c>
      <c r="J2996">
        <v>12</v>
      </c>
      <c r="K2996">
        <v>1</v>
      </c>
      <c r="L2996">
        <v>5.9027777777777778E-4</v>
      </c>
      <c r="M2996" t="s">
        <v>3079</v>
      </c>
      <c r="X2996" t="s">
        <v>3777</v>
      </c>
    </row>
    <row r="2997" spans="1:24" x14ac:dyDescent="0.25">
      <c r="A2997">
        <v>2993</v>
      </c>
      <c r="B2997" t="s">
        <v>29</v>
      </c>
      <c r="C2997" t="s">
        <v>27</v>
      </c>
      <c r="D2997">
        <v>16</v>
      </c>
      <c r="E2997" t="s">
        <v>367</v>
      </c>
      <c r="F2997" t="s">
        <v>367</v>
      </c>
      <c r="G2997">
        <v>4449</v>
      </c>
      <c r="H2997" t="s">
        <v>1941</v>
      </c>
      <c r="I2997" t="s">
        <v>1942</v>
      </c>
      <c r="J2997">
        <v>12</v>
      </c>
      <c r="K2997">
        <v>2</v>
      </c>
      <c r="L2997">
        <v>8.7962962962962962E-4</v>
      </c>
      <c r="M2997" t="s">
        <v>3079</v>
      </c>
      <c r="X2997" t="s">
        <v>3777</v>
      </c>
    </row>
    <row r="2998" spans="1:24" x14ac:dyDescent="0.25">
      <c r="A2998">
        <v>2994</v>
      </c>
      <c r="B2998" t="s">
        <v>29</v>
      </c>
      <c r="C2998" t="s">
        <v>27</v>
      </c>
      <c r="D2998">
        <v>16</v>
      </c>
      <c r="E2998" t="s">
        <v>829</v>
      </c>
      <c r="F2998" t="s">
        <v>512</v>
      </c>
      <c r="G2998">
        <v>4449</v>
      </c>
      <c r="H2998" t="s">
        <v>1848</v>
      </c>
      <c r="I2998" t="s">
        <v>1849</v>
      </c>
      <c r="J2998">
        <v>12</v>
      </c>
      <c r="K2998">
        <v>1</v>
      </c>
      <c r="L2998">
        <v>1.5509259259259259E-3</v>
      </c>
      <c r="M2998" t="s">
        <v>3079</v>
      </c>
      <c r="X2998" t="s">
        <v>3777</v>
      </c>
    </row>
    <row r="2999" spans="1:24" x14ac:dyDescent="0.25">
      <c r="A2999">
        <v>2995</v>
      </c>
      <c r="B2999" t="s">
        <v>29</v>
      </c>
      <c r="C2999" t="s">
        <v>27</v>
      </c>
      <c r="D2999">
        <v>16</v>
      </c>
      <c r="E2999" t="s">
        <v>367</v>
      </c>
      <c r="F2999" t="s">
        <v>1594</v>
      </c>
      <c r="G2999">
        <v>4449</v>
      </c>
      <c r="H2999" t="s">
        <v>1911</v>
      </c>
      <c r="I2999" t="s">
        <v>1809</v>
      </c>
      <c r="J2999">
        <v>12</v>
      </c>
      <c r="K2999">
        <v>2</v>
      </c>
      <c r="L2999">
        <v>2.3032407407407407E-3</v>
      </c>
      <c r="M2999" t="s">
        <v>3079</v>
      </c>
      <c r="X2999" t="s">
        <v>3777</v>
      </c>
    </row>
    <row r="3000" spans="1:24" x14ac:dyDescent="0.25">
      <c r="A3000">
        <v>2996</v>
      </c>
      <c r="B3000" t="s">
        <v>29</v>
      </c>
      <c r="C3000" t="s">
        <v>27</v>
      </c>
      <c r="D3000">
        <v>16</v>
      </c>
      <c r="E3000" t="s">
        <v>367</v>
      </c>
      <c r="F3000" t="s">
        <v>1594</v>
      </c>
      <c r="G3000">
        <v>4449</v>
      </c>
      <c r="H3000" t="s">
        <v>1912</v>
      </c>
      <c r="I3000" t="s">
        <v>1913</v>
      </c>
      <c r="J3000">
        <v>12</v>
      </c>
      <c r="K3000">
        <v>2</v>
      </c>
      <c r="L3000">
        <v>1.7824074074074072E-3</v>
      </c>
      <c r="M3000" t="s">
        <v>3079</v>
      </c>
      <c r="X3000" t="s">
        <v>3777</v>
      </c>
    </row>
    <row r="3001" spans="1:24" x14ac:dyDescent="0.25">
      <c r="A3001">
        <v>2997</v>
      </c>
      <c r="B3001" t="s">
        <v>29</v>
      </c>
      <c r="C3001" t="s">
        <v>27</v>
      </c>
      <c r="D3001">
        <v>16</v>
      </c>
      <c r="E3001" t="s">
        <v>1665</v>
      </c>
      <c r="F3001" t="s">
        <v>512</v>
      </c>
      <c r="G3001">
        <v>4450</v>
      </c>
      <c r="H3001" t="s">
        <v>2034</v>
      </c>
      <c r="I3001" t="s">
        <v>2792</v>
      </c>
      <c r="J3001">
        <v>12</v>
      </c>
      <c r="K3001">
        <v>2</v>
      </c>
      <c r="L3001">
        <v>1.1342592592592591E-3</v>
      </c>
      <c r="M3001" t="s">
        <v>3079</v>
      </c>
      <c r="X3001" t="s">
        <v>3778</v>
      </c>
    </row>
    <row r="3002" spans="1:24" x14ac:dyDescent="0.25">
      <c r="A3002">
        <v>2998</v>
      </c>
      <c r="B3002" t="s">
        <v>29</v>
      </c>
      <c r="C3002" t="s">
        <v>27</v>
      </c>
      <c r="D3002">
        <v>16</v>
      </c>
      <c r="E3002" t="s">
        <v>511</v>
      </c>
      <c r="F3002" t="s">
        <v>511</v>
      </c>
      <c r="G3002">
        <v>4450</v>
      </c>
      <c r="H3002" t="s">
        <v>1875</v>
      </c>
      <c r="I3002" t="s">
        <v>1813</v>
      </c>
      <c r="J3002">
        <v>12</v>
      </c>
      <c r="K3002">
        <v>1</v>
      </c>
      <c r="L3002">
        <v>1.2916666666666667E-2</v>
      </c>
      <c r="M3002" t="s">
        <v>3079</v>
      </c>
      <c r="X3002" t="s">
        <v>3778</v>
      </c>
    </row>
    <row r="3003" spans="1:24" x14ac:dyDescent="0.25">
      <c r="A3003">
        <v>2999</v>
      </c>
      <c r="B3003" t="s">
        <v>29</v>
      </c>
      <c r="C3003" t="s">
        <v>27</v>
      </c>
      <c r="D3003">
        <v>16</v>
      </c>
      <c r="E3003" t="s">
        <v>150</v>
      </c>
      <c r="F3003" t="s">
        <v>115</v>
      </c>
      <c r="G3003">
        <v>4450</v>
      </c>
      <c r="H3003" t="s">
        <v>1808</v>
      </c>
      <c r="I3003" t="s">
        <v>1809</v>
      </c>
      <c r="J3003">
        <v>12</v>
      </c>
      <c r="K3003">
        <v>7</v>
      </c>
      <c r="L3003">
        <v>7.6504629629629631E-3</v>
      </c>
      <c r="M3003" t="s">
        <v>3079</v>
      </c>
      <c r="X3003" t="s">
        <v>3778</v>
      </c>
    </row>
    <row r="3004" spans="1:24" x14ac:dyDescent="0.25">
      <c r="A3004">
        <v>3000</v>
      </c>
      <c r="B3004" t="s">
        <v>29</v>
      </c>
      <c r="C3004" t="s">
        <v>27</v>
      </c>
      <c r="D3004">
        <v>16</v>
      </c>
      <c r="E3004" t="s">
        <v>1665</v>
      </c>
      <c r="F3004" t="s">
        <v>512</v>
      </c>
      <c r="G3004">
        <v>4451</v>
      </c>
      <c r="H3004" t="s">
        <v>1896</v>
      </c>
      <c r="I3004" t="s">
        <v>2792</v>
      </c>
      <c r="J3004">
        <v>12</v>
      </c>
      <c r="K3004">
        <v>1</v>
      </c>
      <c r="L3004">
        <v>5.5555555555555556E-4</v>
      </c>
      <c r="M3004" t="s">
        <v>3079</v>
      </c>
      <c r="X3004" t="s">
        <v>3779</v>
      </c>
    </row>
    <row r="3005" spans="1:24" x14ac:dyDescent="0.25">
      <c r="A3005">
        <v>3001</v>
      </c>
      <c r="B3005" t="s">
        <v>29</v>
      </c>
      <c r="C3005" t="s">
        <v>27</v>
      </c>
      <c r="D3005">
        <v>16</v>
      </c>
      <c r="E3005" t="s">
        <v>150</v>
      </c>
      <c r="F3005" t="s">
        <v>115</v>
      </c>
      <c r="G3005">
        <v>4451</v>
      </c>
      <c r="H3005" t="s">
        <v>1808</v>
      </c>
      <c r="I3005" t="s">
        <v>1809</v>
      </c>
      <c r="J3005">
        <v>12</v>
      </c>
      <c r="K3005">
        <v>7</v>
      </c>
      <c r="L3005">
        <v>7.5462962962962957E-3</v>
      </c>
      <c r="M3005" t="s">
        <v>3079</v>
      </c>
      <c r="X3005" t="s">
        <v>3779</v>
      </c>
    </row>
    <row r="3006" spans="1:24" x14ac:dyDescent="0.25">
      <c r="A3006">
        <v>3002</v>
      </c>
      <c r="B3006" t="s">
        <v>29</v>
      </c>
      <c r="C3006" t="s">
        <v>27</v>
      </c>
      <c r="D3006">
        <v>16</v>
      </c>
      <c r="E3006" t="s">
        <v>152</v>
      </c>
      <c r="F3006" t="s">
        <v>152</v>
      </c>
      <c r="G3006">
        <v>4451</v>
      </c>
      <c r="H3006" t="s">
        <v>1846</v>
      </c>
      <c r="I3006" t="s">
        <v>1813</v>
      </c>
      <c r="J3006">
        <v>12</v>
      </c>
      <c r="K3006">
        <v>1</v>
      </c>
      <c r="L3006">
        <v>1.2650462962962962E-2</v>
      </c>
      <c r="M3006" t="s">
        <v>3079</v>
      </c>
      <c r="X3006" t="s">
        <v>3779</v>
      </c>
    </row>
    <row r="3007" spans="1:24" x14ac:dyDescent="0.25">
      <c r="A3007">
        <v>3003</v>
      </c>
      <c r="B3007" t="s">
        <v>29</v>
      </c>
      <c r="C3007" t="s">
        <v>27</v>
      </c>
      <c r="D3007">
        <v>16</v>
      </c>
      <c r="E3007" t="s">
        <v>367</v>
      </c>
      <c r="F3007" t="s">
        <v>1594</v>
      </c>
      <c r="G3007">
        <v>4451</v>
      </c>
      <c r="H3007" t="s">
        <v>1876</v>
      </c>
      <c r="I3007" t="s">
        <v>1877</v>
      </c>
      <c r="J3007">
        <v>12</v>
      </c>
      <c r="K3007">
        <v>2</v>
      </c>
      <c r="L3007">
        <v>1.4004629629629629E-3</v>
      </c>
      <c r="M3007" t="s">
        <v>3079</v>
      </c>
      <c r="X3007" t="s">
        <v>3779</v>
      </c>
    </row>
    <row r="3008" spans="1:24" x14ac:dyDescent="0.25">
      <c r="A3008">
        <v>3004</v>
      </c>
      <c r="B3008" t="s">
        <v>29</v>
      </c>
      <c r="C3008" t="s">
        <v>27</v>
      </c>
      <c r="D3008">
        <v>16</v>
      </c>
      <c r="E3008" t="s">
        <v>1665</v>
      </c>
      <c r="F3008" t="s">
        <v>512</v>
      </c>
      <c r="G3008">
        <v>4452</v>
      </c>
      <c r="H3008" t="s">
        <v>1831</v>
      </c>
      <c r="I3008" t="s">
        <v>1830</v>
      </c>
      <c r="J3008">
        <v>12</v>
      </c>
      <c r="K3008">
        <v>4</v>
      </c>
      <c r="L3008">
        <v>4.5717592592592589E-3</v>
      </c>
      <c r="M3008" t="s">
        <v>3079</v>
      </c>
      <c r="X3008" t="s">
        <v>3780</v>
      </c>
    </row>
    <row r="3009" spans="1:24" x14ac:dyDescent="0.25">
      <c r="A3009">
        <v>3005</v>
      </c>
      <c r="B3009" t="s">
        <v>29</v>
      </c>
      <c r="C3009" t="s">
        <v>27</v>
      </c>
      <c r="D3009">
        <v>16</v>
      </c>
      <c r="E3009" t="s">
        <v>550</v>
      </c>
      <c r="F3009" t="s">
        <v>550</v>
      </c>
      <c r="G3009">
        <v>4452</v>
      </c>
      <c r="H3009" t="s">
        <v>1868</v>
      </c>
      <c r="I3009" t="s">
        <v>1869</v>
      </c>
      <c r="J3009">
        <v>12</v>
      </c>
      <c r="K3009">
        <v>1</v>
      </c>
      <c r="L3009">
        <v>1.2847222222222222E-2</v>
      </c>
      <c r="M3009" t="s">
        <v>3079</v>
      </c>
      <c r="X3009" t="s">
        <v>3780</v>
      </c>
    </row>
    <row r="3010" spans="1:24" x14ac:dyDescent="0.25">
      <c r="A3010">
        <v>3006</v>
      </c>
      <c r="B3010" t="s">
        <v>29</v>
      </c>
      <c r="C3010" t="s">
        <v>27</v>
      </c>
      <c r="D3010">
        <v>16</v>
      </c>
      <c r="E3010" t="s">
        <v>1665</v>
      </c>
      <c r="F3010" t="s">
        <v>512</v>
      </c>
      <c r="G3010">
        <v>4452</v>
      </c>
      <c r="H3010" t="s">
        <v>1908</v>
      </c>
      <c r="I3010" t="s">
        <v>2789</v>
      </c>
      <c r="J3010">
        <v>12</v>
      </c>
      <c r="K3010">
        <v>2</v>
      </c>
      <c r="L3010">
        <v>1.1458333333333333E-3</v>
      </c>
      <c r="M3010" t="s">
        <v>3079</v>
      </c>
      <c r="X3010" t="s">
        <v>3780</v>
      </c>
    </row>
    <row r="3011" spans="1:24" x14ac:dyDescent="0.25">
      <c r="A3011">
        <v>3007</v>
      </c>
      <c r="B3011" t="s">
        <v>29</v>
      </c>
      <c r="C3011" t="s">
        <v>27</v>
      </c>
      <c r="D3011">
        <v>16</v>
      </c>
      <c r="E3011" t="s">
        <v>1672</v>
      </c>
      <c r="F3011" t="s">
        <v>115</v>
      </c>
      <c r="G3011">
        <v>4452</v>
      </c>
      <c r="H3011" t="s">
        <v>1885</v>
      </c>
      <c r="I3011" t="s">
        <v>1886</v>
      </c>
      <c r="J3011">
        <v>12</v>
      </c>
      <c r="K3011">
        <v>3</v>
      </c>
      <c r="L3011">
        <v>2.4652777777777776E-3</v>
      </c>
      <c r="M3011" t="s">
        <v>3079</v>
      </c>
      <c r="X3011" t="s">
        <v>3780</v>
      </c>
    </row>
    <row r="3012" spans="1:24" x14ac:dyDescent="0.25">
      <c r="A3012">
        <v>3008</v>
      </c>
      <c r="B3012" t="s">
        <v>29</v>
      </c>
      <c r="C3012" t="s">
        <v>27</v>
      </c>
      <c r="D3012">
        <v>16</v>
      </c>
      <c r="E3012" t="s">
        <v>367</v>
      </c>
      <c r="F3012" t="s">
        <v>367</v>
      </c>
      <c r="G3012">
        <v>4452</v>
      </c>
      <c r="H3012" t="s">
        <v>1814</v>
      </c>
      <c r="I3012" t="s">
        <v>1815</v>
      </c>
      <c r="J3012">
        <v>12</v>
      </c>
      <c r="K3012">
        <v>2</v>
      </c>
      <c r="L3012">
        <v>2.3148148148148147E-3</v>
      </c>
      <c r="M3012" t="s">
        <v>3079</v>
      </c>
      <c r="X3012" t="s">
        <v>3780</v>
      </c>
    </row>
    <row r="3013" spans="1:24" x14ac:dyDescent="0.25">
      <c r="A3013">
        <v>3009</v>
      </c>
      <c r="B3013" t="s">
        <v>29</v>
      </c>
      <c r="C3013" t="s">
        <v>27</v>
      </c>
      <c r="D3013">
        <v>16</v>
      </c>
      <c r="E3013" t="s">
        <v>367</v>
      </c>
      <c r="F3013" t="s">
        <v>1593</v>
      </c>
      <c r="G3013">
        <v>4452</v>
      </c>
      <c r="H3013" t="s">
        <v>1851</v>
      </c>
      <c r="I3013" t="s">
        <v>1852</v>
      </c>
      <c r="J3013">
        <v>12</v>
      </c>
      <c r="K3013">
        <v>1</v>
      </c>
      <c r="L3013">
        <v>8.9120370370370362E-4</v>
      </c>
      <c r="M3013" t="s">
        <v>3079</v>
      </c>
      <c r="X3013" t="s">
        <v>3780</v>
      </c>
    </row>
    <row r="3014" spans="1:24" x14ac:dyDescent="0.25">
      <c r="A3014">
        <v>3010</v>
      </c>
      <c r="B3014" t="s">
        <v>29</v>
      </c>
      <c r="C3014" t="s">
        <v>27</v>
      </c>
      <c r="D3014">
        <v>16</v>
      </c>
      <c r="E3014" t="s">
        <v>367</v>
      </c>
      <c r="F3014" t="s">
        <v>1594</v>
      </c>
      <c r="G3014">
        <v>4452</v>
      </c>
      <c r="H3014" t="s">
        <v>1911</v>
      </c>
      <c r="I3014" t="s">
        <v>1809</v>
      </c>
      <c r="J3014">
        <v>12</v>
      </c>
      <c r="K3014">
        <v>2</v>
      </c>
      <c r="L3014">
        <v>2.1759259259259258E-3</v>
      </c>
      <c r="M3014" t="s">
        <v>3079</v>
      </c>
      <c r="X3014" t="s">
        <v>3780</v>
      </c>
    </row>
    <row r="3015" spans="1:24" x14ac:dyDescent="0.25">
      <c r="A3015">
        <v>3011</v>
      </c>
      <c r="B3015" t="s">
        <v>29</v>
      </c>
      <c r="C3015" t="s">
        <v>27</v>
      </c>
      <c r="D3015">
        <v>16</v>
      </c>
      <c r="E3015" t="s">
        <v>1583</v>
      </c>
      <c r="F3015" t="s">
        <v>1583</v>
      </c>
      <c r="G3015">
        <v>4453</v>
      </c>
      <c r="H3015" t="s">
        <v>1888</v>
      </c>
      <c r="I3015" t="s">
        <v>1889</v>
      </c>
      <c r="J3015">
        <v>12</v>
      </c>
      <c r="K3015">
        <v>6</v>
      </c>
      <c r="L3015">
        <v>4.6064814814814814E-3</v>
      </c>
      <c r="M3015" t="s">
        <v>778</v>
      </c>
      <c r="N3015" t="s">
        <v>1230</v>
      </c>
      <c r="O3015" s="24">
        <v>46135</v>
      </c>
      <c r="P3015">
        <v>606</v>
      </c>
      <c r="Q3015" t="s">
        <v>34</v>
      </c>
      <c r="X3015" t="s">
        <v>3781</v>
      </c>
    </row>
    <row r="3016" spans="1:24" x14ac:dyDescent="0.25">
      <c r="A3016">
        <v>3012</v>
      </c>
      <c r="B3016" t="s">
        <v>29</v>
      </c>
      <c r="C3016" t="s">
        <v>27</v>
      </c>
      <c r="D3016">
        <v>16</v>
      </c>
      <c r="E3016" t="s">
        <v>1665</v>
      </c>
      <c r="F3016" t="s">
        <v>512</v>
      </c>
      <c r="G3016">
        <v>4453</v>
      </c>
      <c r="H3016" t="s">
        <v>1831</v>
      </c>
      <c r="I3016" t="s">
        <v>1830</v>
      </c>
      <c r="J3016">
        <v>12</v>
      </c>
      <c r="K3016">
        <v>2</v>
      </c>
      <c r="L3016">
        <v>1.9907407407407408E-3</v>
      </c>
      <c r="M3016" t="s">
        <v>778</v>
      </c>
      <c r="N3016" t="s">
        <v>1230</v>
      </c>
      <c r="O3016" s="24">
        <v>46135</v>
      </c>
      <c r="P3016">
        <v>606</v>
      </c>
      <c r="Q3016" t="s">
        <v>34</v>
      </c>
      <c r="X3016" t="s">
        <v>3781</v>
      </c>
    </row>
    <row r="3017" spans="1:24" x14ac:dyDescent="0.25">
      <c r="A3017">
        <v>3013</v>
      </c>
      <c r="B3017" t="s">
        <v>29</v>
      </c>
      <c r="C3017" t="s">
        <v>27</v>
      </c>
      <c r="D3017">
        <v>16</v>
      </c>
      <c r="E3017" t="s">
        <v>1665</v>
      </c>
      <c r="F3017" t="s">
        <v>512</v>
      </c>
      <c r="G3017">
        <v>4453</v>
      </c>
      <c r="H3017" t="s">
        <v>1896</v>
      </c>
      <c r="I3017" t="s">
        <v>2792</v>
      </c>
      <c r="J3017">
        <v>12</v>
      </c>
      <c r="K3017">
        <v>2</v>
      </c>
      <c r="L3017">
        <v>9.837962962962962E-4</v>
      </c>
      <c r="M3017" t="s">
        <v>778</v>
      </c>
      <c r="N3017" t="s">
        <v>1230</v>
      </c>
      <c r="O3017" s="24">
        <v>46135</v>
      </c>
      <c r="P3017">
        <v>606</v>
      </c>
      <c r="Q3017" t="s">
        <v>34</v>
      </c>
      <c r="X3017" t="s">
        <v>3781</v>
      </c>
    </row>
    <row r="3018" spans="1:24" x14ac:dyDescent="0.25">
      <c r="A3018">
        <v>3014</v>
      </c>
      <c r="B3018" t="s">
        <v>29</v>
      </c>
      <c r="C3018" t="s">
        <v>27</v>
      </c>
      <c r="D3018">
        <v>16</v>
      </c>
      <c r="E3018" t="s">
        <v>367</v>
      </c>
      <c r="F3018" t="s">
        <v>512</v>
      </c>
      <c r="G3018">
        <v>4453</v>
      </c>
      <c r="H3018" t="s">
        <v>2543</v>
      </c>
      <c r="I3018" t="s">
        <v>2544</v>
      </c>
      <c r="J3018">
        <v>12</v>
      </c>
      <c r="K3018">
        <v>2</v>
      </c>
      <c r="L3018">
        <v>2.650462962962963E-3</v>
      </c>
      <c r="M3018" t="s">
        <v>778</v>
      </c>
      <c r="N3018" t="s">
        <v>1230</v>
      </c>
      <c r="O3018" s="24">
        <v>46135</v>
      </c>
      <c r="P3018">
        <v>606</v>
      </c>
      <c r="Q3018" t="s">
        <v>34</v>
      </c>
      <c r="X3018" t="s">
        <v>3781</v>
      </c>
    </row>
    <row r="3019" spans="1:24" x14ac:dyDescent="0.25">
      <c r="A3019">
        <v>3015</v>
      </c>
      <c r="B3019" t="s">
        <v>29</v>
      </c>
      <c r="C3019" t="s">
        <v>27</v>
      </c>
      <c r="D3019">
        <v>16</v>
      </c>
      <c r="E3019" t="s">
        <v>367</v>
      </c>
      <c r="F3019" t="s">
        <v>512</v>
      </c>
      <c r="G3019">
        <v>4453</v>
      </c>
      <c r="H3019" t="s">
        <v>1844</v>
      </c>
      <c r="I3019" t="s">
        <v>1845</v>
      </c>
      <c r="J3019">
        <v>12</v>
      </c>
      <c r="K3019">
        <v>1</v>
      </c>
      <c r="L3019">
        <v>4.5138888888888887E-4</v>
      </c>
      <c r="M3019" t="s">
        <v>778</v>
      </c>
      <c r="N3019" t="s">
        <v>1230</v>
      </c>
      <c r="O3019" s="24">
        <v>46135</v>
      </c>
      <c r="P3019">
        <v>606</v>
      </c>
      <c r="Q3019" t="s">
        <v>34</v>
      </c>
      <c r="X3019" t="s">
        <v>3781</v>
      </c>
    </row>
    <row r="3020" spans="1:24" x14ac:dyDescent="0.25">
      <c r="A3020">
        <v>3016</v>
      </c>
      <c r="B3020" t="s">
        <v>29</v>
      </c>
      <c r="C3020" t="s">
        <v>27</v>
      </c>
      <c r="D3020">
        <v>16</v>
      </c>
      <c r="E3020" t="s">
        <v>367</v>
      </c>
      <c r="F3020" t="s">
        <v>1599</v>
      </c>
      <c r="G3020">
        <v>4453</v>
      </c>
      <c r="H3020" t="s">
        <v>2548</v>
      </c>
      <c r="I3020" t="s">
        <v>2808</v>
      </c>
      <c r="J3020">
        <v>12</v>
      </c>
      <c r="K3020">
        <v>2</v>
      </c>
      <c r="L3020">
        <v>2.685185185185185E-3</v>
      </c>
      <c r="M3020" t="s">
        <v>778</v>
      </c>
      <c r="N3020" t="s">
        <v>1230</v>
      </c>
      <c r="O3020" s="24">
        <v>46135</v>
      </c>
      <c r="P3020">
        <v>606</v>
      </c>
      <c r="Q3020" t="s">
        <v>34</v>
      </c>
      <c r="X3020" t="s">
        <v>3781</v>
      </c>
    </row>
    <row r="3021" spans="1:24" x14ac:dyDescent="0.25">
      <c r="A3021">
        <v>3017</v>
      </c>
      <c r="B3021" t="s">
        <v>29</v>
      </c>
      <c r="C3021" t="s">
        <v>27</v>
      </c>
      <c r="D3021">
        <v>16</v>
      </c>
      <c r="E3021" t="s">
        <v>2763</v>
      </c>
      <c r="F3021" t="s">
        <v>512</v>
      </c>
      <c r="G3021">
        <v>4453</v>
      </c>
      <c r="H3021" t="s">
        <v>2809</v>
      </c>
      <c r="I3021" t="s">
        <v>2810</v>
      </c>
      <c r="J3021">
        <v>12</v>
      </c>
      <c r="K3021">
        <v>1</v>
      </c>
      <c r="L3021">
        <v>1.1458333333333333E-3</v>
      </c>
      <c r="M3021" t="s">
        <v>778</v>
      </c>
      <c r="N3021" t="s">
        <v>1230</v>
      </c>
      <c r="O3021" s="24">
        <v>46135</v>
      </c>
      <c r="P3021">
        <v>606</v>
      </c>
      <c r="Q3021" t="s">
        <v>34</v>
      </c>
      <c r="X3021" t="s">
        <v>3781</v>
      </c>
    </row>
    <row r="3022" spans="1:24" x14ac:dyDescent="0.25">
      <c r="A3022">
        <v>3018</v>
      </c>
      <c r="B3022" t="s">
        <v>29</v>
      </c>
      <c r="C3022" t="s">
        <v>27</v>
      </c>
      <c r="D3022">
        <v>16</v>
      </c>
      <c r="E3022" t="s">
        <v>2763</v>
      </c>
      <c r="F3022" t="s">
        <v>512</v>
      </c>
      <c r="G3022">
        <v>4453</v>
      </c>
      <c r="H3022" t="s">
        <v>2811</v>
      </c>
      <c r="I3022" t="s">
        <v>2810</v>
      </c>
      <c r="J3022">
        <v>12</v>
      </c>
      <c r="K3022">
        <v>1</v>
      </c>
      <c r="L3022">
        <v>1.1458333333333333E-3</v>
      </c>
      <c r="M3022" t="s">
        <v>778</v>
      </c>
      <c r="N3022" t="s">
        <v>1230</v>
      </c>
      <c r="O3022" s="24">
        <v>46135</v>
      </c>
      <c r="P3022">
        <v>606</v>
      </c>
      <c r="Q3022" t="s">
        <v>34</v>
      </c>
      <c r="X3022" t="s">
        <v>3781</v>
      </c>
    </row>
    <row r="3023" spans="1:24" x14ac:dyDescent="0.25">
      <c r="A3023">
        <v>3019</v>
      </c>
      <c r="B3023" t="s">
        <v>29</v>
      </c>
      <c r="C3023" t="s">
        <v>27</v>
      </c>
      <c r="D3023">
        <v>16</v>
      </c>
      <c r="E3023" t="s">
        <v>152</v>
      </c>
      <c r="F3023" t="s">
        <v>152</v>
      </c>
      <c r="G3023">
        <v>4453</v>
      </c>
      <c r="H3023" t="s">
        <v>2812</v>
      </c>
      <c r="I3023" t="s">
        <v>2813</v>
      </c>
      <c r="J3023">
        <v>12</v>
      </c>
      <c r="K3023">
        <v>1</v>
      </c>
      <c r="L3023">
        <v>5.4398148148148144E-4</v>
      </c>
      <c r="M3023" t="s">
        <v>778</v>
      </c>
      <c r="N3023" t="s">
        <v>1230</v>
      </c>
      <c r="O3023" s="24">
        <v>46135</v>
      </c>
      <c r="P3023">
        <v>606</v>
      </c>
      <c r="Q3023" t="s">
        <v>34</v>
      </c>
      <c r="X3023" t="s">
        <v>3781</v>
      </c>
    </row>
    <row r="3024" spans="1:24" x14ac:dyDescent="0.25">
      <c r="A3024">
        <v>3020</v>
      </c>
      <c r="B3024" t="s">
        <v>29</v>
      </c>
      <c r="C3024" t="s">
        <v>27</v>
      </c>
      <c r="D3024">
        <v>16</v>
      </c>
      <c r="E3024" t="s">
        <v>152</v>
      </c>
      <c r="F3024" t="s">
        <v>152</v>
      </c>
      <c r="G3024">
        <v>4453</v>
      </c>
      <c r="H3024" t="s">
        <v>2814</v>
      </c>
      <c r="I3024" t="s">
        <v>2813</v>
      </c>
      <c r="J3024">
        <v>12</v>
      </c>
      <c r="K3024">
        <v>1</v>
      </c>
      <c r="L3024">
        <v>5.4398148148148144E-4</v>
      </c>
      <c r="M3024" t="s">
        <v>778</v>
      </c>
      <c r="N3024" t="s">
        <v>1230</v>
      </c>
      <c r="O3024" s="24">
        <v>46135</v>
      </c>
      <c r="P3024">
        <v>606</v>
      </c>
      <c r="Q3024" t="s">
        <v>34</v>
      </c>
      <c r="X3024" t="s">
        <v>3781</v>
      </c>
    </row>
    <row r="3025" spans="1:24" x14ac:dyDescent="0.25">
      <c r="A3025">
        <v>3021</v>
      </c>
      <c r="B3025" t="s">
        <v>29</v>
      </c>
      <c r="C3025" t="s">
        <v>27</v>
      </c>
      <c r="D3025">
        <v>16</v>
      </c>
      <c r="E3025" t="s">
        <v>1583</v>
      </c>
      <c r="F3025" t="s">
        <v>1583</v>
      </c>
      <c r="G3025">
        <v>4663</v>
      </c>
      <c r="H3025" t="s">
        <v>1888</v>
      </c>
      <c r="I3025" t="s">
        <v>1889</v>
      </c>
      <c r="J3025">
        <v>12</v>
      </c>
      <c r="K3025">
        <v>6</v>
      </c>
      <c r="L3025">
        <v>5.0115740740740737E-3</v>
      </c>
      <c r="M3025" t="s">
        <v>778</v>
      </c>
      <c r="N3025" t="s">
        <v>1230</v>
      </c>
      <c r="O3025" s="24">
        <v>46135</v>
      </c>
      <c r="P3025">
        <v>606</v>
      </c>
      <c r="Q3025" t="s">
        <v>34</v>
      </c>
      <c r="X3025" t="s">
        <v>3782</v>
      </c>
    </row>
    <row r="3026" spans="1:24" x14ac:dyDescent="0.25">
      <c r="A3026">
        <v>3022</v>
      </c>
      <c r="B3026" t="s">
        <v>29</v>
      </c>
      <c r="C3026" t="s">
        <v>27</v>
      </c>
      <c r="D3026">
        <v>16</v>
      </c>
      <c r="E3026" t="s">
        <v>511</v>
      </c>
      <c r="F3026" t="s">
        <v>512</v>
      </c>
      <c r="G3026">
        <v>4663</v>
      </c>
      <c r="H3026" t="s">
        <v>2033</v>
      </c>
      <c r="I3026" t="s">
        <v>1962</v>
      </c>
      <c r="J3026">
        <v>12</v>
      </c>
      <c r="K3026">
        <v>6</v>
      </c>
      <c r="L3026">
        <v>8.7037037037037031E-3</v>
      </c>
      <c r="M3026" t="s">
        <v>778</v>
      </c>
      <c r="N3026" t="s">
        <v>1230</v>
      </c>
      <c r="O3026" s="24">
        <v>46135</v>
      </c>
      <c r="P3026">
        <v>606</v>
      </c>
      <c r="Q3026" t="s">
        <v>34</v>
      </c>
      <c r="X3026" t="s">
        <v>3782</v>
      </c>
    </row>
    <row r="3027" spans="1:24" x14ac:dyDescent="0.25">
      <c r="A3027">
        <v>3023</v>
      </c>
      <c r="B3027" t="s">
        <v>29</v>
      </c>
      <c r="C3027" t="s">
        <v>27</v>
      </c>
      <c r="D3027">
        <v>16</v>
      </c>
      <c r="E3027" t="s">
        <v>1665</v>
      </c>
      <c r="F3027" t="s">
        <v>512</v>
      </c>
      <c r="G3027">
        <v>4663</v>
      </c>
      <c r="H3027" t="s">
        <v>1831</v>
      </c>
      <c r="I3027" t="s">
        <v>1830</v>
      </c>
      <c r="J3027">
        <v>12</v>
      </c>
      <c r="K3027">
        <v>1</v>
      </c>
      <c r="L3027">
        <v>1.0763888888888889E-3</v>
      </c>
      <c r="M3027" t="s">
        <v>778</v>
      </c>
      <c r="N3027" t="s">
        <v>1230</v>
      </c>
      <c r="O3027" s="24">
        <v>46135</v>
      </c>
      <c r="P3027">
        <v>606</v>
      </c>
      <c r="Q3027" t="s">
        <v>34</v>
      </c>
      <c r="X3027" t="s">
        <v>3782</v>
      </c>
    </row>
    <row r="3028" spans="1:24" x14ac:dyDescent="0.25">
      <c r="A3028">
        <v>3024</v>
      </c>
      <c r="B3028" t="s">
        <v>29</v>
      </c>
      <c r="C3028" t="s">
        <v>27</v>
      </c>
      <c r="D3028">
        <v>16</v>
      </c>
      <c r="E3028" t="s">
        <v>367</v>
      </c>
      <c r="F3028" t="s">
        <v>1594</v>
      </c>
      <c r="G3028">
        <v>4663</v>
      </c>
      <c r="H3028" t="s">
        <v>1912</v>
      </c>
      <c r="I3028" t="s">
        <v>1913</v>
      </c>
      <c r="J3028">
        <v>12</v>
      </c>
      <c r="K3028">
        <v>1</v>
      </c>
      <c r="L3028">
        <v>7.9861111111111105E-4</v>
      </c>
      <c r="M3028" t="s">
        <v>778</v>
      </c>
      <c r="N3028" t="s">
        <v>1230</v>
      </c>
      <c r="O3028" s="24">
        <v>46135</v>
      </c>
      <c r="P3028">
        <v>606</v>
      </c>
      <c r="Q3028" t="s">
        <v>34</v>
      </c>
      <c r="X3028" t="s">
        <v>3782</v>
      </c>
    </row>
    <row r="3029" spans="1:24" x14ac:dyDescent="0.25">
      <c r="A3029">
        <v>3025</v>
      </c>
      <c r="B3029" t="s">
        <v>29</v>
      </c>
      <c r="C3029" t="s">
        <v>27</v>
      </c>
      <c r="D3029">
        <v>16</v>
      </c>
      <c r="E3029" t="s">
        <v>1665</v>
      </c>
      <c r="F3029" t="s">
        <v>512</v>
      </c>
      <c r="G3029">
        <v>3970</v>
      </c>
      <c r="H3029" t="s">
        <v>1831</v>
      </c>
      <c r="I3029" t="s">
        <v>1830</v>
      </c>
      <c r="J3029">
        <v>12</v>
      </c>
      <c r="K3029">
        <v>1</v>
      </c>
      <c r="L3029">
        <v>9.7222222222222219E-4</v>
      </c>
      <c r="M3029" t="s">
        <v>778</v>
      </c>
      <c r="N3029" t="s">
        <v>1230</v>
      </c>
      <c r="O3029" s="24">
        <v>46135</v>
      </c>
      <c r="P3029">
        <v>606</v>
      </c>
      <c r="Q3029" t="s">
        <v>34</v>
      </c>
      <c r="X3029" t="s">
        <v>3783</v>
      </c>
    </row>
    <row r="3030" spans="1:24" x14ac:dyDescent="0.25">
      <c r="A3030">
        <v>3026</v>
      </c>
      <c r="B3030" t="s">
        <v>29</v>
      </c>
      <c r="C3030" t="s">
        <v>27</v>
      </c>
      <c r="D3030">
        <v>16</v>
      </c>
      <c r="E3030" t="s">
        <v>1665</v>
      </c>
      <c r="F3030" t="s">
        <v>115</v>
      </c>
      <c r="G3030">
        <v>3970</v>
      </c>
      <c r="H3030" t="s">
        <v>1940</v>
      </c>
      <c r="I3030" t="s">
        <v>1886</v>
      </c>
      <c r="J3030">
        <v>12</v>
      </c>
      <c r="K3030">
        <v>1</v>
      </c>
      <c r="L3030">
        <v>7.0601851851851847E-4</v>
      </c>
      <c r="M3030" t="s">
        <v>778</v>
      </c>
      <c r="N3030" t="s">
        <v>1230</v>
      </c>
      <c r="O3030" s="24">
        <v>46135</v>
      </c>
      <c r="P3030">
        <v>606</v>
      </c>
      <c r="Q3030" t="s">
        <v>34</v>
      </c>
      <c r="X3030" t="s">
        <v>3783</v>
      </c>
    </row>
    <row r="3031" spans="1:24" x14ac:dyDescent="0.25">
      <c r="A3031">
        <v>3027</v>
      </c>
      <c r="B3031" t="s">
        <v>29</v>
      </c>
      <c r="C3031" t="s">
        <v>27</v>
      </c>
      <c r="D3031">
        <v>16</v>
      </c>
      <c r="E3031" t="s">
        <v>1672</v>
      </c>
      <c r="F3031" t="s">
        <v>115</v>
      </c>
      <c r="G3031">
        <v>3970</v>
      </c>
      <c r="H3031" t="s">
        <v>1885</v>
      </c>
      <c r="I3031" t="s">
        <v>1886</v>
      </c>
      <c r="J3031">
        <v>12</v>
      </c>
      <c r="K3031">
        <v>4</v>
      </c>
      <c r="L3031">
        <v>2.8356481481481479E-3</v>
      </c>
      <c r="M3031" t="s">
        <v>778</v>
      </c>
      <c r="N3031" t="s">
        <v>1230</v>
      </c>
      <c r="O3031" s="24">
        <v>46135</v>
      </c>
      <c r="P3031">
        <v>606</v>
      </c>
      <c r="Q3031" t="s">
        <v>34</v>
      </c>
      <c r="X3031" t="s">
        <v>3783</v>
      </c>
    </row>
    <row r="3032" spans="1:24" x14ac:dyDescent="0.25">
      <c r="A3032">
        <v>3028</v>
      </c>
      <c r="B3032" t="s">
        <v>29</v>
      </c>
      <c r="C3032" t="s">
        <v>27</v>
      </c>
      <c r="D3032">
        <v>16</v>
      </c>
      <c r="E3032" t="s">
        <v>511</v>
      </c>
      <c r="F3032" t="s">
        <v>512</v>
      </c>
      <c r="G3032">
        <v>3970</v>
      </c>
      <c r="H3032" t="s">
        <v>1961</v>
      </c>
      <c r="I3032" t="s">
        <v>1962</v>
      </c>
      <c r="J3032">
        <v>12</v>
      </c>
      <c r="K3032">
        <v>6</v>
      </c>
      <c r="L3032">
        <v>9.2013888888888892E-3</v>
      </c>
      <c r="M3032" t="s">
        <v>778</v>
      </c>
      <c r="N3032" t="s">
        <v>1230</v>
      </c>
      <c r="O3032" s="24">
        <v>46135</v>
      </c>
      <c r="P3032">
        <v>606</v>
      </c>
      <c r="Q3032" t="s">
        <v>34</v>
      </c>
      <c r="X3032" t="s">
        <v>3783</v>
      </c>
    </row>
    <row r="3033" spans="1:24" x14ac:dyDescent="0.25">
      <c r="A3033">
        <v>3029</v>
      </c>
      <c r="B3033" t="s">
        <v>29</v>
      </c>
      <c r="C3033" t="s">
        <v>27</v>
      </c>
      <c r="D3033">
        <v>16</v>
      </c>
      <c r="E3033" t="s">
        <v>367</v>
      </c>
      <c r="F3033" t="s">
        <v>367</v>
      </c>
      <c r="G3033">
        <v>3970</v>
      </c>
      <c r="H3033" t="s">
        <v>1814</v>
      </c>
      <c r="I3033" t="s">
        <v>1815</v>
      </c>
      <c r="J3033">
        <v>12</v>
      </c>
      <c r="K3033">
        <v>1</v>
      </c>
      <c r="L3033">
        <v>9.9537037037037042E-4</v>
      </c>
      <c r="M3033" t="s">
        <v>778</v>
      </c>
      <c r="N3033" t="s">
        <v>1230</v>
      </c>
      <c r="O3033" s="24">
        <v>46135</v>
      </c>
      <c r="P3033">
        <v>606</v>
      </c>
      <c r="Q3033" t="s">
        <v>34</v>
      </c>
      <c r="X3033" t="s">
        <v>3783</v>
      </c>
    </row>
    <row r="3034" spans="1:24" x14ac:dyDescent="0.25">
      <c r="A3034">
        <v>3030</v>
      </c>
      <c r="B3034" t="s">
        <v>29</v>
      </c>
      <c r="C3034" t="s">
        <v>27</v>
      </c>
      <c r="D3034">
        <v>16</v>
      </c>
      <c r="E3034" t="s">
        <v>367</v>
      </c>
      <c r="F3034" t="s">
        <v>1594</v>
      </c>
      <c r="G3034">
        <v>3970</v>
      </c>
      <c r="H3034" t="s">
        <v>1969</v>
      </c>
      <c r="I3034" t="s">
        <v>1970</v>
      </c>
      <c r="J3034">
        <v>12</v>
      </c>
      <c r="K3034">
        <v>1</v>
      </c>
      <c r="L3034">
        <v>7.0601851851851847E-4</v>
      </c>
      <c r="M3034" t="s">
        <v>778</v>
      </c>
      <c r="N3034" t="s">
        <v>1230</v>
      </c>
      <c r="O3034" s="24">
        <v>46135</v>
      </c>
      <c r="P3034">
        <v>606</v>
      </c>
      <c r="Q3034" t="s">
        <v>34</v>
      </c>
      <c r="X3034" t="s">
        <v>3783</v>
      </c>
    </row>
    <row r="3035" spans="1:24" x14ac:dyDescent="0.25">
      <c r="A3035">
        <v>3031</v>
      </c>
      <c r="B3035" t="s">
        <v>29</v>
      </c>
      <c r="C3035" t="s">
        <v>27</v>
      </c>
      <c r="D3035">
        <v>16</v>
      </c>
      <c r="E3035" t="s">
        <v>367</v>
      </c>
      <c r="F3035" t="s">
        <v>1594</v>
      </c>
      <c r="G3035">
        <v>3970</v>
      </c>
      <c r="H3035" t="s">
        <v>1853</v>
      </c>
      <c r="I3035" t="s">
        <v>1854</v>
      </c>
      <c r="J3035">
        <v>12</v>
      </c>
      <c r="K3035">
        <v>1</v>
      </c>
      <c r="L3035">
        <v>4.6296296296296293E-4</v>
      </c>
      <c r="M3035" t="s">
        <v>778</v>
      </c>
      <c r="N3035" t="s">
        <v>1230</v>
      </c>
      <c r="O3035" s="24">
        <v>46135</v>
      </c>
      <c r="P3035">
        <v>606</v>
      </c>
      <c r="Q3035" t="s">
        <v>34</v>
      </c>
      <c r="X3035" t="s">
        <v>3783</v>
      </c>
    </row>
    <row r="3036" spans="1:24" x14ac:dyDescent="0.25">
      <c r="A3036">
        <v>3032</v>
      </c>
      <c r="B3036" t="s">
        <v>29</v>
      </c>
      <c r="C3036" t="s">
        <v>27</v>
      </c>
      <c r="D3036">
        <v>16</v>
      </c>
      <c r="E3036" t="s">
        <v>152</v>
      </c>
      <c r="F3036" t="s">
        <v>152</v>
      </c>
      <c r="G3036">
        <v>3970</v>
      </c>
      <c r="H3036" t="s">
        <v>2817</v>
      </c>
      <c r="I3036" t="s">
        <v>2797</v>
      </c>
      <c r="J3036">
        <v>12</v>
      </c>
      <c r="K3036">
        <v>1</v>
      </c>
      <c r="L3036">
        <v>1.2152777777777778E-3</v>
      </c>
      <c r="M3036" t="s">
        <v>778</v>
      </c>
      <c r="N3036" t="s">
        <v>1230</v>
      </c>
      <c r="O3036" s="24">
        <v>46135</v>
      </c>
      <c r="P3036">
        <v>606</v>
      </c>
      <c r="Q3036" t="s">
        <v>34</v>
      </c>
      <c r="X3036" t="s">
        <v>3783</v>
      </c>
    </row>
    <row r="3037" spans="1:24" x14ac:dyDescent="0.25">
      <c r="A3037">
        <v>3033</v>
      </c>
      <c r="B3037" t="s">
        <v>29</v>
      </c>
      <c r="C3037" t="s">
        <v>27</v>
      </c>
      <c r="D3037">
        <v>16</v>
      </c>
      <c r="E3037" t="s">
        <v>511</v>
      </c>
      <c r="F3037" t="s">
        <v>512</v>
      </c>
      <c r="G3037">
        <v>3971</v>
      </c>
      <c r="H3037" t="s">
        <v>1961</v>
      </c>
      <c r="I3037" t="s">
        <v>1962</v>
      </c>
      <c r="J3037">
        <v>12</v>
      </c>
      <c r="K3037">
        <v>6</v>
      </c>
      <c r="L3037">
        <v>9.8958333333333329E-3</v>
      </c>
      <c r="M3037" t="s">
        <v>778</v>
      </c>
      <c r="N3037" t="s">
        <v>1230</v>
      </c>
      <c r="O3037" s="24">
        <v>46135</v>
      </c>
      <c r="P3037">
        <v>606</v>
      </c>
      <c r="Q3037" t="s">
        <v>34</v>
      </c>
      <c r="X3037" t="s">
        <v>3784</v>
      </c>
    </row>
    <row r="3038" spans="1:24" x14ac:dyDescent="0.25">
      <c r="A3038">
        <v>3034</v>
      </c>
      <c r="B3038" t="s">
        <v>29</v>
      </c>
      <c r="C3038" t="s">
        <v>27</v>
      </c>
      <c r="D3038">
        <v>16</v>
      </c>
      <c r="E3038" t="s">
        <v>2763</v>
      </c>
      <c r="F3038" t="s">
        <v>512</v>
      </c>
      <c r="G3038">
        <v>3971</v>
      </c>
      <c r="H3038" t="s">
        <v>2819</v>
      </c>
      <c r="I3038" t="s">
        <v>2820</v>
      </c>
      <c r="J3038">
        <v>12</v>
      </c>
      <c r="K3038">
        <v>1</v>
      </c>
      <c r="L3038">
        <v>1.4467592592592592E-3</v>
      </c>
      <c r="M3038" t="s">
        <v>778</v>
      </c>
      <c r="N3038" t="s">
        <v>1230</v>
      </c>
      <c r="O3038" s="24">
        <v>46135</v>
      </c>
      <c r="P3038">
        <v>606</v>
      </c>
      <c r="Q3038" t="s">
        <v>34</v>
      </c>
      <c r="X3038" t="s">
        <v>3784</v>
      </c>
    </row>
    <row r="3039" spans="1:24" x14ac:dyDescent="0.25">
      <c r="A3039">
        <v>3035</v>
      </c>
      <c r="B3039" t="s">
        <v>29</v>
      </c>
      <c r="C3039" t="s">
        <v>27</v>
      </c>
      <c r="D3039">
        <v>16</v>
      </c>
      <c r="E3039" t="s">
        <v>2763</v>
      </c>
      <c r="F3039" t="s">
        <v>512</v>
      </c>
      <c r="G3039">
        <v>3971</v>
      </c>
      <c r="H3039" t="s">
        <v>2821</v>
      </c>
      <c r="I3039" t="s">
        <v>2810</v>
      </c>
      <c r="J3039">
        <v>12</v>
      </c>
      <c r="K3039">
        <v>1</v>
      </c>
      <c r="L3039">
        <v>1.4351851851851852E-3</v>
      </c>
      <c r="M3039" t="s">
        <v>778</v>
      </c>
      <c r="N3039" t="s">
        <v>1230</v>
      </c>
      <c r="O3039" s="24">
        <v>46135</v>
      </c>
      <c r="P3039">
        <v>606</v>
      </c>
      <c r="Q3039" t="s">
        <v>34</v>
      </c>
      <c r="X3039" t="s">
        <v>3784</v>
      </c>
    </row>
    <row r="3040" spans="1:24" x14ac:dyDescent="0.25">
      <c r="A3040">
        <v>3036</v>
      </c>
      <c r="B3040" t="s">
        <v>29</v>
      </c>
      <c r="C3040" t="s">
        <v>27</v>
      </c>
      <c r="D3040">
        <v>16</v>
      </c>
      <c r="E3040" t="s">
        <v>152</v>
      </c>
      <c r="F3040" t="s">
        <v>152</v>
      </c>
      <c r="G3040">
        <v>3971</v>
      </c>
      <c r="H3040" t="s">
        <v>2814</v>
      </c>
      <c r="I3040" t="s">
        <v>2813</v>
      </c>
      <c r="J3040">
        <v>12</v>
      </c>
      <c r="K3040">
        <v>1</v>
      </c>
      <c r="L3040">
        <v>5.7870370370370367E-4</v>
      </c>
      <c r="M3040" t="s">
        <v>778</v>
      </c>
      <c r="N3040" t="s">
        <v>1230</v>
      </c>
      <c r="O3040" s="24">
        <v>46135</v>
      </c>
      <c r="P3040">
        <v>606</v>
      </c>
      <c r="Q3040" t="s">
        <v>34</v>
      </c>
      <c r="X3040" t="s">
        <v>3784</v>
      </c>
    </row>
    <row r="3041" spans="1:24" x14ac:dyDescent="0.25">
      <c r="A3041">
        <v>3037</v>
      </c>
      <c r="B3041" t="s">
        <v>29</v>
      </c>
      <c r="C3041" t="s">
        <v>27</v>
      </c>
      <c r="D3041">
        <v>16</v>
      </c>
      <c r="E3041" t="s">
        <v>2823</v>
      </c>
      <c r="F3041" t="s">
        <v>2823</v>
      </c>
      <c r="G3041">
        <v>3971</v>
      </c>
      <c r="H3041" t="s">
        <v>2822</v>
      </c>
      <c r="I3041" t="s">
        <v>1886</v>
      </c>
      <c r="J3041">
        <v>12</v>
      </c>
      <c r="K3041">
        <v>1</v>
      </c>
      <c r="L3041">
        <v>7.5231481481481482E-4</v>
      </c>
      <c r="M3041" t="s">
        <v>778</v>
      </c>
      <c r="N3041" t="s">
        <v>1230</v>
      </c>
      <c r="O3041" s="24">
        <v>46135</v>
      </c>
      <c r="P3041">
        <v>606</v>
      </c>
      <c r="Q3041" t="s">
        <v>34</v>
      </c>
      <c r="X3041" t="s">
        <v>3784</v>
      </c>
    </row>
    <row r="3042" spans="1:24" x14ac:dyDescent="0.25">
      <c r="A3042">
        <v>3038</v>
      </c>
      <c r="B3042" t="s">
        <v>29</v>
      </c>
      <c r="C3042" t="s">
        <v>27</v>
      </c>
      <c r="D3042">
        <v>16</v>
      </c>
      <c r="E3042" t="s">
        <v>511</v>
      </c>
      <c r="F3042" t="s">
        <v>512</v>
      </c>
      <c r="G3042">
        <v>3972</v>
      </c>
      <c r="H3042" t="s">
        <v>2033</v>
      </c>
      <c r="I3042" t="s">
        <v>1962</v>
      </c>
      <c r="J3042">
        <v>12</v>
      </c>
      <c r="K3042">
        <v>2</v>
      </c>
      <c r="L3042">
        <v>2.9976851851851853E-3</v>
      </c>
      <c r="M3042" t="s">
        <v>778</v>
      </c>
      <c r="N3042" t="s">
        <v>1230</v>
      </c>
      <c r="O3042" s="24">
        <v>46135</v>
      </c>
      <c r="P3042">
        <v>606</v>
      </c>
      <c r="Q3042" t="s">
        <v>34</v>
      </c>
      <c r="X3042" t="s">
        <v>3785</v>
      </c>
    </row>
    <row r="3043" spans="1:24" x14ac:dyDescent="0.25">
      <c r="A3043">
        <v>3039</v>
      </c>
      <c r="B3043" t="s">
        <v>29</v>
      </c>
      <c r="C3043" t="s">
        <v>27</v>
      </c>
      <c r="D3043">
        <v>16</v>
      </c>
      <c r="E3043" t="s">
        <v>367</v>
      </c>
      <c r="F3043" t="s">
        <v>1594</v>
      </c>
      <c r="G3043">
        <v>3972</v>
      </c>
      <c r="H3043" t="s">
        <v>1912</v>
      </c>
      <c r="I3043" t="s">
        <v>1913</v>
      </c>
      <c r="J3043">
        <v>12</v>
      </c>
      <c r="K3043">
        <v>1</v>
      </c>
      <c r="L3043">
        <v>8.2175925925925927E-4</v>
      </c>
      <c r="M3043" t="s">
        <v>778</v>
      </c>
      <c r="N3043" t="s">
        <v>1230</v>
      </c>
      <c r="O3043" s="24">
        <v>46135</v>
      </c>
      <c r="P3043">
        <v>606</v>
      </c>
      <c r="Q3043" t="s">
        <v>34</v>
      </c>
      <c r="X3043" t="s">
        <v>3785</v>
      </c>
    </row>
    <row r="3044" spans="1:24" x14ac:dyDescent="0.25">
      <c r="A3044">
        <v>3040</v>
      </c>
      <c r="B3044" t="s">
        <v>29</v>
      </c>
      <c r="C3044" t="s">
        <v>27</v>
      </c>
      <c r="D3044">
        <v>16</v>
      </c>
      <c r="E3044" t="s">
        <v>367</v>
      </c>
      <c r="F3044" t="s">
        <v>1598</v>
      </c>
      <c r="G3044">
        <v>3972</v>
      </c>
      <c r="H3044" t="s">
        <v>2546</v>
      </c>
      <c r="I3044" t="s">
        <v>2808</v>
      </c>
      <c r="J3044">
        <v>12</v>
      </c>
      <c r="K3044">
        <v>2</v>
      </c>
      <c r="L3044">
        <v>3.0208333333333333E-3</v>
      </c>
      <c r="M3044" t="s">
        <v>778</v>
      </c>
      <c r="N3044" t="s">
        <v>1230</v>
      </c>
      <c r="O3044" s="24">
        <v>46135</v>
      </c>
      <c r="P3044">
        <v>606</v>
      </c>
      <c r="Q3044" t="s">
        <v>34</v>
      </c>
      <c r="X3044" t="s">
        <v>3785</v>
      </c>
    </row>
    <row r="3045" spans="1:24" x14ac:dyDescent="0.25">
      <c r="A3045">
        <v>3041</v>
      </c>
      <c r="B3045" t="s">
        <v>29</v>
      </c>
      <c r="C3045" t="s">
        <v>27</v>
      </c>
      <c r="D3045">
        <v>16</v>
      </c>
      <c r="E3045" t="s">
        <v>2763</v>
      </c>
      <c r="F3045" t="s">
        <v>512</v>
      </c>
      <c r="G3045">
        <v>3972</v>
      </c>
      <c r="H3045" t="s">
        <v>2825</v>
      </c>
      <c r="I3045" t="s">
        <v>2810</v>
      </c>
      <c r="J3045">
        <v>12</v>
      </c>
      <c r="K3045">
        <v>1</v>
      </c>
      <c r="L3045">
        <v>1.2962962962962963E-3</v>
      </c>
      <c r="M3045" t="s">
        <v>778</v>
      </c>
      <c r="N3045" t="s">
        <v>1230</v>
      </c>
      <c r="O3045" s="24">
        <v>46135</v>
      </c>
      <c r="P3045">
        <v>606</v>
      </c>
      <c r="Q3045" t="s">
        <v>34</v>
      </c>
      <c r="X3045" t="s">
        <v>3785</v>
      </c>
    </row>
    <row r="3046" spans="1:24" x14ac:dyDescent="0.25">
      <c r="A3046">
        <v>3042</v>
      </c>
      <c r="B3046" t="s">
        <v>29</v>
      </c>
      <c r="C3046" t="s">
        <v>27</v>
      </c>
      <c r="D3046">
        <v>16</v>
      </c>
      <c r="E3046" t="s">
        <v>2763</v>
      </c>
      <c r="F3046" t="s">
        <v>512</v>
      </c>
      <c r="G3046">
        <v>3972</v>
      </c>
      <c r="H3046" t="s">
        <v>2826</v>
      </c>
      <c r="I3046" t="s">
        <v>2820</v>
      </c>
      <c r="J3046">
        <v>12</v>
      </c>
      <c r="K3046">
        <v>1</v>
      </c>
      <c r="L3046">
        <v>1.5393518518518519E-3</v>
      </c>
      <c r="M3046" t="s">
        <v>778</v>
      </c>
      <c r="N3046" t="s">
        <v>1230</v>
      </c>
      <c r="O3046" s="24">
        <v>46135</v>
      </c>
      <c r="P3046">
        <v>606</v>
      </c>
      <c r="Q3046" t="s">
        <v>34</v>
      </c>
      <c r="X3046" t="s">
        <v>3785</v>
      </c>
    </row>
    <row r="3047" spans="1:24" x14ac:dyDescent="0.25">
      <c r="A3047">
        <v>3043</v>
      </c>
      <c r="B3047" t="s">
        <v>29</v>
      </c>
      <c r="C3047" t="s">
        <v>27</v>
      </c>
      <c r="D3047">
        <v>16</v>
      </c>
      <c r="E3047" t="s">
        <v>152</v>
      </c>
      <c r="F3047" t="s">
        <v>152</v>
      </c>
      <c r="G3047">
        <v>3972</v>
      </c>
      <c r="H3047" t="s">
        <v>2827</v>
      </c>
      <c r="I3047" t="s">
        <v>2813</v>
      </c>
      <c r="J3047">
        <v>12</v>
      </c>
      <c r="K3047">
        <v>1</v>
      </c>
      <c r="L3047">
        <v>6.134259259259259E-4</v>
      </c>
      <c r="M3047" t="s">
        <v>778</v>
      </c>
      <c r="N3047" t="s">
        <v>1230</v>
      </c>
      <c r="O3047" s="24">
        <v>46135</v>
      </c>
      <c r="P3047">
        <v>606</v>
      </c>
      <c r="Q3047" t="s">
        <v>34</v>
      </c>
      <c r="X3047" t="s">
        <v>3785</v>
      </c>
    </row>
    <row r="3048" spans="1:24" x14ac:dyDescent="0.25">
      <c r="A3048">
        <v>3044</v>
      </c>
      <c r="B3048" t="s">
        <v>29</v>
      </c>
      <c r="C3048" t="s">
        <v>27</v>
      </c>
      <c r="D3048">
        <v>16</v>
      </c>
      <c r="E3048" t="s">
        <v>152</v>
      </c>
      <c r="F3048" t="s">
        <v>152</v>
      </c>
      <c r="G3048">
        <v>3972</v>
      </c>
      <c r="H3048" t="s">
        <v>2828</v>
      </c>
      <c r="I3048" t="s">
        <v>2797</v>
      </c>
      <c r="J3048">
        <v>12</v>
      </c>
      <c r="K3048">
        <v>2</v>
      </c>
      <c r="L3048">
        <v>2.7777777777777775E-3</v>
      </c>
      <c r="M3048" t="s">
        <v>778</v>
      </c>
      <c r="N3048" t="s">
        <v>1230</v>
      </c>
      <c r="O3048" s="24">
        <v>46135</v>
      </c>
      <c r="P3048">
        <v>606</v>
      </c>
      <c r="Q3048" t="s">
        <v>34</v>
      </c>
      <c r="X3048" t="s">
        <v>3785</v>
      </c>
    </row>
    <row r="3049" spans="1:24" x14ac:dyDescent="0.25">
      <c r="A3049">
        <v>3045</v>
      </c>
      <c r="B3049" t="s">
        <v>29</v>
      </c>
      <c r="C3049" t="s">
        <v>27</v>
      </c>
      <c r="D3049">
        <v>16</v>
      </c>
      <c r="E3049" t="s">
        <v>152</v>
      </c>
      <c r="F3049" t="s">
        <v>152</v>
      </c>
      <c r="G3049">
        <v>3972</v>
      </c>
      <c r="H3049" t="s">
        <v>2796</v>
      </c>
      <c r="I3049" t="s">
        <v>2797</v>
      </c>
      <c r="J3049">
        <v>12</v>
      </c>
      <c r="K3049">
        <v>1</v>
      </c>
      <c r="L3049">
        <v>1.3888888888888887E-3</v>
      </c>
      <c r="M3049" t="s">
        <v>778</v>
      </c>
      <c r="N3049" t="s">
        <v>1230</v>
      </c>
      <c r="O3049" s="24">
        <v>46135</v>
      </c>
      <c r="P3049">
        <v>606</v>
      </c>
      <c r="Q3049" t="s">
        <v>34</v>
      </c>
      <c r="X3049" t="s">
        <v>3785</v>
      </c>
    </row>
    <row r="3050" spans="1:24" x14ac:dyDescent="0.25">
      <c r="A3050">
        <v>3046</v>
      </c>
      <c r="B3050" t="s">
        <v>29</v>
      </c>
      <c r="C3050" t="s">
        <v>27</v>
      </c>
      <c r="D3050">
        <v>16</v>
      </c>
      <c r="E3050" t="s">
        <v>511</v>
      </c>
      <c r="F3050" t="s">
        <v>512</v>
      </c>
      <c r="G3050">
        <v>3973</v>
      </c>
      <c r="H3050" t="s">
        <v>2033</v>
      </c>
      <c r="I3050" t="s">
        <v>1962</v>
      </c>
      <c r="J3050">
        <v>12</v>
      </c>
      <c r="K3050">
        <v>4</v>
      </c>
      <c r="L3050">
        <v>5.3356481481481475E-3</v>
      </c>
      <c r="M3050" t="s">
        <v>778</v>
      </c>
      <c r="N3050" t="s">
        <v>1230</v>
      </c>
      <c r="O3050" s="24">
        <v>46135</v>
      </c>
      <c r="P3050">
        <v>606</v>
      </c>
      <c r="Q3050" t="s">
        <v>34</v>
      </c>
      <c r="X3050" t="s">
        <v>3786</v>
      </c>
    </row>
    <row r="3051" spans="1:24" x14ac:dyDescent="0.25">
      <c r="A3051">
        <v>3047</v>
      </c>
      <c r="B3051" t="s">
        <v>29</v>
      </c>
      <c r="C3051" t="s">
        <v>27</v>
      </c>
      <c r="D3051">
        <v>16</v>
      </c>
      <c r="E3051" t="s">
        <v>1665</v>
      </c>
      <c r="F3051" t="s">
        <v>512</v>
      </c>
      <c r="G3051">
        <v>3973</v>
      </c>
      <c r="H3051" t="s">
        <v>1908</v>
      </c>
      <c r="I3051" t="s">
        <v>2789</v>
      </c>
      <c r="J3051">
        <v>12</v>
      </c>
      <c r="K3051">
        <v>2</v>
      </c>
      <c r="L3051">
        <v>9.9537037037037042E-4</v>
      </c>
      <c r="M3051" t="s">
        <v>778</v>
      </c>
      <c r="N3051" t="s">
        <v>1230</v>
      </c>
      <c r="O3051" s="24">
        <v>46135</v>
      </c>
      <c r="P3051">
        <v>606</v>
      </c>
      <c r="Q3051" t="s">
        <v>34</v>
      </c>
      <c r="X3051" t="s">
        <v>3786</v>
      </c>
    </row>
    <row r="3052" spans="1:24" x14ac:dyDescent="0.25">
      <c r="A3052">
        <v>3048</v>
      </c>
      <c r="B3052" t="s">
        <v>29</v>
      </c>
      <c r="C3052" t="s">
        <v>27</v>
      </c>
      <c r="D3052">
        <v>16</v>
      </c>
      <c r="E3052" t="s">
        <v>1665</v>
      </c>
      <c r="F3052" t="s">
        <v>115</v>
      </c>
      <c r="G3052">
        <v>3973</v>
      </c>
      <c r="H3052" t="s">
        <v>1940</v>
      </c>
      <c r="I3052" t="s">
        <v>1886</v>
      </c>
      <c r="J3052">
        <v>12</v>
      </c>
      <c r="K3052">
        <v>2</v>
      </c>
      <c r="L3052">
        <v>1.4351851851851852E-3</v>
      </c>
      <c r="M3052" t="s">
        <v>778</v>
      </c>
      <c r="N3052" t="s">
        <v>1230</v>
      </c>
      <c r="O3052" s="24">
        <v>46135</v>
      </c>
      <c r="P3052">
        <v>606</v>
      </c>
      <c r="Q3052" t="s">
        <v>34</v>
      </c>
      <c r="X3052" t="s">
        <v>3786</v>
      </c>
    </row>
    <row r="3053" spans="1:24" x14ac:dyDescent="0.25">
      <c r="A3053">
        <v>3049</v>
      </c>
      <c r="B3053" t="s">
        <v>29</v>
      </c>
      <c r="C3053" t="s">
        <v>27</v>
      </c>
      <c r="D3053">
        <v>16</v>
      </c>
      <c r="E3053" t="s">
        <v>367</v>
      </c>
      <c r="F3053" t="s">
        <v>512</v>
      </c>
      <c r="G3053">
        <v>3973</v>
      </c>
      <c r="H3053" t="s">
        <v>2541</v>
      </c>
      <c r="I3053" t="s">
        <v>2542</v>
      </c>
      <c r="J3053">
        <v>12</v>
      </c>
      <c r="K3053">
        <v>2</v>
      </c>
      <c r="L3053">
        <v>2.650462962962963E-3</v>
      </c>
      <c r="M3053" t="s">
        <v>778</v>
      </c>
      <c r="N3053" t="s">
        <v>1230</v>
      </c>
      <c r="O3053" s="24">
        <v>46135</v>
      </c>
      <c r="P3053">
        <v>606</v>
      </c>
      <c r="Q3053" t="s">
        <v>34</v>
      </c>
      <c r="X3053" t="s">
        <v>3786</v>
      </c>
    </row>
    <row r="3054" spans="1:24" x14ac:dyDescent="0.25">
      <c r="A3054">
        <v>3050</v>
      </c>
      <c r="B3054" t="s">
        <v>29</v>
      </c>
      <c r="C3054" t="s">
        <v>27</v>
      </c>
      <c r="D3054">
        <v>16</v>
      </c>
      <c r="E3054" t="s">
        <v>367</v>
      </c>
      <c r="F3054" t="s">
        <v>367</v>
      </c>
      <c r="G3054">
        <v>3973</v>
      </c>
      <c r="H3054" t="s">
        <v>1941</v>
      </c>
      <c r="I3054" t="s">
        <v>1942</v>
      </c>
      <c r="J3054">
        <v>12</v>
      </c>
      <c r="K3054">
        <v>2</v>
      </c>
      <c r="L3054">
        <v>7.2916666666666659E-4</v>
      </c>
      <c r="M3054" t="s">
        <v>778</v>
      </c>
      <c r="N3054" t="s">
        <v>1230</v>
      </c>
      <c r="O3054" s="24">
        <v>46135</v>
      </c>
      <c r="P3054">
        <v>606</v>
      </c>
      <c r="Q3054" t="s">
        <v>34</v>
      </c>
      <c r="X3054" t="s">
        <v>3786</v>
      </c>
    </row>
    <row r="3055" spans="1:24" x14ac:dyDescent="0.25">
      <c r="A3055">
        <v>3051</v>
      </c>
      <c r="B3055" t="s">
        <v>29</v>
      </c>
      <c r="C3055" t="s">
        <v>27</v>
      </c>
      <c r="D3055">
        <v>16</v>
      </c>
      <c r="E3055" t="s">
        <v>367</v>
      </c>
      <c r="F3055" t="s">
        <v>1593</v>
      </c>
      <c r="G3055">
        <v>3973</v>
      </c>
      <c r="H3055" t="s">
        <v>1851</v>
      </c>
      <c r="I3055" t="s">
        <v>1852</v>
      </c>
      <c r="J3055">
        <v>12</v>
      </c>
      <c r="K3055">
        <v>1</v>
      </c>
      <c r="L3055">
        <v>7.7546296296296293E-4</v>
      </c>
      <c r="M3055" t="s">
        <v>778</v>
      </c>
      <c r="N3055" t="s">
        <v>1230</v>
      </c>
      <c r="O3055" s="24">
        <v>46135</v>
      </c>
      <c r="P3055">
        <v>606</v>
      </c>
      <c r="Q3055" t="s">
        <v>34</v>
      </c>
      <c r="X3055" t="s">
        <v>3786</v>
      </c>
    </row>
    <row r="3056" spans="1:24" x14ac:dyDescent="0.25">
      <c r="A3056">
        <v>3052</v>
      </c>
      <c r="B3056" t="s">
        <v>29</v>
      </c>
      <c r="C3056" t="s">
        <v>27</v>
      </c>
      <c r="D3056">
        <v>16</v>
      </c>
      <c r="E3056" t="s">
        <v>367</v>
      </c>
      <c r="F3056" t="s">
        <v>1594</v>
      </c>
      <c r="G3056">
        <v>3973</v>
      </c>
      <c r="H3056" t="s">
        <v>1876</v>
      </c>
      <c r="I3056" t="s">
        <v>1877</v>
      </c>
      <c r="J3056">
        <v>12</v>
      </c>
      <c r="K3056">
        <v>4</v>
      </c>
      <c r="L3056">
        <v>2.4768518518518516E-3</v>
      </c>
      <c r="M3056" t="s">
        <v>778</v>
      </c>
      <c r="N3056" t="s">
        <v>1230</v>
      </c>
      <c r="O3056" s="24">
        <v>46135</v>
      </c>
      <c r="P3056">
        <v>606</v>
      </c>
      <c r="Q3056" t="s">
        <v>34</v>
      </c>
      <c r="X3056" t="s">
        <v>3786</v>
      </c>
    </row>
    <row r="3057" spans="1:24" x14ac:dyDescent="0.25">
      <c r="A3057">
        <v>3053</v>
      </c>
      <c r="B3057" t="s">
        <v>29</v>
      </c>
      <c r="C3057" t="s">
        <v>27</v>
      </c>
      <c r="D3057">
        <v>16</v>
      </c>
      <c r="E3057" t="s">
        <v>367</v>
      </c>
      <c r="F3057" t="s">
        <v>1594</v>
      </c>
      <c r="G3057">
        <v>3973</v>
      </c>
      <c r="H3057" t="s">
        <v>1853</v>
      </c>
      <c r="I3057" t="s">
        <v>1854</v>
      </c>
      <c r="J3057">
        <v>12</v>
      </c>
      <c r="K3057">
        <v>1</v>
      </c>
      <c r="L3057">
        <v>4.7453703703703704E-4</v>
      </c>
      <c r="M3057" t="s">
        <v>778</v>
      </c>
      <c r="N3057" t="s">
        <v>1230</v>
      </c>
      <c r="O3057" s="24">
        <v>46135</v>
      </c>
      <c r="P3057">
        <v>606</v>
      </c>
      <c r="Q3057" t="s">
        <v>34</v>
      </c>
      <c r="X3057" t="s">
        <v>3786</v>
      </c>
    </row>
    <row r="3058" spans="1:24" x14ac:dyDescent="0.25">
      <c r="A3058">
        <v>3054</v>
      </c>
      <c r="B3058" t="s">
        <v>29</v>
      </c>
      <c r="C3058" t="s">
        <v>27</v>
      </c>
      <c r="D3058">
        <v>16</v>
      </c>
      <c r="E3058" t="s">
        <v>367</v>
      </c>
      <c r="F3058" t="s">
        <v>1594</v>
      </c>
      <c r="G3058">
        <v>3973</v>
      </c>
      <c r="H3058" t="s">
        <v>1915</v>
      </c>
      <c r="I3058" t="s">
        <v>1916</v>
      </c>
      <c r="J3058">
        <v>12</v>
      </c>
      <c r="K3058">
        <v>1</v>
      </c>
      <c r="L3058">
        <v>1.0185185185185184E-3</v>
      </c>
      <c r="M3058" t="s">
        <v>778</v>
      </c>
      <c r="N3058" t="s">
        <v>1230</v>
      </c>
      <c r="O3058" s="24">
        <v>46135</v>
      </c>
      <c r="P3058">
        <v>606</v>
      </c>
      <c r="Q3058" t="s">
        <v>34</v>
      </c>
      <c r="X3058" t="s">
        <v>3786</v>
      </c>
    </row>
    <row r="3059" spans="1:24" x14ac:dyDescent="0.25">
      <c r="A3059">
        <v>3055</v>
      </c>
      <c r="B3059" t="s">
        <v>29</v>
      </c>
      <c r="C3059" t="s">
        <v>27</v>
      </c>
      <c r="D3059">
        <v>16</v>
      </c>
      <c r="E3059" t="s">
        <v>2742</v>
      </c>
      <c r="F3059" t="s">
        <v>115</v>
      </c>
      <c r="G3059">
        <v>3973</v>
      </c>
      <c r="H3059" t="s">
        <v>2830</v>
      </c>
      <c r="I3059" t="s">
        <v>2831</v>
      </c>
      <c r="J3059">
        <v>12</v>
      </c>
      <c r="K3059">
        <v>4</v>
      </c>
      <c r="L3059">
        <v>2.8935185185185184E-3</v>
      </c>
      <c r="M3059" t="s">
        <v>778</v>
      </c>
      <c r="N3059" t="s">
        <v>1230</v>
      </c>
      <c r="O3059" s="24">
        <v>46135</v>
      </c>
      <c r="P3059">
        <v>606</v>
      </c>
      <c r="Q3059" t="s">
        <v>34</v>
      </c>
      <c r="X3059" t="s">
        <v>3786</v>
      </c>
    </row>
    <row r="3060" spans="1:24" x14ac:dyDescent="0.25">
      <c r="A3060">
        <v>3056</v>
      </c>
      <c r="B3060" t="s">
        <v>29</v>
      </c>
      <c r="C3060" t="s">
        <v>27</v>
      </c>
      <c r="D3060">
        <v>16</v>
      </c>
      <c r="E3060" t="s">
        <v>1279</v>
      </c>
      <c r="F3060" t="s">
        <v>44</v>
      </c>
      <c r="G3060">
        <v>4243</v>
      </c>
      <c r="H3060" t="s">
        <v>54</v>
      </c>
      <c r="I3060" t="s">
        <v>1119</v>
      </c>
      <c r="J3060">
        <v>8</v>
      </c>
      <c r="K3060">
        <v>23</v>
      </c>
      <c r="L3060">
        <v>2.8460648148148148E-2</v>
      </c>
      <c r="M3060" t="s">
        <v>778</v>
      </c>
      <c r="N3060" t="s">
        <v>1253</v>
      </c>
      <c r="O3060" s="24">
        <v>46135</v>
      </c>
      <c r="P3060">
        <v>605</v>
      </c>
      <c r="Q3060" t="s">
        <v>34</v>
      </c>
      <c r="X3060" t="s">
        <v>3787</v>
      </c>
    </row>
    <row r="3061" spans="1:24" x14ac:dyDescent="0.25">
      <c r="A3061">
        <v>3057</v>
      </c>
      <c r="B3061" t="s">
        <v>29</v>
      </c>
      <c r="C3061" t="s">
        <v>27</v>
      </c>
      <c r="D3061">
        <v>16</v>
      </c>
      <c r="E3061" t="s">
        <v>1277</v>
      </c>
      <c r="F3061" t="s">
        <v>44</v>
      </c>
      <c r="G3061">
        <v>4242</v>
      </c>
      <c r="H3061" t="s">
        <v>54</v>
      </c>
      <c r="I3061" t="s">
        <v>1119</v>
      </c>
      <c r="J3061">
        <v>8</v>
      </c>
      <c r="K3061">
        <v>23</v>
      </c>
      <c r="L3061">
        <v>2.8460648148148148E-2</v>
      </c>
      <c r="M3061" t="s">
        <v>778</v>
      </c>
      <c r="N3061" t="s">
        <v>1253</v>
      </c>
      <c r="O3061" s="24">
        <v>46135</v>
      </c>
      <c r="P3061">
        <v>605</v>
      </c>
      <c r="Q3061" t="s">
        <v>34</v>
      </c>
      <c r="X3061" t="s">
        <v>3788</v>
      </c>
    </row>
    <row r="3062" spans="1:24" x14ac:dyDescent="0.25">
      <c r="A3062">
        <v>3058</v>
      </c>
      <c r="B3062" t="s">
        <v>29</v>
      </c>
      <c r="C3062" t="s">
        <v>27</v>
      </c>
      <c r="D3062">
        <v>16</v>
      </c>
      <c r="E3062" t="s">
        <v>1275</v>
      </c>
      <c r="F3062" t="s">
        <v>44</v>
      </c>
      <c r="G3062">
        <v>4241</v>
      </c>
      <c r="H3062" t="s">
        <v>54</v>
      </c>
      <c r="I3062" t="s">
        <v>1119</v>
      </c>
      <c r="J3062">
        <v>8</v>
      </c>
      <c r="K3062">
        <v>23</v>
      </c>
      <c r="L3062">
        <v>2.8460648148148148E-2</v>
      </c>
      <c r="M3062" t="s">
        <v>778</v>
      </c>
      <c r="N3062" t="s">
        <v>1253</v>
      </c>
      <c r="O3062" s="24">
        <v>46135</v>
      </c>
      <c r="P3062">
        <v>605</v>
      </c>
      <c r="Q3062" t="s">
        <v>34</v>
      </c>
      <c r="X3062" t="s">
        <v>3789</v>
      </c>
    </row>
    <row r="3063" spans="1:24" x14ac:dyDescent="0.25">
      <c r="A3063">
        <v>3059</v>
      </c>
      <c r="B3063" t="s">
        <v>29</v>
      </c>
      <c r="C3063" t="s">
        <v>27</v>
      </c>
      <c r="D3063">
        <v>16</v>
      </c>
      <c r="E3063" t="s">
        <v>2835</v>
      </c>
      <c r="F3063" t="s">
        <v>44</v>
      </c>
      <c r="G3063">
        <v>3669</v>
      </c>
      <c r="H3063" t="s">
        <v>45</v>
      </c>
      <c r="I3063" t="s">
        <v>1119</v>
      </c>
      <c r="J3063">
        <v>8</v>
      </c>
      <c r="K3063">
        <v>15</v>
      </c>
      <c r="L3063">
        <v>1.9444444444444445E-2</v>
      </c>
      <c r="M3063" t="s">
        <v>778</v>
      </c>
      <c r="N3063" t="s">
        <v>1253</v>
      </c>
      <c r="O3063" s="24">
        <v>46135</v>
      </c>
      <c r="P3063">
        <v>605</v>
      </c>
      <c r="Q3063" t="s">
        <v>34</v>
      </c>
      <c r="X3063" t="s">
        <v>3790</v>
      </c>
    </row>
    <row r="3064" spans="1:24" x14ac:dyDescent="0.25">
      <c r="A3064">
        <v>3060</v>
      </c>
      <c r="B3064" t="s">
        <v>29</v>
      </c>
      <c r="C3064" t="s">
        <v>27</v>
      </c>
      <c r="D3064">
        <v>16</v>
      </c>
      <c r="E3064" t="s">
        <v>2837</v>
      </c>
      <c r="F3064" t="s">
        <v>44</v>
      </c>
      <c r="G3064">
        <v>3669</v>
      </c>
      <c r="H3064" t="s">
        <v>54</v>
      </c>
      <c r="I3064" t="s">
        <v>1119</v>
      </c>
      <c r="J3064">
        <v>8</v>
      </c>
      <c r="K3064">
        <v>8</v>
      </c>
      <c r="L3064">
        <v>9.3402777777777772E-3</v>
      </c>
      <c r="M3064" t="s">
        <v>778</v>
      </c>
      <c r="N3064" t="s">
        <v>1253</v>
      </c>
      <c r="O3064" s="24">
        <v>46135</v>
      </c>
      <c r="P3064">
        <v>605</v>
      </c>
      <c r="Q3064" t="s">
        <v>34</v>
      </c>
      <c r="X3064" t="s">
        <v>3790</v>
      </c>
    </row>
    <row r="3065" spans="1:24" x14ac:dyDescent="0.25">
      <c r="A3065">
        <v>3061</v>
      </c>
      <c r="B3065" t="s">
        <v>29</v>
      </c>
      <c r="C3065" t="s">
        <v>27</v>
      </c>
      <c r="D3065">
        <v>16</v>
      </c>
      <c r="E3065" t="s">
        <v>1264</v>
      </c>
      <c r="F3065" t="s">
        <v>44</v>
      </c>
      <c r="G3065">
        <v>3670</v>
      </c>
      <c r="H3065" t="s">
        <v>45</v>
      </c>
      <c r="I3065" t="s">
        <v>1119</v>
      </c>
      <c r="J3065">
        <v>8</v>
      </c>
      <c r="K3065">
        <v>23</v>
      </c>
      <c r="L3065">
        <v>2.8912037037037035E-2</v>
      </c>
      <c r="M3065" t="s">
        <v>778</v>
      </c>
      <c r="N3065" t="s">
        <v>1253</v>
      </c>
      <c r="O3065" s="24">
        <v>46135</v>
      </c>
      <c r="P3065">
        <v>605</v>
      </c>
      <c r="Q3065" t="s">
        <v>34</v>
      </c>
      <c r="X3065" t="s">
        <v>3791</v>
      </c>
    </row>
    <row r="3066" spans="1:24" x14ac:dyDescent="0.25">
      <c r="A3066">
        <v>3062</v>
      </c>
      <c r="B3066" t="s">
        <v>29</v>
      </c>
      <c r="C3066" t="s">
        <v>27</v>
      </c>
      <c r="D3066">
        <v>16</v>
      </c>
      <c r="E3066" t="s">
        <v>1266</v>
      </c>
      <c r="F3066" t="s">
        <v>44</v>
      </c>
      <c r="G3066">
        <v>3671</v>
      </c>
      <c r="H3066" t="s">
        <v>45</v>
      </c>
      <c r="I3066" t="s">
        <v>1119</v>
      </c>
      <c r="J3066">
        <v>8</v>
      </c>
      <c r="K3066">
        <v>23</v>
      </c>
      <c r="L3066">
        <v>2.8912037037037035E-2</v>
      </c>
      <c r="M3066" t="s">
        <v>778</v>
      </c>
      <c r="N3066" t="s">
        <v>1253</v>
      </c>
      <c r="O3066" s="24">
        <v>46135</v>
      </c>
      <c r="P3066">
        <v>605</v>
      </c>
      <c r="Q3066" t="s">
        <v>34</v>
      </c>
      <c r="X3066" t="s">
        <v>3792</v>
      </c>
    </row>
    <row r="3067" spans="1:24" x14ac:dyDescent="0.25">
      <c r="A3067">
        <v>3063</v>
      </c>
      <c r="B3067" t="s">
        <v>29</v>
      </c>
      <c r="C3067" t="s">
        <v>27</v>
      </c>
      <c r="D3067">
        <v>16</v>
      </c>
      <c r="E3067" t="s">
        <v>2840</v>
      </c>
      <c r="F3067" t="s">
        <v>44</v>
      </c>
      <c r="G3067">
        <v>4240</v>
      </c>
      <c r="H3067" t="s">
        <v>45</v>
      </c>
      <c r="I3067" t="s">
        <v>1119</v>
      </c>
      <c r="J3067">
        <v>8</v>
      </c>
      <c r="K3067">
        <v>22</v>
      </c>
      <c r="L3067">
        <v>2.7199074074074073E-2</v>
      </c>
      <c r="M3067" t="s">
        <v>778</v>
      </c>
      <c r="N3067" t="s">
        <v>1253</v>
      </c>
      <c r="O3067" s="24">
        <v>46135</v>
      </c>
      <c r="P3067">
        <v>605</v>
      </c>
      <c r="Q3067" t="s">
        <v>34</v>
      </c>
      <c r="X3067" t="s">
        <v>3793</v>
      </c>
    </row>
    <row r="3068" spans="1:24" x14ac:dyDescent="0.25">
      <c r="A3068">
        <v>3064</v>
      </c>
      <c r="B3068" t="s">
        <v>29</v>
      </c>
      <c r="C3068" t="s">
        <v>27</v>
      </c>
      <c r="D3068">
        <v>16</v>
      </c>
      <c r="E3068" t="s">
        <v>2195</v>
      </c>
      <c r="F3068" t="s">
        <v>44</v>
      </c>
      <c r="G3068">
        <v>4240</v>
      </c>
      <c r="H3068" t="s">
        <v>48</v>
      </c>
      <c r="I3068" t="s">
        <v>1119</v>
      </c>
      <c r="J3068">
        <v>8</v>
      </c>
      <c r="K3068">
        <v>1</v>
      </c>
      <c r="L3068">
        <v>1.2268518518518518E-3</v>
      </c>
      <c r="M3068" t="s">
        <v>778</v>
      </c>
      <c r="N3068" t="s">
        <v>1253</v>
      </c>
      <c r="O3068" s="24">
        <v>46135</v>
      </c>
      <c r="P3068">
        <v>605</v>
      </c>
      <c r="Q3068" t="s">
        <v>34</v>
      </c>
      <c r="X3068" t="s">
        <v>3793</v>
      </c>
    </row>
    <row r="3069" spans="1:24" x14ac:dyDescent="0.25">
      <c r="A3069">
        <v>3065</v>
      </c>
      <c r="B3069" t="s">
        <v>29</v>
      </c>
      <c r="C3069" t="s">
        <v>27</v>
      </c>
      <c r="D3069">
        <v>16</v>
      </c>
      <c r="E3069" t="s">
        <v>49</v>
      </c>
      <c r="F3069" t="s">
        <v>44</v>
      </c>
      <c r="G3069">
        <v>3686</v>
      </c>
      <c r="H3069" t="s">
        <v>48</v>
      </c>
      <c r="I3069" t="s">
        <v>1119</v>
      </c>
      <c r="J3069">
        <v>8</v>
      </c>
      <c r="K3069">
        <v>23</v>
      </c>
      <c r="L3069">
        <v>2.9594907407407407E-2</v>
      </c>
      <c r="M3069" t="s">
        <v>3079</v>
      </c>
      <c r="X3069" t="s">
        <v>3794</v>
      </c>
    </row>
    <row r="3070" spans="1:24" x14ac:dyDescent="0.25">
      <c r="A3070">
        <v>3066</v>
      </c>
      <c r="B3070" t="s">
        <v>29</v>
      </c>
      <c r="C3070" t="s">
        <v>27</v>
      </c>
      <c r="D3070">
        <v>16</v>
      </c>
      <c r="E3070" t="s">
        <v>49</v>
      </c>
      <c r="F3070" t="s">
        <v>44</v>
      </c>
      <c r="G3070">
        <v>3687</v>
      </c>
      <c r="H3070" t="s">
        <v>48</v>
      </c>
      <c r="I3070" t="s">
        <v>1119</v>
      </c>
      <c r="J3070">
        <v>8</v>
      </c>
      <c r="K3070">
        <v>23</v>
      </c>
      <c r="L3070">
        <v>2.9594907407407407E-2</v>
      </c>
      <c r="M3070" t="s">
        <v>3079</v>
      </c>
      <c r="X3070" t="s">
        <v>3795</v>
      </c>
    </row>
    <row r="3071" spans="1:24" x14ac:dyDescent="0.25">
      <c r="A3071">
        <v>3067</v>
      </c>
      <c r="B3071" t="s">
        <v>29</v>
      </c>
      <c r="C3071" t="s">
        <v>27</v>
      </c>
      <c r="D3071">
        <v>16</v>
      </c>
      <c r="E3071" t="s">
        <v>49</v>
      </c>
      <c r="F3071" t="s">
        <v>44</v>
      </c>
      <c r="G3071">
        <v>3688</v>
      </c>
      <c r="H3071" t="s">
        <v>48</v>
      </c>
      <c r="I3071" t="s">
        <v>1119</v>
      </c>
      <c r="J3071">
        <v>8</v>
      </c>
      <c r="K3071">
        <v>23</v>
      </c>
      <c r="L3071">
        <v>2.9594907407407407E-2</v>
      </c>
      <c r="M3071" t="s">
        <v>3079</v>
      </c>
      <c r="X3071" t="s">
        <v>3796</v>
      </c>
    </row>
    <row r="3072" spans="1:24" x14ac:dyDescent="0.25">
      <c r="A3072">
        <v>3068</v>
      </c>
      <c r="B3072" t="s">
        <v>29</v>
      </c>
      <c r="C3072" t="s">
        <v>27</v>
      </c>
      <c r="D3072">
        <v>16</v>
      </c>
      <c r="E3072" t="s">
        <v>367</v>
      </c>
      <c r="F3072" t="s">
        <v>368</v>
      </c>
      <c r="G3072">
        <v>4188</v>
      </c>
      <c r="H3072" t="s">
        <v>1677</v>
      </c>
      <c r="I3072" t="s">
        <v>1674</v>
      </c>
      <c r="J3072">
        <v>16</v>
      </c>
      <c r="K3072">
        <v>1</v>
      </c>
      <c r="L3072">
        <v>1.6087962962962963E-3</v>
      </c>
      <c r="M3072" t="s">
        <v>778</v>
      </c>
      <c r="N3072" t="s">
        <v>871</v>
      </c>
      <c r="O3072" s="24">
        <v>46128</v>
      </c>
      <c r="P3072">
        <v>606</v>
      </c>
      <c r="Q3072" t="s">
        <v>34</v>
      </c>
      <c r="X3072" t="s">
        <v>3797</v>
      </c>
    </row>
    <row r="3073" spans="1:24" x14ac:dyDescent="0.25">
      <c r="A3073">
        <v>3069</v>
      </c>
      <c r="B3073" t="s">
        <v>29</v>
      </c>
      <c r="C3073" t="s">
        <v>27</v>
      </c>
      <c r="D3073">
        <v>16</v>
      </c>
      <c r="E3073" t="s">
        <v>367</v>
      </c>
      <c r="F3073" t="s">
        <v>368</v>
      </c>
      <c r="G3073">
        <v>4188</v>
      </c>
      <c r="H3073" t="s">
        <v>1673</v>
      </c>
      <c r="I3073" t="s">
        <v>1674</v>
      </c>
      <c r="J3073">
        <v>16</v>
      </c>
      <c r="K3073">
        <v>1</v>
      </c>
      <c r="L3073">
        <v>1.6087962962962963E-3</v>
      </c>
      <c r="M3073" t="s">
        <v>778</v>
      </c>
      <c r="N3073" t="s">
        <v>871</v>
      </c>
      <c r="O3073" s="24">
        <v>46128</v>
      </c>
      <c r="P3073">
        <v>606</v>
      </c>
      <c r="Q3073" t="s">
        <v>34</v>
      </c>
      <c r="X3073" t="s">
        <v>3797</v>
      </c>
    </row>
    <row r="3074" spans="1:24" x14ac:dyDescent="0.25">
      <c r="A3074">
        <v>3070</v>
      </c>
      <c r="B3074" t="s">
        <v>29</v>
      </c>
      <c r="C3074" t="s">
        <v>27</v>
      </c>
      <c r="D3074">
        <v>16</v>
      </c>
      <c r="E3074" t="s">
        <v>367</v>
      </c>
      <c r="F3074" t="s">
        <v>367</v>
      </c>
      <c r="G3074">
        <v>4188</v>
      </c>
      <c r="H3074" t="s">
        <v>1772</v>
      </c>
      <c r="I3074" t="s">
        <v>1771</v>
      </c>
      <c r="J3074">
        <v>16</v>
      </c>
      <c r="K3074">
        <v>1</v>
      </c>
      <c r="L3074">
        <v>1.0763888888888889E-3</v>
      </c>
      <c r="M3074" t="s">
        <v>778</v>
      </c>
      <c r="N3074" t="s">
        <v>871</v>
      </c>
      <c r="O3074" s="24">
        <v>46128</v>
      </c>
      <c r="P3074">
        <v>606</v>
      </c>
      <c r="Q3074" t="s">
        <v>34</v>
      </c>
      <c r="X3074" t="s">
        <v>3797</v>
      </c>
    </row>
    <row r="3075" spans="1:24" x14ac:dyDescent="0.25">
      <c r="A3075">
        <v>3071</v>
      </c>
      <c r="B3075" t="s">
        <v>29</v>
      </c>
      <c r="C3075" t="s">
        <v>27</v>
      </c>
      <c r="D3075">
        <v>16</v>
      </c>
      <c r="E3075" t="s">
        <v>367</v>
      </c>
      <c r="F3075" t="s">
        <v>367</v>
      </c>
      <c r="G3075">
        <v>4188</v>
      </c>
      <c r="H3075" t="s">
        <v>1770</v>
      </c>
      <c r="I3075" t="s">
        <v>1771</v>
      </c>
      <c r="J3075">
        <v>16</v>
      </c>
      <c r="K3075">
        <v>1</v>
      </c>
      <c r="L3075">
        <v>1.1342592592592591E-3</v>
      </c>
      <c r="M3075" t="s">
        <v>778</v>
      </c>
      <c r="N3075" t="s">
        <v>871</v>
      </c>
      <c r="O3075" s="24">
        <v>46128</v>
      </c>
      <c r="P3075">
        <v>606</v>
      </c>
      <c r="Q3075" t="s">
        <v>34</v>
      </c>
      <c r="X3075" t="s">
        <v>3797</v>
      </c>
    </row>
    <row r="3076" spans="1:24" x14ac:dyDescent="0.25">
      <c r="A3076">
        <v>3072</v>
      </c>
      <c r="B3076" t="s">
        <v>29</v>
      </c>
      <c r="C3076" t="s">
        <v>27</v>
      </c>
      <c r="D3076">
        <v>16</v>
      </c>
      <c r="E3076" t="s">
        <v>829</v>
      </c>
      <c r="F3076" t="s">
        <v>367</v>
      </c>
      <c r="G3076">
        <v>4188</v>
      </c>
      <c r="H3076" t="s">
        <v>1682</v>
      </c>
      <c r="I3076" t="s">
        <v>2776</v>
      </c>
      <c r="J3076">
        <v>16</v>
      </c>
      <c r="K3076">
        <v>1</v>
      </c>
      <c r="L3076">
        <v>1.8634259259259259E-3</v>
      </c>
      <c r="M3076" t="s">
        <v>778</v>
      </c>
      <c r="N3076" t="s">
        <v>871</v>
      </c>
      <c r="O3076" s="24">
        <v>46128</v>
      </c>
      <c r="P3076">
        <v>606</v>
      </c>
      <c r="Q3076" t="s">
        <v>34</v>
      </c>
      <c r="X3076" t="s">
        <v>3797</v>
      </c>
    </row>
    <row r="3077" spans="1:24" x14ac:dyDescent="0.25">
      <c r="A3077">
        <v>3073</v>
      </c>
      <c r="B3077" t="s">
        <v>29</v>
      </c>
      <c r="C3077" t="s">
        <v>27</v>
      </c>
      <c r="D3077">
        <v>16</v>
      </c>
      <c r="E3077" t="s">
        <v>829</v>
      </c>
      <c r="F3077" t="s">
        <v>367</v>
      </c>
      <c r="G3077">
        <v>4188</v>
      </c>
      <c r="H3077" t="s">
        <v>2502</v>
      </c>
      <c r="I3077" t="s">
        <v>2503</v>
      </c>
      <c r="J3077">
        <v>16</v>
      </c>
      <c r="K3077">
        <v>1</v>
      </c>
      <c r="L3077">
        <v>1.5393518518518519E-3</v>
      </c>
      <c r="M3077" t="s">
        <v>778</v>
      </c>
      <c r="N3077" t="s">
        <v>871</v>
      </c>
      <c r="O3077" s="24">
        <v>46128</v>
      </c>
      <c r="P3077">
        <v>606</v>
      </c>
      <c r="Q3077" t="s">
        <v>34</v>
      </c>
      <c r="X3077" t="s">
        <v>3797</v>
      </c>
    </row>
    <row r="3078" spans="1:24" x14ac:dyDescent="0.25">
      <c r="A3078">
        <v>3074</v>
      </c>
      <c r="B3078" t="s">
        <v>29</v>
      </c>
      <c r="C3078" t="s">
        <v>27</v>
      </c>
      <c r="D3078">
        <v>16</v>
      </c>
      <c r="E3078" t="s">
        <v>367</v>
      </c>
      <c r="F3078" t="s">
        <v>367</v>
      </c>
      <c r="G3078">
        <v>4188</v>
      </c>
      <c r="H3078" t="s">
        <v>1684</v>
      </c>
      <c r="I3078" t="s">
        <v>2777</v>
      </c>
      <c r="J3078">
        <v>16</v>
      </c>
      <c r="K3078">
        <v>1</v>
      </c>
      <c r="L3078">
        <v>1.1574074074074073E-3</v>
      </c>
      <c r="M3078" t="s">
        <v>778</v>
      </c>
      <c r="N3078" t="s">
        <v>871</v>
      </c>
      <c r="O3078" s="24">
        <v>46128</v>
      </c>
      <c r="P3078">
        <v>606</v>
      </c>
      <c r="Q3078" t="s">
        <v>34</v>
      </c>
      <c r="X3078" t="s">
        <v>3797</v>
      </c>
    </row>
    <row r="3079" spans="1:24" x14ac:dyDescent="0.25">
      <c r="A3079">
        <v>3075</v>
      </c>
      <c r="B3079" t="s">
        <v>29</v>
      </c>
      <c r="C3079" t="s">
        <v>27</v>
      </c>
      <c r="D3079">
        <v>16</v>
      </c>
      <c r="E3079" t="s">
        <v>829</v>
      </c>
      <c r="F3079" t="s">
        <v>367</v>
      </c>
      <c r="G3079">
        <v>4188</v>
      </c>
      <c r="H3079" t="s">
        <v>2504</v>
      </c>
      <c r="I3079" t="s">
        <v>2503</v>
      </c>
      <c r="J3079">
        <v>16</v>
      </c>
      <c r="K3079">
        <v>1</v>
      </c>
      <c r="L3079">
        <v>1.5393518518518519E-3</v>
      </c>
      <c r="M3079" t="s">
        <v>778</v>
      </c>
      <c r="N3079" t="s">
        <v>871</v>
      </c>
      <c r="O3079" s="24">
        <v>46128</v>
      </c>
      <c r="P3079">
        <v>606</v>
      </c>
      <c r="Q3079" t="s">
        <v>34</v>
      </c>
      <c r="X3079" t="s">
        <v>3797</v>
      </c>
    </row>
    <row r="3080" spans="1:24" x14ac:dyDescent="0.25">
      <c r="A3080">
        <v>3076</v>
      </c>
      <c r="B3080" t="s">
        <v>29</v>
      </c>
      <c r="C3080" t="s">
        <v>27</v>
      </c>
      <c r="D3080">
        <v>16</v>
      </c>
      <c r="E3080" t="s">
        <v>829</v>
      </c>
      <c r="F3080" t="s">
        <v>367</v>
      </c>
      <c r="G3080">
        <v>4188</v>
      </c>
      <c r="H3080" t="s">
        <v>1687</v>
      </c>
      <c r="I3080" t="s">
        <v>2776</v>
      </c>
      <c r="J3080">
        <v>16</v>
      </c>
      <c r="K3080">
        <v>1</v>
      </c>
      <c r="L3080">
        <v>1.9212962962962962E-3</v>
      </c>
      <c r="M3080" t="s">
        <v>778</v>
      </c>
      <c r="N3080" t="s">
        <v>871</v>
      </c>
      <c r="O3080" s="24">
        <v>46128</v>
      </c>
      <c r="P3080">
        <v>606</v>
      </c>
      <c r="Q3080" t="s">
        <v>34</v>
      </c>
      <c r="X3080" t="s">
        <v>3797</v>
      </c>
    </row>
    <row r="3081" spans="1:24" x14ac:dyDescent="0.25">
      <c r="A3081">
        <v>3077</v>
      </c>
      <c r="B3081" t="s">
        <v>29</v>
      </c>
      <c r="C3081" t="s">
        <v>27</v>
      </c>
      <c r="D3081">
        <v>16</v>
      </c>
      <c r="E3081" t="s">
        <v>367</v>
      </c>
      <c r="F3081" t="s">
        <v>512</v>
      </c>
      <c r="G3081">
        <v>4188</v>
      </c>
      <c r="H3081" t="s">
        <v>1792</v>
      </c>
      <c r="I3081" t="s">
        <v>1752</v>
      </c>
      <c r="J3081">
        <v>16</v>
      </c>
      <c r="K3081">
        <v>3</v>
      </c>
      <c r="L3081">
        <v>2.5115740740740741E-3</v>
      </c>
      <c r="M3081" t="s">
        <v>778</v>
      </c>
      <c r="N3081" t="s">
        <v>871</v>
      </c>
      <c r="O3081" s="24">
        <v>46128</v>
      </c>
      <c r="P3081">
        <v>606</v>
      </c>
      <c r="Q3081" t="s">
        <v>34</v>
      </c>
      <c r="X3081" t="s">
        <v>3797</v>
      </c>
    </row>
    <row r="3082" spans="1:24" x14ac:dyDescent="0.25">
      <c r="A3082">
        <v>3078</v>
      </c>
      <c r="B3082" t="s">
        <v>29</v>
      </c>
      <c r="C3082" t="s">
        <v>27</v>
      </c>
      <c r="D3082">
        <v>16</v>
      </c>
      <c r="E3082" t="s">
        <v>367</v>
      </c>
      <c r="F3082" t="s">
        <v>512</v>
      </c>
      <c r="G3082">
        <v>4188</v>
      </c>
      <c r="H3082" t="s">
        <v>1751</v>
      </c>
      <c r="I3082" t="s">
        <v>1752</v>
      </c>
      <c r="J3082">
        <v>16</v>
      </c>
      <c r="K3082">
        <v>3</v>
      </c>
      <c r="L3082">
        <v>3.3680555555555556E-3</v>
      </c>
      <c r="M3082" t="s">
        <v>778</v>
      </c>
      <c r="N3082" t="s">
        <v>871</v>
      </c>
      <c r="O3082" s="24">
        <v>46128</v>
      </c>
      <c r="P3082">
        <v>606</v>
      </c>
      <c r="Q3082" t="s">
        <v>34</v>
      </c>
      <c r="X3082" t="s">
        <v>3797</v>
      </c>
    </row>
    <row r="3083" spans="1:24" x14ac:dyDescent="0.25">
      <c r="A3083">
        <v>3079</v>
      </c>
      <c r="B3083" t="s">
        <v>29</v>
      </c>
      <c r="C3083" t="s">
        <v>27</v>
      </c>
      <c r="D3083">
        <v>16</v>
      </c>
      <c r="E3083" t="s">
        <v>367</v>
      </c>
      <c r="F3083" t="s">
        <v>512</v>
      </c>
      <c r="G3083">
        <v>4188</v>
      </c>
      <c r="H3083" t="s">
        <v>1753</v>
      </c>
      <c r="I3083" t="s">
        <v>1752</v>
      </c>
      <c r="J3083">
        <v>16</v>
      </c>
      <c r="K3083">
        <v>3</v>
      </c>
      <c r="L3083">
        <v>2.5115740740740741E-3</v>
      </c>
      <c r="M3083" t="s">
        <v>778</v>
      </c>
      <c r="N3083" t="s">
        <v>871</v>
      </c>
      <c r="O3083" s="24">
        <v>46128</v>
      </c>
      <c r="P3083">
        <v>606</v>
      </c>
      <c r="Q3083" t="s">
        <v>34</v>
      </c>
      <c r="X3083" t="s">
        <v>3797</v>
      </c>
    </row>
    <row r="3084" spans="1:24" x14ac:dyDescent="0.25">
      <c r="A3084">
        <v>3080</v>
      </c>
      <c r="B3084" t="s">
        <v>29</v>
      </c>
      <c r="C3084" t="s">
        <v>27</v>
      </c>
      <c r="D3084">
        <v>16</v>
      </c>
      <c r="E3084" t="s">
        <v>367</v>
      </c>
      <c r="F3084" t="s">
        <v>512</v>
      </c>
      <c r="G3084">
        <v>4188</v>
      </c>
      <c r="H3084" t="s">
        <v>1725</v>
      </c>
      <c r="I3084" t="s">
        <v>1726</v>
      </c>
      <c r="J3084">
        <v>16</v>
      </c>
      <c r="K3084">
        <v>1</v>
      </c>
      <c r="L3084">
        <v>9.2592592592592585E-4</v>
      </c>
      <c r="M3084" t="s">
        <v>778</v>
      </c>
      <c r="N3084" t="s">
        <v>871</v>
      </c>
      <c r="O3084" s="24">
        <v>46128</v>
      </c>
      <c r="P3084">
        <v>606</v>
      </c>
      <c r="Q3084" t="s">
        <v>34</v>
      </c>
      <c r="X3084" t="s">
        <v>3797</v>
      </c>
    </row>
    <row r="3085" spans="1:24" x14ac:dyDescent="0.25">
      <c r="A3085">
        <v>3081</v>
      </c>
      <c r="B3085" t="s">
        <v>29</v>
      </c>
      <c r="C3085" t="s">
        <v>27</v>
      </c>
      <c r="D3085">
        <v>16</v>
      </c>
      <c r="E3085" t="s">
        <v>367</v>
      </c>
      <c r="F3085" t="s">
        <v>512</v>
      </c>
      <c r="G3085">
        <v>4188</v>
      </c>
      <c r="H3085" t="s">
        <v>1727</v>
      </c>
      <c r="I3085" t="s">
        <v>1726</v>
      </c>
      <c r="J3085">
        <v>16</v>
      </c>
      <c r="K3085">
        <v>1</v>
      </c>
      <c r="L3085">
        <v>1.1226851851851851E-3</v>
      </c>
      <c r="M3085" t="s">
        <v>778</v>
      </c>
      <c r="N3085" t="s">
        <v>871</v>
      </c>
      <c r="O3085" s="24">
        <v>46128</v>
      </c>
      <c r="P3085">
        <v>606</v>
      </c>
      <c r="Q3085" t="s">
        <v>34</v>
      </c>
      <c r="X3085" t="s">
        <v>3797</v>
      </c>
    </row>
    <row r="3086" spans="1:24" x14ac:dyDescent="0.25">
      <c r="A3086">
        <v>3082</v>
      </c>
      <c r="B3086" t="s">
        <v>29</v>
      </c>
      <c r="C3086" t="s">
        <v>27</v>
      </c>
      <c r="D3086">
        <v>16</v>
      </c>
      <c r="E3086" t="s">
        <v>2763</v>
      </c>
      <c r="F3086" t="s">
        <v>512</v>
      </c>
      <c r="G3086">
        <v>4188</v>
      </c>
      <c r="H3086" t="s">
        <v>2774</v>
      </c>
      <c r="I3086" t="s">
        <v>1714</v>
      </c>
      <c r="J3086">
        <v>16</v>
      </c>
      <c r="K3086">
        <v>1</v>
      </c>
      <c r="L3086">
        <v>6.2500000000000001E-4</v>
      </c>
      <c r="M3086" t="s">
        <v>778</v>
      </c>
      <c r="N3086" t="s">
        <v>871</v>
      </c>
      <c r="O3086" s="24">
        <v>46128</v>
      </c>
      <c r="P3086">
        <v>606</v>
      </c>
      <c r="Q3086" t="s">
        <v>34</v>
      </c>
      <c r="X3086" t="s">
        <v>3797</v>
      </c>
    </row>
    <row r="3087" spans="1:24" x14ac:dyDescent="0.25">
      <c r="A3087">
        <v>3083</v>
      </c>
      <c r="B3087" t="s">
        <v>29</v>
      </c>
      <c r="C3087" t="s">
        <v>27</v>
      </c>
      <c r="D3087">
        <v>16</v>
      </c>
      <c r="E3087" t="s">
        <v>1588</v>
      </c>
      <c r="F3087" t="s">
        <v>1588</v>
      </c>
      <c r="G3087">
        <v>4188</v>
      </c>
      <c r="H3087" t="s">
        <v>1713</v>
      </c>
      <c r="I3087" t="s">
        <v>1714</v>
      </c>
      <c r="J3087">
        <v>16</v>
      </c>
      <c r="K3087">
        <v>3</v>
      </c>
      <c r="L3087">
        <v>1.8981481481481482E-3</v>
      </c>
      <c r="M3087" t="s">
        <v>778</v>
      </c>
      <c r="N3087" t="s">
        <v>871</v>
      </c>
      <c r="O3087" s="24">
        <v>46128</v>
      </c>
      <c r="P3087">
        <v>606</v>
      </c>
      <c r="Q3087" t="s">
        <v>34</v>
      </c>
      <c r="X3087" t="s">
        <v>3797</v>
      </c>
    </row>
    <row r="3088" spans="1:24" x14ac:dyDescent="0.25">
      <c r="A3088">
        <v>3084</v>
      </c>
      <c r="B3088" t="s">
        <v>29</v>
      </c>
      <c r="C3088" t="s">
        <v>27</v>
      </c>
      <c r="D3088">
        <v>16</v>
      </c>
      <c r="E3088" t="s">
        <v>367</v>
      </c>
      <c r="F3088" t="s">
        <v>512</v>
      </c>
      <c r="G3088">
        <v>4188</v>
      </c>
      <c r="H3088" t="s">
        <v>2638</v>
      </c>
      <c r="I3088" t="s">
        <v>1780</v>
      </c>
      <c r="J3088">
        <v>16</v>
      </c>
      <c r="K3088">
        <v>1</v>
      </c>
      <c r="L3088">
        <v>8.7962962962962962E-4</v>
      </c>
      <c r="M3088" t="s">
        <v>778</v>
      </c>
      <c r="N3088" t="s">
        <v>871</v>
      </c>
      <c r="O3088" s="24">
        <v>46128</v>
      </c>
      <c r="P3088">
        <v>606</v>
      </c>
      <c r="Q3088" t="s">
        <v>34</v>
      </c>
      <c r="X3088" t="s">
        <v>3797</v>
      </c>
    </row>
    <row r="3089" spans="1:24" x14ac:dyDescent="0.25">
      <c r="A3089">
        <v>3085</v>
      </c>
      <c r="B3089" t="s">
        <v>29</v>
      </c>
      <c r="C3089" t="s">
        <v>27</v>
      </c>
      <c r="D3089">
        <v>16</v>
      </c>
      <c r="E3089" t="s">
        <v>367</v>
      </c>
      <c r="F3089" t="s">
        <v>512</v>
      </c>
      <c r="G3089">
        <v>4188</v>
      </c>
      <c r="H3089" t="s">
        <v>1779</v>
      </c>
      <c r="I3089" t="s">
        <v>1780</v>
      </c>
      <c r="J3089">
        <v>16</v>
      </c>
      <c r="K3089">
        <v>4</v>
      </c>
      <c r="L3089">
        <v>3.5532407407407405E-3</v>
      </c>
      <c r="M3089" t="s">
        <v>778</v>
      </c>
      <c r="N3089" t="s">
        <v>871</v>
      </c>
      <c r="O3089" s="24">
        <v>46128</v>
      </c>
      <c r="P3089">
        <v>606</v>
      </c>
      <c r="Q3089" t="s">
        <v>34</v>
      </c>
      <c r="X3089" t="s">
        <v>3797</v>
      </c>
    </row>
    <row r="3090" spans="1:24" x14ac:dyDescent="0.25">
      <c r="A3090">
        <v>3086</v>
      </c>
      <c r="B3090" t="s">
        <v>29</v>
      </c>
      <c r="C3090" t="s">
        <v>27</v>
      </c>
      <c r="D3090">
        <v>16</v>
      </c>
      <c r="E3090" t="s">
        <v>367</v>
      </c>
      <c r="F3090" t="s">
        <v>368</v>
      </c>
      <c r="G3090">
        <v>4189</v>
      </c>
      <c r="H3090" t="s">
        <v>1719</v>
      </c>
      <c r="I3090" t="s">
        <v>1720</v>
      </c>
      <c r="J3090">
        <v>16</v>
      </c>
      <c r="K3090">
        <v>1</v>
      </c>
      <c r="L3090">
        <v>6.8287037037037036E-4</v>
      </c>
      <c r="M3090" t="s">
        <v>3079</v>
      </c>
      <c r="X3090" t="s">
        <v>3798</v>
      </c>
    </row>
    <row r="3091" spans="1:24" x14ac:dyDescent="0.25">
      <c r="A3091">
        <v>3087</v>
      </c>
      <c r="B3091" t="s">
        <v>29</v>
      </c>
      <c r="C3091" t="s">
        <v>27</v>
      </c>
      <c r="D3091">
        <v>16</v>
      </c>
      <c r="E3091" t="s">
        <v>367</v>
      </c>
      <c r="F3091" t="s">
        <v>368</v>
      </c>
      <c r="G3091">
        <v>4189</v>
      </c>
      <c r="H3091" t="s">
        <v>1677</v>
      </c>
      <c r="I3091" t="s">
        <v>1674</v>
      </c>
      <c r="J3091">
        <v>16</v>
      </c>
      <c r="K3091">
        <v>1</v>
      </c>
      <c r="L3091">
        <v>1.5509259259259259E-3</v>
      </c>
      <c r="M3091" t="s">
        <v>3079</v>
      </c>
      <c r="X3091" t="s">
        <v>3798</v>
      </c>
    </row>
    <row r="3092" spans="1:24" x14ac:dyDescent="0.25">
      <c r="A3092">
        <v>3088</v>
      </c>
      <c r="B3092" t="s">
        <v>29</v>
      </c>
      <c r="C3092" t="s">
        <v>27</v>
      </c>
      <c r="D3092">
        <v>16</v>
      </c>
      <c r="E3092" t="s">
        <v>367</v>
      </c>
      <c r="F3092" t="s">
        <v>368</v>
      </c>
      <c r="G3092">
        <v>4189</v>
      </c>
      <c r="H3092" t="s">
        <v>1673</v>
      </c>
      <c r="I3092" t="s">
        <v>1674</v>
      </c>
      <c r="J3092">
        <v>16</v>
      </c>
      <c r="K3092">
        <v>1</v>
      </c>
      <c r="L3092">
        <v>1.5509259259259259E-3</v>
      </c>
      <c r="M3092" t="s">
        <v>3079</v>
      </c>
      <c r="X3092" t="s">
        <v>3798</v>
      </c>
    </row>
    <row r="3093" spans="1:24" x14ac:dyDescent="0.25">
      <c r="A3093">
        <v>3089</v>
      </c>
      <c r="B3093" t="s">
        <v>29</v>
      </c>
      <c r="C3093" t="s">
        <v>27</v>
      </c>
      <c r="D3093">
        <v>16</v>
      </c>
      <c r="E3093" t="s">
        <v>367</v>
      </c>
      <c r="F3093" t="s">
        <v>368</v>
      </c>
      <c r="G3093">
        <v>4189</v>
      </c>
      <c r="H3093" t="s">
        <v>1681</v>
      </c>
      <c r="I3093" t="s">
        <v>1676</v>
      </c>
      <c r="J3093">
        <v>16</v>
      </c>
      <c r="K3093">
        <v>1</v>
      </c>
      <c r="L3093">
        <v>7.407407407407407E-4</v>
      </c>
      <c r="M3093" t="s">
        <v>3079</v>
      </c>
      <c r="X3093" t="s">
        <v>3798</v>
      </c>
    </row>
    <row r="3094" spans="1:24" x14ac:dyDescent="0.25">
      <c r="A3094">
        <v>3090</v>
      </c>
      <c r="B3094" t="s">
        <v>29</v>
      </c>
      <c r="C3094" t="s">
        <v>27</v>
      </c>
      <c r="D3094">
        <v>16</v>
      </c>
      <c r="E3094" t="s">
        <v>367</v>
      </c>
      <c r="F3094" t="s">
        <v>367</v>
      </c>
      <c r="G3094">
        <v>4189</v>
      </c>
      <c r="H3094" t="s">
        <v>1686</v>
      </c>
      <c r="I3094" t="s">
        <v>2777</v>
      </c>
      <c r="J3094">
        <v>16</v>
      </c>
      <c r="K3094">
        <v>1</v>
      </c>
      <c r="L3094">
        <v>9.1435185185185185E-4</v>
      </c>
      <c r="M3094" t="s">
        <v>3079</v>
      </c>
      <c r="X3094" t="s">
        <v>3798</v>
      </c>
    </row>
    <row r="3095" spans="1:24" x14ac:dyDescent="0.25">
      <c r="A3095">
        <v>3091</v>
      </c>
      <c r="B3095" t="s">
        <v>29</v>
      </c>
      <c r="C3095" t="s">
        <v>27</v>
      </c>
      <c r="D3095">
        <v>16</v>
      </c>
      <c r="E3095" t="s">
        <v>2778</v>
      </c>
      <c r="F3095" t="s">
        <v>1594</v>
      </c>
      <c r="G3095">
        <v>4189</v>
      </c>
      <c r="H3095" t="s">
        <v>1723</v>
      </c>
      <c r="I3095" t="s">
        <v>1724</v>
      </c>
      <c r="J3095">
        <v>16</v>
      </c>
      <c r="K3095">
        <v>1</v>
      </c>
      <c r="L3095">
        <v>8.7962962962962962E-4</v>
      </c>
      <c r="M3095" t="s">
        <v>3079</v>
      </c>
      <c r="X3095" t="s">
        <v>3798</v>
      </c>
    </row>
    <row r="3096" spans="1:24" x14ac:dyDescent="0.25">
      <c r="A3096">
        <v>3092</v>
      </c>
      <c r="B3096" t="s">
        <v>29</v>
      </c>
      <c r="C3096" t="s">
        <v>27</v>
      </c>
      <c r="D3096">
        <v>16</v>
      </c>
      <c r="E3096" t="s">
        <v>367</v>
      </c>
      <c r="F3096" t="s">
        <v>512</v>
      </c>
      <c r="G3096">
        <v>4189</v>
      </c>
      <c r="H3096" t="s">
        <v>1792</v>
      </c>
      <c r="I3096" t="s">
        <v>1752</v>
      </c>
      <c r="J3096">
        <v>16</v>
      </c>
      <c r="K3096">
        <v>2</v>
      </c>
      <c r="L3096">
        <v>1.6087962962962963E-3</v>
      </c>
      <c r="M3096" t="s">
        <v>3079</v>
      </c>
      <c r="X3096" t="s">
        <v>3798</v>
      </c>
    </row>
    <row r="3097" spans="1:24" x14ac:dyDescent="0.25">
      <c r="A3097">
        <v>3093</v>
      </c>
      <c r="B3097" t="s">
        <v>29</v>
      </c>
      <c r="C3097" t="s">
        <v>27</v>
      </c>
      <c r="D3097">
        <v>16</v>
      </c>
      <c r="E3097" t="s">
        <v>367</v>
      </c>
      <c r="F3097" t="s">
        <v>512</v>
      </c>
      <c r="G3097">
        <v>4189</v>
      </c>
      <c r="H3097" t="s">
        <v>1751</v>
      </c>
      <c r="I3097" t="s">
        <v>1752</v>
      </c>
      <c r="J3097">
        <v>16</v>
      </c>
      <c r="K3097">
        <v>2</v>
      </c>
      <c r="L3097">
        <v>2.1527777777777778E-3</v>
      </c>
      <c r="M3097" t="s">
        <v>3079</v>
      </c>
      <c r="X3097" t="s">
        <v>3798</v>
      </c>
    </row>
    <row r="3098" spans="1:24" x14ac:dyDescent="0.25">
      <c r="A3098">
        <v>3094</v>
      </c>
      <c r="B3098" t="s">
        <v>29</v>
      </c>
      <c r="C3098" t="s">
        <v>27</v>
      </c>
      <c r="D3098">
        <v>16</v>
      </c>
      <c r="E3098" t="s">
        <v>367</v>
      </c>
      <c r="F3098" t="s">
        <v>512</v>
      </c>
      <c r="G3098">
        <v>4189</v>
      </c>
      <c r="H3098" t="s">
        <v>1725</v>
      </c>
      <c r="I3098" t="s">
        <v>1726</v>
      </c>
      <c r="J3098">
        <v>16</v>
      </c>
      <c r="K3098">
        <v>3</v>
      </c>
      <c r="L3098">
        <v>2.685185185185185E-3</v>
      </c>
      <c r="M3098" t="s">
        <v>3079</v>
      </c>
      <c r="X3098" t="s">
        <v>3798</v>
      </c>
    </row>
    <row r="3099" spans="1:24" x14ac:dyDescent="0.25">
      <c r="A3099">
        <v>3095</v>
      </c>
      <c r="B3099" t="s">
        <v>29</v>
      </c>
      <c r="C3099" t="s">
        <v>27</v>
      </c>
      <c r="D3099">
        <v>16</v>
      </c>
      <c r="E3099" t="s">
        <v>1588</v>
      </c>
      <c r="F3099" t="s">
        <v>512</v>
      </c>
      <c r="G3099">
        <v>4189</v>
      </c>
      <c r="H3099" t="s">
        <v>2627</v>
      </c>
      <c r="I3099" t="s">
        <v>2628</v>
      </c>
      <c r="J3099">
        <v>16</v>
      </c>
      <c r="K3099">
        <v>2</v>
      </c>
      <c r="L3099">
        <v>2.4305555555555556E-3</v>
      </c>
      <c r="M3099" t="s">
        <v>3079</v>
      </c>
      <c r="X3099" t="s">
        <v>3798</v>
      </c>
    </row>
    <row r="3100" spans="1:24" x14ac:dyDescent="0.25">
      <c r="A3100">
        <v>3096</v>
      </c>
      <c r="B3100" t="s">
        <v>29</v>
      </c>
      <c r="C3100" t="s">
        <v>27</v>
      </c>
      <c r="D3100">
        <v>16</v>
      </c>
      <c r="E3100" t="s">
        <v>1665</v>
      </c>
      <c r="F3100" t="s">
        <v>115</v>
      </c>
      <c r="G3100">
        <v>4189</v>
      </c>
      <c r="H3100" t="s">
        <v>1663</v>
      </c>
      <c r="I3100" t="s">
        <v>1664</v>
      </c>
      <c r="J3100">
        <v>16</v>
      </c>
      <c r="K3100">
        <v>1</v>
      </c>
      <c r="L3100">
        <v>1.5277777777777776E-3</v>
      </c>
      <c r="M3100" t="s">
        <v>3079</v>
      </c>
      <c r="X3100" t="s">
        <v>3798</v>
      </c>
    </row>
    <row r="3101" spans="1:24" x14ac:dyDescent="0.25">
      <c r="A3101">
        <v>3097</v>
      </c>
      <c r="B3101" t="s">
        <v>29</v>
      </c>
      <c r="C3101" t="s">
        <v>27</v>
      </c>
      <c r="D3101">
        <v>16</v>
      </c>
      <c r="E3101" t="s">
        <v>1672</v>
      </c>
      <c r="F3101" t="s">
        <v>115</v>
      </c>
      <c r="G3101">
        <v>4189</v>
      </c>
      <c r="H3101" t="s">
        <v>1671</v>
      </c>
      <c r="I3101" t="s">
        <v>1664</v>
      </c>
      <c r="J3101">
        <v>16</v>
      </c>
      <c r="K3101">
        <v>1</v>
      </c>
      <c r="L3101">
        <v>1.5277777777777776E-3</v>
      </c>
      <c r="M3101" t="s">
        <v>3079</v>
      </c>
      <c r="X3101" t="s">
        <v>3798</v>
      </c>
    </row>
    <row r="3102" spans="1:24" x14ac:dyDescent="0.25">
      <c r="A3102">
        <v>3098</v>
      </c>
      <c r="B3102" t="s">
        <v>29</v>
      </c>
      <c r="C3102" t="s">
        <v>27</v>
      </c>
      <c r="D3102">
        <v>16</v>
      </c>
      <c r="E3102" t="s">
        <v>2763</v>
      </c>
      <c r="F3102" t="s">
        <v>512</v>
      </c>
      <c r="G3102">
        <v>4189</v>
      </c>
      <c r="H3102" t="s">
        <v>2847</v>
      </c>
      <c r="I3102" t="s">
        <v>2628</v>
      </c>
      <c r="J3102">
        <v>16</v>
      </c>
      <c r="K3102">
        <v>1</v>
      </c>
      <c r="L3102">
        <v>1.2152777777777778E-3</v>
      </c>
      <c r="M3102" t="s">
        <v>3079</v>
      </c>
      <c r="X3102" t="s">
        <v>3798</v>
      </c>
    </row>
    <row r="3103" spans="1:24" x14ac:dyDescent="0.25">
      <c r="A3103">
        <v>3099</v>
      </c>
      <c r="B3103" t="s">
        <v>29</v>
      </c>
      <c r="C3103" t="s">
        <v>27</v>
      </c>
      <c r="D3103">
        <v>16</v>
      </c>
      <c r="E3103" t="s">
        <v>2763</v>
      </c>
      <c r="F3103" t="s">
        <v>512</v>
      </c>
      <c r="G3103">
        <v>4189</v>
      </c>
      <c r="H3103" t="s">
        <v>2848</v>
      </c>
      <c r="I3103" t="s">
        <v>2628</v>
      </c>
      <c r="J3103">
        <v>16</v>
      </c>
      <c r="K3103">
        <v>1</v>
      </c>
      <c r="L3103">
        <v>1.2152777777777778E-3</v>
      </c>
      <c r="M3103" t="s">
        <v>3079</v>
      </c>
      <c r="X3103" t="s">
        <v>3798</v>
      </c>
    </row>
    <row r="3104" spans="1:24" x14ac:dyDescent="0.25">
      <c r="A3104">
        <v>3100</v>
      </c>
      <c r="B3104" t="s">
        <v>29</v>
      </c>
      <c r="C3104" t="s">
        <v>27</v>
      </c>
      <c r="D3104">
        <v>16</v>
      </c>
      <c r="E3104" t="s">
        <v>2763</v>
      </c>
      <c r="F3104" t="s">
        <v>512</v>
      </c>
      <c r="G3104">
        <v>4189</v>
      </c>
      <c r="H3104" t="s">
        <v>2849</v>
      </c>
      <c r="I3104" t="s">
        <v>1722</v>
      </c>
      <c r="J3104">
        <v>16</v>
      </c>
      <c r="K3104">
        <v>2</v>
      </c>
      <c r="L3104">
        <v>1.3078703703703703E-3</v>
      </c>
      <c r="M3104" t="s">
        <v>3079</v>
      </c>
      <c r="X3104" t="s">
        <v>3798</v>
      </c>
    </row>
    <row r="3105" spans="1:24" x14ac:dyDescent="0.25">
      <c r="A3105">
        <v>3101</v>
      </c>
      <c r="B3105" t="s">
        <v>29</v>
      </c>
      <c r="C3105" t="s">
        <v>27</v>
      </c>
      <c r="D3105">
        <v>16</v>
      </c>
      <c r="E3105" t="s">
        <v>2763</v>
      </c>
      <c r="F3105" t="s">
        <v>512</v>
      </c>
      <c r="G3105">
        <v>4189</v>
      </c>
      <c r="H3105" t="s">
        <v>2850</v>
      </c>
      <c r="I3105" t="s">
        <v>2851</v>
      </c>
      <c r="J3105">
        <v>16</v>
      </c>
      <c r="K3105">
        <v>2</v>
      </c>
      <c r="L3105">
        <v>1.3657407407407407E-3</v>
      </c>
      <c r="M3105" t="s">
        <v>3079</v>
      </c>
      <c r="X3105" t="s">
        <v>3798</v>
      </c>
    </row>
    <row r="3106" spans="1:24" x14ac:dyDescent="0.25">
      <c r="A3106">
        <v>3102</v>
      </c>
      <c r="B3106" t="s">
        <v>29</v>
      </c>
      <c r="C3106" t="s">
        <v>27</v>
      </c>
      <c r="D3106">
        <v>16</v>
      </c>
      <c r="E3106" t="s">
        <v>2763</v>
      </c>
      <c r="F3106" t="s">
        <v>512</v>
      </c>
      <c r="G3106">
        <v>4189</v>
      </c>
      <c r="H3106" t="s">
        <v>2852</v>
      </c>
      <c r="I3106" t="s">
        <v>2853</v>
      </c>
      <c r="J3106">
        <v>16</v>
      </c>
      <c r="K3106">
        <v>2</v>
      </c>
      <c r="L3106">
        <v>1.3773148148148147E-3</v>
      </c>
      <c r="M3106" t="s">
        <v>3079</v>
      </c>
      <c r="X3106" t="s">
        <v>3798</v>
      </c>
    </row>
    <row r="3107" spans="1:24" x14ac:dyDescent="0.25">
      <c r="A3107">
        <v>3103</v>
      </c>
      <c r="B3107" t="s">
        <v>29</v>
      </c>
      <c r="C3107" t="s">
        <v>27</v>
      </c>
      <c r="D3107">
        <v>16</v>
      </c>
      <c r="E3107" t="s">
        <v>2763</v>
      </c>
      <c r="F3107" t="s">
        <v>512</v>
      </c>
      <c r="G3107">
        <v>4189</v>
      </c>
      <c r="H3107" t="s">
        <v>2854</v>
      </c>
      <c r="I3107" t="s">
        <v>1714</v>
      </c>
      <c r="J3107">
        <v>16</v>
      </c>
      <c r="K3107">
        <v>1</v>
      </c>
      <c r="L3107">
        <v>6.0185185185185179E-4</v>
      </c>
      <c r="M3107" t="s">
        <v>3079</v>
      </c>
      <c r="X3107" t="s">
        <v>3798</v>
      </c>
    </row>
    <row r="3108" spans="1:24" x14ac:dyDescent="0.25">
      <c r="A3108">
        <v>3104</v>
      </c>
      <c r="B3108" t="s">
        <v>29</v>
      </c>
      <c r="C3108" t="s">
        <v>27</v>
      </c>
      <c r="D3108">
        <v>16</v>
      </c>
      <c r="E3108" t="s">
        <v>2763</v>
      </c>
      <c r="F3108" t="s">
        <v>512</v>
      </c>
      <c r="G3108">
        <v>4189</v>
      </c>
      <c r="H3108" t="s">
        <v>2855</v>
      </c>
      <c r="I3108" t="s">
        <v>1716</v>
      </c>
      <c r="J3108">
        <v>16</v>
      </c>
      <c r="K3108">
        <v>1</v>
      </c>
      <c r="L3108">
        <v>6.8287037037037036E-4</v>
      </c>
      <c r="M3108" t="s">
        <v>3079</v>
      </c>
      <c r="X3108" t="s">
        <v>3798</v>
      </c>
    </row>
    <row r="3109" spans="1:24" x14ac:dyDescent="0.25">
      <c r="A3109">
        <v>3105</v>
      </c>
      <c r="B3109" t="s">
        <v>29</v>
      </c>
      <c r="C3109" t="s">
        <v>27</v>
      </c>
      <c r="D3109">
        <v>16</v>
      </c>
      <c r="E3109" t="s">
        <v>1588</v>
      </c>
      <c r="F3109" t="s">
        <v>512</v>
      </c>
      <c r="G3109">
        <v>4189</v>
      </c>
      <c r="H3109" t="s">
        <v>1715</v>
      </c>
      <c r="I3109" t="s">
        <v>1716</v>
      </c>
      <c r="J3109">
        <v>16</v>
      </c>
      <c r="K3109">
        <v>1</v>
      </c>
      <c r="L3109">
        <v>6.8287037037037036E-4</v>
      </c>
      <c r="M3109" t="s">
        <v>3079</v>
      </c>
      <c r="X3109" t="s">
        <v>3798</v>
      </c>
    </row>
    <row r="3110" spans="1:24" x14ac:dyDescent="0.25">
      <c r="A3110">
        <v>3106</v>
      </c>
      <c r="B3110" t="s">
        <v>29</v>
      </c>
      <c r="C3110" t="s">
        <v>27</v>
      </c>
      <c r="D3110">
        <v>16</v>
      </c>
      <c r="E3110" t="s">
        <v>2729</v>
      </c>
      <c r="F3110" t="s">
        <v>115</v>
      </c>
      <c r="G3110">
        <v>4189</v>
      </c>
      <c r="H3110" t="s">
        <v>2856</v>
      </c>
      <c r="I3110" t="s">
        <v>2857</v>
      </c>
      <c r="J3110">
        <v>16</v>
      </c>
      <c r="K3110">
        <v>1</v>
      </c>
      <c r="L3110">
        <v>1.5277777777777776E-3</v>
      </c>
      <c r="M3110" t="s">
        <v>3079</v>
      </c>
      <c r="X3110" t="s">
        <v>3798</v>
      </c>
    </row>
    <row r="3111" spans="1:24" x14ac:dyDescent="0.25">
      <c r="A3111">
        <v>3107</v>
      </c>
      <c r="B3111" t="s">
        <v>29</v>
      </c>
      <c r="C3111" t="s">
        <v>27</v>
      </c>
      <c r="D3111">
        <v>16</v>
      </c>
      <c r="E3111" t="s">
        <v>2742</v>
      </c>
      <c r="F3111" t="s">
        <v>115</v>
      </c>
      <c r="G3111">
        <v>4189</v>
      </c>
      <c r="H3111" t="s">
        <v>2858</v>
      </c>
      <c r="I3111" t="s">
        <v>2857</v>
      </c>
      <c r="J3111">
        <v>16</v>
      </c>
      <c r="K3111">
        <v>1</v>
      </c>
      <c r="L3111">
        <v>1.7592592592592592E-3</v>
      </c>
      <c r="M3111" t="s">
        <v>3079</v>
      </c>
      <c r="X3111" t="s">
        <v>3798</v>
      </c>
    </row>
    <row r="3112" spans="1:24" x14ac:dyDescent="0.25">
      <c r="A3112">
        <v>3108</v>
      </c>
      <c r="B3112" t="s">
        <v>29</v>
      </c>
      <c r="C3112" t="s">
        <v>27</v>
      </c>
      <c r="D3112">
        <v>16</v>
      </c>
      <c r="E3112" t="s">
        <v>1588</v>
      </c>
      <c r="F3112" t="s">
        <v>1588</v>
      </c>
      <c r="G3112">
        <v>4189</v>
      </c>
      <c r="H3112" t="s">
        <v>1713</v>
      </c>
      <c r="I3112" t="s">
        <v>1714</v>
      </c>
      <c r="J3112">
        <v>16</v>
      </c>
      <c r="K3112">
        <v>1</v>
      </c>
      <c r="L3112">
        <v>6.0185185185185179E-4</v>
      </c>
      <c r="M3112" t="s">
        <v>3079</v>
      </c>
      <c r="X3112" t="s">
        <v>3798</v>
      </c>
    </row>
    <row r="3113" spans="1:24" x14ac:dyDescent="0.25">
      <c r="A3113">
        <v>3109</v>
      </c>
      <c r="B3113" t="s">
        <v>29</v>
      </c>
      <c r="C3113" t="s">
        <v>27</v>
      </c>
      <c r="D3113">
        <v>16</v>
      </c>
      <c r="E3113" t="s">
        <v>367</v>
      </c>
      <c r="F3113" t="s">
        <v>512</v>
      </c>
      <c r="G3113">
        <v>4189</v>
      </c>
      <c r="H3113" t="s">
        <v>2638</v>
      </c>
      <c r="I3113" t="s">
        <v>1780</v>
      </c>
      <c r="J3113">
        <v>16</v>
      </c>
      <c r="K3113">
        <v>4</v>
      </c>
      <c r="L3113">
        <v>3.4143518518518516E-3</v>
      </c>
      <c r="M3113" t="s">
        <v>3079</v>
      </c>
      <c r="X3113" t="s">
        <v>3798</v>
      </c>
    </row>
    <row r="3114" spans="1:24" x14ac:dyDescent="0.25">
      <c r="A3114">
        <v>3110</v>
      </c>
      <c r="B3114" t="s">
        <v>29</v>
      </c>
      <c r="C3114" t="s">
        <v>27</v>
      </c>
      <c r="D3114">
        <v>16</v>
      </c>
      <c r="E3114" t="s">
        <v>367</v>
      </c>
      <c r="F3114" t="s">
        <v>512</v>
      </c>
      <c r="G3114">
        <v>4189</v>
      </c>
      <c r="H3114" t="s">
        <v>1779</v>
      </c>
      <c r="I3114" t="s">
        <v>1780</v>
      </c>
      <c r="J3114">
        <v>16</v>
      </c>
      <c r="K3114">
        <v>1</v>
      </c>
      <c r="L3114">
        <v>8.4490740740740739E-4</v>
      </c>
      <c r="M3114" t="s">
        <v>3079</v>
      </c>
      <c r="X3114" t="s">
        <v>3798</v>
      </c>
    </row>
    <row r="3115" spans="1:24" x14ac:dyDescent="0.25">
      <c r="A3115">
        <v>3111</v>
      </c>
      <c r="B3115" t="s">
        <v>29</v>
      </c>
      <c r="C3115" t="s">
        <v>27</v>
      </c>
      <c r="D3115">
        <v>16</v>
      </c>
      <c r="E3115" t="s">
        <v>367</v>
      </c>
      <c r="F3115" t="s">
        <v>368</v>
      </c>
      <c r="G3115">
        <v>3761</v>
      </c>
      <c r="H3115" t="s">
        <v>1786</v>
      </c>
      <c r="I3115" t="s">
        <v>1679</v>
      </c>
      <c r="J3115">
        <v>16</v>
      </c>
      <c r="K3115">
        <v>1</v>
      </c>
      <c r="L3115">
        <v>6.3657407407407402E-4</v>
      </c>
      <c r="M3115" t="s">
        <v>778</v>
      </c>
      <c r="N3115" t="s">
        <v>871</v>
      </c>
      <c r="O3115" s="24">
        <v>46128</v>
      </c>
      <c r="P3115">
        <v>606</v>
      </c>
      <c r="Q3115" t="s">
        <v>34</v>
      </c>
      <c r="X3115" t="s">
        <v>3799</v>
      </c>
    </row>
    <row r="3116" spans="1:24" x14ac:dyDescent="0.25">
      <c r="A3116">
        <v>3112</v>
      </c>
      <c r="B3116" t="s">
        <v>29</v>
      </c>
      <c r="C3116" t="s">
        <v>27</v>
      </c>
      <c r="D3116">
        <v>16</v>
      </c>
      <c r="E3116" t="s">
        <v>367</v>
      </c>
      <c r="F3116" t="s">
        <v>368</v>
      </c>
      <c r="G3116">
        <v>3761</v>
      </c>
      <c r="H3116" t="s">
        <v>1678</v>
      </c>
      <c r="I3116" t="s">
        <v>1679</v>
      </c>
      <c r="J3116">
        <v>16</v>
      </c>
      <c r="K3116">
        <v>2</v>
      </c>
      <c r="L3116">
        <v>1.273148148148148E-3</v>
      </c>
      <c r="M3116" t="s">
        <v>778</v>
      </c>
      <c r="N3116" t="s">
        <v>871</v>
      </c>
      <c r="O3116" s="24">
        <v>46128</v>
      </c>
      <c r="P3116">
        <v>606</v>
      </c>
      <c r="Q3116" t="s">
        <v>34</v>
      </c>
      <c r="X3116" t="s">
        <v>3799</v>
      </c>
    </row>
    <row r="3117" spans="1:24" x14ac:dyDescent="0.25">
      <c r="A3117">
        <v>3113</v>
      </c>
      <c r="B3117" t="s">
        <v>29</v>
      </c>
      <c r="C3117" t="s">
        <v>27</v>
      </c>
      <c r="D3117">
        <v>16</v>
      </c>
      <c r="E3117" t="s">
        <v>367</v>
      </c>
      <c r="F3117" t="s">
        <v>368</v>
      </c>
      <c r="G3117">
        <v>3761</v>
      </c>
      <c r="H3117" t="s">
        <v>1783</v>
      </c>
      <c r="I3117" t="s">
        <v>1679</v>
      </c>
      <c r="J3117">
        <v>16</v>
      </c>
      <c r="K3117">
        <v>1</v>
      </c>
      <c r="L3117">
        <v>6.3657407407407402E-4</v>
      </c>
      <c r="M3117" t="s">
        <v>778</v>
      </c>
      <c r="N3117" t="s">
        <v>871</v>
      </c>
      <c r="O3117" s="24">
        <v>46128</v>
      </c>
      <c r="P3117">
        <v>606</v>
      </c>
      <c r="Q3117" t="s">
        <v>34</v>
      </c>
      <c r="X3117" t="s">
        <v>3799</v>
      </c>
    </row>
    <row r="3118" spans="1:24" x14ac:dyDescent="0.25">
      <c r="A3118">
        <v>3114</v>
      </c>
      <c r="B3118" t="s">
        <v>29</v>
      </c>
      <c r="C3118" t="s">
        <v>27</v>
      </c>
      <c r="D3118">
        <v>16</v>
      </c>
      <c r="E3118" t="s">
        <v>367</v>
      </c>
      <c r="F3118" t="s">
        <v>1595</v>
      </c>
      <c r="G3118">
        <v>3761</v>
      </c>
      <c r="H3118" t="s">
        <v>2631</v>
      </c>
      <c r="I3118" t="s">
        <v>2632</v>
      </c>
      <c r="J3118">
        <v>16</v>
      </c>
      <c r="K3118">
        <v>1</v>
      </c>
      <c r="L3118">
        <v>9.837962962962962E-4</v>
      </c>
      <c r="M3118" t="s">
        <v>778</v>
      </c>
      <c r="N3118" t="s">
        <v>871</v>
      </c>
      <c r="O3118" s="24">
        <v>46128</v>
      </c>
      <c r="P3118">
        <v>606</v>
      </c>
      <c r="Q3118" t="s">
        <v>34</v>
      </c>
      <c r="X3118" t="s">
        <v>3799</v>
      </c>
    </row>
    <row r="3119" spans="1:24" x14ac:dyDescent="0.25">
      <c r="A3119">
        <v>3115</v>
      </c>
      <c r="B3119" t="s">
        <v>29</v>
      </c>
      <c r="C3119" t="s">
        <v>27</v>
      </c>
      <c r="D3119">
        <v>16</v>
      </c>
      <c r="E3119" t="s">
        <v>1585</v>
      </c>
      <c r="F3119" t="s">
        <v>1585</v>
      </c>
      <c r="G3119">
        <v>3761</v>
      </c>
      <c r="H3119" t="s">
        <v>1635</v>
      </c>
      <c r="I3119" t="s">
        <v>1636</v>
      </c>
      <c r="J3119">
        <v>16</v>
      </c>
      <c r="K3119">
        <v>5</v>
      </c>
      <c r="L3119">
        <v>4.8263888888888887E-3</v>
      </c>
      <c r="M3119" t="s">
        <v>778</v>
      </c>
      <c r="N3119" t="s">
        <v>871</v>
      </c>
      <c r="O3119" s="24">
        <v>46128</v>
      </c>
      <c r="P3119">
        <v>606</v>
      </c>
      <c r="Q3119" t="s">
        <v>34</v>
      </c>
      <c r="X3119" t="s">
        <v>3799</v>
      </c>
    </row>
    <row r="3120" spans="1:24" x14ac:dyDescent="0.25">
      <c r="A3120">
        <v>3116</v>
      </c>
      <c r="B3120" t="s">
        <v>29</v>
      </c>
      <c r="C3120" t="s">
        <v>27</v>
      </c>
      <c r="D3120">
        <v>16</v>
      </c>
      <c r="E3120" t="s">
        <v>367</v>
      </c>
      <c r="F3120" t="s">
        <v>512</v>
      </c>
      <c r="G3120">
        <v>3761</v>
      </c>
      <c r="H3120" t="s">
        <v>1753</v>
      </c>
      <c r="I3120" t="s">
        <v>1752</v>
      </c>
      <c r="J3120">
        <v>16</v>
      </c>
      <c r="K3120">
        <v>2</v>
      </c>
      <c r="L3120">
        <v>1.4814814814814814E-3</v>
      </c>
      <c r="M3120" t="s">
        <v>778</v>
      </c>
      <c r="N3120" t="s">
        <v>871</v>
      </c>
      <c r="O3120" s="24">
        <v>46128</v>
      </c>
      <c r="P3120">
        <v>606</v>
      </c>
      <c r="Q3120" t="s">
        <v>34</v>
      </c>
      <c r="X3120" t="s">
        <v>3799</v>
      </c>
    </row>
    <row r="3121" spans="1:24" x14ac:dyDescent="0.25">
      <c r="A3121">
        <v>3117</v>
      </c>
      <c r="B3121" t="s">
        <v>29</v>
      </c>
      <c r="C3121" t="s">
        <v>27</v>
      </c>
      <c r="D3121">
        <v>16</v>
      </c>
      <c r="E3121" t="s">
        <v>367</v>
      </c>
      <c r="F3121" t="s">
        <v>512</v>
      </c>
      <c r="G3121">
        <v>3761</v>
      </c>
      <c r="H3121" t="s">
        <v>2081</v>
      </c>
      <c r="I3121" t="s">
        <v>2082</v>
      </c>
      <c r="J3121">
        <v>16</v>
      </c>
      <c r="K3121">
        <v>1</v>
      </c>
      <c r="L3121">
        <v>9.4907407407407408E-4</v>
      </c>
      <c r="M3121" t="s">
        <v>778</v>
      </c>
      <c r="N3121" t="s">
        <v>871</v>
      </c>
      <c r="O3121" s="24">
        <v>46128</v>
      </c>
      <c r="P3121">
        <v>606</v>
      </c>
      <c r="Q3121" t="s">
        <v>34</v>
      </c>
      <c r="X3121" t="s">
        <v>3799</v>
      </c>
    </row>
    <row r="3122" spans="1:24" x14ac:dyDescent="0.25">
      <c r="A3122">
        <v>3118</v>
      </c>
      <c r="B3122" t="s">
        <v>29</v>
      </c>
      <c r="C3122" t="s">
        <v>27</v>
      </c>
      <c r="D3122">
        <v>16</v>
      </c>
      <c r="E3122" t="s">
        <v>367</v>
      </c>
      <c r="F3122" t="s">
        <v>512</v>
      </c>
      <c r="G3122">
        <v>3761</v>
      </c>
      <c r="H3122" t="s">
        <v>2499</v>
      </c>
      <c r="I3122" t="s">
        <v>2500</v>
      </c>
      <c r="J3122">
        <v>16</v>
      </c>
      <c r="K3122">
        <v>1</v>
      </c>
      <c r="L3122">
        <v>9.4907407407407408E-4</v>
      </c>
      <c r="M3122" t="s">
        <v>778</v>
      </c>
      <c r="N3122" t="s">
        <v>871</v>
      </c>
      <c r="O3122" s="24">
        <v>46128</v>
      </c>
      <c r="P3122">
        <v>606</v>
      </c>
      <c r="Q3122" t="s">
        <v>34</v>
      </c>
      <c r="X3122" t="s">
        <v>3799</v>
      </c>
    </row>
    <row r="3123" spans="1:24" x14ac:dyDescent="0.25">
      <c r="A3123">
        <v>3119</v>
      </c>
      <c r="B3123" t="s">
        <v>29</v>
      </c>
      <c r="C3123" t="s">
        <v>27</v>
      </c>
      <c r="D3123">
        <v>16</v>
      </c>
      <c r="E3123" t="s">
        <v>367</v>
      </c>
      <c r="F3123" t="s">
        <v>512</v>
      </c>
      <c r="G3123">
        <v>3761</v>
      </c>
      <c r="H3123" t="s">
        <v>1688</v>
      </c>
      <c r="I3123" t="s">
        <v>2779</v>
      </c>
      <c r="J3123">
        <v>16</v>
      </c>
      <c r="K3123">
        <v>2</v>
      </c>
      <c r="L3123">
        <v>1.5624999999999999E-3</v>
      </c>
      <c r="M3123" t="s">
        <v>778</v>
      </c>
      <c r="N3123" t="s">
        <v>871</v>
      </c>
      <c r="O3123" s="24">
        <v>46128</v>
      </c>
      <c r="P3123">
        <v>606</v>
      </c>
      <c r="Q3123" t="s">
        <v>34</v>
      </c>
      <c r="X3123" t="s">
        <v>3799</v>
      </c>
    </row>
    <row r="3124" spans="1:24" x14ac:dyDescent="0.25">
      <c r="A3124">
        <v>3120</v>
      </c>
      <c r="B3124" t="s">
        <v>29</v>
      </c>
      <c r="C3124" t="s">
        <v>27</v>
      </c>
      <c r="D3124">
        <v>16</v>
      </c>
      <c r="E3124" t="s">
        <v>367</v>
      </c>
      <c r="F3124" t="s">
        <v>512</v>
      </c>
      <c r="G3124">
        <v>3761</v>
      </c>
      <c r="H3124" t="s">
        <v>1773</v>
      </c>
      <c r="I3124" t="s">
        <v>1774</v>
      </c>
      <c r="J3124">
        <v>16</v>
      </c>
      <c r="K3124">
        <v>1</v>
      </c>
      <c r="L3124">
        <v>1.3773148148148147E-3</v>
      </c>
      <c r="M3124" t="s">
        <v>778</v>
      </c>
      <c r="N3124" t="s">
        <v>871</v>
      </c>
      <c r="O3124" s="24">
        <v>46128</v>
      </c>
      <c r="P3124">
        <v>606</v>
      </c>
      <c r="Q3124" t="s">
        <v>34</v>
      </c>
      <c r="X3124" t="s">
        <v>3799</v>
      </c>
    </row>
    <row r="3125" spans="1:24" x14ac:dyDescent="0.25">
      <c r="A3125">
        <v>3121</v>
      </c>
      <c r="B3125" t="s">
        <v>29</v>
      </c>
      <c r="C3125" t="s">
        <v>27</v>
      </c>
      <c r="D3125">
        <v>16</v>
      </c>
      <c r="E3125" t="s">
        <v>367</v>
      </c>
      <c r="F3125" t="s">
        <v>512</v>
      </c>
      <c r="G3125">
        <v>3761</v>
      </c>
      <c r="H3125" t="s">
        <v>1775</v>
      </c>
      <c r="I3125" t="s">
        <v>1776</v>
      </c>
      <c r="J3125">
        <v>16</v>
      </c>
      <c r="K3125">
        <v>1</v>
      </c>
      <c r="L3125">
        <v>1.3425925925925925E-3</v>
      </c>
      <c r="M3125" t="s">
        <v>778</v>
      </c>
      <c r="N3125" t="s">
        <v>871</v>
      </c>
      <c r="O3125" s="24">
        <v>46128</v>
      </c>
      <c r="P3125">
        <v>606</v>
      </c>
      <c r="Q3125" t="s">
        <v>34</v>
      </c>
      <c r="X3125" t="s">
        <v>3799</v>
      </c>
    </row>
    <row r="3126" spans="1:24" x14ac:dyDescent="0.25">
      <c r="A3126">
        <v>3122</v>
      </c>
      <c r="B3126" t="s">
        <v>29</v>
      </c>
      <c r="C3126" t="s">
        <v>27</v>
      </c>
      <c r="D3126">
        <v>16</v>
      </c>
      <c r="E3126" t="s">
        <v>367</v>
      </c>
      <c r="F3126" t="s">
        <v>1594</v>
      </c>
      <c r="G3126">
        <v>3761</v>
      </c>
      <c r="H3126" t="s">
        <v>1793</v>
      </c>
      <c r="I3126" t="s">
        <v>1642</v>
      </c>
      <c r="J3126">
        <v>16</v>
      </c>
      <c r="K3126">
        <v>1</v>
      </c>
      <c r="L3126">
        <v>6.0185185185185179E-4</v>
      </c>
      <c r="M3126" t="s">
        <v>778</v>
      </c>
      <c r="N3126" t="s">
        <v>871</v>
      </c>
      <c r="O3126" s="24">
        <v>46128</v>
      </c>
      <c r="P3126">
        <v>606</v>
      </c>
      <c r="Q3126" t="s">
        <v>34</v>
      </c>
      <c r="X3126" t="s">
        <v>3799</v>
      </c>
    </row>
    <row r="3127" spans="1:24" x14ac:dyDescent="0.25">
      <c r="A3127">
        <v>3123</v>
      </c>
      <c r="B3127" t="s">
        <v>29</v>
      </c>
      <c r="C3127" t="s">
        <v>27</v>
      </c>
      <c r="D3127">
        <v>16</v>
      </c>
      <c r="E3127" t="s">
        <v>2763</v>
      </c>
      <c r="F3127" t="s">
        <v>512</v>
      </c>
      <c r="G3127">
        <v>3761</v>
      </c>
      <c r="H3127" t="s">
        <v>2774</v>
      </c>
      <c r="I3127" t="s">
        <v>1714</v>
      </c>
      <c r="J3127">
        <v>16</v>
      </c>
      <c r="K3127">
        <v>1</v>
      </c>
      <c r="L3127">
        <v>5.5555555555555556E-4</v>
      </c>
      <c r="M3127" t="s">
        <v>778</v>
      </c>
      <c r="N3127" t="s">
        <v>871</v>
      </c>
      <c r="O3127" s="24">
        <v>46128</v>
      </c>
      <c r="P3127">
        <v>606</v>
      </c>
      <c r="Q3127" t="s">
        <v>34</v>
      </c>
      <c r="X3127" t="s">
        <v>3799</v>
      </c>
    </row>
    <row r="3128" spans="1:24" x14ac:dyDescent="0.25">
      <c r="A3128">
        <v>3124</v>
      </c>
      <c r="B3128" t="s">
        <v>29</v>
      </c>
      <c r="C3128" t="s">
        <v>27</v>
      </c>
      <c r="D3128">
        <v>16</v>
      </c>
      <c r="E3128" t="s">
        <v>2763</v>
      </c>
      <c r="F3128" t="s">
        <v>512</v>
      </c>
      <c r="G3128">
        <v>3761</v>
      </c>
      <c r="H3128" t="s">
        <v>2849</v>
      </c>
      <c r="I3128" t="s">
        <v>1722</v>
      </c>
      <c r="J3128">
        <v>16</v>
      </c>
      <c r="K3128">
        <v>2</v>
      </c>
      <c r="L3128">
        <v>1.2152777777777778E-3</v>
      </c>
      <c r="M3128" t="s">
        <v>778</v>
      </c>
      <c r="N3128" t="s">
        <v>871</v>
      </c>
      <c r="O3128" s="24">
        <v>46128</v>
      </c>
      <c r="P3128">
        <v>606</v>
      </c>
      <c r="Q3128" t="s">
        <v>34</v>
      </c>
      <c r="X3128" t="s">
        <v>3799</v>
      </c>
    </row>
    <row r="3129" spans="1:24" x14ac:dyDescent="0.25">
      <c r="A3129">
        <v>3125</v>
      </c>
      <c r="B3129" t="s">
        <v>29</v>
      </c>
      <c r="C3129" t="s">
        <v>27</v>
      </c>
      <c r="D3129">
        <v>16</v>
      </c>
      <c r="E3129" t="s">
        <v>2763</v>
      </c>
      <c r="F3129" t="s">
        <v>512</v>
      </c>
      <c r="G3129">
        <v>3761</v>
      </c>
      <c r="H3129" t="s">
        <v>2855</v>
      </c>
      <c r="I3129" t="s">
        <v>1716</v>
      </c>
      <c r="J3129">
        <v>16</v>
      </c>
      <c r="K3129">
        <v>1</v>
      </c>
      <c r="L3129">
        <v>6.3657407407407402E-4</v>
      </c>
      <c r="M3129" t="s">
        <v>778</v>
      </c>
      <c r="N3129" t="s">
        <v>871</v>
      </c>
      <c r="O3129" s="24">
        <v>46128</v>
      </c>
      <c r="P3129">
        <v>606</v>
      </c>
      <c r="Q3129" t="s">
        <v>34</v>
      </c>
      <c r="X3129" t="s">
        <v>3799</v>
      </c>
    </row>
    <row r="3130" spans="1:24" x14ac:dyDescent="0.25">
      <c r="A3130">
        <v>3126</v>
      </c>
      <c r="B3130" t="s">
        <v>29</v>
      </c>
      <c r="C3130" t="s">
        <v>27</v>
      </c>
      <c r="D3130">
        <v>16</v>
      </c>
      <c r="E3130" t="s">
        <v>1588</v>
      </c>
      <c r="F3130" t="s">
        <v>1588</v>
      </c>
      <c r="G3130">
        <v>3761</v>
      </c>
      <c r="H3130" t="s">
        <v>1667</v>
      </c>
      <c r="I3130" t="s">
        <v>1668</v>
      </c>
      <c r="J3130">
        <v>16</v>
      </c>
      <c r="K3130">
        <v>2</v>
      </c>
      <c r="L3130">
        <v>1.261574074074074E-3</v>
      </c>
      <c r="M3130" t="s">
        <v>778</v>
      </c>
      <c r="N3130" t="s">
        <v>871</v>
      </c>
      <c r="O3130" s="24">
        <v>46128</v>
      </c>
      <c r="P3130">
        <v>606</v>
      </c>
      <c r="Q3130" t="s">
        <v>34</v>
      </c>
      <c r="X3130" t="s">
        <v>3799</v>
      </c>
    </row>
    <row r="3131" spans="1:24" x14ac:dyDescent="0.25">
      <c r="A3131">
        <v>3127</v>
      </c>
      <c r="B3131" t="s">
        <v>29</v>
      </c>
      <c r="C3131" t="s">
        <v>27</v>
      </c>
      <c r="D3131">
        <v>16</v>
      </c>
      <c r="E3131" t="s">
        <v>1588</v>
      </c>
      <c r="F3131" t="s">
        <v>1588</v>
      </c>
      <c r="G3131">
        <v>3761</v>
      </c>
      <c r="H3131" t="s">
        <v>1717</v>
      </c>
      <c r="I3131" t="s">
        <v>1718</v>
      </c>
      <c r="J3131">
        <v>16</v>
      </c>
      <c r="K3131">
        <v>4</v>
      </c>
      <c r="L3131">
        <v>2.4305555555555556E-3</v>
      </c>
      <c r="M3131" t="s">
        <v>778</v>
      </c>
      <c r="N3131" t="s">
        <v>871</v>
      </c>
      <c r="O3131" s="24">
        <v>46128</v>
      </c>
      <c r="P3131">
        <v>606</v>
      </c>
      <c r="Q3131" t="s">
        <v>34</v>
      </c>
      <c r="X3131" t="s">
        <v>3799</v>
      </c>
    </row>
    <row r="3132" spans="1:24" x14ac:dyDescent="0.25">
      <c r="A3132">
        <v>3128</v>
      </c>
      <c r="B3132" t="s">
        <v>29</v>
      </c>
      <c r="C3132" t="s">
        <v>27</v>
      </c>
      <c r="D3132">
        <v>16</v>
      </c>
      <c r="E3132" t="s">
        <v>1588</v>
      </c>
      <c r="F3132" t="s">
        <v>1588</v>
      </c>
      <c r="G3132">
        <v>3761</v>
      </c>
      <c r="H3132" t="s">
        <v>1669</v>
      </c>
      <c r="I3132" t="s">
        <v>1670</v>
      </c>
      <c r="J3132">
        <v>16</v>
      </c>
      <c r="K3132">
        <v>2</v>
      </c>
      <c r="L3132">
        <v>1.261574074074074E-3</v>
      </c>
      <c r="M3132" t="s">
        <v>778</v>
      </c>
      <c r="N3132" t="s">
        <v>871</v>
      </c>
      <c r="O3132" s="24">
        <v>46128</v>
      </c>
      <c r="P3132">
        <v>606</v>
      </c>
      <c r="Q3132" t="s">
        <v>34</v>
      </c>
      <c r="X3132" t="s">
        <v>3799</v>
      </c>
    </row>
    <row r="3133" spans="1:24" x14ac:dyDescent="0.25">
      <c r="A3133">
        <v>3129</v>
      </c>
      <c r="B3133" t="s">
        <v>29</v>
      </c>
      <c r="C3133" t="s">
        <v>27</v>
      </c>
      <c r="D3133">
        <v>16</v>
      </c>
      <c r="E3133" t="s">
        <v>1588</v>
      </c>
      <c r="F3133" t="s">
        <v>512</v>
      </c>
      <c r="G3133">
        <v>3761</v>
      </c>
      <c r="H3133" t="s">
        <v>1715</v>
      </c>
      <c r="I3133" t="s">
        <v>1716</v>
      </c>
      <c r="J3133">
        <v>16</v>
      </c>
      <c r="K3133">
        <v>1</v>
      </c>
      <c r="L3133">
        <v>6.3657407407407402E-4</v>
      </c>
      <c r="M3133" t="s">
        <v>778</v>
      </c>
      <c r="N3133" t="s">
        <v>871</v>
      </c>
      <c r="O3133" s="24">
        <v>46128</v>
      </c>
      <c r="P3133">
        <v>606</v>
      </c>
      <c r="Q3133" t="s">
        <v>34</v>
      </c>
      <c r="X3133" t="s">
        <v>3799</v>
      </c>
    </row>
    <row r="3134" spans="1:24" x14ac:dyDescent="0.25">
      <c r="A3134">
        <v>3130</v>
      </c>
      <c r="B3134" t="s">
        <v>29</v>
      </c>
      <c r="C3134" t="s">
        <v>27</v>
      </c>
      <c r="D3134">
        <v>16</v>
      </c>
      <c r="E3134" t="s">
        <v>367</v>
      </c>
      <c r="F3134" t="s">
        <v>512</v>
      </c>
      <c r="G3134">
        <v>3761</v>
      </c>
      <c r="H3134" t="s">
        <v>2639</v>
      </c>
      <c r="I3134" t="s">
        <v>1752</v>
      </c>
      <c r="J3134">
        <v>16</v>
      </c>
      <c r="K3134">
        <v>2</v>
      </c>
      <c r="L3134">
        <v>1.6550925925925926E-3</v>
      </c>
      <c r="M3134" t="s">
        <v>778</v>
      </c>
      <c r="N3134" t="s">
        <v>871</v>
      </c>
      <c r="O3134" s="24">
        <v>46128</v>
      </c>
      <c r="P3134">
        <v>606</v>
      </c>
      <c r="Q3134" t="s">
        <v>34</v>
      </c>
      <c r="X3134" t="s">
        <v>3799</v>
      </c>
    </row>
    <row r="3135" spans="1:24" x14ac:dyDescent="0.25">
      <c r="A3135">
        <v>3131</v>
      </c>
      <c r="B3135" t="s">
        <v>29</v>
      </c>
      <c r="C3135" t="s">
        <v>27</v>
      </c>
      <c r="D3135">
        <v>16</v>
      </c>
      <c r="E3135" t="s">
        <v>367</v>
      </c>
      <c r="F3135" t="s">
        <v>368</v>
      </c>
      <c r="G3135">
        <v>3762</v>
      </c>
      <c r="H3135" t="s">
        <v>1675</v>
      </c>
      <c r="I3135" t="s">
        <v>1676</v>
      </c>
      <c r="J3135">
        <v>16</v>
      </c>
      <c r="K3135">
        <v>1</v>
      </c>
      <c r="L3135">
        <v>7.2916666666666659E-4</v>
      </c>
      <c r="M3135" t="s">
        <v>778</v>
      </c>
      <c r="N3135" t="s">
        <v>871</v>
      </c>
      <c r="O3135" s="24">
        <v>46128</v>
      </c>
      <c r="P3135">
        <v>606</v>
      </c>
      <c r="Q3135" t="s">
        <v>34</v>
      </c>
      <c r="X3135" t="s">
        <v>3800</v>
      </c>
    </row>
    <row r="3136" spans="1:24" x14ac:dyDescent="0.25">
      <c r="A3136">
        <v>3132</v>
      </c>
      <c r="B3136" t="s">
        <v>29</v>
      </c>
      <c r="C3136" t="s">
        <v>27</v>
      </c>
      <c r="D3136">
        <v>16</v>
      </c>
      <c r="E3136" t="s">
        <v>367</v>
      </c>
      <c r="F3136" t="s">
        <v>368</v>
      </c>
      <c r="G3136">
        <v>3762</v>
      </c>
      <c r="H3136" t="s">
        <v>1681</v>
      </c>
      <c r="I3136" t="s">
        <v>1676</v>
      </c>
      <c r="J3136">
        <v>16</v>
      </c>
      <c r="K3136">
        <v>1</v>
      </c>
      <c r="L3136">
        <v>8.1018518518518516E-4</v>
      </c>
      <c r="M3136" t="s">
        <v>778</v>
      </c>
      <c r="N3136" t="s">
        <v>871</v>
      </c>
      <c r="O3136" s="24">
        <v>46128</v>
      </c>
      <c r="P3136">
        <v>606</v>
      </c>
      <c r="Q3136" t="s">
        <v>34</v>
      </c>
      <c r="X3136" t="s">
        <v>3800</v>
      </c>
    </row>
    <row r="3137" spans="1:24" x14ac:dyDescent="0.25">
      <c r="A3137">
        <v>3133</v>
      </c>
      <c r="B3137" t="s">
        <v>29</v>
      </c>
      <c r="C3137" t="s">
        <v>27</v>
      </c>
      <c r="D3137">
        <v>16</v>
      </c>
      <c r="E3137" t="s">
        <v>829</v>
      </c>
      <c r="F3137" t="s">
        <v>367</v>
      </c>
      <c r="G3137">
        <v>3762</v>
      </c>
      <c r="H3137" t="s">
        <v>2072</v>
      </c>
      <c r="I3137" t="s">
        <v>2772</v>
      </c>
      <c r="J3137">
        <v>16</v>
      </c>
      <c r="K3137">
        <v>1</v>
      </c>
      <c r="L3137">
        <v>1.8981481481481482E-3</v>
      </c>
      <c r="M3137" t="s">
        <v>778</v>
      </c>
      <c r="N3137" t="s">
        <v>871</v>
      </c>
      <c r="O3137" s="24">
        <v>46128</v>
      </c>
      <c r="P3137">
        <v>606</v>
      </c>
      <c r="Q3137" t="s">
        <v>34</v>
      </c>
      <c r="X3137" t="s">
        <v>3800</v>
      </c>
    </row>
    <row r="3138" spans="1:24" x14ac:dyDescent="0.25">
      <c r="A3138">
        <v>3134</v>
      </c>
      <c r="B3138" t="s">
        <v>29</v>
      </c>
      <c r="C3138" t="s">
        <v>27</v>
      </c>
      <c r="D3138">
        <v>16</v>
      </c>
      <c r="E3138" t="s">
        <v>829</v>
      </c>
      <c r="F3138" t="s">
        <v>367</v>
      </c>
      <c r="G3138">
        <v>3762</v>
      </c>
      <c r="H3138" t="s">
        <v>2074</v>
      </c>
      <c r="I3138" t="s">
        <v>2772</v>
      </c>
      <c r="J3138">
        <v>16</v>
      </c>
      <c r="K3138">
        <v>1</v>
      </c>
      <c r="L3138">
        <v>2.3495370370370371E-3</v>
      </c>
      <c r="M3138" t="s">
        <v>778</v>
      </c>
      <c r="N3138" t="s">
        <v>871</v>
      </c>
      <c r="O3138" s="24">
        <v>46128</v>
      </c>
      <c r="P3138">
        <v>606</v>
      </c>
      <c r="Q3138" t="s">
        <v>34</v>
      </c>
      <c r="X3138" t="s">
        <v>3800</v>
      </c>
    </row>
    <row r="3139" spans="1:24" x14ac:dyDescent="0.25">
      <c r="A3139">
        <v>3135</v>
      </c>
      <c r="B3139" t="s">
        <v>29</v>
      </c>
      <c r="C3139" t="s">
        <v>27</v>
      </c>
      <c r="D3139">
        <v>16</v>
      </c>
      <c r="E3139" t="s">
        <v>1585</v>
      </c>
      <c r="F3139" t="s">
        <v>1585</v>
      </c>
      <c r="G3139">
        <v>3762</v>
      </c>
      <c r="H3139" t="s">
        <v>1635</v>
      </c>
      <c r="I3139" t="s">
        <v>1636</v>
      </c>
      <c r="J3139">
        <v>16</v>
      </c>
      <c r="K3139">
        <v>1</v>
      </c>
      <c r="L3139">
        <v>1.1342592592592591E-3</v>
      </c>
      <c r="M3139" t="s">
        <v>778</v>
      </c>
      <c r="N3139" t="s">
        <v>871</v>
      </c>
      <c r="O3139" s="24">
        <v>46128</v>
      </c>
      <c r="P3139">
        <v>606</v>
      </c>
      <c r="Q3139" t="s">
        <v>34</v>
      </c>
      <c r="X3139" t="s">
        <v>3800</v>
      </c>
    </row>
    <row r="3140" spans="1:24" x14ac:dyDescent="0.25">
      <c r="A3140">
        <v>3136</v>
      </c>
      <c r="B3140" t="s">
        <v>29</v>
      </c>
      <c r="C3140" t="s">
        <v>27</v>
      </c>
      <c r="D3140">
        <v>16</v>
      </c>
      <c r="E3140" t="s">
        <v>367</v>
      </c>
      <c r="F3140" t="s">
        <v>512</v>
      </c>
      <c r="G3140">
        <v>3762</v>
      </c>
      <c r="H3140" t="s">
        <v>1725</v>
      </c>
      <c r="I3140" t="s">
        <v>1726</v>
      </c>
      <c r="J3140">
        <v>16</v>
      </c>
      <c r="K3140">
        <v>1</v>
      </c>
      <c r="L3140">
        <v>9.7222222222222219E-4</v>
      </c>
      <c r="M3140" t="s">
        <v>778</v>
      </c>
      <c r="N3140" t="s">
        <v>871</v>
      </c>
      <c r="O3140" s="24">
        <v>46128</v>
      </c>
      <c r="P3140">
        <v>606</v>
      </c>
      <c r="Q3140" t="s">
        <v>34</v>
      </c>
      <c r="X3140" t="s">
        <v>3800</v>
      </c>
    </row>
    <row r="3141" spans="1:24" x14ac:dyDescent="0.25">
      <c r="A3141">
        <v>3137</v>
      </c>
      <c r="B3141" t="s">
        <v>29</v>
      </c>
      <c r="C3141" t="s">
        <v>27</v>
      </c>
      <c r="D3141">
        <v>16</v>
      </c>
      <c r="E3141" t="s">
        <v>367</v>
      </c>
      <c r="F3141" t="s">
        <v>512</v>
      </c>
      <c r="G3141">
        <v>3762</v>
      </c>
      <c r="H3141" t="s">
        <v>1773</v>
      </c>
      <c r="I3141" t="s">
        <v>1774</v>
      </c>
      <c r="J3141">
        <v>16</v>
      </c>
      <c r="K3141">
        <v>1</v>
      </c>
      <c r="L3141">
        <v>1.6319444444444443E-3</v>
      </c>
      <c r="M3141" t="s">
        <v>778</v>
      </c>
      <c r="N3141" t="s">
        <v>871</v>
      </c>
      <c r="O3141" s="24">
        <v>46128</v>
      </c>
      <c r="P3141">
        <v>606</v>
      </c>
      <c r="Q3141" t="s">
        <v>34</v>
      </c>
      <c r="X3141" t="s">
        <v>3800</v>
      </c>
    </row>
    <row r="3142" spans="1:24" x14ac:dyDescent="0.25">
      <c r="A3142">
        <v>3138</v>
      </c>
      <c r="B3142" t="s">
        <v>29</v>
      </c>
      <c r="C3142" t="s">
        <v>27</v>
      </c>
      <c r="D3142">
        <v>16</v>
      </c>
      <c r="E3142" t="s">
        <v>367</v>
      </c>
      <c r="F3142" t="s">
        <v>1594</v>
      </c>
      <c r="G3142">
        <v>3762</v>
      </c>
      <c r="H3142" t="s">
        <v>1641</v>
      </c>
      <c r="I3142" t="s">
        <v>1642</v>
      </c>
      <c r="J3142">
        <v>16</v>
      </c>
      <c r="K3142">
        <v>2</v>
      </c>
      <c r="L3142">
        <v>1.423611111111111E-3</v>
      </c>
      <c r="M3142" t="s">
        <v>778</v>
      </c>
      <c r="N3142" t="s">
        <v>871</v>
      </c>
      <c r="O3142" s="24">
        <v>46128</v>
      </c>
      <c r="P3142">
        <v>606</v>
      </c>
      <c r="Q3142" t="s">
        <v>34</v>
      </c>
      <c r="X3142" t="s">
        <v>3800</v>
      </c>
    </row>
    <row r="3143" spans="1:24" x14ac:dyDescent="0.25">
      <c r="A3143">
        <v>3139</v>
      </c>
      <c r="B3143" t="s">
        <v>29</v>
      </c>
      <c r="C3143" t="s">
        <v>27</v>
      </c>
      <c r="D3143">
        <v>16</v>
      </c>
      <c r="E3143" t="s">
        <v>367</v>
      </c>
      <c r="F3143" t="s">
        <v>367</v>
      </c>
      <c r="G3143">
        <v>3754</v>
      </c>
      <c r="H3143" t="s">
        <v>1941</v>
      </c>
      <c r="I3143" t="s">
        <v>1942</v>
      </c>
      <c r="J3143">
        <v>12</v>
      </c>
      <c r="K3143">
        <v>3</v>
      </c>
      <c r="L3143">
        <v>1.1921296296296296E-3</v>
      </c>
      <c r="M3143" t="s">
        <v>3079</v>
      </c>
      <c r="X3143" t="s">
        <v>3801</v>
      </c>
    </row>
    <row r="3144" spans="1:24" x14ac:dyDescent="0.25">
      <c r="A3144">
        <v>3140</v>
      </c>
      <c r="B3144" t="s">
        <v>29</v>
      </c>
      <c r="C3144" t="s">
        <v>27</v>
      </c>
      <c r="D3144">
        <v>16</v>
      </c>
      <c r="E3144" t="s">
        <v>367</v>
      </c>
      <c r="F3144" t="s">
        <v>512</v>
      </c>
      <c r="G3144">
        <v>3754</v>
      </c>
      <c r="H3144" t="s">
        <v>2035</v>
      </c>
      <c r="I3144" t="s">
        <v>2036</v>
      </c>
      <c r="J3144">
        <v>12</v>
      </c>
      <c r="K3144">
        <v>1</v>
      </c>
      <c r="L3144">
        <v>5.7870370370370367E-4</v>
      </c>
      <c r="M3144" t="s">
        <v>3079</v>
      </c>
      <c r="X3144" t="s">
        <v>3801</v>
      </c>
    </row>
    <row r="3145" spans="1:24" x14ac:dyDescent="0.25">
      <c r="A3145">
        <v>3141</v>
      </c>
      <c r="B3145" t="s">
        <v>29</v>
      </c>
      <c r="C3145" t="s">
        <v>27</v>
      </c>
      <c r="D3145">
        <v>16</v>
      </c>
      <c r="E3145" t="s">
        <v>367</v>
      </c>
      <c r="F3145" t="s">
        <v>512</v>
      </c>
      <c r="G3145">
        <v>3754</v>
      </c>
      <c r="H3145" t="s">
        <v>1842</v>
      </c>
      <c r="I3145" t="s">
        <v>1843</v>
      </c>
      <c r="J3145">
        <v>12</v>
      </c>
      <c r="K3145">
        <v>1</v>
      </c>
      <c r="L3145">
        <v>5.7870370370370367E-4</v>
      </c>
      <c r="M3145" t="s">
        <v>3079</v>
      </c>
      <c r="X3145" t="s">
        <v>3801</v>
      </c>
    </row>
    <row r="3146" spans="1:24" x14ac:dyDescent="0.25">
      <c r="A3146">
        <v>3142</v>
      </c>
      <c r="B3146" t="s">
        <v>29</v>
      </c>
      <c r="C3146" t="s">
        <v>27</v>
      </c>
      <c r="D3146">
        <v>16</v>
      </c>
      <c r="E3146" t="s">
        <v>2742</v>
      </c>
      <c r="F3146" t="s">
        <v>115</v>
      </c>
      <c r="G3146">
        <v>3754</v>
      </c>
      <c r="H3146" t="s">
        <v>2830</v>
      </c>
      <c r="I3146" t="s">
        <v>2831</v>
      </c>
      <c r="J3146">
        <v>12</v>
      </c>
      <c r="K3146">
        <v>2</v>
      </c>
      <c r="L3146">
        <v>1.5740740740740741E-3</v>
      </c>
      <c r="M3146" t="s">
        <v>3079</v>
      </c>
      <c r="X3146" t="s">
        <v>3801</v>
      </c>
    </row>
    <row r="3147" spans="1:24" x14ac:dyDescent="0.25">
      <c r="A3147">
        <v>3143</v>
      </c>
      <c r="B3147" t="s">
        <v>29</v>
      </c>
      <c r="C3147" t="s">
        <v>27</v>
      </c>
      <c r="D3147">
        <v>16</v>
      </c>
      <c r="E3147" t="s">
        <v>2729</v>
      </c>
      <c r="F3147" t="s">
        <v>115</v>
      </c>
      <c r="G3147">
        <v>3754</v>
      </c>
      <c r="H3147" t="s">
        <v>2862</v>
      </c>
      <c r="I3147" t="s">
        <v>2831</v>
      </c>
      <c r="J3147">
        <v>12</v>
      </c>
      <c r="K3147">
        <v>6</v>
      </c>
      <c r="L3147">
        <v>5.9490740740740736E-3</v>
      </c>
      <c r="M3147" t="s">
        <v>3079</v>
      </c>
      <c r="X3147" t="s">
        <v>3801</v>
      </c>
    </row>
    <row r="3148" spans="1:24" x14ac:dyDescent="0.25">
      <c r="A3148">
        <v>3144</v>
      </c>
      <c r="B3148" t="s">
        <v>29</v>
      </c>
      <c r="C3148" t="s">
        <v>27</v>
      </c>
      <c r="D3148">
        <v>16</v>
      </c>
      <c r="E3148" t="s">
        <v>2763</v>
      </c>
      <c r="F3148" t="s">
        <v>512</v>
      </c>
      <c r="G3148">
        <v>3754</v>
      </c>
      <c r="H3148" t="s">
        <v>2863</v>
      </c>
      <c r="I3148" t="s">
        <v>1813</v>
      </c>
      <c r="J3148">
        <v>12</v>
      </c>
      <c r="K3148">
        <v>1</v>
      </c>
      <c r="L3148">
        <v>1.230324074074074E-2</v>
      </c>
      <c r="M3148" t="s">
        <v>3079</v>
      </c>
      <c r="X3148" t="s">
        <v>3801</v>
      </c>
    </row>
    <row r="3149" spans="1:24" x14ac:dyDescent="0.25">
      <c r="A3149">
        <v>3145</v>
      </c>
      <c r="B3149" t="s">
        <v>29</v>
      </c>
      <c r="C3149" t="s">
        <v>27</v>
      </c>
      <c r="D3149">
        <v>16</v>
      </c>
      <c r="E3149" t="s">
        <v>367</v>
      </c>
      <c r="F3149" t="s">
        <v>367</v>
      </c>
      <c r="G3149">
        <v>3763</v>
      </c>
      <c r="H3149" t="s">
        <v>1608</v>
      </c>
      <c r="I3149" t="s">
        <v>1609</v>
      </c>
      <c r="J3149">
        <v>19</v>
      </c>
      <c r="K3149">
        <v>16</v>
      </c>
      <c r="L3149">
        <v>1.3506944444444445E-2</v>
      </c>
      <c r="M3149" t="s">
        <v>3079</v>
      </c>
      <c r="X3149" t="s">
        <v>3802</v>
      </c>
    </row>
    <row r="3150" spans="1:24" x14ac:dyDescent="0.25">
      <c r="A3150">
        <v>3146</v>
      </c>
      <c r="B3150" t="s">
        <v>29</v>
      </c>
      <c r="C3150" t="s">
        <v>27</v>
      </c>
      <c r="D3150">
        <v>16</v>
      </c>
      <c r="E3150" t="s">
        <v>367</v>
      </c>
      <c r="F3150" t="s">
        <v>367</v>
      </c>
      <c r="G3150">
        <v>3763</v>
      </c>
      <c r="H3150" t="s">
        <v>1613</v>
      </c>
      <c r="I3150" t="s">
        <v>1614</v>
      </c>
      <c r="J3150">
        <v>19</v>
      </c>
      <c r="K3150">
        <v>24</v>
      </c>
      <c r="L3150">
        <v>3.09375E-2</v>
      </c>
      <c r="M3150" t="s">
        <v>3079</v>
      </c>
      <c r="X3150" t="s">
        <v>3802</v>
      </c>
    </row>
    <row r="3151" spans="1:24" x14ac:dyDescent="0.25">
      <c r="A3151">
        <v>3147</v>
      </c>
      <c r="B3151" t="s">
        <v>29</v>
      </c>
      <c r="C3151" t="s">
        <v>27</v>
      </c>
      <c r="D3151">
        <v>16</v>
      </c>
      <c r="E3151" t="s">
        <v>2823</v>
      </c>
      <c r="F3151" t="s">
        <v>2823</v>
      </c>
      <c r="G3151">
        <v>3763</v>
      </c>
      <c r="H3151" t="s">
        <v>2865</v>
      </c>
      <c r="I3151" t="s">
        <v>1614</v>
      </c>
      <c r="J3151">
        <v>19</v>
      </c>
      <c r="K3151">
        <v>31</v>
      </c>
      <c r="L3151">
        <v>3.99537037037037E-2</v>
      </c>
      <c r="M3151" t="s">
        <v>3079</v>
      </c>
      <c r="X3151" t="s">
        <v>3802</v>
      </c>
    </row>
    <row r="3152" spans="1:24" x14ac:dyDescent="0.25">
      <c r="A3152">
        <v>3148</v>
      </c>
      <c r="B3152" t="s">
        <v>29</v>
      </c>
      <c r="C3152" t="s">
        <v>27</v>
      </c>
      <c r="D3152">
        <v>16</v>
      </c>
      <c r="E3152" t="s">
        <v>2823</v>
      </c>
      <c r="F3152" t="s">
        <v>2823</v>
      </c>
      <c r="G3152">
        <v>3763</v>
      </c>
      <c r="H3152" t="s">
        <v>2866</v>
      </c>
      <c r="I3152" t="s">
        <v>1609</v>
      </c>
      <c r="J3152">
        <v>19</v>
      </c>
      <c r="K3152">
        <v>48</v>
      </c>
      <c r="L3152">
        <v>4.0543981481481479E-2</v>
      </c>
      <c r="M3152" t="s">
        <v>3079</v>
      </c>
      <c r="X3152" t="s">
        <v>3802</v>
      </c>
    </row>
    <row r="3153" spans="1:24" x14ac:dyDescent="0.25">
      <c r="A3153">
        <v>3149</v>
      </c>
      <c r="B3153" t="s">
        <v>29</v>
      </c>
      <c r="C3153" t="s">
        <v>27</v>
      </c>
      <c r="D3153">
        <v>16</v>
      </c>
      <c r="E3153" t="s">
        <v>1583</v>
      </c>
      <c r="F3153" t="s">
        <v>1583</v>
      </c>
      <c r="G3153">
        <v>3756</v>
      </c>
      <c r="H3153" t="s">
        <v>1888</v>
      </c>
      <c r="I3153" t="s">
        <v>1889</v>
      </c>
      <c r="J3153">
        <v>12</v>
      </c>
      <c r="K3153">
        <v>5</v>
      </c>
      <c r="L3153">
        <v>3.8078703703703703E-3</v>
      </c>
      <c r="M3153" t="s">
        <v>3079</v>
      </c>
      <c r="X3153" t="s">
        <v>3803</v>
      </c>
    </row>
    <row r="3154" spans="1:24" x14ac:dyDescent="0.25">
      <c r="A3154">
        <v>3150</v>
      </c>
      <c r="B3154" t="s">
        <v>29</v>
      </c>
      <c r="C3154" t="s">
        <v>27</v>
      </c>
      <c r="D3154">
        <v>16</v>
      </c>
      <c r="E3154" t="s">
        <v>1665</v>
      </c>
      <c r="F3154" t="s">
        <v>115</v>
      </c>
      <c r="G3154">
        <v>3756</v>
      </c>
      <c r="H3154" t="s">
        <v>1940</v>
      </c>
      <c r="I3154" t="s">
        <v>1886</v>
      </c>
      <c r="J3154">
        <v>12</v>
      </c>
      <c r="K3154">
        <v>11</v>
      </c>
      <c r="L3154">
        <v>7.8472222222222224E-3</v>
      </c>
      <c r="M3154" t="s">
        <v>3079</v>
      </c>
      <c r="X3154" t="s">
        <v>3803</v>
      </c>
    </row>
    <row r="3155" spans="1:24" x14ac:dyDescent="0.25">
      <c r="A3155">
        <v>3151</v>
      </c>
      <c r="B3155" t="s">
        <v>29</v>
      </c>
      <c r="C3155" t="s">
        <v>27</v>
      </c>
      <c r="D3155">
        <v>16</v>
      </c>
      <c r="E3155" t="s">
        <v>367</v>
      </c>
      <c r="F3155" t="s">
        <v>512</v>
      </c>
      <c r="G3155">
        <v>3756</v>
      </c>
      <c r="H3155" t="s">
        <v>1871</v>
      </c>
      <c r="I3155" t="s">
        <v>1845</v>
      </c>
      <c r="J3155">
        <v>12</v>
      </c>
      <c r="K3155">
        <v>1</v>
      </c>
      <c r="L3155">
        <v>4.5138888888888887E-4</v>
      </c>
      <c r="M3155" t="s">
        <v>3079</v>
      </c>
      <c r="X3155" t="s">
        <v>3803</v>
      </c>
    </row>
    <row r="3156" spans="1:24" x14ac:dyDescent="0.25">
      <c r="A3156">
        <v>3152</v>
      </c>
      <c r="B3156" t="s">
        <v>29</v>
      </c>
      <c r="C3156" t="s">
        <v>27</v>
      </c>
      <c r="D3156">
        <v>16</v>
      </c>
      <c r="E3156" t="s">
        <v>367</v>
      </c>
      <c r="F3156" t="s">
        <v>512</v>
      </c>
      <c r="G3156">
        <v>3756</v>
      </c>
      <c r="H3156" t="s">
        <v>1844</v>
      </c>
      <c r="I3156" t="s">
        <v>1845</v>
      </c>
      <c r="J3156">
        <v>12</v>
      </c>
      <c r="K3156">
        <v>1</v>
      </c>
      <c r="L3156">
        <v>4.5138888888888887E-4</v>
      </c>
      <c r="M3156" t="s">
        <v>3079</v>
      </c>
      <c r="X3156" t="s">
        <v>3803</v>
      </c>
    </row>
    <row r="3157" spans="1:24" x14ac:dyDescent="0.25">
      <c r="A3157">
        <v>3153</v>
      </c>
      <c r="B3157" t="s">
        <v>29</v>
      </c>
      <c r="C3157" t="s">
        <v>27</v>
      </c>
      <c r="D3157">
        <v>16</v>
      </c>
      <c r="E3157" t="s">
        <v>367</v>
      </c>
      <c r="F3157" t="s">
        <v>1594</v>
      </c>
      <c r="G3157">
        <v>3756</v>
      </c>
      <c r="H3157" t="s">
        <v>1876</v>
      </c>
      <c r="I3157" t="s">
        <v>1877</v>
      </c>
      <c r="J3157">
        <v>12</v>
      </c>
      <c r="K3157">
        <v>2</v>
      </c>
      <c r="L3157">
        <v>1.2268518518518518E-3</v>
      </c>
      <c r="M3157" t="s">
        <v>3079</v>
      </c>
      <c r="X3157" t="s">
        <v>3803</v>
      </c>
    </row>
    <row r="3158" spans="1:24" x14ac:dyDescent="0.25">
      <c r="A3158">
        <v>3154</v>
      </c>
      <c r="B3158" t="s">
        <v>29</v>
      </c>
      <c r="C3158" t="s">
        <v>27</v>
      </c>
      <c r="D3158">
        <v>16</v>
      </c>
      <c r="E3158" t="s">
        <v>2763</v>
      </c>
      <c r="F3158" t="s">
        <v>512</v>
      </c>
      <c r="G3158">
        <v>3756</v>
      </c>
      <c r="H3158" t="s">
        <v>2868</v>
      </c>
      <c r="I3158" t="s">
        <v>2869</v>
      </c>
      <c r="J3158">
        <v>12</v>
      </c>
      <c r="K3158">
        <v>1</v>
      </c>
      <c r="L3158">
        <v>7.0254629629629625E-3</v>
      </c>
      <c r="M3158" t="s">
        <v>3079</v>
      </c>
      <c r="X3158" t="s">
        <v>3803</v>
      </c>
    </row>
    <row r="3159" spans="1:24" x14ac:dyDescent="0.25">
      <c r="A3159">
        <v>3155</v>
      </c>
      <c r="B3159" t="s">
        <v>29</v>
      </c>
      <c r="C3159" t="s">
        <v>27</v>
      </c>
      <c r="D3159">
        <v>16</v>
      </c>
      <c r="E3159" t="s">
        <v>152</v>
      </c>
      <c r="F3159" t="s">
        <v>152</v>
      </c>
      <c r="G3159">
        <v>3756</v>
      </c>
      <c r="H3159" t="s">
        <v>2870</v>
      </c>
      <c r="I3159" t="s">
        <v>2797</v>
      </c>
      <c r="J3159">
        <v>12</v>
      </c>
      <c r="K3159">
        <v>1</v>
      </c>
      <c r="L3159">
        <v>1.2268518518518518E-3</v>
      </c>
      <c r="M3159" t="s">
        <v>3079</v>
      </c>
      <c r="X3159" t="s">
        <v>3803</v>
      </c>
    </row>
    <row r="3160" spans="1:24" x14ac:dyDescent="0.25">
      <c r="A3160">
        <v>3156</v>
      </c>
      <c r="B3160" t="s">
        <v>29</v>
      </c>
      <c r="C3160" t="s">
        <v>27</v>
      </c>
      <c r="D3160">
        <v>16</v>
      </c>
      <c r="E3160" t="s">
        <v>1665</v>
      </c>
      <c r="F3160" t="s">
        <v>115</v>
      </c>
      <c r="G3160">
        <v>3755</v>
      </c>
      <c r="H3160" t="s">
        <v>1940</v>
      </c>
      <c r="I3160" t="s">
        <v>1886</v>
      </c>
      <c r="J3160">
        <v>12</v>
      </c>
      <c r="K3160">
        <v>11</v>
      </c>
      <c r="L3160">
        <v>8.9699074074074073E-3</v>
      </c>
      <c r="M3160" t="s">
        <v>3079</v>
      </c>
      <c r="X3160" t="s">
        <v>3804</v>
      </c>
    </row>
    <row r="3161" spans="1:24" x14ac:dyDescent="0.25">
      <c r="A3161">
        <v>3157</v>
      </c>
      <c r="B3161" t="s">
        <v>29</v>
      </c>
      <c r="C3161" t="s">
        <v>27</v>
      </c>
      <c r="D3161">
        <v>16</v>
      </c>
      <c r="E3161" t="s">
        <v>367</v>
      </c>
      <c r="F3161" t="s">
        <v>1594</v>
      </c>
      <c r="G3161">
        <v>3755</v>
      </c>
      <c r="H3161" t="s">
        <v>1853</v>
      </c>
      <c r="I3161" t="s">
        <v>1854</v>
      </c>
      <c r="J3161">
        <v>12</v>
      </c>
      <c r="K3161">
        <v>2</v>
      </c>
      <c r="L3161">
        <v>1.0763888888888889E-3</v>
      </c>
      <c r="M3161" t="s">
        <v>3079</v>
      </c>
      <c r="X3161" t="s">
        <v>3804</v>
      </c>
    </row>
    <row r="3162" spans="1:24" x14ac:dyDescent="0.25">
      <c r="A3162">
        <v>3158</v>
      </c>
      <c r="B3162" t="s">
        <v>29</v>
      </c>
      <c r="C3162" t="s">
        <v>27</v>
      </c>
      <c r="D3162">
        <v>16</v>
      </c>
      <c r="E3162" t="s">
        <v>2763</v>
      </c>
      <c r="F3162" t="s">
        <v>512</v>
      </c>
      <c r="G3162">
        <v>3755</v>
      </c>
      <c r="H3162" t="s">
        <v>2863</v>
      </c>
      <c r="I3162" t="s">
        <v>1813</v>
      </c>
      <c r="J3162">
        <v>12</v>
      </c>
      <c r="K3162">
        <v>1</v>
      </c>
      <c r="L3162">
        <v>1.2731481481481481E-2</v>
      </c>
      <c r="M3162" t="s">
        <v>3079</v>
      </c>
      <c r="X3162" t="s">
        <v>3804</v>
      </c>
    </row>
    <row r="3163" spans="1:24" x14ac:dyDescent="0.25">
      <c r="A3163">
        <v>3159</v>
      </c>
      <c r="B3163" t="s">
        <v>29</v>
      </c>
      <c r="C3163" t="s">
        <v>27</v>
      </c>
      <c r="D3163">
        <v>16</v>
      </c>
      <c r="E3163" t="s">
        <v>2763</v>
      </c>
      <c r="F3163" t="s">
        <v>512</v>
      </c>
      <c r="G3163">
        <v>3757</v>
      </c>
      <c r="H3163" t="s">
        <v>2872</v>
      </c>
      <c r="I3163" t="s">
        <v>2873</v>
      </c>
      <c r="J3163">
        <v>12</v>
      </c>
      <c r="K3163">
        <v>1</v>
      </c>
      <c r="L3163">
        <v>1.4953703703703703E-2</v>
      </c>
      <c r="M3163" t="s">
        <v>3079</v>
      </c>
      <c r="X3163" t="s">
        <v>3805</v>
      </c>
    </row>
    <row r="3164" spans="1:24" x14ac:dyDescent="0.25">
      <c r="A3164">
        <v>3160</v>
      </c>
      <c r="B3164" t="s">
        <v>29</v>
      </c>
      <c r="C3164" t="s">
        <v>27</v>
      </c>
      <c r="D3164">
        <v>16</v>
      </c>
      <c r="E3164" t="s">
        <v>152</v>
      </c>
      <c r="F3164" t="s">
        <v>152</v>
      </c>
      <c r="G3164">
        <v>3757</v>
      </c>
      <c r="H3164" t="s">
        <v>2875</v>
      </c>
      <c r="I3164" t="s">
        <v>2797</v>
      </c>
      <c r="J3164">
        <v>12</v>
      </c>
      <c r="K3164">
        <v>1</v>
      </c>
      <c r="L3164">
        <v>1.5972222222222221E-3</v>
      </c>
      <c r="M3164" t="s">
        <v>3079</v>
      </c>
      <c r="X3164" t="s">
        <v>3805</v>
      </c>
    </row>
    <row r="3165" spans="1:24" x14ac:dyDescent="0.25">
      <c r="A3165">
        <v>3161</v>
      </c>
      <c r="B3165" t="s">
        <v>29</v>
      </c>
      <c r="C3165" t="s">
        <v>27</v>
      </c>
      <c r="D3165">
        <v>16</v>
      </c>
      <c r="E3165" t="s">
        <v>152</v>
      </c>
      <c r="F3165" t="s">
        <v>152</v>
      </c>
      <c r="G3165">
        <v>3757</v>
      </c>
      <c r="H3165" t="s">
        <v>2876</v>
      </c>
      <c r="I3165" t="s">
        <v>2797</v>
      </c>
      <c r="J3165">
        <v>12</v>
      </c>
      <c r="K3165">
        <v>1</v>
      </c>
      <c r="L3165">
        <v>1.5972222222222221E-3</v>
      </c>
      <c r="M3165" t="s">
        <v>3079</v>
      </c>
      <c r="X3165" t="s">
        <v>3805</v>
      </c>
    </row>
    <row r="3166" spans="1:24" x14ac:dyDescent="0.25">
      <c r="A3166">
        <v>3162</v>
      </c>
      <c r="B3166" t="s">
        <v>29</v>
      </c>
      <c r="C3166" t="s">
        <v>27</v>
      </c>
      <c r="D3166">
        <v>16</v>
      </c>
      <c r="E3166" t="s">
        <v>152</v>
      </c>
      <c r="F3166" t="s">
        <v>152</v>
      </c>
      <c r="G3166">
        <v>3757</v>
      </c>
      <c r="H3166" t="s">
        <v>2877</v>
      </c>
      <c r="I3166" t="s">
        <v>2797</v>
      </c>
      <c r="J3166">
        <v>12</v>
      </c>
      <c r="K3166">
        <v>1</v>
      </c>
      <c r="L3166">
        <v>1.5972222222222221E-3</v>
      </c>
      <c r="M3166" t="s">
        <v>3079</v>
      </c>
      <c r="X3166" t="s">
        <v>3805</v>
      </c>
    </row>
    <row r="3167" spans="1:24" x14ac:dyDescent="0.25">
      <c r="A3167">
        <v>3163</v>
      </c>
      <c r="B3167" t="s">
        <v>29</v>
      </c>
      <c r="C3167" t="s">
        <v>27</v>
      </c>
      <c r="D3167">
        <v>16</v>
      </c>
      <c r="E3167" t="s">
        <v>147</v>
      </c>
      <c r="F3167" t="s">
        <v>512</v>
      </c>
      <c r="G3167">
        <v>4283</v>
      </c>
      <c r="H3167" t="s">
        <v>2352</v>
      </c>
      <c r="I3167" t="s">
        <v>2161</v>
      </c>
      <c r="J3167">
        <v>8</v>
      </c>
      <c r="K3167">
        <v>2</v>
      </c>
      <c r="L3167">
        <v>3.3101851851851851E-3</v>
      </c>
      <c r="M3167" t="s">
        <v>778</v>
      </c>
      <c r="N3167" t="s">
        <v>1304</v>
      </c>
      <c r="O3167" s="24">
        <v>46126</v>
      </c>
      <c r="P3167">
        <v>605</v>
      </c>
      <c r="Q3167" t="s">
        <v>34</v>
      </c>
      <c r="X3167" t="s">
        <v>3806</v>
      </c>
    </row>
    <row r="3168" spans="1:24" x14ac:dyDescent="0.25">
      <c r="A3168">
        <v>3164</v>
      </c>
      <c r="B3168" t="s">
        <v>29</v>
      </c>
      <c r="C3168" t="s">
        <v>27</v>
      </c>
      <c r="D3168">
        <v>16</v>
      </c>
      <c r="E3168" t="s">
        <v>1588</v>
      </c>
      <c r="F3168" t="s">
        <v>44</v>
      </c>
      <c r="G3168">
        <v>4283</v>
      </c>
      <c r="H3168" t="s">
        <v>2057</v>
      </c>
      <c r="I3168" t="s">
        <v>2049</v>
      </c>
      <c r="J3168">
        <v>8</v>
      </c>
      <c r="K3168">
        <v>1</v>
      </c>
      <c r="L3168">
        <v>1.261574074074074E-3</v>
      </c>
      <c r="M3168" t="s">
        <v>778</v>
      </c>
      <c r="N3168" t="s">
        <v>1304</v>
      </c>
      <c r="O3168" s="24">
        <v>46126</v>
      </c>
      <c r="P3168">
        <v>605</v>
      </c>
      <c r="Q3168" t="s">
        <v>34</v>
      </c>
      <c r="X3168" t="s">
        <v>3806</v>
      </c>
    </row>
    <row r="3169" spans="1:24" x14ac:dyDescent="0.25">
      <c r="A3169">
        <v>3165</v>
      </c>
      <c r="B3169" t="s">
        <v>29</v>
      </c>
      <c r="C3169" t="s">
        <v>27</v>
      </c>
      <c r="D3169">
        <v>16</v>
      </c>
      <c r="E3169" t="s">
        <v>1588</v>
      </c>
      <c r="F3169" t="s">
        <v>44</v>
      </c>
      <c r="G3169">
        <v>4283</v>
      </c>
      <c r="H3169" t="s">
        <v>2217</v>
      </c>
      <c r="I3169" t="s">
        <v>2049</v>
      </c>
      <c r="J3169">
        <v>8</v>
      </c>
      <c r="K3169">
        <v>1</v>
      </c>
      <c r="L3169">
        <v>1.261574074074074E-3</v>
      </c>
      <c r="M3169" t="s">
        <v>778</v>
      </c>
      <c r="N3169" t="s">
        <v>1304</v>
      </c>
      <c r="O3169" s="24">
        <v>46126</v>
      </c>
      <c r="P3169">
        <v>605</v>
      </c>
      <c r="Q3169" t="s">
        <v>34</v>
      </c>
      <c r="X3169" t="s">
        <v>3806</v>
      </c>
    </row>
    <row r="3170" spans="1:24" x14ac:dyDescent="0.25">
      <c r="A3170">
        <v>3166</v>
      </c>
      <c r="B3170" t="s">
        <v>29</v>
      </c>
      <c r="C3170" t="s">
        <v>27</v>
      </c>
      <c r="D3170">
        <v>16</v>
      </c>
      <c r="E3170" t="s">
        <v>367</v>
      </c>
      <c r="F3170" t="s">
        <v>368</v>
      </c>
      <c r="G3170">
        <v>4283</v>
      </c>
      <c r="H3170" t="s">
        <v>2114</v>
      </c>
      <c r="I3170" t="s">
        <v>2097</v>
      </c>
      <c r="J3170">
        <v>8</v>
      </c>
      <c r="K3170">
        <v>2</v>
      </c>
      <c r="L3170">
        <v>1.2962962962962963E-3</v>
      </c>
      <c r="M3170" t="s">
        <v>778</v>
      </c>
      <c r="N3170" t="s">
        <v>1304</v>
      </c>
      <c r="O3170" s="24">
        <v>46126</v>
      </c>
      <c r="P3170">
        <v>605</v>
      </c>
      <c r="Q3170" t="s">
        <v>34</v>
      </c>
      <c r="X3170" t="s">
        <v>3806</v>
      </c>
    </row>
    <row r="3171" spans="1:24" x14ac:dyDescent="0.25">
      <c r="A3171">
        <v>3167</v>
      </c>
      <c r="B3171" t="s">
        <v>29</v>
      </c>
      <c r="C3171" t="s">
        <v>27</v>
      </c>
      <c r="D3171">
        <v>16</v>
      </c>
      <c r="E3171" t="s">
        <v>367</v>
      </c>
      <c r="F3171" t="s">
        <v>512</v>
      </c>
      <c r="G3171">
        <v>4283</v>
      </c>
      <c r="H3171" t="s">
        <v>2713</v>
      </c>
      <c r="I3171" t="s">
        <v>2599</v>
      </c>
      <c r="J3171">
        <v>8</v>
      </c>
      <c r="K3171">
        <v>1</v>
      </c>
      <c r="L3171">
        <v>8.9120370370370362E-4</v>
      </c>
      <c r="M3171" t="s">
        <v>778</v>
      </c>
      <c r="N3171" t="s">
        <v>1304</v>
      </c>
      <c r="O3171" s="24">
        <v>46126</v>
      </c>
      <c r="P3171">
        <v>605</v>
      </c>
      <c r="Q3171" t="s">
        <v>34</v>
      </c>
      <c r="X3171" t="s">
        <v>3806</v>
      </c>
    </row>
    <row r="3172" spans="1:24" x14ac:dyDescent="0.25">
      <c r="A3172">
        <v>3168</v>
      </c>
      <c r="B3172" t="s">
        <v>29</v>
      </c>
      <c r="C3172" t="s">
        <v>27</v>
      </c>
      <c r="D3172">
        <v>16</v>
      </c>
      <c r="E3172" t="s">
        <v>367</v>
      </c>
      <c r="F3172" t="s">
        <v>512</v>
      </c>
      <c r="G3172">
        <v>4283</v>
      </c>
      <c r="H3172" t="s">
        <v>2598</v>
      </c>
      <c r="I3172" t="s">
        <v>2599</v>
      </c>
      <c r="J3172">
        <v>8</v>
      </c>
      <c r="K3172">
        <v>2</v>
      </c>
      <c r="L3172">
        <v>1.7824074074074072E-3</v>
      </c>
      <c r="M3172" t="s">
        <v>778</v>
      </c>
      <c r="N3172" t="s">
        <v>1304</v>
      </c>
      <c r="O3172" s="24">
        <v>46126</v>
      </c>
      <c r="P3172">
        <v>605</v>
      </c>
      <c r="Q3172" t="s">
        <v>34</v>
      </c>
      <c r="X3172" t="s">
        <v>3806</v>
      </c>
    </row>
    <row r="3173" spans="1:24" x14ac:dyDescent="0.25">
      <c r="A3173">
        <v>3169</v>
      </c>
      <c r="B3173" t="s">
        <v>29</v>
      </c>
      <c r="C3173" t="s">
        <v>27</v>
      </c>
      <c r="D3173">
        <v>16</v>
      </c>
      <c r="E3173" t="s">
        <v>367</v>
      </c>
      <c r="F3173" t="s">
        <v>427</v>
      </c>
      <c r="G3173">
        <v>4283</v>
      </c>
      <c r="H3173" t="s">
        <v>2269</v>
      </c>
      <c r="I3173" t="s">
        <v>2270</v>
      </c>
      <c r="J3173">
        <v>8</v>
      </c>
      <c r="K3173">
        <v>1</v>
      </c>
      <c r="L3173">
        <v>1.7013888888888888E-3</v>
      </c>
      <c r="M3173" t="s">
        <v>778</v>
      </c>
      <c r="N3173" t="s">
        <v>1304</v>
      </c>
      <c r="O3173" s="24">
        <v>46126</v>
      </c>
      <c r="P3173">
        <v>605</v>
      </c>
      <c r="Q3173" t="s">
        <v>34</v>
      </c>
      <c r="X3173" t="s">
        <v>3806</v>
      </c>
    </row>
    <row r="3174" spans="1:24" x14ac:dyDescent="0.25">
      <c r="A3174">
        <v>3170</v>
      </c>
      <c r="B3174" t="s">
        <v>29</v>
      </c>
      <c r="C3174" t="s">
        <v>27</v>
      </c>
      <c r="D3174">
        <v>16</v>
      </c>
      <c r="E3174" t="s">
        <v>2763</v>
      </c>
      <c r="F3174" t="s">
        <v>44</v>
      </c>
      <c r="G3174">
        <v>4283</v>
      </c>
      <c r="H3174" t="s">
        <v>2383</v>
      </c>
      <c r="I3174" t="s">
        <v>2384</v>
      </c>
      <c r="J3174">
        <v>8</v>
      </c>
      <c r="K3174">
        <v>2</v>
      </c>
      <c r="L3174">
        <v>2.9745370370370368E-3</v>
      </c>
      <c r="M3174" t="s">
        <v>778</v>
      </c>
      <c r="N3174" t="s">
        <v>1304</v>
      </c>
      <c r="O3174" s="24">
        <v>46126</v>
      </c>
      <c r="P3174">
        <v>605</v>
      </c>
      <c r="Q3174" t="s">
        <v>34</v>
      </c>
      <c r="X3174" t="s">
        <v>3806</v>
      </c>
    </row>
    <row r="3175" spans="1:24" x14ac:dyDescent="0.25">
      <c r="A3175">
        <v>3171</v>
      </c>
      <c r="B3175" t="s">
        <v>29</v>
      </c>
      <c r="C3175" t="s">
        <v>27</v>
      </c>
      <c r="D3175">
        <v>16</v>
      </c>
      <c r="E3175" t="s">
        <v>2729</v>
      </c>
      <c r="F3175" t="s">
        <v>512</v>
      </c>
      <c r="G3175">
        <v>4283</v>
      </c>
      <c r="H3175" t="s">
        <v>2879</v>
      </c>
      <c r="I3175" t="s">
        <v>2880</v>
      </c>
      <c r="J3175">
        <v>8</v>
      </c>
      <c r="K3175">
        <v>1</v>
      </c>
      <c r="L3175">
        <v>3.5416666666666665E-3</v>
      </c>
      <c r="M3175" t="s">
        <v>778</v>
      </c>
      <c r="N3175" t="s">
        <v>1304</v>
      </c>
      <c r="O3175" s="24">
        <v>46126</v>
      </c>
      <c r="P3175">
        <v>605</v>
      </c>
      <c r="Q3175" t="s">
        <v>34</v>
      </c>
      <c r="X3175" t="s">
        <v>3806</v>
      </c>
    </row>
    <row r="3176" spans="1:24" x14ac:dyDescent="0.25">
      <c r="A3176">
        <v>3172</v>
      </c>
      <c r="B3176" t="s">
        <v>29</v>
      </c>
      <c r="C3176" t="s">
        <v>27</v>
      </c>
      <c r="D3176">
        <v>16</v>
      </c>
      <c r="E3176" t="s">
        <v>2094</v>
      </c>
      <c r="F3176" t="s">
        <v>44</v>
      </c>
      <c r="G3176">
        <v>4283</v>
      </c>
      <c r="H3176" t="s">
        <v>48</v>
      </c>
      <c r="I3176" t="s">
        <v>1119</v>
      </c>
      <c r="J3176">
        <v>8</v>
      </c>
      <c r="K3176">
        <v>3</v>
      </c>
      <c r="L3176">
        <v>4.0393518518518513E-3</v>
      </c>
      <c r="M3176" t="s">
        <v>778</v>
      </c>
      <c r="N3176" t="s">
        <v>1304</v>
      </c>
      <c r="O3176" s="24">
        <v>46126</v>
      </c>
      <c r="P3176">
        <v>605</v>
      </c>
      <c r="Q3176" t="s">
        <v>34</v>
      </c>
      <c r="X3176" t="s">
        <v>3806</v>
      </c>
    </row>
    <row r="3177" spans="1:24" x14ac:dyDescent="0.25">
      <c r="A3177">
        <v>3173</v>
      </c>
      <c r="B3177" t="s">
        <v>29</v>
      </c>
      <c r="C3177" t="s">
        <v>27</v>
      </c>
      <c r="D3177">
        <v>16</v>
      </c>
      <c r="E3177" t="s">
        <v>147</v>
      </c>
      <c r="F3177" t="s">
        <v>512</v>
      </c>
      <c r="G3177">
        <v>3943</v>
      </c>
      <c r="H3177" t="s">
        <v>2352</v>
      </c>
      <c r="I3177" t="s">
        <v>2161</v>
      </c>
      <c r="J3177">
        <v>8</v>
      </c>
      <c r="K3177">
        <v>1</v>
      </c>
      <c r="L3177">
        <v>1.747685185185185E-3</v>
      </c>
      <c r="M3177" t="s">
        <v>778</v>
      </c>
      <c r="N3177" t="s">
        <v>1304</v>
      </c>
      <c r="O3177" s="24">
        <v>46126</v>
      </c>
      <c r="P3177">
        <v>605</v>
      </c>
      <c r="Q3177" t="s">
        <v>34</v>
      </c>
      <c r="X3177" t="s">
        <v>3807</v>
      </c>
    </row>
    <row r="3178" spans="1:24" x14ac:dyDescent="0.25">
      <c r="A3178">
        <v>3174</v>
      </c>
      <c r="B3178" t="s">
        <v>29</v>
      </c>
      <c r="C3178" t="s">
        <v>27</v>
      </c>
      <c r="D3178">
        <v>16</v>
      </c>
      <c r="E3178" t="s">
        <v>1672</v>
      </c>
      <c r="F3178" t="s">
        <v>115</v>
      </c>
      <c r="G3178">
        <v>3943</v>
      </c>
      <c r="H3178" t="s">
        <v>2087</v>
      </c>
      <c r="I3178" t="s">
        <v>2088</v>
      </c>
      <c r="J3178">
        <v>8</v>
      </c>
      <c r="K3178">
        <v>1</v>
      </c>
      <c r="L3178">
        <v>8.7962962962962962E-4</v>
      </c>
      <c r="M3178" t="s">
        <v>778</v>
      </c>
      <c r="N3178" t="s">
        <v>1304</v>
      </c>
      <c r="O3178" s="24">
        <v>46126</v>
      </c>
      <c r="P3178">
        <v>605</v>
      </c>
      <c r="Q3178" t="s">
        <v>34</v>
      </c>
      <c r="X3178" t="s">
        <v>3807</v>
      </c>
    </row>
    <row r="3179" spans="1:24" x14ac:dyDescent="0.25">
      <c r="A3179">
        <v>3175</v>
      </c>
      <c r="B3179" t="s">
        <v>29</v>
      </c>
      <c r="C3179" t="s">
        <v>27</v>
      </c>
      <c r="D3179">
        <v>16</v>
      </c>
      <c r="E3179" t="s">
        <v>1672</v>
      </c>
      <c r="F3179" t="s">
        <v>498</v>
      </c>
      <c r="G3179">
        <v>3943</v>
      </c>
      <c r="H3179" t="s">
        <v>2055</v>
      </c>
      <c r="I3179" t="s">
        <v>2056</v>
      </c>
      <c r="J3179">
        <v>8</v>
      </c>
      <c r="K3179">
        <v>1</v>
      </c>
      <c r="L3179">
        <v>8.7962962962962962E-4</v>
      </c>
      <c r="M3179" t="s">
        <v>778</v>
      </c>
      <c r="N3179" t="s">
        <v>1304</v>
      </c>
      <c r="O3179" s="24">
        <v>46126</v>
      </c>
      <c r="P3179">
        <v>605</v>
      </c>
      <c r="Q3179" t="s">
        <v>34</v>
      </c>
      <c r="X3179" t="s">
        <v>3807</v>
      </c>
    </row>
    <row r="3180" spans="1:24" x14ac:dyDescent="0.25">
      <c r="A3180">
        <v>3176</v>
      </c>
      <c r="B3180" t="s">
        <v>29</v>
      </c>
      <c r="C3180" t="s">
        <v>27</v>
      </c>
      <c r="D3180">
        <v>16</v>
      </c>
      <c r="E3180" t="s">
        <v>367</v>
      </c>
      <c r="F3180" t="s">
        <v>512</v>
      </c>
      <c r="G3180">
        <v>3943</v>
      </c>
      <c r="H3180" t="s">
        <v>2229</v>
      </c>
      <c r="I3180" t="s">
        <v>2230</v>
      </c>
      <c r="J3180">
        <v>8</v>
      </c>
      <c r="K3180">
        <v>1</v>
      </c>
      <c r="L3180">
        <v>1.6550925925925926E-3</v>
      </c>
      <c r="M3180" t="s">
        <v>778</v>
      </c>
      <c r="N3180" t="s">
        <v>1304</v>
      </c>
      <c r="O3180" s="24">
        <v>46126</v>
      </c>
      <c r="P3180">
        <v>605</v>
      </c>
      <c r="Q3180" t="s">
        <v>34</v>
      </c>
      <c r="X3180" t="s">
        <v>3807</v>
      </c>
    </row>
    <row r="3181" spans="1:24" x14ac:dyDescent="0.25">
      <c r="A3181">
        <v>3177</v>
      </c>
      <c r="B3181" t="s">
        <v>29</v>
      </c>
      <c r="C3181" t="s">
        <v>27</v>
      </c>
      <c r="D3181">
        <v>16</v>
      </c>
      <c r="E3181" t="s">
        <v>367</v>
      </c>
      <c r="F3181" t="s">
        <v>512</v>
      </c>
      <c r="G3181">
        <v>3943</v>
      </c>
      <c r="H3181" t="s">
        <v>2231</v>
      </c>
      <c r="I3181" t="s">
        <v>2232</v>
      </c>
      <c r="J3181">
        <v>8</v>
      </c>
      <c r="K3181">
        <v>2</v>
      </c>
      <c r="L3181">
        <v>3.3217592592592591E-3</v>
      </c>
      <c r="M3181" t="s">
        <v>778</v>
      </c>
      <c r="N3181" t="s">
        <v>1304</v>
      </c>
      <c r="O3181" s="24">
        <v>46126</v>
      </c>
      <c r="P3181">
        <v>605</v>
      </c>
      <c r="Q3181" t="s">
        <v>34</v>
      </c>
      <c r="X3181" t="s">
        <v>3807</v>
      </c>
    </row>
    <row r="3182" spans="1:24" x14ac:dyDescent="0.25">
      <c r="A3182">
        <v>3178</v>
      </c>
      <c r="B3182" t="s">
        <v>29</v>
      </c>
      <c r="C3182" t="s">
        <v>27</v>
      </c>
      <c r="D3182">
        <v>16</v>
      </c>
      <c r="E3182" t="s">
        <v>367</v>
      </c>
      <c r="F3182" t="s">
        <v>512</v>
      </c>
      <c r="G3182">
        <v>3943</v>
      </c>
      <c r="H3182" t="s">
        <v>2200</v>
      </c>
      <c r="I3182" t="s">
        <v>2201</v>
      </c>
      <c r="J3182">
        <v>8</v>
      </c>
      <c r="K3182">
        <v>3</v>
      </c>
      <c r="L3182">
        <v>3.5300925925925925E-3</v>
      </c>
      <c r="M3182" t="s">
        <v>778</v>
      </c>
      <c r="N3182" t="s">
        <v>1304</v>
      </c>
      <c r="O3182" s="24">
        <v>46126</v>
      </c>
      <c r="P3182">
        <v>605</v>
      </c>
      <c r="Q3182" t="s">
        <v>34</v>
      </c>
      <c r="X3182" t="s">
        <v>3807</v>
      </c>
    </row>
    <row r="3183" spans="1:24" x14ac:dyDescent="0.25">
      <c r="A3183">
        <v>3179</v>
      </c>
      <c r="B3183" t="s">
        <v>29</v>
      </c>
      <c r="C3183" t="s">
        <v>27</v>
      </c>
      <c r="D3183">
        <v>16</v>
      </c>
      <c r="E3183" t="s">
        <v>2729</v>
      </c>
      <c r="F3183" t="s">
        <v>512</v>
      </c>
      <c r="G3183">
        <v>3943</v>
      </c>
      <c r="H3183" t="s">
        <v>2882</v>
      </c>
      <c r="I3183" t="s">
        <v>2883</v>
      </c>
      <c r="J3183">
        <v>8</v>
      </c>
      <c r="K3183">
        <v>1</v>
      </c>
      <c r="L3183">
        <v>4.9074074074074072E-3</v>
      </c>
      <c r="M3183" t="s">
        <v>778</v>
      </c>
      <c r="N3183" t="s">
        <v>1304</v>
      </c>
      <c r="O3183" s="24">
        <v>46126</v>
      </c>
      <c r="P3183">
        <v>605</v>
      </c>
      <c r="Q3183" t="s">
        <v>34</v>
      </c>
      <c r="X3183" t="s">
        <v>3807</v>
      </c>
    </row>
    <row r="3184" spans="1:24" x14ac:dyDescent="0.25">
      <c r="A3184">
        <v>3180</v>
      </c>
      <c r="B3184" t="s">
        <v>29</v>
      </c>
      <c r="C3184" t="s">
        <v>27</v>
      </c>
      <c r="D3184">
        <v>16</v>
      </c>
      <c r="E3184" t="s">
        <v>367</v>
      </c>
      <c r="F3184" t="s">
        <v>1594</v>
      </c>
      <c r="G3184">
        <v>3943</v>
      </c>
      <c r="H3184" t="s">
        <v>2272</v>
      </c>
      <c r="I3184" t="s">
        <v>2273</v>
      </c>
      <c r="J3184">
        <v>8</v>
      </c>
      <c r="K3184">
        <v>1</v>
      </c>
      <c r="L3184">
        <v>2.0370370370370369E-3</v>
      </c>
      <c r="M3184" t="s">
        <v>778</v>
      </c>
      <c r="N3184" t="s">
        <v>1304</v>
      </c>
      <c r="O3184" s="24">
        <v>46126</v>
      </c>
      <c r="P3184">
        <v>605</v>
      </c>
      <c r="Q3184" t="s">
        <v>34</v>
      </c>
      <c r="X3184" t="s">
        <v>3807</v>
      </c>
    </row>
    <row r="3185" spans="1:24" x14ac:dyDescent="0.25">
      <c r="A3185">
        <v>3181</v>
      </c>
      <c r="B3185" t="s">
        <v>29</v>
      </c>
      <c r="C3185" t="s">
        <v>27</v>
      </c>
      <c r="D3185">
        <v>16</v>
      </c>
      <c r="E3185" t="s">
        <v>129</v>
      </c>
      <c r="F3185" t="s">
        <v>498</v>
      </c>
      <c r="G3185">
        <v>3944</v>
      </c>
      <c r="H3185" t="s">
        <v>504</v>
      </c>
      <c r="I3185" t="s">
        <v>505</v>
      </c>
      <c r="J3185">
        <v>8</v>
      </c>
      <c r="K3185">
        <v>1</v>
      </c>
      <c r="L3185">
        <v>6.8402777777777776E-3</v>
      </c>
      <c r="M3185" t="s">
        <v>3079</v>
      </c>
      <c r="X3185" t="s">
        <v>3808</v>
      </c>
    </row>
    <row r="3186" spans="1:24" x14ac:dyDescent="0.25">
      <c r="A3186">
        <v>3182</v>
      </c>
      <c r="B3186" t="s">
        <v>29</v>
      </c>
      <c r="C3186" t="s">
        <v>27</v>
      </c>
      <c r="D3186">
        <v>16</v>
      </c>
      <c r="E3186" t="s">
        <v>1665</v>
      </c>
      <c r="F3186" t="s">
        <v>115</v>
      </c>
      <c r="G3186">
        <v>4362</v>
      </c>
      <c r="H3186" t="s">
        <v>2356</v>
      </c>
      <c r="I3186" t="s">
        <v>2310</v>
      </c>
      <c r="J3186">
        <v>8</v>
      </c>
      <c r="K3186">
        <v>2</v>
      </c>
      <c r="L3186">
        <v>3.7152777777777774E-3</v>
      </c>
      <c r="M3186" t="s">
        <v>778</v>
      </c>
      <c r="N3186" t="s">
        <v>1304</v>
      </c>
      <c r="O3186" s="24">
        <v>46126</v>
      </c>
      <c r="P3186">
        <v>605</v>
      </c>
      <c r="Q3186" t="s">
        <v>34</v>
      </c>
      <c r="X3186" t="s">
        <v>3809</v>
      </c>
    </row>
    <row r="3187" spans="1:24" x14ac:dyDescent="0.25">
      <c r="A3187">
        <v>3183</v>
      </c>
      <c r="B3187" t="s">
        <v>29</v>
      </c>
      <c r="C3187" t="s">
        <v>27</v>
      </c>
      <c r="D3187">
        <v>16</v>
      </c>
      <c r="E3187" t="s">
        <v>367</v>
      </c>
      <c r="F3187" t="s">
        <v>367</v>
      </c>
      <c r="G3187">
        <v>4362</v>
      </c>
      <c r="H3187" t="s">
        <v>2328</v>
      </c>
      <c r="I3187" t="s">
        <v>2329</v>
      </c>
      <c r="J3187">
        <v>8</v>
      </c>
      <c r="K3187">
        <v>1</v>
      </c>
      <c r="L3187">
        <v>7.0601851851851847E-4</v>
      </c>
      <c r="M3187" t="s">
        <v>778</v>
      </c>
      <c r="N3187" t="s">
        <v>1304</v>
      </c>
      <c r="O3187" s="24">
        <v>46126</v>
      </c>
      <c r="P3187">
        <v>605</v>
      </c>
      <c r="Q3187" t="s">
        <v>34</v>
      </c>
      <c r="X3187" t="s">
        <v>3809</v>
      </c>
    </row>
    <row r="3188" spans="1:24" x14ac:dyDescent="0.25">
      <c r="A3188">
        <v>3184</v>
      </c>
      <c r="B3188" t="s">
        <v>29</v>
      </c>
      <c r="C3188" t="s">
        <v>27</v>
      </c>
      <c r="D3188">
        <v>16</v>
      </c>
      <c r="E3188" t="s">
        <v>2886</v>
      </c>
      <c r="F3188" t="s">
        <v>44</v>
      </c>
      <c r="G3188">
        <v>4362</v>
      </c>
      <c r="H3188" t="s">
        <v>48</v>
      </c>
      <c r="I3188" t="s">
        <v>1119</v>
      </c>
      <c r="J3188">
        <v>8</v>
      </c>
      <c r="K3188">
        <v>7</v>
      </c>
      <c r="L3188">
        <v>9.8032407407407408E-3</v>
      </c>
      <c r="M3188" t="s">
        <v>778</v>
      </c>
      <c r="N3188" t="s">
        <v>1304</v>
      </c>
      <c r="O3188" s="24">
        <v>46126</v>
      </c>
      <c r="P3188">
        <v>605</v>
      </c>
      <c r="Q3188" t="s">
        <v>34</v>
      </c>
      <c r="X3188" t="s">
        <v>3809</v>
      </c>
    </row>
    <row r="3189" spans="1:24" x14ac:dyDescent="0.25">
      <c r="A3189">
        <v>3185</v>
      </c>
      <c r="B3189" t="s">
        <v>29</v>
      </c>
      <c r="C3189" t="s">
        <v>27</v>
      </c>
      <c r="D3189">
        <v>16</v>
      </c>
      <c r="E3189" t="s">
        <v>2729</v>
      </c>
      <c r="F3189" t="s">
        <v>115</v>
      </c>
      <c r="G3189">
        <v>4362</v>
      </c>
      <c r="H3189" t="s">
        <v>2887</v>
      </c>
      <c r="I3189" t="s">
        <v>2888</v>
      </c>
      <c r="J3189">
        <v>8</v>
      </c>
      <c r="K3189">
        <v>1</v>
      </c>
      <c r="L3189">
        <v>4.7800925925925927E-3</v>
      </c>
      <c r="M3189" t="s">
        <v>778</v>
      </c>
      <c r="N3189" t="s">
        <v>1304</v>
      </c>
      <c r="O3189" s="24">
        <v>46126</v>
      </c>
      <c r="P3189">
        <v>605</v>
      </c>
      <c r="Q3189" t="s">
        <v>34</v>
      </c>
      <c r="X3189" t="s">
        <v>3809</v>
      </c>
    </row>
    <row r="3190" spans="1:24" x14ac:dyDescent="0.25">
      <c r="A3190">
        <v>3186</v>
      </c>
      <c r="B3190" t="s">
        <v>29</v>
      </c>
      <c r="C3190" t="s">
        <v>27</v>
      </c>
      <c r="D3190">
        <v>16</v>
      </c>
      <c r="E3190" t="s">
        <v>2729</v>
      </c>
      <c r="F3190" t="s">
        <v>498</v>
      </c>
      <c r="G3190">
        <v>4238</v>
      </c>
      <c r="H3190" t="s">
        <v>2889</v>
      </c>
      <c r="I3190" t="s">
        <v>2890</v>
      </c>
      <c r="J3190">
        <v>8</v>
      </c>
      <c r="K3190">
        <v>1</v>
      </c>
      <c r="L3190">
        <v>3.8888888888888888E-3</v>
      </c>
      <c r="M3190" t="s">
        <v>3079</v>
      </c>
      <c r="X3190" t="s">
        <v>3810</v>
      </c>
    </row>
    <row r="3191" spans="1:24" x14ac:dyDescent="0.25">
      <c r="A3191">
        <v>3187</v>
      </c>
      <c r="B3191" t="s">
        <v>29</v>
      </c>
      <c r="C3191" t="s">
        <v>27</v>
      </c>
      <c r="D3191">
        <v>16</v>
      </c>
      <c r="E3191" t="s">
        <v>2892</v>
      </c>
      <c r="F3191" t="s">
        <v>44</v>
      </c>
      <c r="G3191">
        <v>4238</v>
      </c>
      <c r="H3191" t="s">
        <v>48</v>
      </c>
      <c r="I3191" t="s">
        <v>1119</v>
      </c>
      <c r="J3191">
        <v>8</v>
      </c>
      <c r="K3191">
        <v>9</v>
      </c>
      <c r="L3191">
        <v>1.2268518518518519E-2</v>
      </c>
      <c r="M3191" t="s">
        <v>3079</v>
      </c>
      <c r="X3191" t="s">
        <v>3810</v>
      </c>
    </row>
    <row r="3192" spans="1:24" x14ac:dyDescent="0.25">
      <c r="A3192">
        <v>3188</v>
      </c>
      <c r="B3192" t="s">
        <v>29</v>
      </c>
      <c r="C3192" t="s">
        <v>27</v>
      </c>
      <c r="D3192">
        <v>16</v>
      </c>
      <c r="E3192" t="s">
        <v>829</v>
      </c>
      <c r="F3192" t="s">
        <v>1594</v>
      </c>
      <c r="G3192">
        <v>4363</v>
      </c>
      <c r="H3192" t="s">
        <v>2581</v>
      </c>
      <c r="I3192" t="s">
        <v>2582</v>
      </c>
      <c r="J3192">
        <v>8</v>
      </c>
      <c r="K3192">
        <v>1</v>
      </c>
      <c r="L3192">
        <v>2.4421296296296296E-3</v>
      </c>
      <c r="M3192" t="s">
        <v>778</v>
      </c>
      <c r="N3192" t="s">
        <v>1304</v>
      </c>
      <c r="O3192" s="24">
        <v>46126</v>
      </c>
      <c r="P3192">
        <v>605</v>
      </c>
      <c r="Q3192" t="s">
        <v>34</v>
      </c>
      <c r="X3192" t="s">
        <v>3811</v>
      </c>
    </row>
    <row r="3193" spans="1:24" x14ac:dyDescent="0.25">
      <c r="A3193">
        <v>3189</v>
      </c>
      <c r="B3193" t="s">
        <v>29</v>
      </c>
      <c r="C3193" t="s">
        <v>27</v>
      </c>
      <c r="D3193">
        <v>16</v>
      </c>
      <c r="E3193" t="s">
        <v>2729</v>
      </c>
      <c r="F3193" t="s">
        <v>498</v>
      </c>
      <c r="G3193">
        <v>4363</v>
      </c>
      <c r="H3193" t="s">
        <v>2894</v>
      </c>
      <c r="I3193" t="s">
        <v>2895</v>
      </c>
      <c r="J3193">
        <v>8</v>
      </c>
      <c r="K3193">
        <v>1</v>
      </c>
      <c r="L3193">
        <v>4.1435185185185186E-3</v>
      </c>
      <c r="M3193" t="s">
        <v>778</v>
      </c>
      <c r="N3193" t="s">
        <v>1304</v>
      </c>
      <c r="O3193" s="24">
        <v>46126</v>
      </c>
      <c r="P3193">
        <v>605</v>
      </c>
      <c r="Q3193" t="s">
        <v>34</v>
      </c>
      <c r="X3193" t="s">
        <v>3811</v>
      </c>
    </row>
    <row r="3194" spans="1:24" x14ac:dyDescent="0.25">
      <c r="A3194">
        <v>3190</v>
      </c>
      <c r="B3194" t="s">
        <v>29</v>
      </c>
      <c r="C3194" t="s">
        <v>27</v>
      </c>
      <c r="D3194">
        <v>16</v>
      </c>
      <c r="E3194" t="s">
        <v>2896</v>
      </c>
      <c r="F3194" t="s">
        <v>44</v>
      </c>
      <c r="G3194">
        <v>4363</v>
      </c>
      <c r="H3194" t="s">
        <v>48</v>
      </c>
      <c r="I3194" t="s">
        <v>1119</v>
      </c>
      <c r="J3194">
        <v>8</v>
      </c>
      <c r="K3194">
        <v>3</v>
      </c>
      <c r="L3194">
        <v>4.386574074074074E-3</v>
      </c>
      <c r="M3194" t="s">
        <v>778</v>
      </c>
      <c r="N3194" t="s">
        <v>1304</v>
      </c>
      <c r="O3194" s="24">
        <v>46126</v>
      </c>
      <c r="P3194">
        <v>605</v>
      </c>
      <c r="Q3194" t="s">
        <v>34</v>
      </c>
      <c r="X3194" t="s">
        <v>3811</v>
      </c>
    </row>
    <row r="3195" spans="1:24" x14ac:dyDescent="0.25">
      <c r="A3195">
        <v>3191</v>
      </c>
      <c r="B3195" t="s">
        <v>29</v>
      </c>
      <c r="C3195" t="s">
        <v>27</v>
      </c>
      <c r="D3195">
        <v>16</v>
      </c>
      <c r="E3195" t="s">
        <v>367</v>
      </c>
      <c r="F3195" t="s">
        <v>427</v>
      </c>
      <c r="G3195">
        <v>3947</v>
      </c>
      <c r="H3195" t="s">
        <v>2246</v>
      </c>
      <c r="I3195" t="s">
        <v>2247</v>
      </c>
      <c r="J3195">
        <v>8</v>
      </c>
      <c r="K3195">
        <v>1</v>
      </c>
      <c r="L3195">
        <v>1.5162037037037036E-3</v>
      </c>
      <c r="M3195" t="s">
        <v>778</v>
      </c>
      <c r="N3195" t="s">
        <v>1304</v>
      </c>
      <c r="O3195" s="24">
        <v>46126</v>
      </c>
      <c r="P3195">
        <v>605</v>
      </c>
      <c r="Q3195" t="s">
        <v>34</v>
      </c>
      <c r="X3195" t="s">
        <v>3812</v>
      </c>
    </row>
    <row r="3196" spans="1:24" x14ac:dyDescent="0.25">
      <c r="A3196">
        <v>3192</v>
      </c>
      <c r="B3196" t="s">
        <v>29</v>
      </c>
      <c r="C3196" t="s">
        <v>27</v>
      </c>
      <c r="D3196">
        <v>16</v>
      </c>
      <c r="E3196" t="s">
        <v>829</v>
      </c>
      <c r="F3196" t="s">
        <v>1599</v>
      </c>
      <c r="G3196">
        <v>3947</v>
      </c>
      <c r="H3196" t="s">
        <v>2239</v>
      </c>
      <c r="I3196" t="s">
        <v>2240</v>
      </c>
      <c r="J3196">
        <v>8</v>
      </c>
      <c r="K3196">
        <v>1</v>
      </c>
      <c r="L3196">
        <v>2.8356481481481479E-3</v>
      </c>
      <c r="M3196" t="s">
        <v>778</v>
      </c>
      <c r="N3196" t="s">
        <v>1304</v>
      </c>
      <c r="O3196" s="24">
        <v>46126</v>
      </c>
      <c r="P3196">
        <v>605</v>
      </c>
      <c r="Q3196" t="s">
        <v>34</v>
      </c>
      <c r="X3196" t="s">
        <v>3812</v>
      </c>
    </row>
    <row r="3197" spans="1:24" x14ac:dyDescent="0.25">
      <c r="A3197">
        <v>3193</v>
      </c>
      <c r="B3197" t="s">
        <v>29</v>
      </c>
      <c r="C3197" t="s">
        <v>27</v>
      </c>
      <c r="D3197">
        <v>16</v>
      </c>
      <c r="E3197" t="s">
        <v>2729</v>
      </c>
      <c r="F3197" t="s">
        <v>115</v>
      </c>
      <c r="G3197">
        <v>3947</v>
      </c>
      <c r="H3197" t="s">
        <v>2898</v>
      </c>
      <c r="I3197" t="s">
        <v>2899</v>
      </c>
      <c r="J3197">
        <v>8</v>
      </c>
      <c r="K3197">
        <v>1</v>
      </c>
      <c r="L3197">
        <v>4.8032407407407407E-3</v>
      </c>
      <c r="M3197" t="s">
        <v>778</v>
      </c>
      <c r="N3197" t="s">
        <v>1304</v>
      </c>
      <c r="O3197" s="24">
        <v>46126</v>
      </c>
      <c r="P3197">
        <v>605</v>
      </c>
      <c r="Q3197" t="s">
        <v>34</v>
      </c>
      <c r="X3197" t="s">
        <v>3812</v>
      </c>
    </row>
    <row r="3198" spans="1:24" x14ac:dyDescent="0.25">
      <c r="A3198">
        <v>3194</v>
      </c>
      <c r="B3198" t="s">
        <v>29</v>
      </c>
      <c r="C3198" t="s">
        <v>27</v>
      </c>
      <c r="D3198">
        <v>16</v>
      </c>
      <c r="E3198" t="s">
        <v>367</v>
      </c>
      <c r="F3198" t="s">
        <v>367</v>
      </c>
      <c r="G3198">
        <v>4359</v>
      </c>
      <c r="H3198" t="s">
        <v>2483</v>
      </c>
      <c r="I3198" t="s">
        <v>2484</v>
      </c>
      <c r="J3198">
        <v>8</v>
      </c>
      <c r="K3198">
        <v>1</v>
      </c>
      <c r="L3198">
        <v>6.134259259259259E-4</v>
      </c>
      <c r="M3198" t="s">
        <v>778</v>
      </c>
      <c r="N3198" t="s">
        <v>1304</v>
      </c>
      <c r="O3198" s="24">
        <v>46126</v>
      </c>
      <c r="P3198">
        <v>605</v>
      </c>
      <c r="Q3198" t="s">
        <v>34</v>
      </c>
      <c r="X3198" t="s">
        <v>3813</v>
      </c>
    </row>
    <row r="3199" spans="1:24" x14ac:dyDescent="0.25">
      <c r="A3199">
        <v>3195</v>
      </c>
      <c r="B3199" t="s">
        <v>29</v>
      </c>
      <c r="C3199" t="s">
        <v>27</v>
      </c>
      <c r="D3199">
        <v>16</v>
      </c>
      <c r="E3199" t="s">
        <v>829</v>
      </c>
      <c r="F3199" t="s">
        <v>1598</v>
      </c>
      <c r="G3199">
        <v>4359</v>
      </c>
      <c r="H3199" t="s">
        <v>2249</v>
      </c>
      <c r="I3199" t="s">
        <v>2240</v>
      </c>
      <c r="J3199">
        <v>8</v>
      </c>
      <c r="K3199">
        <v>1</v>
      </c>
      <c r="L3199">
        <v>2.5925925925925925E-3</v>
      </c>
      <c r="M3199" t="s">
        <v>778</v>
      </c>
      <c r="N3199" t="s">
        <v>1304</v>
      </c>
      <c r="O3199" s="24">
        <v>46126</v>
      </c>
      <c r="P3199">
        <v>605</v>
      </c>
      <c r="Q3199" t="s">
        <v>34</v>
      </c>
      <c r="X3199" t="s">
        <v>3813</v>
      </c>
    </row>
    <row r="3200" spans="1:24" x14ac:dyDescent="0.25">
      <c r="A3200">
        <v>3196</v>
      </c>
      <c r="B3200" t="s">
        <v>29</v>
      </c>
      <c r="C3200" t="s">
        <v>27</v>
      </c>
      <c r="D3200">
        <v>16</v>
      </c>
      <c r="E3200" t="s">
        <v>367</v>
      </c>
      <c r="F3200" t="s">
        <v>512</v>
      </c>
      <c r="G3200">
        <v>4359</v>
      </c>
      <c r="H3200" t="s">
        <v>2203</v>
      </c>
      <c r="I3200" t="s">
        <v>2204</v>
      </c>
      <c r="J3200">
        <v>8</v>
      </c>
      <c r="K3200">
        <v>1</v>
      </c>
      <c r="L3200">
        <v>1.1921296296296296E-3</v>
      </c>
      <c r="M3200" t="s">
        <v>778</v>
      </c>
      <c r="N3200" t="s">
        <v>1304</v>
      </c>
      <c r="O3200" s="24">
        <v>46126</v>
      </c>
      <c r="P3200">
        <v>605</v>
      </c>
      <c r="Q3200" t="s">
        <v>34</v>
      </c>
      <c r="X3200" t="s">
        <v>3813</v>
      </c>
    </row>
    <row r="3201" spans="1:24" x14ac:dyDescent="0.25">
      <c r="A3201">
        <v>3197</v>
      </c>
      <c r="B3201" t="s">
        <v>29</v>
      </c>
      <c r="C3201" t="s">
        <v>27</v>
      </c>
      <c r="D3201">
        <v>16</v>
      </c>
      <c r="E3201" t="s">
        <v>2729</v>
      </c>
      <c r="F3201" t="s">
        <v>512</v>
      </c>
      <c r="G3201">
        <v>4359</v>
      </c>
      <c r="H3201" t="s">
        <v>2727</v>
      </c>
      <c r="I3201" t="s">
        <v>2728</v>
      </c>
      <c r="J3201">
        <v>8</v>
      </c>
      <c r="K3201">
        <v>1</v>
      </c>
      <c r="L3201">
        <v>1.4930555555555554E-3</v>
      </c>
      <c r="M3201" t="s">
        <v>778</v>
      </c>
      <c r="N3201" t="s">
        <v>1304</v>
      </c>
      <c r="O3201" s="24">
        <v>46126</v>
      </c>
      <c r="P3201">
        <v>605</v>
      </c>
      <c r="Q3201" t="s">
        <v>34</v>
      </c>
      <c r="X3201" t="s">
        <v>3813</v>
      </c>
    </row>
    <row r="3202" spans="1:24" x14ac:dyDescent="0.25">
      <c r="A3202">
        <v>3198</v>
      </c>
      <c r="B3202" t="s">
        <v>29</v>
      </c>
      <c r="C3202" t="s">
        <v>27</v>
      </c>
      <c r="D3202">
        <v>16</v>
      </c>
      <c r="E3202" t="s">
        <v>2742</v>
      </c>
      <c r="F3202" t="s">
        <v>512</v>
      </c>
      <c r="G3202">
        <v>4359</v>
      </c>
      <c r="H3202" t="s">
        <v>2741</v>
      </c>
      <c r="I3202" t="s">
        <v>2728</v>
      </c>
      <c r="J3202">
        <v>8</v>
      </c>
      <c r="K3202">
        <v>2</v>
      </c>
      <c r="L3202">
        <v>2.9976851851851853E-3</v>
      </c>
      <c r="M3202" t="s">
        <v>778</v>
      </c>
      <c r="N3202" t="s">
        <v>1304</v>
      </c>
      <c r="O3202" s="24">
        <v>46126</v>
      </c>
      <c r="P3202">
        <v>605</v>
      </c>
      <c r="Q3202" t="s">
        <v>34</v>
      </c>
      <c r="X3202" t="s">
        <v>3813</v>
      </c>
    </row>
    <row r="3203" spans="1:24" x14ac:dyDescent="0.25">
      <c r="A3203">
        <v>3199</v>
      </c>
      <c r="B3203" t="s">
        <v>29</v>
      </c>
      <c r="C3203" t="s">
        <v>27</v>
      </c>
      <c r="D3203">
        <v>16</v>
      </c>
      <c r="E3203" t="s">
        <v>2729</v>
      </c>
      <c r="F3203" t="s">
        <v>115</v>
      </c>
      <c r="G3203">
        <v>4359</v>
      </c>
      <c r="H3203" t="s">
        <v>2901</v>
      </c>
      <c r="I3203" t="s">
        <v>2902</v>
      </c>
      <c r="J3203">
        <v>8</v>
      </c>
      <c r="K3203">
        <v>1</v>
      </c>
      <c r="L3203">
        <v>4.1782407407407402E-3</v>
      </c>
      <c r="M3203" t="s">
        <v>778</v>
      </c>
      <c r="N3203" t="s">
        <v>1304</v>
      </c>
      <c r="O3203" s="24">
        <v>46126</v>
      </c>
      <c r="P3203">
        <v>605</v>
      </c>
      <c r="Q3203" t="s">
        <v>34</v>
      </c>
      <c r="X3203" t="s">
        <v>3813</v>
      </c>
    </row>
    <row r="3204" spans="1:24" x14ac:dyDescent="0.25">
      <c r="A3204">
        <v>3200</v>
      </c>
      <c r="B3204" t="s">
        <v>29</v>
      </c>
      <c r="C3204" t="s">
        <v>27</v>
      </c>
      <c r="D3204">
        <v>16</v>
      </c>
      <c r="E3204" t="s">
        <v>2430</v>
      </c>
      <c r="F3204" t="s">
        <v>44</v>
      </c>
      <c r="G3204">
        <v>4359</v>
      </c>
      <c r="H3204" t="s">
        <v>48</v>
      </c>
      <c r="I3204" t="s">
        <v>1119</v>
      </c>
      <c r="J3204">
        <v>8</v>
      </c>
      <c r="K3204">
        <v>1</v>
      </c>
      <c r="L3204">
        <v>1.4351851851851852E-3</v>
      </c>
      <c r="M3204" t="s">
        <v>778</v>
      </c>
      <c r="N3204" t="s">
        <v>1304</v>
      </c>
      <c r="O3204" s="24">
        <v>46126</v>
      </c>
      <c r="P3204">
        <v>605</v>
      </c>
      <c r="Q3204" t="s">
        <v>34</v>
      </c>
      <c r="X3204" t="s">
        <v>3813</v>
      </c>
    </row>
    <row r="3205" spans="1:24" x14ac:dyDescent="0.25">
      <c r="A3205">
        <v>3201</v>
      </c>
      <c r="B3205" t="s">
        <v>29</v>
      </c>
      <c r="C3205" t="s">
        <v>27</v>
      </c>
      <c r="D3205">
        <v>16</v>
      </c>
      <c r="E3205" t="s">
        <v>147</v>
      </c>
      <c r="F3205" t="s">
        <v>512</v>
      </c>
      <c r="G3205">
        <v>4360</v>
      </c>
      <c r="H3205" t="s">
        <v>2352</v>
      </c>
      <c r="I3205" t="s">
        <v>2161</v>
      </c>
      <c r="J3205">
        <v>8</v>
      </c>
      <c r="K3205">
        <v>2</v>
      </c>
      <c r="L3205">
        <v>3.2870370370370371E-3</v>
      </c>
      <c r="M3205" t="s">
        <v>778</v>
      </c>
      <c r="N3205" t="s">
        <v>1304</v>
      </c>
      <c r="O3205" s="24">
        <v>46126</v>
      </c>
      <c r="P3205">
        <v>605</v>
      </c>
      <c r="Q3205" t="s">
        <v>34</v>
      </c>
      <c r="X3205" t="s">
        <v>3814</v>
      </c>
    </row>
    <row r="3206" spans="1:24" x14ac:dyDescent="0.25">
      <c r="A3206">
        <v>3202</v>
      </c>
      <c r="B3206" t="s">
        <v>29</v>
      </c>
      <c r="C3206" t="s">
        <v>27</v>
      </c>
      <c r="D3206">
        <v>16</v>
      </c>
      <c r="E3206" t="s">
        <v>367</v>
      </c>
      <c r="F3206" t="s">
        <v>368</v>
      </c>
      <c r="G3206">
        <v>4360</v>
      </c>
      <c r="H3206" t="s">
        <v>2114</v>
      </c>
      <c r="I3206" t="s">
        <v>2097</v>
      </c>
      <c r="J3206">
        <v>8</v>
      </c>
      <c r="K3206">
        <v>3</v>
      </c>
      <c r="L3206">
        <v>1.9328703703703704E-3</v>
      </c>
      <c r="M3206" t="s">
        <v>778</v>
      </c>
      <c r="N3206" t="s">
        <v>1304</v>
      </c>
      <c r="O3206" s="24">
        <v>46126</v>
      </c>
      <c r="P3206">
        <v>605</v>
      </c>
      <c r="Q3206" t="s">
        <v>34</v>
      </c>
      <c r="X3206" t="s">
        <v>3814</v>
      </c>
    </row>
    <row r="3207" spans="1:24" x14ac:dyDescent="0.25">
      <c r="A3207">
        <v>3203</v>
      </c>
      <c r="B3207" t="s">
        <v>29</v>
      </c>
      <c r="C3207" t="s">
        <v>27</v>
      </c>
      <c r="D3207">
        <v>16</v>
      </c>
      <c r="E3207" t="s">
        <v>367</v>
      </c>
      <c r="F3207" t="s">
        <v>1594</v>
      </c>
      <c r="G3207">
        <v>4360</v>
      </c>
      <c r="H3207" t="s">
        <v>2600</v>
      </c>
      <c r="I3207" t="s">
        <v>2226</v>
      </c>
      <c r="J3207">
        <v>8</v>
      </c>
      <c r="K3207">
        <v>2</v>
      </c>
      <c r="L3207">
        <v>3.2060185185185182E-3</v>
      </c>
      <c r="M3207" t="s">
        <v>778</v>
      </c>
      <c r="N3207" t="s">
        <v>1304</v>
      </c>
      <c r="O3207" s="24">
        <v>46126</v>
      </c>
      <c r="P3207">
        <v>605</v>
      </c>
      <c r="Q3207" t="s">
        <v>34</v>
      </c>
      <c r="X3207" t="s">
        <v>3814</v>
      </c>
    </row>
    <row r="3208" spans="1:24" x14ac:dyDescent="0.25">
      <c r="A3208">
        <v>3204</v>
      </c>
      <c r="B3208" t="s">
        <v>29</v>
      </c>
      <c r="C3208" t="s">
        <v>27</v>
      </c>
      <c r="D3208">
        <v>16</v>
      </c>
      <c r="E3208" t="s">
        <v>2742</v>
      </c>
      <c r="F3208" t="s">
        <v>512</v>
      </c>
      <c r="G3208">
        <v>4360</v>
      </c>
      <c r="H3208" t="s">
        <v>2904</v>
      </c>
      <c r="I3208" t="s">
        <v>2880</v>
      </c>
      <c r="J3208">
        <v>8</v>
      </c>
      <c r="K3208">
        <v>1</v>
      </c>
      <c r="L3208">
        <v>3.5185185185185185E-3</v>
      </c>
      <c r="M3208" t="s">
        <v>778</v>
      </c>
      <c r="N3208" t="s">
        <v>1304</v>
      </c>
      <c r="O3208" s="24">
        <v>46126</v>
      </c>
      <c r="P3208">
        <v>605</v>
      </c>
      <c r="Q3208" t="s">
        <v>34</v>
      </c>
      <c r="X3208" t="s">
        <v>3814</v>
      </c>
    </row>
    <row r="3209" spans="1:24" x14ac:dyDescent="0.25">
      <c r="A3209">
        <v>3205</v>
      </c>
      <c r="B3209" t="s">
        <v>29</v>
      </c>
      <c r="C3209" t="s">
        <v>27</v>
      </c>
      <c r="D3209">
        <v>16</v>
      </c>
      <c r="E3209" t="s">
        <v>2892</v>
      </c>
      <c r="F3209" t="s">
        <v>44</v>
      </c>
      <c r="G3209">
        <v>4360</v>
      </c>
      <c r="H3209" t="s">
        <v>48</v>
      </c>
      <c r="I3209" t="s">
        <v>1119</v>
      </c>
      <c r="J3209">
        <v>8</v>
      </c>
      <c r="K3209">
        <v>9</v>
      </c>
      <c r="L3209">
        <v>1.2048611111111111E-2</v>
      </c>
      <c r="M3209" t="s">
        <v>778</v>
      </c>
      <c r="N3209" t="s">
        <v>1304</v>
      </c>
      <c r="O3209" s="24">
        <v>46126</v>
      </c>
      <c r="P3209">
        <v>605</v>
      </c>
      <c r="Q3209" t="s">
        <v>34</v>
      </c>
      <c r="X3209" t="s">
        <v>3814</v>
      </c>
    </row>
    <row r="3210" spans="1:24" x14ac:dyDescent="0.25">
      <c r="A3210">
        <v>3206</v>
      </c>
      <c r="B3210" t="s">
        <v>29</v>
      </c>
      <c r="C3210" t="s">
        <v>27</v>
      </c>
      <c r="D3210">
        <v>16</v>
      </c>
      <c r="E3210" t="s">
        <v>1665</v>
      </c>
      <c r="F3210" t="s">
        <v>115</v>
      </c>
      <c r="G3210">
        <v>4236</v>
      </c>
      <c r="H3210" t="s">
        <v>2113</v>
      </c>
      <c r="I3210" t="s">
        <v>2111</v>
      </c>
      <c r="J3210">
        <v>8</v>
      </c>
      <c r="K3210">
        <v>1</v>
      </c>
      <c r="L3210">
        <v>5.0925925925925921E-4</v>
      </c>
      <c r="M3210" t="s">
        <v>778</v>
      </c>
      <c r="N3210" t="s">
        <v>1304</v>
      </c>
      <c r="O3210" s="24">
        <v>46126</v>
      </c>
      <c r="P3210">
        <v>605</v>
      </c>
      <c r="Q3210" t="s">
        <v>34</v>
      </c>
      <c r="X3210" t="s">
        <v>3815</v>
      </c>
    </row>
    <row r="3211" spans="1:24" x14ac:dyDescent="0.25">
      <c r="A3211">
        <v>3207</v>
      </c>
      <c r="B3211" t="s">
        <v>29</v>
      </c>
      <c r="C3211" t="s">
        <v>27</v>
      </c>
      <c r="D3211">
        <v>16</v>
      </c>
      <c r="E3211" t="s">
        <v>1672</v>
      </c>
      <c r="F3211" t="s">
        <v>115</v>
      </c>
      <c r="G3211">
        <v>4236</v>
      </c>
      <c r="H3211" t="s">
        <v>2087</v>
      </c>
      <c r="I3211" t="s">
        <v>2088</v>
      </c>
      <c r="J3211">
        <v>8</v>
      </c>
      <c r="K3211">
        <v>2</v>
      </c>
      <c r="L3211">
        <v>1.5046296296296296E-3</v>
      </c>
      <c r="M3211" t="s">
        <v>778</v>
      </c>
      <c r="N3211" t="s">
        <v>1304</v>
      </c>
      <c r="O3211" s="24">
        <v>46126</v>
      </c>
      <c r="P3211">
        <v>605</v>
      </c>
      <c r="Q3211" t="s">
        <v>34</v>
      </c>
      <c r="X3211" t="s">
        <v>3815</v>
      </c>
    </row>
    <row r="3212" spans="1:24" x14ac:dyDescent="0.25">
      <c r="A3212">
        <v>3208</v>
      </c>
      <c r="B3212" t="s">
        <v>29</v>
      </c>
      <c r="C3212" t="s">
        <v>27</v>
      </c>
      <c r="D3212">
        <v>16</v>
      </c>
      <c r="E3212" t="s">
        <v>131</v>
      </c>
      <c r="F3212" t="s">
        <v>115</v>
      </c>
      <c r="G3212">
        <v>4236</v>
      </c>
      <c r="H3212" t="s">
        <v>2744</v>
      </c>
      <c r="I3212" t="s">
        <v>2088</v>
      </c>
      <c r="J3212">
        <v>8</v>
      </c>
      <c r="K3212">
        <v>1</v>
      </c>
      <c r="L3212">
        <v>7.5231481481481482E-4</v>
      </c>
      <c r="M3212" t="s">
        <v>778</v>
      </c>
      <c r="N3212" t="s">
        <v>1304</v>
      </c>
      <c r="O3212" s="24">
        <v>46126</v>
      </c>
      <c r="P3212">
        <v>605</v>
      </c>
      <c r="Q3212" t="s">
        <v>34</v>
      </c>
      <c r="X3212" t="s">
        <v>3815</v>
      </c>
    </row>
    <row r="3213" spans="1:24" x14ac:dyDescent="0.25">
      <c r="A3213">
        <v>3209</v>
      </c>
      <c r="B3213" t="s">
        <v>29</v>
      </c>
      <c r="C3213" t="s">
        <v>27</v>
      </c>
      <c r="D3213">
        <v>16</v>
      </c>
      <c r="E3213" t="s">
        <v>1588</v>
      </c>
      <c r="F3213" t="s">
        <v>512</v>
      </c>
      <c r="G3213">
        <v>4236</v>
      </c>
      <c r="H3213" t="s">
        <v>2413</v>
      </c>
      <c r="I3213" t="s">
        <v>2414</v>
      </c>
      <c r="J3213">
        <v>8</v>
      </c>
      <c r="K3213">
        <v>2</v>
      </c>
      <c r="L3213">
        <v>9.4907407407407408E-4</v>
      </c>
      <c r="M3213" t="s">
        <v>778</v>
      </c>
      <c r="N3213" t="s">
        <v>1304</v>
      </c>
      <c r="O3213" s="24">
        <v>46126</v>
      </c>
      <c r="P3213">
        <v>605</v>
      </c>
      <c r="Q3213" t="s">
        <v>34</v>
      </c>
      <c r="X3213" t="s">
        <v>3815</v>
      </c>
    </row>
    <row r="3214" spans="1:24" x14ac:dyDescent="0.25">
      <c r="A3214">
        <v>3210</v>
      </c>
      <c r="B3214" t="s">
        <v>29</v>
      </c>
      <c r="C3214" t="s">
        <v>27</v>
      </c>
      <c r="D3214">
        <v>16</v>
      </c>
      <c r="E3214" t="s">
        <v>367</v>
      </c>
      <c r="F3214" t="s">
        <v>368</v>
      </c>
      <c r="G3214">
        <v>4236</v>
      </c>
      <c r="H3214" t="s">
        <v>2096</v>
      </c>
      <c r="I3214" t="s">
        <v>2097</v>
      </c>
      <c r="J3214">
        <v>8</v>
      </c>
      <c r="K3214">
        <v>2</v>
      </c>
      <c r="L3214">
        <v>1.1574074074074073E-3</v>
      </c>
      <c r="M3214" t="s">
        <v>778</v>
      </c>
      <c r="N3214" t="s">
        <v>1304</v>
      </c>
      <c r="O3214" s="24">
        <v>46126</v>
      </c>
      <c r="P3214">
        <v>605</v>
      </c>
      <c r="Q3214" t="s">
        <v>34</v>
      </c>
      <c r="X3214" t="s">
        <v>3815</v>
      </c>
    </row>
    <row r="3215" spans="1:24" x14ac:dyDescent="0.25">
      <c r="A3215">
        <v>3211</v>
      </c>
      <c r="B3215" t="s">
        <v>29</v>
      </c>
      <c r="C3215" t="s">
        <v>27</v>
      </c>
      <c r="D3215">
        <v>16</v>
      </c>
      <c r="E3215" t="s">
        <v>367</v>
      </c>
      <c r="F3215" t="s">
        <v>1592</v>
      </c>
      <c r="G3215">
        <v>4236</v>
      </c>
      <c r="H3215" t="s">
        <v>2455</v>
      </c>
      <c r="I3215" t="s">
        <v>2456</v>
      </c>
      <c r="J3215">
        <v>8</v>
      </c>
      <c r="K3215">
        <v>8</v>
      </c>
      <c r="L3215">
        <v>3.0324074074074073E-3</v>
      </c>
      <c r="M3215" t="s">
        <v>778</v>
      </c>
      <c r="N3215" t="s">
        <v>1304</v>
      </c>
      <c r="O3215" s="24">
        <v>46126</v>
      </c>
      <c r="P3215">
        <v>605</v>
      </c>
      <c r="Q3215" t="s">
        <v>34</v>
      </c>
      <c r="X3215" t="s">
        <v>3815</v>
      </c>
    </row>
    <row r="3216" spans="1:24" x14ac:dyDescent="0.25">
      <c r="A3216">
        <v>3212</v>
      </c>
      <c r="B3216" t="s">
        <v>29</v>
      </c>
      <c r="C3216" t="s">
        <v>27</v>
      </c>
      <c r="D3216">
        <v>16</v>
      </c>
      <c r="E3216" t="s">
        <v>367</v>
      </c>
      <c r="F3216" t="s">
        <v>368</v>
      </c>
      <c r="G3216">
        <v>4236</v>
      </c>
      <c r="H3216" t="s">
        <v>2169</v>
      </c>
      <c r="I3216" t="s">
        <v>2170</v>
      </c>
      <c r="J3216">
        <v>8</v>
      </c>
      <c r="K3216">
        <v>2</v>
      </c>
      <c r="L3216">
        <v>9.9537037037037042E-4</v>
      </c>
      <c r="M3216" t="s">
        <v>778</v>
      </c>
      <c r="N3216" t="s">
        <v>1304</v>
      </c>
      <c r="O3216" s="24">
        <v>46126</v>
      </c>
      <c r="P3216">
        <v>605</v>
      </c>
      <c r="Q3216" t="s">
        <v>34</v>
      </c>
      <c r="X3216" t="s">
        <v>3815</v>
      </c>
    </row>
    <row r="3217" spans="1:24" x14ac:dyDescent="0.25">
      <c r="A3217">
        <v>3213</v>
      </c>
      <c r="B3217" t="s">
        <v>29</v>
      </c>
      <c r="C3217" t="s">
        <v>27</v>
      </c>
      <c r="D3217">
        <v>16</v>
      </c>
      <c r="E3217" t="s">
        <v>1141</v>
      </c>
      <c r="F3217" t="s">
        <v>368</v>
      </c>
      <c r="G3217">
        <v>4236</v>
      </c>
      <c r="H3217" t="s">
        <v>2322</v>
      </c>
      <c r="I3217" t="s">
        <v>2666</v>
      </c>
      <c r="J3217">
        <v>8</v>
      </c>
      <c r="K3217">
        <v>1</v>
      </c>
      <c r="L3217">
        <v>1.3541666666666667E-3</v>
      </c>
      <c r="M3217" t="s">
        <v>778</v>
      </c>
      <c r="N3217" t="s">
        <v>1304</v>
      </c>
      <c r="O3217" s="24">
        <v>46126</v>
      </c>
      <c r="P3217">
        <v>605</v>
      </c>
      <c r="Q3217" t="s">
        <v>34</v>
      </c>
      <c r="X3217" t="s">
        <v>3815</v>
      </c>
    </row>
    <row r="3218" spans="1:24" x14ac:dyDescent="0.25">
      <c r="A3218">
        <v>3214</v>
      </c>
      <c r="B3218" t="s">
        <v>29</v>
      </c>
      <c r="C3218" t="s">
        <v>27</v>
      </c>
      <c r="D3218">
        <v>16</v>
      </c>
      <c r="E3218" t="s">
        <v>367</v>
      </c>
      <c r="F3218" t="s">
        <v>367</v>
      </c>
      <c r="G3218">
        <v>4236</v>
      </c>
      <c r="H3218" t="s">
        <v>2324</v>
      </c>
      <c r="I3218" t="s">
        <v>2325</v>
      </c>
      <c r="J3218">
        <v>8</v>
      </c>
      <c r="K3218">
        <v>1</v>
      </c>
      <c r="L3218">
        <v>1.1574074074074073E-3</v>
      </c>
      <c r="M3218" t="s">
        <v>778</v>
      </c>
      <c r="N3218" t="s">
        <v>1304</v>
      </c>
      <c r="O3218" s="24">
        <v>46126</v>
      </c>
      <c r="P3218">
        <v>605</v>
      </c>
      <c r="Q3218" t="s">
        <v>34</v>
      </c>
      <c r="X3218" t="s">
        <v>3815</v>
      </c>
    </row>
    <row r="3219" spans="1:24" x14ac:dyDescent="0.25">
      <c r="A3219">
        <v>3215</v>
      </c>
      <c r="B3219" t="s">
        <v>29</v>
      </c>
      <c r="C3219" t="s">
        <v>27</v>
      </c>
      <c r="D3219">
        <v>16</v>
      </c>
      <c r="E3219" t="s">
        <v>367</v>
      </c>
      <c r="F3219" t="s">
        <v>367</v>
      </c>
      <c r="G3219">
        <v>4236</v>
      </c>
      <c r="H3219" t="s">
        <v>2162</v>
      </c>
      <c r="I3219" t="s">
        <v>2163</v>
      </c>
      <c r="J3219">
        <v>8</v>
      </c>
      <c r="K3219">
        <v>1</v>
      </c>
      <c r="L3219">
        <v>1.9791666666666664E-3</v>
      </c>
      <c r="M3219" t="s">
        <v>778</v>
      </c>
      <c r="N3219" t="s">
        <v>1304</v>
      </c>
      <c r="O3219" s="24">
        <v>46126</v>
      </c>
      <c r="P3219">
        <v>605</v>
      </c>
      <c r="Q3219" t="s">
        <v>34</v>
      </c>
      <c r="X3219" t="s">
        <v>3815</v>
      </c>
    </row>
    <row r="3220" spans="1:24" x14ac:dyDescent="0.25">
      <c r="A3220">
        <v>3216</v>
      </c>
      <c r="B3220" t="s">
        <v>29</v>
      </c>
      <c r="C3220" t="s">
        <v>27</v>
      </c>
      <c r="D3220">
        <v>16</v>
      </c>
      <c r="E3220" t="s">
        <v>367</v>
      </c>
      <c r="F3220" t="s">
        <v>512</v>
      </c>
      <c r="G3220">
        <v>4236</v>
      </c>
      <c r="H3220" t="s">
        <v>2713</v>
      </c>
      <c r="I3220" t="s">
        <v>2599</v>
      </c>
      <c r="J3220">
        <v>8</v>
      </c>
      <c r="K3220">
        <v>1</v>
      </c>
      <c r="L3220">
        <v>7.9861111111111105E-4</v>
      </c>
      <c r="M3220" t="s">
        <v>778</v>
      </c>
      <c r="N3220" t="s">
        <v>1304</v>
      </c>
      <c r="O3220" s="24">
        <v>46126</v>
      </c>
      <c r="P3220">
        <v>605</v>
      </c>
      <c r="Q3220" t="s">
        <v>34</v>
      </c>
      <c r="X3220" t="s">
        <v>3815</v>
      </c>
    </row>
    <row r="3221" spans="1:24" x14ac:dyDescent="0.25">
      <c r="A3221">
        <v>3217</v>
      </c>
      <c r="B3221" t="s">
        <v>29</v>
      </c>
      <c r="C3221" t="s">
        <v>27</v>
      </c>
      <c r="D3221">
        <v>16</v>
      </c>
      <c r="E3221" t="s">
        <v>2763</v>
      </c>
      <c r="F3221" t="s">
        <v>44</v>
      </c>
      <c r="G3221">
        <v>4236</v>
      </c>
      <c r="H3221" t="s">
        <v>2463</v>
      </c>
      <c r="I3221" t="s">
        <v>2049</v>
      </c>
      <c r="J3221">
        <v>8</v>
      </c>
      <c r="K3221">
        <v>1</v>
      </c>
      <c r="L3221">
        <v>1.1342592592592591E-3</v>
      </c>
      <c r="M3221" t="s">
        <v>778</v>
      </c>
      <c r="N3221" t="s">
        <v>1304</v>
      </c>
      <c r="O3221" s="24">
        <v>46126</v>
      </c>
      <c r="P3221">
        <v>605</v>
      </c>
      <c r="Q3221" t="s">
        <v>34</v>
      </c>
      <c r="X3221" t="s">
        <v>3815</v>
      </c>
    </row>
    <row r="3222" spans="1:24" x14ac:dyDescent="0.25">
      <c r="A3222">
        <v>3218</v>
      </c>
      <c r="B3222" t="s">
        <v>29</v>
      </c>
      <c r="C3222" t="s">
        <v>27</v>
      </c>
      <c r="D3222">
        <v>16</v>
      </c>
      <c r="E3222" t="s">
        <v>2763</v>
      </c>
      <c r="F3222" t="s">
        <v>44</v>
      </c>
      <c r="G3222">
        <v>4236</v>
      </c>
      <c r="H3222" t="s">
        <v>2448</v>
      </c>
      <c r="I3222" t="s">
        <v>2049</v>
      </c>
      <c r="J3222">
        <v>8</v>
      </c>
      <c r="K3222">
        <v>1</v>
      </c>
      <c r="L3222">
        <v>1.1342592592592591E-3</v>
      </c>
      <c r="M3222" t="s">
        <v>778</v>
      </c>
      <c r="N3222" t="s">
        <v>1304</v>
      </c>
      <c r="O3222" s="24">
        <v>46126</v>
      </c>
      <c r="P3222">
        <v>605</v>
      </c>
      <c r="Q3222" t="s">
        <v>34</v>
      </c>
      <c r="X3222" t="s">
        <v>3815</v>
      </c>
    </row>
    <row r="3223" spans="1:24" x14ac:dyDescent="0.25">
      <c r="A3223">
        <v>3219</v>
      </c>
      <c r="B3223" t="s">
        <v>29</v>
      </c>
      <c r="C3223" t="s">
        <v>27</v>
      </c>
      <c r="D3223">
        <v>16</v>
      </c>
      <c r="E3223" t="s">
        <v>2763</v>
      </c>
      <c r="F3223" t="s">
        <v>512</v>
      </c>
      <c r="G3223">
        <v>4236</v>
      </c>
      <c r="H3223" t="s">
        <v>2906</v>
      </c>
      <c r="I3223" t="s">
        <v>2414</v>
      </c>
      <c r="J3223">
        <v>8</v>
      </c>
      <c r="K3223">
        <v>2</v>
      </c>
      <c r="L3223">
        <v>9.4907407407407408E-4</v>
      </c>
      <c r="M3223" t="s">
        <v>778</v>
      </c>
      <c r="N3223" t="s">
        <v>1304</v>
      </c>
      <c r="O3223" s="24">
        <v>46126</v>
      </c>
      <c r="P3223">
        <v>605</v>
      </c>
      <c r="Q3223" t="s">
        <v>34</v>
      </c>
      <c r="X3223" t="s">
        <v>3815</v>
      </c>
    </row>
    <row r="3224" spans="1:24" x14ac:dyDescent="0.25">
      <c r="A3224">
        <v>3220</v>
      </c>
      <c r="B3224" t="s">
        <v>29</v>
      </c>
      <c r="C3224" t="s">
        <v>27</v>
      </c>
      <c r="D3224">
        <v>16</v>
      </c>
      <c r="E3224" t="s">
        <v>2742</v>
      </c>
      <c r="F3224" t="s">
        <v>115</v>
      </c>
      <c r="G3224">
        <v>4236</v>
      </c>
      <c r="H3224" t="s">
        <v>2907</v>
      </c>
      <c r="I3224" t="s">
        <v>2902</v>
      </c>
      <c r="J3224">
        <v>8</v>
      </c>
      <c r="K3224">
        <v>1</v>
      </c>
      <c r="L3224">
        <v>3.49537037037037E-3</v>
      </c>
      <c r="M3224" t="s">
        <v>778</v>
      </c>
      <c r="N3224" t="s">
        <v>1304</v>
      </c>
      <c r="O3224" s="24">
        <v>46126</v>
      </c>
      <c r="P3224">
        <v>605</v>
      </c>
      <c r="Q3224" t="s">
        <v>34</v>
      </c>
      <c r="X3224" t="s">
        <v>3815</v>
      </c>
    </row>
    <row r="3225" spans="1:24" x14ac:dyDescent="0.25">
      <c r="A3225">
        <v>3221</v>
      </c>
      <c r="B3225" t="s">
        <v>29</v>
      </c>
      <c r="C3225" t="s">
        <v>27</v>
      </c>
      <c r="D3225">
        <v>16</v>
      </c>
      <c r="E3225" t="s">
        <v>2430</v>
      </c>
      <c r="F3225" t="s">
        <v>44</v>
      </c>
      <c r="G3225">
        <v>4236</v>
      </c>
      <c r="H3225" t="s">
        <v>48</v>
      </c>
      <c r="I3225" t="s">
        <v>1119</v>
      </c>
      <c r="J3225">
        <v>8</v>
      </c>
      <c r="K3225">
        <v>1</v>
      </c>
      <c r="L3225">
        <v>1.2037037037037036E-3</v>
      </c>
      <c r="M3225" t="s">
        <v>778</v>
      </c>
      <c r="N3225" t="s">
        <v>1304</v>
      </c>
      <c r="O3225" s="24">
        <v>46126</v>
      </c>
      <c r="P3225">
        <v>605</v>
      </c>
      <c r="Q3225" t="s">
        <v>34</v>
      </c>
      <c r="X3225" t="s">
        <v>3815</v>
      </c>
    </row>
    <row r="3226" spans="1:24" x14ac:dyDescent="0.25">
      <c r="A3226">
        <v>3222</v>
      </c>
      <c r="B3226" t="s">
        <v>29</v>
      </c>
      <c r="C3226" t="s">
        <v>27</v>
      </c>
      <c r="D3226">
        <v>16</v>
      </c>
      <c r="E3226" t="s">
        <v>367</v>
      </c>
      <c r="F3226" t="s">
        <v>367</v>
      </c>
      <c r="G3226">
        <v>3950</v>
      </c>
      <c r="H3226" t="s">
        <v>2483</v>
      </c>
      <c r="I3226" t="s">
        <v>2484</v>
      </c>
      <c r="J3226">
        <v>8</v>
      </c>
      <c r="K3226">
        <v>1</v>
      </c>
      <c r="L3226">
        <v>6.0185185185185179E-4</v>
      </c>
      <c r="M3226" t="s">
        <v>778</v>
      </c>
      <c r="N3226" t="s">
        <v>1304</v>
      </c>
      <c r="O3226" s="24">
        <v>46126</v>
      </c>
      <c r="P3226">
        <v>605</v>
      </c>
      <c r="Q3226" t="s">
        <v>34</v>
      </c>
      <c r="X3226" t="s">
        <v>3816</v>
      </c>
    </row>
    <row r="3227" spans="1:24" x14ac:dyDescent="0.25">
      <c r="A3227">
        <v>3223</v>
      </c>
      <c r="B3227" t="s">
        <v>29</v>
      </c>
      <c r="C3227" t="s">
        <v>27</v>
      </c>
      <c r="D3227">
        <v>16</v>
      </c>
      <c r="E3227" t="s">
        <v>829</v>
      </c>
      <c r="F3227" t="s">
        <v>1598</v>
      </c>
      <c r="G3227">
        <v>3950</v>
      </c>
      <c r="H3227" t="s">
        <v>2249</v>
      </c>
      <c r="I3227" t="s">
        <v>2240</v>
      </c>
      <c r="J3227">
        <v>8</v>
      </c>
      <c r="K3227">
        <v>1</v>
      </c>
      <c r="L3227">
        <v>2.5694444444444445E-3</v>
      </c>
      <c r="M3227" t="s">
        <v>778</v>
      </c>
      <c r="N3227" t="s">
        <v>1304</v>
      </c>
      <c r="O3227" s="24">
        <v>46126</v>
      </c>
      <c r="P3227">
        <v>605</v>
      </c>
      <c r="Q3227" t="s">
        <v>34</v>
      </c>
      <c r="X3227" t="s">
        <v>3816</v>
      </c>
    </row>
    <row r="3228" spans="1:24" x14ac:dyDescent="0.25">
      <c r="A3228">
        <v>3224</v>
      </c>
      <c r="B3228" t="s">
        <v>29</v>
      </c>
      <c r="C3228" t="s">
        <v>27</v>
      </c>
      <c r="D3228">
        <v>16</v>
      </c>
      <c r="E3228" t="s">
        <v>367</v>
      </c>
      <c r="F3228" t="s">
        <v>1594</v>
      </c>
      <c r="G3228">
        <v>3950</v>
      </c>
      <c r="H3228" t="s">
        <v>2486</v>
      </c>
      <c r="I3228" t="s">
        <v>2487</v>
      </c>
      <c r="J3228">
        <v>8</v>
      </c>
      <c r="K3228">
        <v>1</v>
      </c>
      <c r="L3228">
        <v>9.4907407407407408E-4</v>
      </c>
      <c r="M3228" t="s">
        <v>778</v>
      </c>
      <c r="N3228" t="s">
        <v>1304</v>
      </c>
      <c r="O3228" s="24">
        <v>46126</v>
      </c>
      <c r="P3228">
        <v>605</v>
      </c>
      <c r="Q3228" t="s">
        <v>34</v>
      </c>
      <c r="X3228" t="s">
        <v>3816</v>
      </c>
    </row>
    <row r="3229" spans="1:24" x14ac:dyDescent="0.25">
      <c r="A3229">
        <v>3225</v>
      </c>
      <c r="B3229" t="s">
        <v>29</v>
      </c>
      <c r="C3229" t="s">
        <v>27</v>
      </c>
      <c r="D3229">
        <v>16</v>
      </c>
      <c r="E3229" t="s">
        <v>2742</v>
      </c>
      <c r="F3229" t="s">
        <v>498</v>
      </c>
      <c r="G3229">
        <v>3950</v>
      </c>
      <c r="H3229" t="s">
        <v>2909</v>
      </c>
      <c r="I3229" t="s">
        <v>2910</v>
      </c>
      <c r="J3229">
        <v>8</v>
      </c>
      <c r="K3229">
        <v>1</v>
      </c>
      <c r="L3229">
        <v>4.0625000000000001E-3</v>
      </c>
      <c r="M3229" t="s">
        <v>778</v>
      </c>
      <c r="N3229" t="s">
        <v>1304</v>
      </c>
      <c r="O3229" s="24">
        <v>46126</v>
      </c>
      <c r="P3229">
        <v>605</v>
      </c>
      <c r="Q3229" t="s">
        <v>34</v>
      </c>
      <c r="X3229" t="s">
        <v>3816</v>
      </c>
    </row>
    <row r="3230" spans="1:24" x14ac:dyDescent="0.25">
      <c r="A3230">
        <v>3226</v>
      </c>
      <c r="B3230" t="s">
        <v>29</v>
      </c>
      <c r="C3230" t="s">
        <v>27</v>
      </c>
      <c r="D3230">
        <v>16</v>
      </c>
      <c r="E3230" t="s">
        <v>2911</v>
      </c>
      <c r="F3230" t="s">
        <v>44</v>
      </c>
      <c r="G3230">
        <v>3950</v>
      </c>
      <c r="H3230" t="s">
        <v>48</v>
      </c>
      <c r="I3230" t="s">
        <v>1119</v>
      </c>
      <c r="J3230">
        <v>8</v>
      </c>
      <c r="K3230">
        <v>2</v>
      </c>
      <c r="L3230">
        <v>2.8587962962962963E-3</v>
      </c>
      <c r="M3230" t="s">
        <v>778</v>
      </c>
      <c r="N3230" t="s">
        <v>1304</v>
      </c>
      <c r="O3230" s="24">
        <v>46126</v>
      </c>
      <c r="P3230">
        <v>605</v>
      </c>
      <c r="Q3230" t="s">
        <v>34</v>
      </c>
      <c r="X3230" t="s">
        <v>3816</v>
      </c>
    </row>
    <row r="3231" spans="1:24" x14ac:dyDescent="0.25">
      <c r="A3231">
        <v>3227</v>
      </c>
      <c r="B3231" t="s">
        <v>29</v>
      </c>
      <c r="C3231" t="s">
        <v>27</v>
      </c>
      <c r="D3231">
        <v>16</v>
      </c>
      <c r="E3231" t="s">
        <v>367</v>
      </c>
      <c r="F3231" t="s">
        <v>1593</v>
      </c>
      <c r="G3231">
        <v>4235</v>
      </c>
      <c r="H3231" t="s">
        <v>2060</v>
      </c>
      <c r="I3231" t="s">
        <v>2061</v>
      </c>
      <c r="J3231">
        <v>8</v>
      </c>
      <c r="K3231">
        <v>1</v>
      </c>
      <c r="L3231">
        <v>4.1666666666666664E-4</v>
      </c>
      <c r="M3231" t="s">
        <v>778</v>
      </c>
      <c r="N3231" t="s">
        <v>1304</v>
      </c>
      <c r="O3231" s="24">
        <v>46126</v>
      </c>
      <c r="P3231">
        <v>605</v>
      </c>
      <c r="Q3231" t="s">
        <v>34</v>
      </c>
      <c r="X3231" t="s">
        <v>3817</v>
      </c>
    </row>
    <row r="3232" spans="1:24" x14ac:dyDescent="0.25">
      <c r="A3232">
        <v>3228</v>
      </c>
      <c r="B3232" t="s">
        <v>29</v>
      </c>
      <c r="C3232" t="s">
        <v>27</v>
      </c>
      <c r="D3232">
        <v>16</v>
      </c>
      <c r="E3232" t="s">
        <v>367</v>
      </c>
      <c r="F3232" t="s">
        <v>368</v>
      </c>
      <c r="G3232">
        <v>4235</v>
      </c>
      <c r="H3232" t="s">
        <v>2096</v>
      </c>
      <c r="I3232" t="s">
        <v>2097</v>
      </c>
      <c r="J3232">
        <v>8</v>
      </c>
      <c r="K3232">
        <v>1</v>
      </c>
      <c r="L3232">
        <v>6.8287037037037036E-4</v>
      </c>
      <c r="M3232" t="s">
        <v>778</v>
      </c>
      <c r="N3232" t="s">
        <v>1304</v>
      </c>
      <c r="O3232" s="24">
        <v>46126</v>
      </c>
      <c r="P3232">
        <v>605</v>
      </c>
      <c r="Q3232" t="s">
        <v>34</v>
      </c>
      <c r="X3232" t="s">
        <v>3817</v>
      </c>
    </row>
    <row r="3233" spans="1:24" x14ac:dyDescent="0.25">
      <c r="A3233">
        <v>3229</v>
      </c>
      <c r="B3233" t="s">
        <v>29</v>
      </c>
      <c r="C3233" t="s">
        <v>27</v>
      </c>
      <c r="D3233">
        <v>16</v>
      </c>
      <c r="E3233" t="s">
        <v>367</v>
      </c>
      <c r="F3233" t="s">
        <v>427</v>
      </c>
      <c r="G3233">
        <v>4235</v>
      </c>
      <c r="H3233" t="s">
        <v>2246</v>
      </c>
      <c r="I3233" t="s">
        <v>2247</v>
      </c>
      <c r="J3233">
        <v>8</v>
      </c>
      <c r="K3233">
        <v>1</v>
      </c>
      <c r="L3233">
        <v>1.3541666666666667E-3</v>
      </c>
      <c r="M3233" t="s">
        <v>778</v>
      </c>
      <c r="N3233" t="s">
        <v>1304</v>
      </c>
      <c r="O3233" s="24">
        <v>46126</v>
      </c>
      <c r="P3233">
        <v>605</v>
      </c>
      <c r="Q3233" t="s">
        <v>34</v>
      </c>
      <c r="X3233" t="s">
        <v>3817</v>
      </c>
    </row>
    <row r="3234" spans="1:24" x14ac:dyDescent="0.25">
      <c r="A3234">
        <v>3230</v>
      </c>
      <c r="B3234" t="s">
        <v>29</v>
      </c>
      <c r="C3234" t="s">
        <v>27</v>
      </c>
      <c r="D3234">
        <v>16</v>
      </c>
      <c r="E3234" t="s">
        <v>829</v>
      </c>
      <c r="F3234" t="s">
        <v>1598</v>
      </c>
      <c r="G3234">
        <v>4235</v>
      </c>
      <c r="H3234" t="s">
        <v>2340</v>
      </c>
      <c r="I3234" t="s">
        <v>2913</v>
      </c>
      <c r="J3234">
        <v>8</v>
      </c>
      <c r="K3234">
        <v>1</v>
      </c>
      <c r="L3234">
        <v>2.1527777777777778E-3</v>
      </c>
      <c r="M3234" t="s">
        <v>778</v>
      </c>
      <c r="N3234" t="s">
        <v>1304</v>
      </c>
      <c r="O3234" s="24">
        <v>46126</v>
      </c>
      <c r="P3234">
        <v>605</v>
      </c>
      <c r="Q3234" t="s">
        <v>34</v>
      </c>
      <c r="X3234" t="s">
        <v>3817</v>
      </c>
    </row>
    <row r="3235" spans="1:24" x14ac:dyDescent="0.25">
      <c r="A3235">
        <v>3231</v>
      </c>
      <c r="B3235" t="s">
        <v>29</v>
      </c>
      <c r="C3235" t="s">
        <v>27</v>
      </c>
      <c r="D3235">
        <v>16</v>
      </c>
      <c r="E3235" t="s">
        <v>367</v>
      </c>
      <c r="F3235" t="s">
        <v>512</v>
      </c>
      <c r="G3235">
        <v>4235</v>
      </c>
      <c r="H3235" t="s">
        <v>2229</v>
      </c>
      <c r="I3235" t="s">
        <v>2230</v>
      </c>
      <c r="J3235">
        <v>8</v>
      </c>
      <c r="K3235">
        <v>1</v>
      </c>
      <c r="L3235">
        <v>1.6550925925925926E-3</v>
      </c>
      <c r="M3235" t="s">
        <v>778</v>
      </c>
      <c r="N3235" t="s">
        <v>1304</v>
      </c>
      <c r="O3235" s="24">
        <v>46126</v>
      </c>
      <c r="P3235">
        <v>605</v>
      </c>
      <c r="Q3235" t="s">
        <v>34</v>
      </c>
      <c r="X3235" t="s">
        <v>3817</v>
      </c>
    </row>
    <row r="3236" spans="1:24" x14ac:dyDescent="0.25">
      <c r="A3236">
        <v>3232</v>
      </c>
      <c r="B3236" t="s">
        <v>29</v>
      </c>
      <c r="C3236" t="s">
        <v>27</v>
      </c>
      <c r="D3236">
        <v>16</v>
      </c>
      <c r="E3236" t="s">
        <v>2742</v>
      </c>
      <c r="F3236" t="s">
        <v>498</v>
      </c>
      <c r="G3236">
        <v>4235</v>
      </c>
      <c r="H3236" t="s">
        <v>2914</v>
      </c>
      <c r="I3236" t="s">
        <v>2890</v>
      </c>
      <c r="J3236">
        <v>8</v>
      </c>
      <c r="K3236">
        <v>1</v>
      </c>
      <c r="L3236">
        <v>4.0509259259259257E-3</v>
      </c>
      <c r="M3236" t="s">
        <v>778</v>
      </c>
      <c r="N3236" t="s">
        <v>1304</v>
      </c>
      <c r="O3236" s="24">
        <v>46126</v>
      </c>
      <c r="P3236">
        <v>605</v>
      </c>
      <c r="Q3236" t="s">
        <v>34</v>
      </c>
      <c r="X3236" t="s">
        <v>3817</v>
      </c>
    </row>
    <row r="3237" spans="1:24" x14ac:dyDescent="0.25">
      <c r="A3237">
        <v>3233</v>
      </c>
      <c r="B3237" t="s">
        <v>29</v>
      </c>
      <c r="C3237" t="s">
        <v>27</v>
      </c>
      <c r="D3237">
        <v>16</v>
      </c>
      <c r="E3237" t="s">
        <v>2911</v>
      </c>
      <c r="F3237" t="s">
        <v>44</v>
      </c>
      <c r="G3237">
        <v>4235</v>
      </c>
      <c r="H3237" t="s">
        <v>48</v>
      </c>
      <c r="I3237" t="s">
        <v>1119</v>
      </c>
      <c r="J3237">
        <v>8</v>
      </c>
      <c r="K3237">
        <v>2</v>
      </c>
      <c r="L3237">
        <v>2.8356481481481479E-3</v>
      </c>
      <c r="M3237" t="s">
        <v>778</v>
      </c>
      <c r="N3237" t="s">
        <v>1304</v>
      </c>
      <c r="O3237" s="24">
        <v>46126</v>
      </c>
      <c r="P3237">
        <v>605</v>
      </c>
      <c r="Q3237" t="s">
        <v>34</v>
      </c>
      <c r="X3237" t="s">
        <v>3817</v>
      </c>
    </row>
    <row r="3238" spans="1:24" x14ac:dyDescent="0.25">
      <c r="A3238">
        <v>3234</v>
      </c>
      <c r="B3238" t="s">
        <v>29</v>
      </c>
      <c r="C3238" t="s">
        <v>27</v>
      </c>
      <c r="D3238">
        <v>16</v>
      </c>
      <c r="E3238" t="s">
        <v>2742</v>
      </c>
      <c r="F3238" t="s">
        <v>115</v>
      </c>
      <c r="G3238">
        <v>3952</v>
      </c>
      <c r="H3238" t="s">
        <v>2915</v>
      </c>
      <c r="I3238" t="s">
        <v>2899</v>
      </c>
      <c r="J3238">
        <v>8</v>
      </c>
      <c r="K3238">
        <v>1</v>
      </c>
      <c r="L3238">
        <v>4.2013888888888891E-3</v>
      </c>
      <c r="M3238" t="s">
        <v>3079</v>
      </c>
      <c r="X3238" t="s">
        <v>3818</v>
      </c>
    </row>
    <row r="3239" spans="1:24" x14ac:dyDescent="0.25">
      <c r="A3239">
        <v>3235</v>
      </c>
      <c r="B3239" t="s">
        <v>29</v>
      </c>
      <c r="C3239" t="s">
        <v>27</v>
      </c>
      <c r="D3239">
        <v>16</v>
      </c>
      <c r="E3239" t="s">
        <v>2917</v>
      </c>
      <c r="F3239" t="s">
        <v>44</v>
      </c>
      <c r="G3239">
        <v>3952</v>
      </c>
      <c r="H3239" t="s">
        <v>48</v>
      </c>
      <c r="I3239" t="s">
        <v>1119</v>
      </c>
      <c r="J3239">
        <v>8</v>
      </c>
      <c r="K3239">
        <v>8</v>
      </c>
      <c r="L3239">
        <v>1.1064814814814814E-2</v>
      </c>
      <c r="M3239" t="s">
        <v>3079</v>
      </c>
      <c r="X3239" t="s">
        <v>3818</v>
      </c>
    </row>
    <row r="3240" spans="1:24" x14ac:dyDescent="0.25">
      <c r="A3240">
        <v>3236</v>
      </c>
      <c r="B3240" t="s">
        <v>29</v>
      </c>
      <c r="C3240" t="s">
        <v>27</v>
      </c>
      <c r="D3240">
        <v>16</v>
      </c>
      <c r="E3240" t="s">
        <v>367</v>
      </c>
      <c r="F3240" t="s">
        <v>1599</v>
      </c>
      <c r="G3240">
        <v>4325</v>
      </c>
      <c r="H3240" t="s">
        <v>1633</v>
      </c>
      <c r="I3240" t="s">
        <v>1634</v>
      </c>
      <c r="J3240">
        <v>8</v>
      </c>
      <c r="K3240">
        <v>1</v>
      </c>
      <c r="L3240">
        <v>7.2916666666666659E-4</v>
      </c>
      <c r="M3240" t="s">
        <v>778</v>
      </c>
      <c r="N3240" t="s">
        <v>1304</v>
      </c>
      <c r="O3240" s="24">
        <v>46126</v>
      </c>
      <c r="P3240">
        <v>605</v>
      </c>
      <c r="Q3240" t="s">
        <v>34</v>
      </c>
      <c r="X3240" t="s">
        <v>3819</v>
      </c>
    </row>
    <row r="3241" spans="1:24" x14ac:dyDescent="0.25">
      <c r="A3241">
        <v>3237</v>
      </c>
      <c r="B3241" t="s">
        <v>29</v>
      </c>
      <c r="C3241" t="s">
        <v>27</v>
      </c>
      <c r="D3241">
        <v>16</v>
      </c>
      <c r="E3241" t="s">
        <v>2892</v>
      </c>
      <c r="F3241" t="s">
        <v>44</v>
      </c>
      <c r="G3241">
        <v>4325</v>
      </c>
      <c r="H3241" t="s">
        <v>48</v>
      </c>
      <c r="I3241" t="s">
        <v>1119</v>
      </c>
      <c r="J3241">
        <v>8</v>
      </c>
      <c r="K3241">
        <v>9</v>
      </c>
      <c r="L3241">
        <v>1.2326388888888888E-2</v>
      </c>
      <c r="M3241" t="s">
        <v>778</v>
      </c>
      <c r="N3241" t="s">
        <v>1304</v>
      </c>
      <c r="O3241" s="24">
        <v>46126</v>
      </c>
      <c r="P3241">
        <v>605</v>
      </c>
      <c r="Q3241" t="s">
        <v>34</v>
      </c>
      <c r="X3241" t="s">
        <v>3819</v>
      </c>
    </row>
    <row r="3242" spans="1:24" x14ac:dyDescent="0.25">
      <c r="A3242">
        <v>3238</v>
      </c>
      <c r="B3242" t="s">
        <v>29</v>
      </c>
      <c r="C3242" t="s">
        <v>27</v>
      </c>
      <c r="D3242">
        <v>16</v>
      </c>
      <c r="E3242" t="s">
        <v>2742</v>
      </c>
      <c r="F3242" t="s">
        <v>115</v>
      </c>
      <c r="G3242">
        <v>4325</v>
      </c>
      <c r="H3242" t="s">
        <v>2919</v>
      </c>
      <c r="I3242" t="s">
        <v>2888</v>
      </c>
      <c r="J3242">
        <v>8</v>
      </c>
      <c r="K3242">
        <v>1</v>
      </c>
      <c r="L3242">
        <v>4.6759259259259254E-3</v>
      </c>
      <c r="M3242" t="s">
        <v>778</v>
      </c>
      <c r="N3242" t="s">
        <v>1304</v>
      </c>
      <c r="O3242" s="24">
        <v>46126</v>
      </c>
      <c r="P3242">
        <v>605</v>
      </c>
      <c r="Q3242" t="s">
        <v>34</v>
      </c>
      <c r="X3242" t="s">
        <v>3819</v>
      </c>
    </row>
    <row r="3243" spans="1:24" x14ac:dyDescent="0.25">
      <c r="A3243">
        <v>3239</v>
      </c>
      <c r="B3243" t="s">
        <v>29</v>
      </c>
      <c r="C3243" t="s">
        <v>27</v>
      </c>
      <c r="D3243">
        <v>16</v>
      </c>
      <c r="E3243" t="s">
        <v>2763</v>
      </c>
      <c r="F3243" t="s">
        <v>512</v>
      </c>
      <c r="G3243">
        <v>4365</v>
      </c>
      <c r="H3243" t="s">
        <v>2920</v>
      </c>
      <c r="I3243" t="s">
        <v>2883</v>
      </c>
      <c r="J3243">
        <v>8</v>
      </c>
      <c r="K3243">
        <v>1</v>
      </c>
      <c r="L3243">
        <v>3.8888888888888888E-3</v>
      </c>
      <c r="M3243" t="s">
        <v>3079</v>
      </c>
      <c r="X3243" t="s">
        <v>3820</v>
      </c>
    </row>
    <row r="3244" spans="1:24" x14ac:dyDescent="0.25">
      <c r="A3244">
        <v>3240</v>
      </c>
      <c r="B3244" t="s">
        <v>29</v>
      </c>
      <c r="C3244" t="s">
        <v>27</v>
      </c>
      <c r="D3244">
        <v>16</v>
      </c>
      <c r="E3244" t="s">
        <v>2892</v>
      </c>
      <c r="F3244" t="s">
        <v>44</v>
      </c>
      <c r="G3244">
        <v>4365</v>
      </c>
      <c r="H3244" t="s">
        <v>48</v>
      </c>
      <c r="I3244" t="s">
        <v>1119</v>
      </c>
      <c r="J3244">
        <v>8</v>
      </c>
      <c r="K3244">
        <v>9</v>
      </c>
      <c r="L3244">
        <v>1.2129629629629629E-2</v>
      </c>
      <c r="M3244" t="s">
        <v>3079</v>
      </c>
      <c r="X3244" t="s">
        <v>3820</v>
      </c>
    </row>
    <row r="3245" spans="1:24" x14ac:dyDescent="0.25">
      <c r="A3245">
        <v>3241</v>
      </c>
      <c r="B3245" t="s">
        <v>29</v>
      </c>
      <c r="C3245" t="s">
        <v>27</v>
      </c>
      <c r="D3245">
        <v>16</v>
      </c>
      <c r="E3245" t="s">
        <v>367</v>
      </c>
      <c r="F3245" t="s">
        <v>1592</v>
      </c>
      <c r="G3245">
        <v>4324</v>
      </c>
      <c r="H3245" t="s">
        <v>2455</v>
      </c>
      <c r="I3245" t="s">
        <v>2456</v>
      </c>
      <c r="J3245">
        <v>8</v>
      </c>
      <c r="K3245">
        <v>6</v>
      </c>
      <c r="L3245">
        <v>2.3611111111111111E-3</v>
      </c>
      <c r="M3245" t="s">
        <v>3079</v>
      </c>
      <c r="X3245" t="s">
        <v>3821</v>
      </c>
    </row>
    <row r="3246" spans="1:24" x14ac:dyDescent="0.25">
      <c r="A3246">
        <v>3242</v>
      </c>
      <c r="B3246" t="s">
        <v>29</v>
      </c>
      <c r="C3246" t="s">
        <v>27</v>
      </c>
      <c r="D3246">
        <v>16</v>
      </c>
      <c r="E3246" t="s">
        <v>2763</v>
      </c>
      <c r="F3246" t="s">
        <v>512</v>
      </c>
      <c r="G3246">
        <v>4324</v>
      </c>
      <c r="H3246" t="s">
        <v>2923</v>
      </c>
      <c r="I3246" t="s">
        <v>2924</v>
      </c>
      <c r="J3246">
        <v>8</v>
      </c>
      <c r="K3246">
        <v>1</v>
      </c>
      <c r="L3246">
        <v>3.3217592592592591E-3</v>
      </c>
      <c r="M3246" t="s">
        <v>3079</v>
      </c>
      <c r="X3246" t="s">
        <v>3821</v>
      </c>
    </row>
    <row r="3247" spans="1:24" x14ac:dyDescent="0.25">
      <c r="A3247">
        <v>3243</v>
      </c>
      <c r="B3247" t="s">
        <v>29</v>
      </c>
      <c r="C3247" t="s">
        <v>27</v>
      </c>
      <c r="D3247">
        <v>16</v>
      </c>
      <c r="E3247" t="s">
        <v>2925</v>
      </c>
      <c r="F3247" t="s">
        <v>44</v>
      </c>
      <c r="G3247">
        <v>4324</v>
      </c>
      <c r="H3247" t="s">
        <v>48</v>
      </c>
      <c r="I3247" t="s">
        <v>1119</v>
      </c>
      <c r="J3247">
        <v>8</v>
      </c>
      <c r="K3247">
        <v>12</v>
      </c>
      <c r="L3247">
        <v>1.5081018518518518E-2</v>
      </c>
      <c r="M3247" t="s">
        <v>3079</v>
      </c>
      <c r="X3247" t="s">
        <v>3821</v>
      </c>
    </row>
    <row r="3248" spans="1:24" x14ac:dyDescent="0.25">
      <c r="A3248">
        <v>3244</v>
      </c>
      <c r="B3248" t="s">
        <v>29</v>
      </c>
      <c r="C3248" t="s">
        <v>27</v>
      </c>
      <c r="D3248">
        <v>16</v>
      </c>
      <c r="E3248" t="s">
        <v>2763</v>
      </c>
      <c r="F3248" t="s">
        <v>512</v>
      </c>
      <c r="G3248">
        <v>4366</v>
      </c>
      <c r="H3248" t="s">
        <v>2920</v>
      </c>
      <c r="I3248" t="s">
        <v>2883</v>
      </c>
      <c r="J3248">
        <v>8</v>
      </c>
      <c r="K3248">
        <v>1</v>
      </c>
      <c r="L3248">
        <v>3.8888888888888888E-3</v>
      </c>
      <c r="M3248" t="s">
        <v>3079</v>
      </c>
      <c r="X3248" t="s">
        <v>3822</v>
      </c>
    </row>
    <row r="3249" spans="1:24" x14ac:dyDescent="0.25">
      <c r="A3249">
        <v>3245</v>
      </c>
      <c r="B3249" t="s">
        <v>29</v>
      </c>
      <c r="C3249" t="s">
        <v>27</v>
      </c>
      <c r="D3249">
        <v>16</v>
      </c>
      <c r="E3249" t="s">
        <v>2892</v>
      </c>
      <c r="F3249" t="s">
        <v>44</v>
      </c>
      <c r="G3249">
        <v>4366</v>
      </c>
      <c r="H3249" t="s">
        <v>48</v>
      </c>
      <c r="I3249" t="s">
        <v>1119</v>
      </c>
      <c r="J3249">
        <v>8</v>
      </c>
      <c r="K3249">
        <v>9</v>
      </c>
      <c r="L3249">
        <v>1.2129629629629629E-2</v>
      </c>
      <c r="M3249" t="s">
        <v>3079</v>
      </c>
      <c r="X3249" t="s">
        <v>3822</v>
      </c>
    </row>
    <row r="3250" spans="1:24" x14ac:dyDescent="0.25">
      <c r="A3250">
        <v>3246</v>
      </c>
      <c r="B3250" t="s">
        <v>29</v>
      </c>
      <c r="C3250" t="s">
        <v>27</v>
      </c>
      <c r="D3250">
        <v>16</v>
      </c>
      <c r="E3250" t="s">
        <v>2763</v>
      </c>
      <c r="F3250" t="s">
        <v>512</v>
      </c>
      <c r="G3250">
        <v>4367</v>
      </c>
      <c r="H3250" t="s">
        <v>2920</v>
      </c>
      <c r="I3250" t="s">
        <v>2883</v>
      </c>
      <c r="J3250">
        <v>8</v>
      </c>
      <c r="K3250">
        <v>1</v>
      </c>
      <c r="L3250">
        <v>3.8888888888888888E-3</v>
      </c>
      <c r="M3250" t="s">
        <v>3079</v>
      </c>
      <c r="X3250" t="s">
        <v>3823</v>
      </c>
    </row>
    <row r="3251" spans="1:24" x14ac:dyDescent="0.25">
      <c r="A3251">
        <v>3247</v>
      </c>
      <c r="B3251" t="s">
        <v>29</v>
      </c>
      <c r="C3251" t="s">
        <v>27</v>
      </c>
      <c r="D3251">
        <v>16</v>
      </c>
      <c r="E3251" t="s">
        <v>2892</v>
      </c>
      <c r="F3251" t="s">
        <v>44</v>
      </c>
      <c r="G3251">
        <v>4367</v>
      </c>
      <c r="H3251" t="s">
        <v>48</v>
      </c>
      <c r="I3251" t="s">
        <v>1119</v>
      </c>
      <c r="J3251">
        <v>8</v>
      </c>
      <c r="K3251">
        <v>9</v>
      </c>
      <c r="L3251">
        <v>1.2129629629629629E-2</v>
      </c>
      <c r="M3251" t="s">
        <v>3079</v>
      </c>
      <c r="X3251" t="s">
        <v>3823</v>
      </c>
    </row>
    <row r="3252" spans="1:24" x14ac:dyDescent="0.25">
      <c r="A3252">
        <v>3248</v>
      </c>
      <c r="B3252" t="s">
        <v>29</v>
      </c>
      <c r="C3252" t="s">
        <v>27</v>
      </c>
      <c r="D3252">
        <v>16</v>
      </c>
      <c r="E3252" t="s">
        <v>2763</v>
      </c>
      <c r="F3252" t="s">
        <v>512</v>
      </c>
      <c r="G3252">
        <v>3960</v>
      </c>
      <c r="H3252" t="s">
        <v>2920</v>
      </c>
      <c r="I3252" t="s">
        <v>2883</v>
      </c>
      <c r="J3252">
        <v>8</v>
      </c>
      <c r="K3252">
        <v>1</v>
      </c>
      <c r="L3252">
        <v>3.8888888888888888E-3</v>
      </c>
      <c r="M3252" t="s">
        <v>3079</v>
      </c>
      <c r="X3252" t="s">
        <v>3824</v>
      </c>
    </row>
    <row r="3253" spans="1:24" x14ac:dyDescent="0.25">
      <c r="A3253">
        <v>3249</v>
      </c>
      <c r="B3253" t="s">
        <v>29</v>
      </c>
      <c r="C3253" t="s">
        <v>27</v>
      </c>
      <c r="D3253">
        <v>16</v>
      </c>
      <c r="E3253" t="s">
        <v>2892</v>
      </c>
      <c r="F3253" t="s">
        <v>44</v>
      </c>
      <c r="G3253">
        <v>3960</v>
      </c>
      <c r="H3253" t="s">
        <v>48</v>
      </c>
      <c r="I3253" t="s">
        <v>1119</v>
      </c>
      <c r="J3253">
        <v>8</v>
      </c>
      <c r="K3253">
        <v>9</v>
      </c>
      <c r="L3253">
        <v>1.2129629629629629E-2</v>
      </c>
      <c r="M3253" t="s">
        <v>3079</v>
      </c>
      <c r="X3253" t="s">
        <v>3824</v>
      </c>
    </row>
    <row r="3254" spans="1:24" x14ac:dyDescent="0.25">
      <c r="A3254">
        <v>3250</v>
      </c>
      <c r="B3254" t="s">
        <v>29</v>
      </c>
      <c r="C3254" t="s">
        <v>27</v>
      </c>
      <c r="D3254">
        <v>16</v>
      </c>
      <c r="E3254" t="s">
        <v>2763</v>
      </c>
      <c r="F3254" t="s">
        <v>512</v>
      </c>
      <c r="G3254">
        <v>3961</v>
      </c>
      <c r="H3254" t="s">
        <v>2920</v>
      </c>
      <c r="I3254" t="s">
        <v>2883</v>
      </c>
      <c r="J3254">
        <v>8</v>
      </c>
      <c r="K3254">
        <v>1</v>
      </c>
      <c r="L3254">
        <v>3.8888888888888888E-3</v>
      </c>
      <c r="M3254" t="s">
        <v>3079</v>
      </c>
      <c r="X3254" t="s">
        <v>3825</v>
      </c>
    </row>
    <row r="3255" spans="1:24" x14ac:dyDescent="0.25">
      <c r="A3255">
        <v>3251</v>
      </c>
      <c r="B3255" t="s">
        <v>29</v>
      </c>
      <c r="C3255" t="s">
        <v>27</v>
      </c>
      <c r="D3255">
        <v>16</v>
      </c>
      <c r="E3255" t="s">
        <v>2892</v>
      </c>
      <c r="F3255" t="s">
        <v>44</v>
      </c>
      <c r="G3255">
        <v>3961</v>
      </c>
      <c r="H3255" t="s">
        <v>48</v>
      </c>
      <c r="I3255" t="s">
        <v>1119</v>
      </c>
      <c r="J3255">
        <v>8</v>
      </c>
      <c r="K3255">
        <v>9</v>
      </c>
      <c r="L3255">
        <v>1.2129629629629629E-2</v>
      </c>
      <c r="M3255" t="s">
        <v>3079</v>
      </c>
      <c r="X3255" t="s">
        <v>3825</v>
      </c>
    </row>
    <row r="3256" spans="1:24" x14ac:dyDescent="0.25">
      <c r="A3256">
        <v>3252</v>
      </c>
      <c r="B3256" t="s">
        <v>29</v>
      </c>
      <c r="C3256" t="s">
        <v>27</v>
      </c>
      <c r="D3256">
        <v>16</v>
      </c>
      <c r="E3256" t="s">
        <v>2763</v>
      </c>
      <c r="F3256" t="s">
        <v>512</v>
      </c>
      <c r="G3256">
        <v>3962</v>
      </c>
      <c r="H3256" t="s">
        <v>2920</v>
      </c>
      <c r="I3256" t="s">
        <v>2883</v>
      </c>
      <c r="J3256">
        <v>8</v>
      </c>
      <c r="K3256">
        <v>1</v>
      </c>
      <c r="L3256">
        <v>3.8888888888888888E-3</v>
      </c>
      <c r="M3256" t="s">
        <v>3079</v>
      </c>
      <c r="X3256" t="s">
        <v>3826</v>
      </c>
    </row>
    <row r="3257" spans="1:24" x14ac:dyDescent="0.25">
      <c r="A3257">
        <v>3253</v>
      </c>
      <c r="B3257" t="s">
        <v>29</v>
      </c>
      <c r="C3257" t="s">
        <v>27</v>
      </c>
      <c r="D3257">
        <v>16</v>
      </c>
      <c r="E3257" t="s">
        <v>2892</v>
      </c>
      <c r="F3257" t="s">
        <v>44</v>
      </c>
      <c r="G3257">
        <v>3962</v>
      </c>
      <c r="H3257" t="s">
        <v>48</v>
      </c>
      <c r="I3257" t="s">
        <v>1119</v>
      </c>
      <c r="J3257">
        <v>8</v>
      </c>
      <c r="K3257">
        <v>9</v>
      </c>
      <c r="L3257">
        <v>1.2129629629629629E-2</v>
      </c>
      <c r="M3257" t="s">
        <v>3079</v>
      </c>
      <c r="X3257" t="s">
        <v>3826</v>
      </c>
    </row>
    <row r="3258" spans="1:24" x14ac:dyDescent="0.25">
      <c r="A3258">
        <v>3254</v>
      </c>
      <c r="B3258" t="s">
        <v>29</v>
      </c>
      <c r="C3258" t="s">
        <v>27</v>
      </c>
      <c r="D3258">
        <v>16</v>
      </c>
      <c r="E3258" t="s">
        <v>2763</v>
      </c>
      <c r="F3258" t="s">
        <v>512</v>
      </c>
      <c r="G3258">
        <v>3963</v>
      </c>
      <c r="H3258" t="s">
        <v>2920</v>
      </c>
      <c r="I3258" t="s">
        <v>2883</v>
      </c>
      <c r="J3258">
        <v>8</v>
      </c>
      <c r="K3258">
        <v>1</v>
      </c>
      <c r="L3258">
        <v>3.8888888888888888E-3</v>
      </c>
      <c r="M3258" t="s">
        <v>3079</v>
      </c>
      <c r="X3258" t="s">
        <v>3827</v>
      </c>
    </row>
    <row r="3259" spans="1:24" x14ac:dyDescent="0.25">
      <c r="A3259">
        <v>3255</v>
      </c>
      <c r="B3259" t="s">
        <v>29</v>
      </c>
      <c r="C3259" t="s">
        <v>27</v>
      </c>
      <c r="D3259">
        <v>16</v>
      </c>
      <c r="E3259" t="s">
        <v>2932</v>
      </c>
      <c r="F3259" t="s">
        <v>44</v>
      </c>
      <c r="G3259">
        <v>3963</v>
      </c>
      <c r="H3259" t="s">
        <v>48</v>
      </c>
      <c r="I3259" t="s">
        <v>1119</v>
      </c>
      <c r="J3259">
        <v>8</v>
      </c>
      <c r="K3259">
        <v>9</v>
      </c>
      <c r="L3259">
        <v>1.2129629629629629E-2</v>
      </c>
      <c r="M3259" t="s">
        <v>3079</v>
      </c>
      <c r="X3259" t="s">
        <v>3827</v>
      </c>
    </row>
    <row r="3260" spans="1:24" x14ac:dyDescent="0.25">
      <c r="A3260">
        <v>3256</v>
      </c>
      <c r="B3260" t="s">
        <v>29</v>
      </c>
      <c r="C3260" t="s">
        <v>27</v>
      </c>
      <c r="D3260">
        <v>16</v>
      </c>
      <c r="E3260" t="s">
        <v>550</v>
      </c>
      <c r="F3260" t="s">
        <v>512</v>
      </c>
      <c r="G3260">
        <v>3964</v>
      </c>
      <c r="H3260" t="s">
        <v>551</v>
      </c>
      <c r="I3260" t="s">
        <v>119</v>
      </c>
      <c r="J3260">
        <v>8</v>
      </c>
      <c r="K3260">
        <v>1</v>
      </c>
      <c r="L3260">
        <v>6.9097222222222216E-3</v>
      </c>
      <c r="M3260" t="s">
        <v>778</v>
      </c>
      <c r="N3260" t="s">
        <v>1282</v>
      </c>
      <c r="O3260" s="24">
        <v>46136</v>
      </c>
      <c r="P3260">
        <v>603</v>
      </c>
      <c r="Q3260" t="s">
        <v>34</v>
      </c>
      <c r="X3260" t="s">
        <v>3828</v>
      </c>
    </row>
    <row r="3261" spans="1:24" x14ac:dyDescent="0.25">
      <c r="A3261">
        <v>3257</v>
      </c>
      <c r="B3261" t="s">
        <v>29</v>
      </c>
      <c r="C3261" t="s">
        <v>27</v>
      </c>
      <c r="D3261">
        <v>16</v>
      </c>
      <c r="E3261" t="s">
        <v>133</v>
      </c>
      <c r="F3261" t="s">
        <v>512</v>
      </c>
      <c r="G3261">
        <v>3751</v>
      </c>
      <c r="H3261" t="s">
        <v>91</v>
      </c>
      <c r="I3261" t="s">
        <v>119</v>
      </c>
      <c r="J3261">
        <v>8</v>
      </c>
      <c r="K3261">
        <v>1</v>
      </c>
      <c r="L3261">
        <v>7.1759259259259259E-3</v>
      </c>
      <c r="M3261" t="s">
        <v>3079</v>
      </c>
      <c r="X3261" t="s">
        <v>3829</v>
      </c>
    </row>
    <row r="3262" spans="1:24" x14ac:dyDescent="0.25">
      <c r="A3262">
        <v>3258</v>
      </c>
      <c r="B3262" t="s">
        <v>29</v>
      </c>
      <c r="C3262" t="s">
        <v>27</v>
      </c>
      <c r="D3262">
        <v>16</v>
      </c>
      <c r="E3262" t="s">
        <v>1665</v>
      </c>
      <c r="F3262" t="s">
        <v>498</v>
      </c>
      <c r="G3262">
        <v>4288</v>
      </c>
      <c r="H3262" t="s">
        <v>2478</v>
      </c>
      <c r="I3262" t="s">
        <v>2472</v>
      </c>
      <c r="J3262">
        <v>8</v>
      </c>
      <c r="K3262">
        <v>1</v>
      </c>
      <c r="L3262">
        <v>6.145833333333333E-3</v>
      </c>
      <c r="M3262" t="s">
        <v>3079</v>
      </c>
      <c r="X3262" t="s">
        <v>3830</v>
      </c>
    </row>
    <row r="3263" spans="1:24" x14ac:dyDescent="0.25">
      <c r="A3263">
        <v>3259</v>
      </c>
      <c r="B3263" t="s">
        <v>29</v>
      </c>
      <c r="C3263" t="s">
        <v>27</v>
      </c>
      <c r="D3263">
        <v>16</v>
      </c>
      <c r="E3263" t="s">
        <v>2936</v>
      </c>
      <c r="F3263" t="s">
        <v>44</v>
      </c>
      <c r="G3263">
        <v>4288</v>
      </c>
      <c r="H3263" t="s">
        <v>48</v>
      </c>
      <c r="I3263" t="s">
        <v>1119</v>
      </c>
      <c r="J3263">
        <v>8</v>
      </c>
      <c r="K3263">
        <v>1</v>
      </c>
      <c r="L3263">
        <v>1.5162037037037036E-3</v>
      </c>
      <c r="M3263" t="s">
        <v>3079</v>
      </c>
      <c r="X3263" t="s">
        <v>3830</v>
      </c>
    </row>
    <row r="3264" spans="1:24" x14ac:dyDescent="0.25">
      <c r="A3264">
        <v>3260</v>
      </c>
      <c r="B3264" t="s">
        <v>29</v>
      </c>
      <c r="C3264" t="s">
        <v>27</v>
      </c>
      <c r="D3264">
        <v>16</v>
      </c>
      <c r="E3264" t="s">
        <v>53</v>
      </c>
      <c r="F3264" t="s">
        <v>44</v>
      </c>
      <c r="G3264">
        <v>3825</v>
      </c>
      <c r="H3264" t="s">
        <v>48</v>
      </c>
      <c r="I3264" t="s">
        <v>1119</v>
      </c>
      <c r="J3264">
        <v>8</v>
      </c>
      <c r="K3264">
        <v>23</v>
      </c>
      <c r="L3264">
        <v>2.9594907407407407E-2</v>
      </c>
      <c r="M3264" t="s">
        <v>3079</v>
      </c>
      <c r="X3264" t="s">
        <v>3831</v>
      </c>
    </row>
    <row r="3265" spans="1:24" x14ac:dyDescent="0.25">
      <c r="A3265">
        <v>3261</v>
      </c>
      <c r="B3265" t="s">
        <v>29</v>
      </c>
      <c r="C3265" t="s">
        <v>27</v>
      </c>
      <c r="D3265">
        <v>16</v>
      </c>
      <c r="E3265" t="s">
        <v>53</v>
      </c>
      <c r="F3265" t="s">
        <v>44</v>
      </c>
      <c r="G3265">
        <v>3826</v>
      </c>
      <c r="H3265" t="s">
        <v>48</v>
      </c>
      <c r="I3265" t="s">
        <v>1119</v>
      </c>
      <c r="J3265">
        <v>8</v>
      </c>
      <c r="K3265">
        <v>23</v>
      </c>
      <c r="L3265">
        <v>2.9594907407407407E-2</v>
      </c>
      <c r="M3265" t="s">
        <v>3079</v>
      </c>
      <c r="X3265" t="s">
        <v>3832</v>
      </c>
    </row>
    <row r="3266" spans="1:24" x14ac:dyDescent="0.25">
      <c r="A3266">
        <v>3262</v>
      </c>
      <c r="B3266" t="s">
        <v>29</v>
      </c>
      <c r="C3266" t="s">
        <v>27</v>
      </c>
      <c r="D3266">
        <v>16</v>
      </c>
      <c r="E3266" t="s">
        <v>53</v>
      </c>
      <c r="F3266" t="s">
        <v>44</v>
      </c>
      <c r="G3266">
        <v>3827</v>
      </c>
      <c r="H3266" t="s">
        <v>48</v>
      </c>
      <c r="I3266" t="s">
        <v>1119</v>
      </c>
      <c r="J3266">
        <v>8</v>
      </c>
      <c r="K3266">
        <v>23</v>
      </c>
      <c r="L3266">
        <v>2.9594907407407407E-2</v>
      </c>
      <c r="M3266" t="s">
        <v>3079</v>
      </c>
      <c r="X3266" t="s">
        <v>3833</v>
      </c>
    </row>
    <row r="3267" spans="1:24" x14ac:dyDescent="0.25">
      <c r="A3267">
        <v>3263</v>
      </c>
      <c r="B3267" t="s">
        <v>29</v>
      </c>
      <c r="C3267" t="s">
        <v>27</v>
      </c>
      <c r="D3267">
        <v>16</v>
      </c>
      <c r="E3267" t="s">
        <v>53</v>
      </c>
      <c r="F3267" t="s">
        <v>44</v>
      </c>
      <c r="G3267">
        <v>3828</v>
      </c>
      <c r="H3267" t="s">
        <v>48</v>
      </c>
      <c r="I3267" t="s">
        <v>1119</v>
      </c>
      <c r="J3267">
        <v>8</v>
      </c>
      <c r="K3267">
        <v>23</v>
      </c>
      <c r="L3267">
        <v>2.9594907407407407E-2</v>
      </c>
      <c r="M3267" t="s">
        <v>3079</v>
      </c>
      <c r="X3267" t="s">
        <v>3834</v>
      </c>
    </row>
    <row r="3268" spans="1:24" x14ac:dyDescent="0.25">
      <c r="A3268">
        <v>3264</v>
      </c>
      <c r="B3268" t="s">
        <v>29</v>
      </c>
      <c r="C3268" t="s">
        <v>27</v>
      </c>
      <c r="D3268">
        <v>16</v>
      </c>
      <c r="E3268" t="s">
        <v>2941</v>
      </c>
      <c r="F3268" t="s">
        <v>44</v>
      </c>
      <c r="G3268">
        <v>3829</v>
      </c>
      <c r="H3268" t="s">
        <v>48</v>
      </c>
      <c r="I3268" t="s">
        <v>1119</v>
      </c>
      <c r="J3268">
        <v>8</v>
      </c>
      <c r="K3268">
        <v>23</v>
      </c>
      <c r="L3268">
        <v>2.9594907407407407E-2</v>
      </c>
      <c r="M3268" t="s">
        <v>3079</v>
      </c>
      <c r="X3268" t="s">
        <v>3835</v>
      </c>
    </row>
    <row r="3269" spans="1:24" x14ac:dyDescent="0.25">
      <c r="A3269">
        <v>3265</v>
      </c>
      <c r="B3269" t="s">
        <v>29</v>
      </c>
      <c r="C3269" t="s">
        <v>27</v>
      </c>
      <c r="D3269">
        <v>16</v>
      </c>
      <c r="E3269" t="s">
        <v>58</v>
      </c>
      <c r="F3269" t="s">
        <v>44</v>
      </c>
      <c r="G3269">
        <v>3830</v>
      </c>
      <c r="H3269" t="s">
        <v>48</v>
      </c>
      <c r="I3269" t="s">
        <v>1119</v>
      </c>
      <c r="J3269">
        <v>8</v>
      </c>
      <c r="K3269">
        <v>23</v>
      </c>
      <c r="L3269">
        <v>2.9594907407407407E-2</v>
      </c>
      <c r="M3269" t="s">
        <v>3079</v>
      </c>
      <c r="X3269" t="s">
        <v>3836</v>
      </c>
    </row>
    <row r="3270" spans="1:24" x14ac:dyDescent="0.25">
      <c r="A3270">
        <v>3266</v>
      </c>
      <c r="B3270" t="s">
        <v>29</v>
      </c>
      <c r="C3270" t="s">
        <v>27</v>
      </c>
      <c r="D3270">
        <v>16</v>
      </c>
      <c r="E3270" t="s">
        <v>58</v>
      </c>
      <c r="F3270" t="s">
        <v>44</v>
      </c>
      <c r="G3270">
        <v>3831</v>
      </c>
      <c r="H3270" t="s">
        <v>48</v>
      </c>
      <c r="I3270" t="s">
        <v>1119</v>
      </c>
      <c r="J3270">
        <v>8</v>
      </c>
      <c r="K3270">
        <v>23</v>
      </c>
      <c r="L3270">
        <v>2.9594907407407407E-2</v>
      </c>
      <c r="M3270" t="s">
        <v>3079</v>
      </c>
      <c r="X3270" t="s">
        <v>3837</v>
      </c>
    </row>
    <row r="3271" spans="1:24" x14ac:dyDescent="0.25">
      <c r="A3271">
        <v>3267</v>
      </c>
      <c r="B3271" t="s">
        <v>29</v>
      </c>
      <c r="C3271" t="s">
        <v>27</v>
      </c>
      <c r="D3271">
        <v>16</v>
      </c>
      <c r="E3271" t="s">
        <v>58</v>
      </c>
      <c r="F3271" t="s">
        <v>44</v>
      </c>
      <c r="G3271">
        <v>3832</v>
      </c>
      <c r="H3271" t="s">
        <v>48</v>
      </c>
      <c r="I3271" t="s">
        <v>1119</v>
      </c>
      <c r="J3271">
        <v>8</v>
      </c>
      <c r="K3271">
        <v>23</v>
      </c>
      <c r="L3271">
        <v>2.9594907407407407E-2</v>
      </c>
      <c r="M3271" t="s">
        <v>3079</v>
      </c>
      <c r="X3271" t="s">
        <v>3838</v>
      </c>
    </row>
    <row r="3272" spans="1:24" x14ac:dyDescent="0.25">
      <c r="A3272">
        <v>3268</v>
      </c>
      <c r="B3272" t="s">
        <v>29</v>
      </c>
      <c r="C3272" t="s">
        <v>27</v>
      </c>
      <c r="D3272">
        <v>16</v>
      </c>
      <c r="E3272" t="s">
        <v>58</v>
      </c>
      <c r="F3272" t="s">
        <v>44</v>
      </c>
      <c r="G3272">
        <v>3833</v>
      </c>
      <c r="H3272" t="s">
        <v>48</v>
      </c>
      <c r="I3272" t="s">
        <v>1119</v>
      </c>
      <c r="J3272">
        <v>8</v>
      </c>
      <c r="K3272">
        <v>23</v>
      </c>
      <c r="L3272">
        <v>2.9652777777777778E-2</v>
      </c>
      <c r="M3272" t="s">
        <v>3079</v>
      </c>
      <c r="X3272" t="s">
        <v>3839</v>
      </c>
    </row>
    <row r="3273" spans="1:24" x14ac:dyDescent="0.25">
      <c r="A3273">
        <v>3269</v>
      </c>
      <c r="B3273" t="s">
        <v>29</v>
      </c>
      <c r="C3273" t="s">
        <v>27</v>
      </c>
      <c r="D3273">
        <v>16</v>
      </c>
      <c r="E3273" t="s">
        <v>2947</v>
      </c>
      <c r="F3273" t="s">
        <v>44</v>
      </c>
      <c r="G3273">
        <v>3834</v>
      </c>
      <c r="H3273" t="s">
        <v>48</v>
      </c>
      <c r="I3273" t="s">
        <v>1119</v>
      </c>
      <c r="J3273">
        <v>8</v>
      </c>
      <c r="K3273">
        <v>23</v>
      </c>
      <c r="L3273">
        <v>2.9594907407407407E-2</v>
      </c>
      <c r="M3273" t="s">
        <v>3079</v>
      </c>
      <c r="X3273" t="s">
        <v>3840</v>
      </c>
    </row>
    <row r="3274" spans="1:24" x14ac:dyDescent="0.25">
      <c r="A3274">
        <v>3270</v>
      </c>
      <c r="B3274" t="s">
        <v>29</v>
      </c>
      <c r="C3274" t="s">
        <v>27</v>
      </c>
      <c r="D3274">
        <v>16</v>
      </c>
      <c r="E3274" t="s">
        <v>2949</v>
      </c>
      <c r="F3274" t="s">
        <v>44</v>
      </c>
      <c r="G3274">
        <v>3835</v>
      </c>
      <c r="H3274" t="s">
        <v>48</v>
      </c>
      <c r="I3274" t="s">
        <v>1119</v>
      </c>
      <c r="J3274">
        <v>8</v>
      </c>
      <c r="K3274">
        <v>23</v>
      </c>
      <c r="L3274">
        <v>2.9652777777777778E-2</v>
      </c>
      <c r="M3274" t="s">
        <v>3079</v>
      </c>
      <c r="X3274" t="s">
        <v>3841</v>
      </c>
    </row>
    <row r="3275" spans="1:24" x14ac:dyDescent="0.25">
      <c r="A3275">
        <v>3271</v>
      </c>
      <c r="B3275" t="s">
        <v>29</v>
      </c>
      <c r="C3275" t="s">
        <v>27</v>
      </c>
      <c r="D3275">
        <v>16</v>
      </c>
      <c r="E3275" t="s">
        <v>1672</v>
      </c>
      <c r="F3275" t="s">
        <v>512</v>
      </c>
      <c r="G3275">
        <v>4368</v>
      </c>
      <c r="H3275" t="s">
        <v>2297</v>
      </c>
      <c r="I3275" t="s">
        <v>2226</v>
      </c>
      <c r="J3275">
        <v>8</v>
      </c>
      <c r="K3275">
        <v>3</v>
      </c>
      <c r="L3275">
        <v>5.4166666666666669E-3</v>
      </c>
      <c r="M3275" t="s">
        <v>778</v>
      </c>
      <c r="N3275" t="s">
        <v>1253</v>
      </c>
      <c r="O3275" s="24">
        <v>46135</v>
      </c>
      <c r="P3275">
        <v>605</v>
      </c>
      <c r="Q3275" t="s">
        <v>34</v>
      </c>
      <c r="X3275" t="s">
        <v>3842</v>
      </c>
    </row>
    <row r="3276" spans="1:24" x14ac:dyDescent="0.25">
      <c r="A3276">
        <v>3272</v>
      </c>
      <c r="B3276" t="s">
        <v>29</v>
      </c>
      <c r="C3276" t="s">
        <v>27</v>
      </c>
      <c r="D3276">
        <v>16</v>
      </c>
      <c r="E3276" t="s">
        <v>367</v>
      </c>
      <c r="F3276" t="s">
        <v>367</v>
      </c>
      <c r="G3276">
        <v>4368</v>
      </c>
      <c r="H3276" t="s">
        <v>2328</v>
      </c>
      <c r="I3276" t="s">
        <v>2329</v>
      </c>
      <c r="J3276">
        <v>8</v>
      </c>
      <c r="K3276">
        <v>1</v>
      </c>
      <c r="L3276">
        <v>6.8287037037037036E-4</v>
      </c>
      <c r="M3276" t="s">
        <v>778</v>
      </c>
      <c r="N3276" t="s">
        <v>1253</v>
      </c>
      <c r="O3276" s="24">
        <v>46135</v>
      </c>
      <c r="P3276">
        <v>605</v>
      </c>
      <c r="Q3276" t="s">
        <v>34</v>
      </c>
      <c r="X3276" t="s">
        <v>3842</v>
      </c>
    </row>
    <row r="3277" spans="1:24" x14ac:dyDescent="0.25">
      <c r="A3277">
        <v>3273</v>
      </c>
      <c r="B3277" t="s">
        <v>29</v>
      </c>
      <c r="C3277" t="s">
        <v>27</v>
      </c>
      <c r="D3277">
        <v>16</v>
      </c>
      <c r="E3277" t="s">
        <v>367</v>
      </c>
      <c r="F3277" t="s">
        <v>1599</v>
      </c>
      <c r="G3277">
        <v>4368</v>
      </c>
      <c r="H3277" t="s">
        <v>1633</v>
      </c>
      <c r="I3277" t="s">
        <v>1634</v>
      </c>
      <c r="J3277">
        <v>8</v>
      </c>
      <c r="K3277">
        <v>1</v>
      </c>
      <c r="L3277">
        <v>7.1759259259259259E-4</v>
      </c>
      <c r="M3277" t="s">
        <v>778</v>
      </c>
      <c r="N3277" t="s">
        <v>1253</v>
      </c>
      <c r="O3277" s="24">
        <v>46135</v>
      </c>
      <c r="P3277">
        <v>605</v>
      </c>
      <c r="Q3277" t="s">
        <v>34</v>
      </c>
      <c r="X3277" t="s">
        <v>3842</v>
      </c>
    </row>
    <row r="3278" spans="1:24" x14ac:dyDescent="0.25">
      <c r="A3278">
        <v>3274</v>
      </c>
      <c r="B3278" t="s">
        <v>29</v>
      </c>
      <c r="C3278" t="s">
        <v>27</v>
      </c>
      <c r="D3278">
        <v>16</v>
      </c>
      <c r="E3278" t="s">
        <v>1141</v>
      </c>
      <c r="F3278" t="s">
        <v>1598</v>
      </c>
      <c r="G3278">
        <v>4368</v>
      </c>
      <c r="H3278" t="s">
        <v>2340</v>
      </c>
      <c r="I3278" t="s">
        <v>2913</v>
      </c>
      <c r="J3278">
        <v>8</v>
      </c>
      <c r="K3278">
        <v>1</v>
      </c>
      <c r="L3278">
        <v>2.0601851851851853E-3</v>
      </c>
      <c r="M3278" t="s">
        <v>778</v>
      </c>
      <c r="N3278" t="s">
        <v>1253</v>
      </c>
      <c r="O3278" s="24">
        <v>46135</v>
      </c>
      <c r="P3278">
        <v>605</v>
      </c>
      <c r="Q3278" t="s">
        <v>34</v>
      </c>
      <c r="X3278" t="s">
        <v>3842</v>
      </c>
    </row>
    <row r="3279" spans="1:24" x14ac:dyDescent="0.25">
      <c r="A3279">
        <v>3275</v>
      </c>
      <c r="B3279" t="s">
        <v>29</v>
      </c>
      <c r="C3279" t="s">
        <v>27</v>
      </c>
      <c r="D3279">
        <v>16</v>
      </c>
      <c r="E3279" t="s">
        <v>2778</v>
      </c>
      <c r="F3279" t="s">
        <v>1599</v>
      </c>
      <c r="G3279">
        <v>4368</v>
      </c>
      <c r="H3279" t="s">
        <v>2342</v>
      </c>
      <c r="I3279" t="s">
        <v>2913</v>
      </c>
      <c r="J3279">
        <v>8</v>
      </c>
      <c r="K3279">
        <v>2</v>
      </c>
      <c r="L3279">
        <v>4.1319444444444442E-3</v>
      </c>
      <c r="M3279" t="s">
        <v>778</v>
      </c>
      <c r="N3279" t="s">
        <v>1253</v>
      </c>
      <c r="O3279" s="24">
        <v>46135</v>
      </c>
      <c r="P3279">
        <v>605</v>
      </c>
      <c r="Q3279" t="s">
        <v>34</v>
      </c>
      <c r="X3279" t="s">
        <v>3842</v>
      </c>
    </row>
    <row r="3280" spans="1:24" x14ac:dyDescent="0.25">
      <c r="A3280">
        <v>3276</v>
      </c>
      <c r="B3280" t="s">
        <v>29</v>
      </c>
      <c r="C3280" t="s">
        <v>27</v>
      </c>
      <c r="D3280">
        <v>16</v>
      </c>
      <c r="E3280" t="s">
        <v>2837</v>
      </c>
      <c r="F3280" t="s">
        <v>44</v>
      </c>
      <c r="G3280">
        <v>4368</v>
      </c>
      <c r="H3280" t="s">
        <v>48</v>
      </c>
      <c r="I3280" t="s">
        <v>1119</v>
      </c>
      <c r="J3280">
        <v>8</v>
      </c>
      <c r="K3280">
        <v>8</v>
      </c>
      <c r="L3280">
        <v>1.0891203703703703E-2</v>
      </c>
      <c r="M3280" t="s">
        <v>778</v>
      </c>
      <c r="N3280" t="s">
        <v>1253</v>
      </c>
      <c r="O3280" s="24">
        <v>46135</v>
      </c>
      <c r="P3280">
        <v>605</v>
      </c>
      <c r="Q3280" t="s">
        <v>34</v>
      </c>
      <c r="X3280" t="s">
        <v>3842</v>
      </c>
    </row>
    <row r="3281" spans="1:24" x14ac:dyDescent="0.25">
      <c r="A3281">
        <v>3277</v>
      </c>
      <c r="B3281" t="s">
        <v>29</v>
      </c>
      <c r="C3281" t="s">
        <v>27</v>
      </c>
      <c r="D3281">
        <v>16</v>
      </c>
      <c r="E3281" t="s">
        <v>129</v>
      </c>
      <c r="F3281" t="s">
        <v>115</v>
      </c>
      <c r="G3281">
        <v>3966</v>
      </c>
      <c r="H3281" t="s">
        <v>1193</v>
      </c>
      <c r="I3281" t="s">
        <v>1191</v>
      </c>
      <c r="J3281">
        <v>8</v>
      </c>
      <c r="K3281">
        <v>1</v>
      </c>
      <c r="L3281">
        <v>7.8819444444444449E-3</v>
      </c>
      <c r="M3281" t="s">
        <v>3079</v>
      </c>
      <c r="X3281" t="s">
        <v>3843</v>
      </c>
    </row>
    <row r="3282" spans="1:24" x14ac:dyDescent="0.25">
      <c r="A3282">
        <v>3278</v>
      </c>
      <c r="B3282" t="s">
        <v>29</v>
      </c>
      <c r="C3282" t="s">
        <v>27</v>
      </c>
      <c r="D3282">
        <v>16</v>
      </c>
      <c r="E3282" t="s">
        <v>2742</v>
      </c>
      <c r="F3282" t="s">
        <v>512</v>
      </c>
      <c r="G3282">
        <v>4754</v>
      </c>
      <c r="H3282" t="s">
        <v>2953</v>
      </c>
      <c r="I3282" t="s">
        <v>2883</v>
      </c>
      <c r="J3282">
        <v>8</v>
      </c>
      <c r="K3282">
        <v>1</v>
      </c>
      <c r="L3282">
        <v>3.9467592592592592E-3</v>
      </c>
      <c r="M3282" t="s">
        <v>3079</v>
      </c>
      <c r="X3282" t="s">
        <v>3844</v>
      </c>
    </row>
    <row r="3283" spans="1:24" x14ac:dyDescent="0.25">
      <c r="A3283">
        <v>3279</v>
      </c>
      <c r="B3283" t="s">
        <v>29</v>
      </c>
      <c r="C3283" t="s">
        <v>27</v>
      </c>
      <c r="D3283">
        <v>16</v>
      </c>
      <c r="E3283" t="s">
        <v>2955</v>
      </c>
      <c r="F3283" t="s">
        <v>44</v>
      </c>
      <c r="G3283">
        <v>4754</v>
      </c>
      <c r="H3283" t="s">
        <v>48</v>
      </c>
      <c r="I3283" t="s">
        <v>1119</v>
      </c>
      <c r="J3283">
        <v>8</v>
      </c>
      <c r="K3283">
        <v>9</v>
      </c>
      <c r="L3283">
        <v>1.2326388888888888E-2</v>
      </c>
      <c r="M3283" t="s">
        <v>3079</v>
      </c>
      <c r="X3283" t="s">
        <v>3844</v>
      </c>
    </row>
    <row r="3284" spans="1:24" x14ac:dyDescent="0.25">
      <c r="A3284">
        <v>3280</v>
      </c>
      <c r="B3284" t="s">
        <v>29</v>
      </c>
      <c r="C3284" t="s">
        <v>27</v>
      </c>
      <c r="D3284">
        <v>16</v>
      </c>
      <c r="E3284" t="s">
        <v>367</v>
      </c>
      <c r="F3284" t="s">
        <v>368</v>
      </c>
      <c r="G3284">
        <v>4826</v>
      </c>
      <c r="H3284" t="s">
        <v>1721</v>
      </c>
      <c r="I3284" t="s">
        <v>1722</v>
      </c>
      <c r="J3284">
        <v>16</v>
      </c>
      <c r="K3284">
        <v>1</v>
      </c>
      <c r="L3284">
        <v>6.4814814814814813E-4</v>
      </c>
      <c r="M3284" t="s">
        <v>3079</v>
      </c>
      <c r="X3284" t="s">
        <v>3845</v>
      </c>
    </row>
    <row r="3285" spans="1:24" x14ac:dyDescent="0.25">
      <c r="A3285">
        <v>3281</v>
      </c>
      <c r="B3285" t="s">
        <v>29</v>
      </c>
      <c r="C3285" t="s">
        <v>27</v>
      </c>
      <c r="D3285">
        <v>16</v>
      </c>
      <c r="E3285" t="s">
        <v>367</v>
      </c>
      <c r="F3285" t="s">
        <v>367</v>
      </c>
      <c r="G3285">
        <v>4826</v>
      </c>
      <c r="H3285" t="s">
        <v>1772</v>
      </c>
      <c r="I3285" t="s">
        <v>1771</v>
      </c>
      <c r="J3285">
        <v>16</v>
      </c>
      <c r="K3285">
        <v>1</v>
      </c>
      <c r="L3285">
        <v>1.0300925925925926E-3</v>
      </c>
      <c r="M3285" t="s">
        <v>3079</v>
      </c>
      <c r="X3285" t="s">
        <v>3845</v>
      </c>
    </row>
    <row r="3286" spans="1:24" x14ac:dyDescent="0.25">
      <c r="A3286">
        <v>3282</v>
      </c>
      <c r="B3286" t="s">
        <v>29</v>
      </c>
      <c r="C3286" t="s">
        <v>27</v>
      </c>
      <c r="D3286">
        <v>16</v>
      </c>
      <c r="E3286" t="s">
        <v>367</v>
      </c>
      <c r="F3286" t="s">
        <v>367</v>
      </c>
      <c r="G3286">
        <v>4826</v>
      </c>
      <c r="H3286" t="s">
        <v>1770</v>
      </c>
      <c r="I3286" t="s">
        <v>1771</v>
      </c>
      <c r="J3286">
        <v>16</v>
      </c>
      <c r="K3286">
        <v>1</v>
      </c>
      <c r="L3286">
        <v>1.0763888888888889E-3</v>
      </c>
      <c r="M3286" t="s">
        <v>3079</v>
      </c>
      <c r="X3286" t="s">
        <v>3845</v>
      </c>
    </row>
    <row r="3287" spans="1:24" x14ac:dyDescent="0.25">
      <c r="A3287">
        <v>3283</v>
      </c>
      <c r="B3287" t="s">
        <v>29</v>
      </c>
      <c r="C3287" t="s">
        <v>27</v>
      </c>
      <c r="D3287">
        <v>16</v>
      </c>
      <c r="E3287" t="s">
        <v>1585</v>
      </c>
      <c r="F3287" t="s">
        <v>1585</v>
      </c>
      <c r="G3287">
        <v>4826</v>
      </c>
      <c r="H3287" t="s">
        <v>1635</v>
      </c>
      <c r="I3287" t="s">
        <v>1636</v>
      </c>
      <c r="J3287">
        <v>16</v>
      </c>
      <c r="K3287">
        <v>10</v>
      </c>
      <c r="L3287">
        <v>1.0381944444444444E-2</v>
      </c>
      <c r="M3287" t="s">
        <v>3079</v>
      </c>
      <c r="X3287" t="s">
        <v>3845</v>
      </c>
    </row>
    <row r="3288" spans="1:24" x14ac:dyDescent="0.25">
      <c r="A3288">
        <v>3284</v>
      </c>
      <c r="B3288" t="s">
        <v>29</v>
      </c>
      <c r="C3288" t="s">
        <v>27</v>
      </c>
      <c r="D3288">
        <v>16</v>
      </c>
      <c r="E3288" t="s">
        <v>367</v>
      </c>
      <c r="F3288" t="s">
        <v>512</v>
      </c>
      <c r="G3288">
        <v>4826</v>
      </c>
      <c r="H3288" t="s">
        <v>1753</v>
      </c>
      <c r="I3288" t="s">
        <v>1752</v>
      </c>
      <c r="J3288">
        <v>16</v>
      </c>
      <c r="K3288">
        <v>1</v>
      </c>
      <c r="L3288">
        <v>7.9861111111111105E-4</v>
      </c>
      <c r="M3288" t="s">
        <v>3079</v>
      </c>
      <c r="X3288" t="s">
        <v>3845</v>
      </c>
    </row>
    <row r="3289" spans="1:24" x14ac:dyDescent="0.25">
      <c r="A3289">
        <v>3285</v>
      </c>
      <c r="B3289" t="s">
        <v>29</v>
      </c>
      <c r="C3289" t="s">
        <v>27</v>
      </c>
      <c r="D3289">
        <v>16</v>
      </c>
      <c r="E3289" t="s">
        <v>367</v>
      </c>
      <c r="F3289" t="s">
        <v>512</v>
      </c>
      <c r="G3289">
        <v>4826</v>
      </c>
      <c r="H3289" t="s">
        <v>1779</v>
      </c>
      <c r="I3289" t="s">
        <v>1780</v>
      </c>
      <c r="J3289">
        <v>16</v>
      </c>
      <c r="K3289">
        <v>1</v>
      </c>
      <c r="L3289">
        <v>8.4490740740740739E-4</v>
      </c>
      <c r="M3289" t="s">
        <v>3079</v>
      </c>
      <c r="X3289" t="s">
        <v>3845</v>
      </c>
    </row>
    <row r="3290" spans="1:24" x14ac:dyDescent="0.25">
      <c r="A3290">
        <v>3286</v>
      </c>
      <c r="B3290" t="s">
        <v>29</v>
      </c>
      <c r="C3290" t="s">
        <v>27</v>
      </c>
      <c r="D3290">
        <v>16</v>
      </c>
      <c r="E3290" t="s">
        <v>2823</v>
      </c>
      <c r="F3290" t="s">
        <v>2823</v>
      </c>
      <c r="G3290">
        <v>4826</v>
      </c>
      <c r="H3290" t="s">
        <v>2957</v>
      </c>
      <c r="I3290" t="s">
        <v>1771</v>
      </c>
      <c r="J3290">
        <v>16</v>
      </c>
      <c r="K3290">
        <v>4</v>
      </c>
      <c r="L3290">
        <v>4.340277777777778E-3</v>
      </c>
      <c r="M3290" t="s">
        <v>3079</v>
      </c>
      <c r="X3290" t="s">
        <v>3845</v>
      </c>
    </row>
    <row r="3291" spans="1:24" x14ac:dyDescent="0.25">
      <c r="A3291">
        <v>3287</v>
      </c>
      <c r="B3291" t="s">
        <v>29</v>
      </c>
      <c r="C3291" t="s">
        <v>27</v>
      </c>
      <c r="D3291">
        <v>16</v>
      </c>
      <c r="E3291" t="s">
        <v>2823</v>
      </c>
      <c r="F3291" t="s">
        <v>2823</v>
      </c>
      <c r="G3291">
        <v>4826</v>
      </c>
      <c r="H3291" t="s">
        <v>2958</v>
      </c>
      <c r="I3291" t="s">
        <v>1771</v>
      </c>
      <c r="J3291">
        <v>16</v>
      </c>
      <c r="K3291">
        <v>4</v>
      </c>
      <c r="L3291">
        <v>4.1435185185185186E-3</v>
      </c>
      <c r="M3291" t="s">
        <v>3079</v>
      </c>
      <c r="X3291" t="s">
        <v>3845</v>
      </c>
    </row>
    <row r="3292" spans="1:24" x14ac:dyDescent="0.25">
      <c r="A3292">
        <v>3288</v>
      </c>
      <c r="B3292" t="s">
        <v>29</v>
      </c>
      <c r="C3292" t="s">
        <v>27</v>
      </c>
      <c r="D3292">
        <v>16</v>
      </c>
      <c r="E3292" t="s">
        <v>2823</v>
      </c>
      <c r="F3292" t="s">
        <v>2823</v>
      </c>
      <c r="G3292">
        <v>4826</v>
      </c>
      <c r="H3292" t="s">
        <v>2959</v>
      </c>
      <c r="I3292" t="s">
        <v>1722</v>
      </c>
      <c r="J3292">
        <v>16</v>
      </c>
      <c r="K3292">
        <v>4</v>
      </c>
      <c r="L3292">
        <v>2.6157407407407405E-3</v>
      </c>
      <c r="M3292" t="s">
        <v>3079</v>
      </c>
      <c r="X3292" t="s">
        <v>3845</v>
      </c>
    </row>
    <row r="3293" spans="1:24" x14ac:dyDescent="0.25">
      <c r="A3293">
        <v>3289</v>
      </c>
      <c r="B3293" t="s">
        <v>29</v>
      </c>
      <c r="C3293" t="s">
        <v>27</v>
      </c>
      <c r="D3293">
        <v>16</v>
      </c>
      <c r="E3293" t="s">
        <v>2823</v>
      </c>
      <c r="F3293" t="s">
        <v>2823</v>
      </c>
      <c r="G3293">
        <v>4826</v>
      </c>
      <c r="H3293" t="s">
        <v>2960</v>
      </c>
      <c r="I3293" t="s">
        <v>1752</v>
      </c>
      <c r="J3293">
        <v>16</v>
      </c>
      <c r="K3293">
        <v>4</v>
      </c>
      <c r="L3293">
        <v>3.1944444444444442E-3</v>
      </c>
      <c r="M3293" t="s">
        <v>3079</v>
      </c>
      <c r="X3293" t="s">
        <v>3845</v>
      </c>
    </row>
    <row r="3294" spans="1:24" x14ac:dyDescent="0.25">
      <c r="A3294">
        <v>3290</v>
      </c>
      <c r="B3294" t="s">
        <v>29</v>
      </c>
      <c r="C3294" t="s">
        <v>27</v>
      </c>
      <c r="D3294">
        <v>16</v>
      </c>
      <c r="E3294" t="s">
        <v>2823</v>
      </c>
      <c r="F3294" t="s">
        <v>2823</v>
      </c>
      <c r="G3294">
        <v>4826</v>
      </c>
      <c r="H3294" t="s">
        <v>2961</v>
      </c>
      <c r="I3294" t="s">
        <v>1780</v>
      </c>
      <c r="J3294">
        <v>16</v>
      </c>
      <c r="K3294">
        <v>4</v>
      </c>
      <c r="L3294">
        <v>3.3912037037037036E-3</v>
      </c>
      <c r="M3294" t="s">
        <v>3079</v>
      </c>
      <c r="X3294" t="s">
        <v>3845</v>
      </c>
    </row>
    <row r="3295" spans="1:24" x14ac:dyDescent="0.25">
      <c r="A3295">
        <v>3291</v>
      </c>
      <c r="B3295" t="s">
        <v>29</v>
      </c>
      <c r="C3295" t="s">
        <v>27</v>
      </c>
      <c r="D3295">
        <v>16</v>
      </c>
      <c r="E3295" t="s">
        <v>152</v>
      </c>
      <c r="F3295" t="s">
        <v>152</v>
      </c>
      <c r="G3295">
        <v>4830</v>
      </c>
      <c r="H3295" t="s">
        <v>2962</v>
      </c>
      <c r="I3295" t="s">
        <v>2963</v>
      </c>
      <c r="J3295">
        <v>12</v>
      </c>
      <c r="K3295">
        <v>1</v>
      </c>
      <c r="L3295">
        <v>1.3888888888888887E-3</v>
      </c>
      <c r="M3295" t="s">
        <v>3079</v>
      </c>
      <c r="X3295" t="s">
        <v>3846</v>
      </c>
    </row>
    <row r="3296" spans="1:24" x14ac:dyDescent="0.25">
      <c r="A3296">
        <v>3292</v>
      </c>
      <c r="B3296" t="s">
        <v>29</v>
      </c>
      <c r="C3296" t="s">
        <v>27</v>
      </c>
      <c r="D3296">
        <v>16</v>
      </c>
      <c r="E3296" t="s">
        <v>152</v>
      </c>
      <c r="F3296" t="s">
        <v>152</v>
      </c>
      <c r="G3296">
        <v>4830</v>
      </c>
      <c r="H3296" t="s">
        <v>2965</v>
      </c>
      <c r="I3296" t="s">
        <v>2963</v>
      </c>
      <c r="J3296">
        <v>12</v>
      </c>
      <c r="K3296">
        <v>1</v>
      </c>
      <c r="L3296">
        <v>1.3888888888888887E-3</v>
      </c>
      <c r="M3296" t="s">
        <v>3079</v>
      </c>
      <c r="X3296" t="s">
        <v>3846</v>
      </c>
    </row>
    <row r="3297" spans="1:24" x14ac:dyDescent="0.25">
      <c r="A3297">
        <v>3293</v>
      </c>
      <c r="B3297" t="s">
        <v>29</v>
      </c>
      <c r="C3297" t="s">
        <v>27</v>
      </c>
      <c r="D3297">
        <v>16</v>
      </c>
      <c r="E3297" t="s">
        <v>152</v>
      </c>
      <c r="F3297" t="s">
        <v>152</v>
      </c>
      <c r="G3297">
        <v>4830</v>
      </c>
      <c r="H3297" t="s">
        <v>2966</v>
      </c>
      <c r="I3297" t="s">
        <v>2963</v>
      </c>
      <c r="J3297">
        <v>12</v>
      </c>
      <c r="K3297">
        <v>1</v>
      </c>
      <c r="L3297">
        <v>1.3888888888888887E-3</v>
      </c>
      <c r="M3297" t="s">
        <v>3079</v>
      </c>
      <c r="X3297" t="s">
        <v>3846</v>
      </c>
    </row>
    <row r="3298" spans="1:24" x14ac:dyDescent="0.25">
      <c r="A3298">
        <v>3294</v>
      </c>
      <c r="B3298" t="s">
        <v>29</v>
      </c>
      <c r="C3298" t="s">
        <v>27</v>
      </c>
      <c r="D3298">
        <v>16</v>
      </c>
      <c r="E3298" t="s">
        <v>152</v>
      </c>
      <c r="F3298" t="s">
        <v>152</v>
      </c>
      <c r="G3298">
        <v>4831</v>
      </c>
      <c r="H3298" t="s">
        <v>2962</v>
      </c>
      <c r="I3298" t="s">
        <v>2963</v>
      </c>
      <c r="J3298">
        <v>12</v>
      </c>
      <c r="K3298">
        <v>1</v>
      </c>
      <c r="L3298">
        <v>1.2152777777777778E-3</v>
      </c>
      <c r="M3298" t="s">
        <v>3079</v>
      </c>
      <c r="X3298" t="s">
        <v>3847</v>
      </c>
    </row>
    <row r="3299" spans="1:24" x14ac:dyDescent="0.25">
      <c r="A3299">
        <v>3295</v>
      </c>
      <c r="B3299" t="s">
        <v>29</v>
      </c>
      <c r="C3299" t="s">
        <v>27</v>
      </c>
      <c r="D3299">
        <v>16</v>
      </c>
      <c r="E3299" t="s">
        <v>152</v>
      </c>
      <c r="F3299" t="s">
        <v>152</v>
      </c>
      <c r="G3299">
        <v>4831</v>
      </c>
      <c r="H3299" t="s">
        <v>2968</v>
      </c>
      <c r="I3299" t="s">
        <v>2969</v>
      </c>
      <c r="J3299">
        <v>12</v>
      </c>
      <c r="K3299">
        <v>3</v>
      </c>
      <c r="L3299">
        <v>1.6319444444444443E-3</v>
      </c>
      <c r="M3299" t="s">
        <v>3079</v>
      </c>
      <c r="X3299" t="s">
        <v>3847</v>
      </c>
    </row>
    <row r="3300" spans="1:24" x14ac:dyDescent="0.25">
      <c r="A3300">
        <v>3296</v>
      </c>
      <c r="B3300" t="s">
        <v>29</v>
      </c>
      <c r="C3300" t="s">
        <v>27</v>
      </c>
      <c r="D3300">
        <v>16</v>
      </c>
      <c r="E3300" t="s">
        <v>152</v>
      </c>
      <c r="F3300" t="s">
        <v>152</v>
      </c>
      <c r="G3300">
        <v>4831</v>
      </c>
      <c r="H3300" t="s">
        <v>2970</v>
      </c>
      <c r="I3300" t="s">
        <v>2971</v>
      </c>
      <c r="J3300">
        <v>12</v>
      </c>
      <c r="K3300">
        <v>1</v>
      </c>
      <c r="L3300">
        <v>1.2268518518518518E-3</v>
      </c>
      <c r="M3300" t="s">
        <v>3079</v>
      </c>
      <c r="X3300" t="s">
        <v>3847</v>
      </c>
    </row>
    <row r="3301" spans="1:24" x14ac:dyDescent="0.25">
      <c r="A3301">
        <v>3297</v>
      </c>
      <c r="B3301" t="s">
        <v>29</v>
      </c>
      <c r="C3301" t="s">
        <v>27</v>
      </c>
      <c r="D3301">
        <v>16</v>
      </c>
      <c r="E3301" t="s">
        <v>2823</v>
      </c>
      <c r="F3301" t="s">
        <v>2823</v>
      </c>
      <c r="G3301">
        <v>4831</v>
      </c>
      <c r="H3301" t="s">
        <v>2972</v>
      </c>
      <c r="I3301" t="s">
        <v>1809</v>
      </c>
      <c r="J3301">
        <v>12</v>
      </c>
      <c r="K3301">
        <v>1</v>
      </c>
      <c r="L3301">
        <v>7.407407407407407E-4</v>
      </c>
      <c r="M3301" t="s">
        <v>3079</v>
      </c>
      <c r="X3301" t="s">
        <v>3847</v>
      </c>
    </row>
    <row r="3302" spans="1:24" x14ac:dyDescent="0.25">
      <c r="A3302">
        <v>3298</v>
      </c>
      <c r="B3302" t="s">
        <v>29</v>
      </c>
      <c r="C3302" t="s">
        <v>27</v>
      </c>
      <c r="D3302">
        <v>16</v>
      </c>
      <c r="E3302" t="s">
        <v>152</v>
      </c>
      <c r="F3302" t="s">
        <v>152</v>
      </c>
      <c r="G3302">
        <v>4832</v>
      </c>
      <c r="H3302" t="s">
        <v>2962</v>
      </c>
      <c r="I3302" t="s">
        <v>2963</v>
      </c>
      <c r="J3302">
        <v>12</v>
      </c>
      <c r="K3302">
        <v>1</v>
      </c>
      <c r="L3302">
        <v>1.3310185185185185E-3</v>
      </c>
      <c r="M3302" t="s">
        <v>3079</v>
      </c>
      <c r="X3302" t="s">
        <v>3848</v>
      </c>
    </row>
    <row r="3303" spans="1:24" x14ac:dyDescent="0.25">
      <c r="A3303">
        <v>3299</v>
      </c>
      <c r="B3303" t="s">
        <v>29</v>
      </c>
      <c r="C3303" t="s">
        <v>27</v>
      </c>
      <c r="D3303">
        <v>16</v>
      </c>
      <c r="E3303" t="s">
        <v>152</v>
      </c>
      <c r="F3303" t="s">
        <v>152</v>
      </c>
      <c r="G3303">
        <v>4832</v>
      </c>
      <c r="H3303" t="s">
        <v>2965</v>
      </c>
      <c r="I3303" t="s">
        <v>2963</v>
      </c>
      <c r="J3303">
        <v>12</v>
      </c>
      <c r="K3303">
        <v>1</v>
      </c>
      <c r="L3303">
        <v>1.3310185185185185E-3</v>
      </c>
      <c r="M3303" t="s">
        <v>3079</v>
      </c>
      <c r="X3303" t="s">
        <v>3848</v>
      </c>
    </row>
    <row r="3304" spans="1:24" x14ac:dyDescent="0.25">
      <c r="A3304">
        <v>3300</v>
      </c>
      <c r="B3304" t="s">
        <v>29</v>
      </c>
      <c r="C3304" t="s">
        <v>27</v>
      </c>
      <c r="D3304">
        <v>16</v>
      </c>
      <c r="E3304" t="s">
        <v>152</v>
      </c>
      <c r="F3304" t="s">
        <v>152</v>
      </c>
      <c r="G3304">
        <v>4832</v>
      </c>
      <c r="H3304" t="s">
        <v>2974</v>
      </c>
      <c r="I3304" t="s">
        <v>2975</v>
      </c>
      <c r="J3304">
        <v>12</v>
      </c>
      <c r="K3304">
        <v>2</v>
      </c>
      <c r="L3304">
        <v>1.7939814814814815E-3</v>
      </c>
      <c r="M3304" t="s">
        <v>3079</v>
      </c>
      <c r="X3304" t="s">
        <v>3848</v>
      </c>
    </row>
    <row r="3305" spans="1:24" x14ac:dyDescent="0.25">
      <c r="A3305">
        <v>3301</v>
      </c>
      <c r="B3305" t="s">
        <v>29</v>
      </c>
      <c r="C3305" t="s">
        <v>27</v>
      </c>
      <c r="D3305">
        <v>16</v>
      </c>
      <c r="E3305" t="s">
        <v>147</v>
      </c>
      <c r="F3305" t="s">
        <v>115</v>
      </c>
      <c r="G3305">
        <v>4833</v>
      </c>
      <c r="H3305" t="s">
        <v>1840</v>
      </c>
      <c r="I3305" t="s">
        <v>1809</v>
      </c>
      <c r="J3305">
        <v>12</v>
      </c>
      <c r="K3305">
        <v>1</v>
      </c>
      <c r="L3305">
        <v>8.1018518518518516E-4</v>
      </c>
      <c r="M3305" t="s">
        <v>3079</v>
      </c>
      <c r="X3305" t="s">
        <v>3849</v>
      </c>
    </row>
    <row r="3306" spans="1:24" x14ac:dyDescent="0.25">
      <c r="A3306">
        <v>3302</v>
      </c>
      <c r="B3306" t="s">
        <v>29</v>
      </c>
      <c r="C3306" t="s">
        <v>27</v>
      </c>
      <c r="D3306">
        <v>16</v>
      </c>
      <c r="E3306" t="s">
        <v>2823</v>
      </c>
      <c r="F3306" t="s">
        <v>2823</v>
      </c>
      <c r="G3306">
        <v>4833</v>
      </c>
      <c r="H3306" t="s">
        <v>2972</v>
      </c>
      <c r="I3306" t="s">
        <v>1809</v>
      </c>
      <c r="J3306">
        <v>12</v>
      </c>
      <c r="K3306">
        <v>6</v>
      </c>
      <c r="L3306">
        <v>4.9189814814814816E-3</v>
      </c>
      <c r="M3306" t="s">
        <v>3079</v>
      </c>
      <c r="X3306" t="s">
        <v>3849</v>
      </c>
    </row>
    <row r="3307" spans="1:24" x14ac:dyDescent="0.25">
      <c r="A3307">
        <v>3303</v>
      </c>
      <c r="B3307" t="s">
        <v>29</v>
      </c>
      <c r="C3307" t="s">
        <v>27</v>
      </c>
      <c r="D3307">
        <v>16</v>
      </c>
      <c r="E3307" t="s">
        <v>152</v>
      </c>
      <c r="F3307" t="s">
        <v>152</v>
      </c>
      <c r="G3307">
        <v>4842</v>
      </c>
      <c r="H3307" t="s">
        <v>643</v>
      </c>
      <c r="I3307" t="s">
        <v>644</v>
      </c>
      <c r="J3307">
        <v>12</v>
      </c>
      <c r="K3307">
        <v>1</v>
      </c>
      <c r="L3307">
        <v>5.3819444444444444E-3</v>
      </c>
      <c r="M3307" t="s">
        <v>778</v>
      </c>
      <c r="N3307" t="s">
        <v>1472</v>
      </c>
      <c r="O3307" s="24">
        <v>46139</v>
      </c>
      <c r="P3307">
        <v>606</v>
      </c>
      <c r="Q3307" t="s">
        <v>34</v>
      </c>
      <c r="X3307" t="s">
        <v>3850</v>
      </c>
    </row>
    <row r="3308" spans="1:24" x14ac:dyDescent="0.25">
      <c r="A3308">
        <v>3304</v>
      </c>
      <c r="B3308" t="s">
        <v>29</v>
      </c>
      <c r="C3308" t="s">
        <v>27</v>
      </c>
      <c r="D3308">
        <v>16</v>
      </c>
      <c r="E3308" t="s">
        <v>152</v>
      </c>
      <c r="F3308" t="s">
        <v>152</v>
      </c>
      <c r="G3308">
        <v>4844</v>
      </c>
      <c r="H3308" t="s">
        <v>643</v>
      </c>
      <c r="I3308" t="s">
        <v>644</v>
      </c>
      <c r="J3308">
        <v>12</v>
      </c>
      <c r="K3308">
        <v>1</v>
      </c>
      <c r="L3308">
        <v>5.3819444444444444E-3</v>
      </c>
      <c r="M3308" t="s">
        <v>778</v>
      </c>
      <c r="N3308" t="s">
        <v>1472</v>
      </c>
      <c r="O3308" s="24">
        <v>46139</v>
      </c>
      <c r="P3308">
        <v>606</v>
      </c>
      <c r="Q3308" t="s">
        <v>34</v>
      </c>
      <c r="X3308" t="s">
        <v>3851</v>
      </c>
    </row>
    <row r="3309" spans="1:24" x14ac:dyDescent="0.25">
      <c r="A3309">
        <v>3305</v>
      </c>
      <c r="B3309" t="s">
        <v>29</v>
      </c>
      <c r="C3309" t="s">
        <v>27</v>
      </c>
      <c r="D3309">
        <v>16</v>
      </c>
      <c r="E3309" t="s">
        <v>152</v>
      </c>
      <c r="F3309" t="s">
        <v>152</v>
      </c>
      <c r="G3309">
        <v>4843</v>
      </c>
      <c r="H3309" t="s">
        <v>643</v>
      </c>
      <c r="I3309" t="s">
        <v>644</v>
      </c>
      <c r="J3309">
        <v>12</v>
      </c>
      <c r="K3309">
        <v>1</v>
      </c>
      <c r="L3309">
        <v>5.393518518518518E-3</v>
      </c>
      <c r="M3309" t="s">
        <v>778</v>
      </c>
      <c r="N3309" t="s">
        <v>1472</v>
      </c>
      <c r="O3309" s="24">
        <v>46139</v>
      </c>
      <c r="P3309">
        <v>606</v>
      </c>
      <c r="Q3309" t="s">
        <v>34</v>
      </c>
      <c r="X3309" t="s">
        <v>3852</v>
      </c>
    </row>
    <row r="3310" spans="1:24" x14ac:dyDescent="0.25">
      <c r="A3310">
        <v>3306</v>
      </c>
      <c r="B3310" t="s">
        <v>29</v>
      </c>
      <c r="C3310" t="s">
        <v>27</v>
      </c>
      <c r="D3310">
        <v>16</v>
      </c>
      <c r="E3310" t="s">
        <v>152</v>
      </c>
      <c r="F3310" t="s">
        <v>152</v>
      </c>
      <c r="G3310">
        <v>4845</v>
      </c>
      <c r="H3310" t="s">
        <v>643</v>
      </c>
      <c r="I3310" t="s">
        <v>644</v>
      </c>
      <c r="J3310">
        <v>12</v>
      </c>
      <c r="K3310">
        <v>1</v>
      </c>
      <c r="L3310">
        <v>5.3819444444444444E-3</v>
      </c>
      <c r="M3310" t="s">
        <v>778</v>
      </c>
      <c r="N3310" t="s">
        <v>1472</v>
      </c>
      <c r="O3310" s="24">
        <v>46139</v>
      </c>
      <c r="P3310">
        <v>606</v>
      </c>
      <c r="Q3310" t="s">
        <v>34</v>
      </c>
      <c r="X3310" t="s">
        <v>3853</v>
      </c>
    </row>
    <row r="3311" spans="1:24" x14ac:dyDescent="0.25">
      <c r="A3311">
        <v>3307</v>
      </c>
      <c r="B3311" t="s">
        <v>29</v>
      </c>
      <c r="C3311" t="s">
        <v>27</v>
      </c>
      <c r="D3311">
        <v>16</v>
      </c>
      <c r="E3311" t="s">
        <v>152</v>
      </c>
      <c r="F3311" t="s">
        <v>152</v>
      </c>
      <c r="G3311">
        <v>4846</v>
      </c>
      <c r="H3311" t="s">
        <v>643</v>
      </c>
      <c r="I3311" t="s">
        <v>644</v>
      </c>
      <c r="J3311">
        <v>12</v>
      </c>
      <c r="K3311">
        <v>1</v>
      </c>
      <c r="L3311">
        <v>5.3819444444444444E-3</v>
      </c>
      <c r="M3311" t="s">
        <v>778</v>
      </c>
      <c r="N3311" t="s">
        <v>1472</v>
      </c>
      <c r="O3311" s="24">
        <v>46139</v>
      </c>
      <c r="P3311">
        <v>606</v>
      </c>
      <c r="Q3311" t="s">
        <v>34</v>
      </c>
      <c r="X3311" t="s">
        <v>3854</v>
      </c>
    </row>
    <row r="3312" spans="1:24" x14ac:dyDescent="0.25">
      <c r="A3312">
        <v>3308</v>
      </c>
      <c r="B3312" t="s">
        <v>29</v>
      </c>
      <c r="C3312" t="s">
        <v>27</v>
      </c>
      <c r="D3312">
        <v>16</v>
      </c>
      <c r="E3312" t="s">
        <v>152</v>
      </c>
      <c r="F3312" t="s">
        <v>152</v>
      </c>
      <c r="G3312">
        <v>4847</v>
      </c>
      <c r="H3312" t="s">
        <v>634</v>
      </c>
      <c r="I3312" t="s">
        <v>630</v>
      </c>
      <c r="J3312">
        <v>12</v>
      </c>
      <c r="K3312">
        <v>1</v>
      </c>
      <c r="L3312">
        <v>5.4282407407407404E-3</v>
      </c>
      <c r="M3312" t="s">
        <v>778</v>
      </c>
      <c r="N3312" t="s">
        <v>1472</v>
      </c>
      <c r="O3312" s="24">
        <v>46139</v>
      </c>
      <c r="P3312">
        <v>606</v>
      </c>
      <c r="Q3312" t="s">
        <v>34</v>
      </c>
      <c r="X3312" t="s">
        <v>3855</v>
      </c>
    </row>
    <row r="3313" spans="1:24" x14ac:dyDescent="0.25">
      <c r="A3313">
        <v>3309</v>
      </c>
      <c r="B3313" t="s">
        <v>29</v>
      </c>
      <c r="C3313" t="s">
        <v>27</v>
      </c>
      <c r="D3313">
        <v>16</v>
      </c>
      <c r="E3313" t="s">
        <v>152</v>
      </c>
      <c r="F3313" t="s">
        <v>152</v>
      </c>
      <c r="G3313">
        <v>4848</v>
      </c>
      <c r="H3313" t="s">
        <v>634</v>
      </c>
      <c r="I3313" t="s">
        <v>630</v>
      </c>
      <c r="J3313">
        <v>12</v>
      </c>
      <c r="K3313">
        <v>1</v>
      </c>
      <c r="L3313">
        <v>5.4282407407407404E-3</v>
      </c>
      <c r="M3313" t="s">
        <v>778</v>
      </c>
      <c r="N3313" t="s">
        <v>1472</v>
      </c>
      <c r="O3313" s="24">
        <v>46139</v>
      </c>
      <c r="P3313">
        <v>606</v>
      </c>
      <c r="Q3313" t="s">
        <v>34</v>
      </c>
      <c r="X3313" t="s">
        <v>3856</v>
      </c>
    </row>
    <row r="3314" spans="1:24" x14ac:dyDescent="0.25">
      <c r="A3314">
        <v>3310</v>
      </c>
      <c r="B3314" t="s">
        <v>29</v>
      </c>
      <c r="C3314" t="s">
        <v>27</v>
      </c>
      <c r="D3314">
        <v>16</v>
      </c>
      <c r="E3314" t="s">
        <v>152</v>
      </c>
      <c r="F3314" t="s">
        <v>152</v>
      </c>
      <c r="G3314">
        <v>4849</v>
      </c>
      <c r="H3314" t="s">
        <v>634</v>
      </c>
      <c r="I3314" t="s">
        <v>630</v>
      </c>
      <c r="J3314">
        <v>12</v>
      </c>
      <c r="K3314">
        <v>1</v>
      </c>
      <c r="L3314">
        <v>5.4282407407407404E-3</v>
      </c>
      <c r="M3314" t="s">
        <v>778</v>
      </c>
      <c r="N3314" t="s">
        <v>1472</v>
      </c>
      <c r="O3314" s="24">
        <v>46139</v>
      </c>
      <c r="P3314">
        <v>606</v>
      </c>
      <c r="Q3314" t="s">
        <v>34</v>
      </c>
      <c r="X3314" t="s">
        <v>3857</v>
      </c>
    </row>
    <row r="3315" spans="1:24" x14ac:dyDescent="0.25">
      <c r="A3315">
        <v>3311</v>
      </c>
      <c r="B3315" t="s">
        <v>29</v>
      </c>
      <c r="C3315" t="s">
        <v>27</v>
      </c>
      <c r="D3315">
        <v>16</v>
      </c>
      <c r="E3315" t="s">
        <v>152</v>
      </c>
      <c r="F3315" t="s">
        <v>152</v>
      </c>
      <c r="G3315">
        <v>4850</v>
      </c>
      <c r="H3315" t="s">
        <v>634</v>
      </c>
      <c r="I3315" t="s">
        <v>630</v>
      </c>
      <c r="J3315">
        <v>12</v>
      </c>
      <c r="K3315">
        <v>1</v>
      </c>
      <c r="L3315">
        <v>5.4282407407407404E-3</v>
      </c>
      <c r="M3315" t="s">
        <v>778</v>
      </c>
      <c r="N3315" t="s">
        <v>1472</v>
      </c>
      <c r="O3315" s="24">
        <v>46139</v>
      </c>
      <c r="P3315">
        <v>606</v>
      </c>
      <c r="Q3315" t="s">
        <v>34</v>
      </c>
      <c r="X3315" t="s">
        <v>3858</v>
      </c>
    </row>
    <row r="3316" spans="1:24" x14ac:dyDescent="0.25">
      <c r="A3316">
        <v>3312</v>
      </c>
      <c r="B3316" t="s">
        <v>29</v>
      </c>
      <c r="C3316" t="s">
        <v>27</v>
      </c>
      <c r="D3316">
        <v>16</v>
      </c>
      <c r="E3316" t="s">
        <v>152</v>
      </c>
      <c r="F3316" t="s">
        <v>152</v>
      </c>
      <c r="G3316">
        <v>4851</v>
      </c>
      <c r="H3316" t="s">
        <v>634</v>
      </c>
      <c r="I3316" t="s">
        <v>630</v>
      </c>
      <c r="J3316">
        <v>12</v>
      </c>
      <c r="K3316">
        <v>1</v>
      </c>
      <c r="L3316">
        <v>5.4398148148148149E-3</v>
      </c>
      <c r="M3316" t="s">
        <v>778</v>
      </c>
      <c r="N3316" t="s">
        <v>1472</v>
      </c>
      <c r="O3316" s="24">
        <v>46139</v>
      </c>
      <c r="P3316">
        <v>606</v>
      </c>
      <c r="Q3316" t="s">
        <v>34</v>
      </c>
      <c r="X3316" t="s">
        <v>3859</v>
      </c>
    </row>
    <row r="3317" spans="1:24" x14ac:dyDescent="0.25">
      <c r="A3317">
        <v>3313</v>
      </c>
      <c r="B3317" t="s">
        <v>29</v>
      </c>
      <c r="C3317" t="s">
        <v>27</v>
      </c>
      <c r="D3317">
        <v>16</v>
      </c>
      <c r="E3317" t="s">
        <v>152</v>
      </c>
      <c r="F3317" t="s">
        <v>152</v>
      </c>
      <c r="G3317">
        <v>4852</v>
      </c>
      <c r="H3317" t="s">
        <v>629</v>
      </c>
      <c r="I3317" t="s">
        <v>630</v>
      </c>
      <c r="J3317">
        <v>12</v>
      </c>
      <c r="K3317">
        <v>1</v>
      </c>
      <c r="L3317">
        <v>5.4166666666666669E-3</v>
      </c>
      <c r="M3317" t="s">
        <v>778</v>
      </c>
      <c r="N3317" t="s">
        <v>1472</v>
      </c>
      <c r="O3317" s="24">
        <v>46139</v>
      </c>
      <c r="P3317">
        <v>606</v>
      </c>
      <c r="Q3317" t="s">
        <v>34</v>
      </c>
      <c r="X3317" t="s">
        <v>3860</v>
      </c>
    </row>
    <row r="3318" spans="1:24" x14ac:dyDescent="0.25">
      <c r="A3318">
        <v>3314</v>
      </c>
      <c r="B3318" t="s">
        <v>29</v>
      </c>
      <c r="C3318" t="s">
        <v>27</v>
      </c>
      <c r="D3318">
        <v>16</v>
      </c>
      <c r="E3318" t="s">
        <v>152</v>
      </c>
      <c r="F3318" t="s">
        <v>152</v>
      </c>
      <c r="G3318">
        <v>4854</v>
      </c>
      <c r="H3318" t="s">
        <v>629</v>
      </c>
      <c r="I3318" t="s">
        <v>630</v>
      </c>
      <c r="J3318">
        <v>12</v>
      </c>
      <c r="K3318">
        <v>1</v>
      </c>
      <c r="L3318">
        <v>5.4166666666666669E-3</v>
      </c>
      <c r="M3318" t="s">
        <v>778</v>
      </c>
      <c r="N3318" t="s">
        <v>1472</v>
      </c>
      <c r="O3318" s="24">
        <v>46139</v>
      </c>
      <c r="P3318">
        <v>606</v>
      </c>
      <c r="Q3318" t="s">
        <v>34</v>
      </c>
      <c r="X3318" t="s">
        <v>3861</v>
      </c>
    </row>
    <row r="3319" spans="1:24" x14ac:dyDescent="0.25">
      <c r="A3319">
        <v>3315</v>
      </c>
      <c r="B3319" t="s">
        <v>29</v>
      </c>
      <c r="C3319" t="s">
        <v>27</v>
      </c>
      <c r="D3319">
        <v>16</v>
      </c>
      <c r="E3319" t="s">
        <v>152</v>
      </c>
      <c r="F3319" t="s">
        <v>152</v>
      </c>
      <c r="G3319">
        <v>4855</v>
      </c>
      <c r="H3319" t="s">
        <v>629</v>
      </c>
      <c r="I3319" t="s">
        <v>630</v>
      </c>
      <c r="J3319">
        <v>12</v>
      </c>
      <c r="K3319">
        <v>1</v>
      </c>
      <c r="L3319">
        <v>5.4166666666666669E-3</v>
      </c>
      <c r="M3319" t="s">
        <v>778</v>
      </c>
      <c r="N3319" t="s">
        <v>1472</v>
      </c>
      <c r="O3319" s="24">
        <v>46139</v>
      </c>
      <c r="P3319">
        <v>606</v>
      </c>
      <c r="Q3319" t="s">
        <v>34</v>
      </c>
      <c r="X3319" t="s">
        <v>3862</v>
      </c>
    </row>
    <row r="3320" spans="1:24" x14ac:dyDescent="0.25">
      <c r="A3320">
        <v>3316</v>
      </c>
      <c r="B3320" t="s">
        <v>29</v>
      </c>
      <c r="C3320" t="s">
        <v>27</v>
      </c>
      <c r="D3320">
        <v>16</v>
      </c>
      <c r="E3320" t="s">
        <v>152</v>
      </c>
      <c r="F3320" t="s">
        <v>152</v>
      </c>
      <c r="G3320">
        <v>4856</v>
      </c>
      <c r="H3320" t="s">
        <v>629</v>
      </c>
      <c r="I3320" t="s">
        <v>630</v>
      </c>
      <c r="J3320">
        <v>12</v>
      </c>
      <c r="K3320">
        <v>1</v>
      </c>
      <c r="L3320">
        <v>5.4166666666666669E-3</v>
      </c>
      <c r="M3320" t="s">
        <v>778</v>
      </c>
      <c r="N3320" t="s">
        <v>1472</v>
      </c>
      <c r="O3320" s="24">
        <v>46139</v>
      </c>
      <c r="P3320">
        <v>606</v>
      </c>
      <c r="Q3320" t="s">
        <v>34</v>
      </c>
      <c r="X3320" t="s">
        <v>3863</v>
      </c>
    </row>
    <row r="3321" spans="1:24" x14ac:dyDescent="0.25">
      <c r="A3321">
        <v>3317</v>
      </c>
      <c r="B3321" t="s">
        <v>29</v>
      </c>
      <c r="C3321" t="s">
        <v>27</v>
      </c>
      <c r="D3321">
        <v>16</v>
      </c>
      <c r="E3321" t="s">
        <v>152</v>
      </c>
      <c r="F3321" t="s">
        <v>152</v>
      </c>
      <c r="G3321">
        <v>4857</v>
      </c>
      <c r="H3321" t="s">
        <v>2966</v>
      </c>
      <c r="I3321" t="s">
        <v>2963</v>
      </c>
      <c r="J3321">
        <v>12</v>
      </c>
      <c r="K3321">
        <v>2</v>
      </c>
      <c r="L3321">
        <v>2.7777777777777775E-3</v>
      </c>
      <c r="M3321" t="s">
        <v>3079</v>
      </c>
      <c r="X3321" t="s">
        <v>3864</v>
      </c>
    </row>
    <row r="3322" spans="1:24" x14ac:dyDescent="0.25">
      <c r="A3322">
        <v>3318</v>
      </c>
      <c r="B3322" t="s">
        <v>29</v>
      </c>
      <c r="C3322" t="s">
        <v>27</v>
      </c>
      <c r="D3322">
        <v>16</v>
      </c>
      <c r="E3322" t="s">
        <v>152</v>
      </c>
      <c r="F3322" t="s">
        <v>152</v>
      </c>
      <c r="G3322">
        <v>4857</v>
      </c>
      <c r="H3322" t="s">
        <v>2992</v>
      </c>
      <c r="I3322" t="s">
        <v>2971</v>
      </c>
      <c r="J3322">
        <v>12</v>
      </c>
      <c r="K3322">
        <v>1</v>
      </c>
      <c r="L3322">
        <v>1.4004629629629629E-3</v>
      </c>
      <c r="M3322" t="s">
        <v>3079</v>
      </c>
      <c r="X3322" t="s">
        <v>3864</v>
      </c>
    </row>
    <row r="3323" spans="1:24" x14ac:dyDescent="0.25">
      <c r="A3323">
        <v>3319</v>
      </c>
      <c r="B3323" t="s">
        <v>29</v>
      </c>
      <c r="C3323" t="s">
        <v>27</v>
      </c>
      <c r="D3323">
        <v>16</v>
      </c>
      <c r="E3323" t="s">
        <v>152</v>
      </c>
      <c r="F3323" t="s">
        <v>152</v>
      </c>
      <c r="G3323">
        <v>4858</v>
      </c>
      <c r="H3323" t="s">
        <v>2993</v>
      </c>
      <c r="I3323" t="s">
        <v>2797</v>
      </c>
      <c r="J3323">
        <v>12</v>
      </c>
      <c r="K3323">
        <v>1</v>
      </c>
      <c r="L3323">
        <v>1.1921296296296296E-3</v>
      </c>
      <c r="M3323" t="s">
        <v>3079</v>
      </c>
      <c r="X3323" t="s">
        <v>3865</v>
      </c>
    </row>
    <row r="3324" spans="1:24" x14ac:dyDescent="0.25">
      <c r="A3324">
        <v>3320</v>
      </c>
      <c r="B3324" t="s">
        <v>29</v>
      </c>
      <c r="C3324" t="s">
        <v>27</v>
      </c>
      <c r="D3324">
        <v>16</v>
      </c>
      <c r="E3324" t="s">
        <v>2823</v>
      </c>
      <c r="F3324" t="s">
        <v>2823</v>
      </c>
      <c r="G3324">
        <v>4858</v>
      </c>
      <c r="H3324" t="s">
        <v>2822</v>
      </c>
      <c r="I3324" t="s">
        <v>1886</v>
      </c>
      <c r="J3324">
        <v>12</v>
      </c>
      <c r="K3324">
        <v>7</v>
      </c>
      <c r="L3324">
        <v>4.8726851851851848E-3</v>
      </c>
      <c r="M3324" t="s">
        <v>3079</v>
      </c>
      <c r="X3324" t="s">
        <v>3865</v>
      </c>
    </row>
    <row r="3325" spans="1:24" x14ac:dyDescent="0.25">
      <c r="A3325">
        <v>3321</v>
      </c>
      <c r="B3325" t="s">
        <v>29</v>
      </c>
      <c r="C3325" t="s">
        <v>27</v>
      </c>
      <c r="D3325">
        <v>16</v>
      </c>
      <c r="E3325" t="s">
        <v>152</v>
      </c>
      <c r="F3325" t="s">
        <v>152</v>
      </c>
      <c r="G3325">
        <v>4859</v>
      </c>
      <c r="H3325" t="s">
        <v>2965</v>
      </c>
      <c r="I3325" t="s">
        <v>2963</v>
      </c>
      <c r="J3325">
        <v>12</v>
      </c>
      <c r="K3325">
        <v>1</v>
      </c>
      <c r="L3325">
        <v>1.3888888888888887E-3</v>
      </c>
      <c r="M3325" t="s">
        <v>3079</v>
      </c>
      <c r="X3325" t="s">
        <v>3866</v>
      </c>
    </row>
    <row r="3326" spans="1:24" x14ac:dyDescent="0.25">
      <c r="A3326">
        <v>3322</v>
      </c>
      <c r="B3326" t="s">
        <v>29</v>
      </c>
      <c r="C3326" t="s">
        <v>27</v>
      </c>
      <c r="D3326">
        <v>16</v>
      </c>
      <c r="E3326" t="s">
        <v>152</v>
      </c>
      <c r="F3326" t="s">
        <v>152</v>
      </c>
      <c r="G3326">
        <v>4859</v>
      </c>
      <c r="H3326" t="s">
        <v>2992</v>
      </c>
      <c r="I3326" t="s">
        <v>2971</v>
      </c>
      <c r="J3326">
        <v>12</v>
      </c>
      <c r="K3326">
        <v>1</v>
      </c>
      <c r="L3326">
        <v>1.4004629629629629E-3</v>
      </c>
      <c r="M3326" t="s">
        <v>3079</v>
      </c>
      <c r="X3326" t="s">
        <v>3866</v>
      </c>
    </row>
    <row r="3327" spans="1:24" x14ac:dyDescent="0.25">
      <c r="A3327">
        <v>3323</v>
      </c>
      <c r="B3327" t="s">
        <v>29</v>
      </c>
      <c r="C3327" t="s">
        <v>27</v>
      </c>
      <c r="D3327">
        <v>16</v>
      </c>
      <c r="E3327" t="s">
        <v>152</v>
      </c>
      <c r="F3327" t="s">
        <v>152</v>
      </c>
      <c r="G3327">
        <v>4859</v>
      </c>
      <c r="H3327" t="s">
        <v>2970</v>
      </c>
      <c r="I3327" t="s">
        <v>2971</v>
      </c>
      <c r="J3327">
        <v>12</v>
      </c>
      <c r="K3327">
        <v>1</v>
      </c>
      <c r="L3327">
        <v>1.4004629629629629E-3</v>
      </c>
      <c r="M3327" t="s">
        <v>3079</v>
      </c>
      <c r="X3327" t="s">
        <v>3866</v>
      </c>
    </row>
    <row r="3328" spans="1:24" x14ac:dyDescent="0.25">
      <c r="A3328">
        <v>3324</v>
      </c>
      <c r="B3328" t="s">
        <v>29</v>
      </c>
      <c r="C3328" t="s">
        <v>27</v>
      </c>
      <c r="D3328">
        <v>16</v>
      </c>
      <c r="E3328" t="s">
        <v>1588</v>
      </c>
      <c r="F3328" t="s">
        <v>512</v>
      </c>
      <c r="G3328">
        <v>4860</v>
      </c>
      <c r="H3328" t="s">
        <v>1953</v>
      </c>
      <c r="I3328" t="s">
        <v>1954</v>
      </c>
      <c r="J3328">
        <v>12</v>
      </c>
      <c r="K3328">
        <v>1</v>
      </c>
      <c r="L3328">
        <v>1.1921296296296296E-3</v>
      </c>
      <c r="M3328" t="s">
        <v>3079</v>
      </c>
      <c r="X3328" t="s">
        <v>3867</v>
      </c>
    </row>
    <row r="3329" spans="1:24" x14ac:dyDescent="0.25">
      <c r="A3329">
        <v>3325</v>
      </c>
      <c r="B3329" t="s">
        <v>29</v>
      </c>
      <c r="C3329" t="s">
        <v>27</v>
      </c>
      <c r="D3329">
        <v>16</v>
      </c>
      <c r="E3329" t="s">
        <v>367</v>
      </c>
      <c r="F3329" t="s">
        <v>367</v>
      </c>
      <c r="G3329">
        <v>4860</v>
      </c>
      <c r="H3329" t="s">
        <v>1941</v>
      </c>
      <c r="I3329" t="s">
        <v>1942</v>
      </c>
      <c r="J3329">
        <v>12</v>
      </c>
      <c r="K3329">
        <v>6</v>
      </c>
      <c r="L3329">
        <v>1.7592592592592592E-3</v>
      </c>
      <c r="M3329" t="s">
        <v>3079</v>
      </c>
      <c r="X3329" t="s">
        <v>3867</v>
      </c>
    </row>
    <row r="3330" spans="1:24" x14ac:dyDescent="0.25">
      <c r="A3330">
        <v>3326</v>
      </c>
      <c r="B3330" t="s">
        <v>29</v>
      </c>
      <c r="C3330" t="s">
        <v>27</v>
      </c>
      <c r="D3330">
        <v>16</v>
      </c>
      <c r="E3330" t="s">
        <v>367</v>
      </c>
      <c r="F3330" t="s">
        <v>512</v>
      </c>
      <c r="G3330">
        <v>4860</v>
      </c>
      <c r="H3330" t="s">
        <v>1871</v>
      </c>
      <c r="I3330" t="s">
        <v>1845</v>
      </c>
      <c r="J3330">
        <v>12</v>
      </c>
      <c r="K3330">
        <v>1</v>
      </c>
      <c r="L3330">
        <v>3.5879629629629629E-4</v>
      </c>
      <c r="M3330" t="s">
        <v>3079</v>
      </c>
      <c r="X3330" t="s">
        <v>3867</v>
      </c>
    </row>
    <row r="3331" spans="1:24" x14ac:dyDescent="0.25">
      <c r="A3331">
        <v>3327</v>
      </c>
      <c r="B3331" t="s">
        <v>29</v>
      </c>
      <c r="C3331" t="s">
        <v>27</v>
      </c>
      <c r="D3331">
        <v>16</v>
      </c>
      <c r="E3331" t="s">
        <v>367</v>
      </c>
      <c r="F3331" t="s">
        <v>1594</v>
      </c>
      <c r="G3331">
        <v>4860</v>
      </c>
      <c r="H3331" t="s">
        <v>1950</v>
      </c>
      <c r="I3331" t="s">
        <v>1951</v>
      </c>
      <c r="J3331">
        <v>12</v>
      </c>
      <c r="K3331">
        <v>2</v>
      </c>
      <c r="L3331">
        <v>1.1574074074074073E-3</v>
      </c>
      <c r="M3331" t="s">
        <v>3079</v>
      </c>
      <c r="X3331" t="s">
        <v>3867</v>
      </c>
    </row>
    <row r="3332" spans="1:24" x14ac:dyDescent="0.25">
      <c r="A3332">
        <v>3328</v>
      </c>
      <c r="B3332" t="s">
        <v>29</v>
      </c>
      <c r="C3332" t="s">
        <v>27</v>
      </c>
      <c r="D3332">
        <v>16</v>
      </c>
      <c r="E3332" t="s">
        <v>367</v>
      </c>
      <c r="F3332" t="s">
        <v>1594</v>
      </c>
      <c r="G3332">
        <v>4860</v>
      </c>
      <c r="H3332" t="s">
        <v>1914</v>
      </c>
      <c r="I3332" t="s">
        <v>1809</v>
      </c>
      <c r="J3332">
        <v>12</v>
      </c>
      <c r="K3332">
        <v>1</v>
      </c>
      <c r="L3332">
        <v>1.0300925925925926E-3</v>
      </c>
      <c r="M3332" t="s">
        <v>3079</v>
      </c>
      <c r="X3332" t="s">
        <v>3867</v>
      </c>
    </row>
    <row r="3333" spans="1:24" x14ac:dyDescent="0.25">
      <c r="A3333">
        <v>3329</v>
      </c>
      <c r="B3333" t="s">
        <v>29</v>
      </c>
      <c r="C3333" t="s">
        <v>27</v>
      </c>
      <c r="D3333">
        <v>16</v>
      </c>
      <c r="E3333" t="s">
        <v>367</v>
      </c>
      <c r="F3333" t="s">
        <v>1594</v>
      </c>
      <c r="G3333">
        <v>4860</v>
      </c>
      <c r="H3333" t="s">
        <v>1915</v>
      </c>
      <c r="I3333" t="s">
        <v>1916</v>
      </c>
      <c r="J3333">
        <v>12</v>
      </c>
      <c r="K3333">
        <v>1</v>
      </c>
      <c r="L3333">
        <v>8.2175925925925927E-4</v>
      </c>
      <c r="M3333" t="s">
        <v>3079</v>
      </c>
      <c r="X3333" t="s">
        <v>3867</v>
      </c>
    </row>
    <row r="3334" spans="1:24" x14ac:dyDescent="0.25">
      <c r="A3334">
        <v>3330</v>
      </c>
      <c r="B3334" t="s">
        <v>29</v>
      </c>
      <c r="C3334" t="s">
        <v>27</v>
      </c>
      <c r="D3334">
        <v>16</v>
      </c>
      <c r="E3334" t="s">
        <v>1665</v>
      </c>
      <c r="F3334" t="s">
        <v>512</v>
      </c>
      <c r="G3334">
        <v>4861</v>
      </c>
      <c r="H3334" t="s">
        <v>1908</v>
      </c>
      <c r="I3334" t="s">
        <v>2789</v>
      </c>
      <c r="J3334">
        <v>12</v>
      </c>
      <c r="K3334">
        <v>2</v>
      </c>
      <c r="L3334">
        <v>8.2175925925925927E-4</v>
      </c>
      <c r="M3334" t="s">
        <v>3079</v>
      </c>
      <c r="X3334" t="s">
        <v>3868</v>
      </c>
    </row>
    <row r="3335" spans="1:24" x14ac:dyDescent="0.25">
      <c r="A3335">
        <v>3331</v>
      </c>
      <c r="B3335" t="s">
        <v>29</v>
      </c>
      <c r="C3335" t="s">
        <v>27</v>
      </c>
      <c r="D3335">
        <v>16</v>
      </c>
      <c r="E3335" t="s">
        <v>1672</v>
      </c>
      <c r="F3335" t="s">
        <v>115</v>
      </c>
      <c r="G3335">
        <v>4861</v>
      </c>
      <c r="H3335" t="s">
        <v>1885</v>
      </c>
      <c r="I3335" t="s">
        <v>1886</v>
      </c>
      <c r="J3335">
        <v>12</v>
      </c>
      <c r="K3335">
        <v>11</v>
      </c>
      <c r="L3335">
        <v>6.5277777777777773E-3</v>
      </c>
      <c r="M3335" t="s">
        <v>3079</v>
      </c>
      <c r="X3335" t="s">
        <v>3868</v>
      </c>
    </row>
    <row r="3336" spans="1:24" x14ac:dyDescent="0.25">
      <c r="A3336">
        <v>3332</v>
      </c>
      <c r="B3336" t="s">
        <v>29</v>
      </c>
      <c r="C3336" t="s">
        <v>27</v>
      </c>
      <c r="D3336">
        <v>16</v>
      </c>
      <c r="E3336" t="s">
        <v>1672</v>
      </c>
      <c r="F3336" t="s">
        <v>115</v>
      </c>
      <c r="G3336">
        <v>4862</v>
      </c>
      <c r="H3336" t="s">
        <v>1885</v>
      </c>
      <c r="I3336" t="s">
        <v>1886</v>
      </c>
      <c r="J3336">
        <v>12</v>
      </c>
      <c r="K3336">
        <v>4</v>
      </c>
      <c r="L3336">
        <v>3.0324074074074073E-3</v>
      </c>
      <c r="M3336" t="s">
        <v>778</v>
      </c>
      <c r="N3336" t="s">
        <v>1472</v>
      </c>
      <c r="O3336" s="24">
        <v>46139</v>
      </c>
      <c r="P3336">
        <v>606</v>
      </c>
      <c r="Q3336" t="s">
        <v>34</v>
      </c>
      <c r="X3336" t="s">
        <v>3869</v>
      </c>
    </row>
    <row r="3337" spans="1:24" x14ac:dyDescent="0.25">
      <c r="A3337">
        <v>3333</v>
      </c>
      <c r="B3337" t="s">
        <v>29</v>
      </c>
      <c r="C3337" t="s">
        <v>27</v>
      </c>
      <c r="D3337">
        <v>16</v>
      </c>
      <c r="E3337" t="s">
        <v>152</v>
      </c>
      <c r="F3337" t="s">
        <v>152</v>
      </c>
      <c r="G3337">
        <v>4862</v>
      </c>
      <c r="H3337" t="s">
        <v>1965</v>
      </c>
      <c r="I3337" t="s">
        <v>2999</v>
      </c>
      <c r="J3337">
        <v>12</v>
      </c>
      <c r="K3337">
        <v>2</v>
      </c>
      <c r="L3337">
        <v>3.2638888888888887E-3</v>
      </c>
      <c r="M3337" t="s">
        <v>778</v>
      </c>
      <c r="N3337" t="s">
        <v>1472</v>
      </c>
      <c r="O3337" s="24">
        <v>46139</v>
      </c>
      <c r="P3337">
        <v>606</v>
      </c>
      <c r="Q3337" t="s">
        <v>34</v>
      </c>
      <c r="X3337" t="s">
        <v>3869</v>
      </c>
    </row>
    <row r="3338" spans="1:24" x14ac:dyDescent="0.25">
      <c r="A3338">
        <v>3334</v>
      </c>
      <c r="B3338" t="s">
        <v>29</v>
      </c>
      <c r="C3338" t="s">
        <v>27</v>
      </c>
      <c r="D3338">
        <v>16</v>
      </c>
      <c r="E3338" t="s">
        <v>2823</v>
      </c>
      <c r="F3338" t="s">
        <v>2823</v>
      </c>
      <c r="G3338">
        <v>4862</v>
      </c>
      <c r="H3338" t="s">
        <v>2822</v>
      </c>
      <c r="I3338" t="s">
        <v>1886</v>
      </c>
      <c r="J3338">
        <v>12</v>
      </c>
      <c r="K3338">
        <v>1</v>
      </c>
      <c r="L3338">
        <v>7.5231481481481482E-4</v>
      </c>
      <c r="M3338" t="s">
        <v>778</v>
      </c>
      <c r="N3338" t="s">
        <v>1472</v>
      </c>
      <c r="O3338" s="24">
        <v>46139</v>
      </c>
      <c r="P3338">
        <v>606</v>
      </c>
      <c r="Q3338" t="s">
        <v>34</v>
      </c>
      <c r="X3338" t="s">
        <v>3869</v>
      </c>
    </row>
    <row r="3339" spans="1:24" x14ac:dyDescent="0.25">
      <c r="A3339">
        <v>3335</v>
      </c>
      <c r="B3339" t="s">
        <v>29</v>
      </c>
      <c r="C3339" t="s">
        <v>27</v>
      </c>
      <c r="D3339">
        <v>16</v>
      </c>
      <c r="E3339" t="s">
        <v>152</v>
      </c>
      <c r="F3339" t="s">
        <v>152</v>
      </c>
      <c r="G3339">
        <v>4863</v>
      </c>
      <c r="H3339" t="s">
        <v>1965</v>
      </c>
      <c r="I3339" t="s">
        <v>2999</v>
      </c>
      <c r="J3339">
        <v>12</v>
      </c>
      <c r="K3339">
        <v>3</v>
      </c>
      <c r="L3339">
        <v>5.3009259259259259E-3</v>
      </c>
      <c r="M3339" t="s">
        <v>778</v>
      </c>
      <c r="N3339" t="s">
        <v>1472</v>
      </c>
      <c r="O3339" s="24">
        <v>46139</v>
      </c>
      <c r="P3339">
        <v>606</v>
      </c>
      <c r="Q3339" t="s">
        <v>34</v>
      </c>
      <c r="X3339" t="s">
        <v>3870</v>
      </c>
    </row>
    <row r="3340" spans="1:24" x14ac:dyDescent="0.25">
      <c r="A3340">
        <v>3336</v>
      </c>
      <c r="B3340" t="s">
        <v>29</v>
      </c>
      <c r="C3340" t="s">
        <v>27</v>
      </c>
      <c r="D3340">
        <v>16</v>
      </c>
      <c r="E3340" t="s">
        <v>2823</v>
      </c>
      <c r="F3340" t="s">
        <v>2823</v>
      </c>
      <c r="G3340">
        <v>4863</v>
      </c>
      <c r="H3340" t="s">
        <v>2822</v>
      </c>
      <c r="I3340" t="s">
        <v>1886</v>
      </c>
      <c r="J3340">
        <v>12</v>
      </c>
      <c r="K3340">
        <v>1</v>
      </c>
      <c r="L3340">
        <v>8.2175925925925927E-4</v>
      </c>
      <c r="M3340" t="s">
        <v>778</v>
      </c>
      <c r="N3340" t="s">
        <v>1472</v>
      </c>
      <c r="O3340" s="24">
        <v>46139</v>
      </c>
      <c r="P3340">
        <v>606</v>
      </c>
      <c r="Q3340" t="s">
        <v>34</v>
      </c>
      <c r="X3340" t="s">
        <v>3870</v>
      </c>
    </row>
    <row r="3341" spans="1:24" x14ac:dyDescent="0.25">
      <c r="A3341">
        <v>3337</v>
      </c>
      <c r="B3341" t="s">
        <v>29</v>
      </c>
      <c r="C3341" t="s">
        <v>27</v>
      </c>
      <c r="D3341">
        <v>16</v>
      </c>
      <c r="E3341" t="s">
        <v>2823</v>
      </c>
      <c r="F3341" t="s">
        <v>2823</v>
      </c>
      <c r="G3341">
        <v>4863</v>
      </c>
      <c r="H3341" t="s">
        <v>3001</v>
      </c>
      <c r="I3341" t="s">
        <v>2789</v>
      </c>
      <c r="J3341">
        <v>12</v>
      </c>
      <c r="K3341">
        <v>2</v>
      </c>
      <c r="L3341">
        <v>1.1342592592592591E-3</v>
      </c>
      <c r="M3341" t="s">
        <v>778</v>
      </c>
      <c r="N3341" t="s">
        <v>1472</v>
      </c>
      <c r="O3341" s="24">
        <v>46139</v>
      </c>
      <c r="P3341">
        <v>606</v>
      </c>
      <c r="Q3341" t="s">
        <v>34</v>
      </c>
      <c r="X3341" t="s">
        <v>3870</v>
      </c>
    </row>
    <row r="3342" spans="1:24" x14ac:dyDescent="0.25">
      <c r="A3342">
        <v>3338</v>
      </c>
      <c r="B3342" t="s">
        <v>29</v>
      </c>
      <c r="C3342" t="s">
        <v>27</v>
      </c>
      <c r="D3342">
        <v>16</v>
      </c>
      <c r="E3342" t="s">
        <v>152</v>
      </c>
      <c r="F3342" t="s">
        <v>152</v>
      </c>
      <c r="G3342">
        <v>4865</v>
      </c>
      <c r="H3342" t="s">
        <v>629</v>
      </c>
      <c r="I3342" t="s">
        <v>630</v>
      </c>
      <c r="J3342">
        <v>12</v>
      </c>
      <c r="K3342">
        <v>1</v>
      </c>
      <c r="L3342">
        <v>5.4166666666666669E-3</v>
      </c>
      <c r="M3342" t="s">
        <v>778</v>
      </c>
      <c r="N3342" t="s">
        <v>1472</v>
      </c>
      <c r="O3342" s="24">
        <v>46139</v>
      </c>
      <c r="P3342">
        <v>606</v>
      </c>
      <c r="Q3342" t="s">
        <v>34</v>
      </c>
      <c r="X3342" t="s">
        <v>3871</v>
      </c>
    </row>
    <row r="3343" spans="1:24" x14ac:dyDescent="0.25">
      <c r="A3343">
        <v>3339</v>
      </c>
      <c r="B3343" t="s">
        <v>29</v>
      </c>
      <c r="C3343" t="s">
        <v>27</v>
      </c>
      <c r="D3343">
        <v>16</v>
      </c>
      <c r="E3343" t="s">
        <v>129</v>
      </c>
      <c r="F3343" t="s">
        <v>512</v>
      </c>
      <c r="G3343">
        <v>4929</v>
      </c>
      <c r="H3343" t="s">
        <v>3003</v>
      </c>
      <c r="I3343" t="s">
        <v>119</v>
      </c>
      <c r="J3343">
        <v>8</v>
      </c>
      <c r="K3343">
        <v>1</v>
      </c>
      <c r="L3343">
        <v>8.5879629629629622E-3</v>
      </c>
      <c r="M3343" t="s">
        <v>3079</v>
      </c>
      <c r="X3343" t="s">
        <v>3872</v>
      </c>
    </row>
    <row r="3344" spans="1:24" x14ac:dyDescent="0.25">
      <c r="A3344">
        <v>3340</v>
      </c>
      <c r="B3344" t="s">
        <v>29</v>
      </c>
      <c r="C3344" t="s">
        <v>27</v>
      </c>
      <c r="D3344">
        <v>16</v>
      </c>
      <c r="E3344" t="s">
        <v>60</v>
      </c>
      <c r="F3344" t="s">
        <v>60</v>
      </c>
      <c r="G3344">
        <v>3122</v>
      </c>
      <c r="H3344" t="s">
        <v>939</v>
      </c>
      <c r="I3344" t="s">
        <v>940</v>
      </c>
      <c r="J3344">
        <v>6</v>
      </c>
      <c r="K3344">
        <v>3</v>
      </c>
      <c r="L3344">
        <v>9.3055555555555548E-3</v>
      </c>
      <c r="M3344" t="s">
        <v>3079</v>
      </c>
      <c r="X3344" t="s">
        <v>3873</v>
      </c>
    </row>
    <row r="3345" spans="1:24" x14ac:dyDescent="0.25">
      <c r="A3345">
        <v>3341</v>
      </c>
      <c r="B3345" t="s">
        <v>29</v>
      </c>
      <c r="C3345" t="s">
        <v>27</v>
      </c>
      <c r="D3345">
        <v>16</v>
      </c>
      <c r="E3345" t="s">
        <v>60</v>
      </c>
      <c r="F3345" t="s">
        <v>60</v>
      </c>
      <c r="G3345">
        <v>3123</v>
      </c>
      <c r="H3345" t="s">
        <v>939</v>
      </c>
      <c r="I3345" t="s">
        <v>940</v>
      </c>
      <c r="J3345">
        <v>6</v>
      </c>
      <c r="K3345">
        <v>1</v>
      </c>
      <c r="L3345">
        <v>3.1018518518518517E-3</v>
      </c>
      <c r="M3345" t="s">
        <v>3079</v>
      </c>
      <c r="X3345" t="s">
        <v>3874</v>
      </c>
    </row>
    <row r="3346" spans="1:24" x14ac:dyDescent="0.25">
      <c r="A3346">
        <v>3342</v>
      </c>
      <c r="B3346" t="s">
        <v>29</v>
      </c>
      <c r="C3346" t="s">
        <v>27</v>
      </c>
      <c r="D3346">
        <v>16</v>
      </c>
      <c r="E3346" t="s">
        <v>60</v>
      </c>
      <c r="F3346" t="s">
        <v>60</v>
      </c>
      <c r="G3346">
        <v>3123</v>
      </c>
      <c r="H3346" t="s">
        <v>2511</v>
      </c>
      <c r="I3346" t="s">
        <v>940</v>
      </c>
      <c r="J3346">
        <v>6</v>
      </c>
      <c r="K3346">
        <v>2</v>
      </c>
      <c r="L3346">
        <v>6.2037037037037035E-3</v>
      </c>
      <c r="M3346" t="s">
        <v>3079</v>
      </c>
      <c r="X3346" t="s">
        <v>3874</v>
      </c>
    </row>
    <row r="3347" spans="1:24" x14ac:dyDescent="0.25">
      <c r="A3347">
        <v>3343</v>
      </c>
      <c r="B3347" t="s">
        <v>29</v>
      </c>
      <c r="C3347" t="s">
        <v>27</v>
      </c>
      <c r="D3347">
        <v>16</v>
      </c>
      <c r="E3347" t="s">
        <v>60</v>
      </c>
      <c r="F3347" t="s">
        <v>60</v>
      </c>
      <c r="G3347">
        <v>3124</v>
      </c>
      <c r="H3347" t="s">
        <v>2520</v>
      </c>
      <c r="I3347" t="s">
        <v>3007</v>
      </c>
      <c r="J3347">
        <v>6</v>
      </c>
      <c r="K3347">
        <v>2</v>
      </c>
      <c r="L3347">
        <v>4.2013888888888891E-3</v>
      </c>
      <c r="M3347" t="s">
        <v>3079</v>
      </c>
      <c r="X3347" t="s">
        <v>3875</v>
      </c>
    </row>
    <row r="3348" spans="1:24" x14ac:dyDescent="0.25">
      <c r="A3348">
        <v>3344</v>
      </c>
      <c r="B3348" t="s">
        <v>29</v>
      </c>
      <c r="C3348" t="s">
        <v>27</v>
      </c>
      <c r="D3348">
        <v>16</v>
      </c>
      <c r="E3348" t="s">
        <v>60</v>
      </c>
      <c r="F3348" t="s">
        <v>60</v>
      </c>
      <c r="G3348">
        <v>3124</v>
      </c>
      <c r="H3348" t="s">
        <v>2513</v>
      </c>
      <c r="I3348" t="s">
        <v>2517</v>
      </c>
      <c r="J3348">
        <v>6</v>
      </c>
      <c r="K3348">
        <v>2</v>
      </c>
      <c r="L3348">
        <v>5.208333333333333E-3</v>
      </c>
      <c r="M3348" t="s">
        <v>3079</v>
      </c>
      <c r="X3348" t="s">
        <v>3875</v>
      </c>
    </row>
    <row r="3349" spans="1:24" x14ac:dyDescent="0.25">
      <c r="A3349">
        <v>3345</v>
      </c>
      <c r="B3349" t="s">
        <v>29</v>
      </c>
      <c r="C3349" t="s">
        <v>27</v>
      </c>
      <c r="D3349">
        <v>16</v>
      </c>
      <c r="E3349" t="s">
        <v>60</v>
      </c>
      <c r="F3349" t="s">
        <v>60</v>
      </c>
      <c r="G3349">
        <v>3124</v>
      </c>
      <c r="H3349" t="s">
        <v>2516</v>
      </c>
      <c r="I3349" t="s">
        <v>2517</v>
      </c>
      <c r="J3349">
        <v>6</v>
      </c>
      <c r="K3349">
        <v>1</v>
      </c>
      <c r="L3349">
        <v>2.6041666666666665E-3</v>
      </c>
      <c r="M3349" t="s">
        <v>3079</v>
      </c>
      <c r="X3349" t="s">
        <v>3875</v>
      </c>
    </row>
    <row r="3350" spans="1:24" x14ac:dyDescent="0.25">
      <c r="A3350">
        <v>3346</v>
      </c>
      <c r="B3350" t="s">
        <v>29</v>
      </c>
      <c r="C3350" t="s">
        <v>27</v>
      </c>
      <c r="D3350">
        <v>16</v>
      </c>
      <c r="E3350" t="s">
        <v>60</v>
      </c>
      <c r="F3350" t="s">
        <v>60</v>
      </c>
      <c r="G3350">
        <v>3124</v>
      </c>
      <c r="H3350" t="s">
        <v>3009</v>
      </c>
      <c r="I3350" t="s">
        <v>3010</v>
      </c>
      <c r="J3350">
        <v>6</v>
      </c>
      <c r="K3350">
        <v>1</v>
      </c>
      <c r="L3350">
        <v>2.3263888888888887E-3</v>
      </c>
      <c r="M3350" t="s">
        <v>3079</v>
      </c>
      <c r="X3350" t="s">
        <v>3875</v>
      </c>
    </row>
    <row r="3351" spans="1:24" x14ac:dyDescent="0.25">
      <c r="A3351">
        <v>3347</v>
      </c>
      <c r="B3351" t="s">
        <v>29</v>
      </c>
      <c r="C3351" t="s">
        <v>27</v>
      </c>
      <c r="D3351">
        <v>16</v>
      </c>
      <c r="E3351" t="s">
        <v>60</v>
      </c>
      <c r="F3351" t="s">
        <v>60</v>
      </c>
      <c r="G3351">
        <v>3125</v>
      </c>
      <c r="H3351" t="s">
        <v>2516</v>
      </c>
      <c r="I3351" t="s">
        <v>2517</v>
      </c>
      <c r="J3351">
        <v>6</v>
      </c>
      <c r="K3351">
        <v>1</v>
      </c>
      <c r="L3351">
        <v>2.662037037037037E-3</v>
      </c>
      <c r="M3351" t="s">
        <v>3079</v>
      </c>
      <c r="X3351" t="s">
        <v>3876</v>
      </c>
    </row>
    <row r="3352" spans="1:24" x14ac:dyDescent="0.25">
      <c r="A3352">
        <v>3348</v>
      </c>
      <c r="B3352" t="s">
        <v>29</v>
      </c>
      <c r="C3352" t="s">
        <v>27</v>
      </c>
      <c r="D3352">
        <v>16</v>
      </c>
      <c r="E3352" t="s">
        <v>60</v>
      </c>
      <c r="F3352" t="s">
        <v>60</v>
      </c>
      <c r="G3352">
        <v>3125</v>
      </c>
      <c r="H3352" t="s">
        <v>2511</v>
      </c>
      <c r="I3352" t="s">
        <v>940</v>
      </c>
      <c r="J3352">
        <v>6</v>
      </c>
      <c r="K3352">
        <v>2</v>
      </c>
      <c r="L3352">
        <v>6.1111111111111106E-3</v>
      </c>
      <c r="M3352" t="s">
        <v>3079</v>
      </c>
      <c r="X3352" t="s">
        <v>3876</v>
      </c>
    </row>
    <row r="3353" spans="1:24" x14ac:dyDescent="0.25">
      <c r="A3353">
        <v>3349</v>
      </c>
      <c r="B3353" t="s">
        <v>29</v>
      </c>
      <c r="C3353" t="s">
        <v>27</v>
      </c>
      <c r="D3353">
        <v>16</v>
      </c>
      <c r="E3353" t="s">
        <v>60</v>
      </c>
      <c r="F3353" t="s">
        <v>60</v>
      </c>
      <c r="G3353">
        <v>3125</v>
      </c>
      <c r="H3353" t="s">
        <v>3009</v>
      </c>
      <c r="I3353" t="s">
        <v>3010</v>
      </c>
      <c r="J3353">
        <v>6</v>
      </c>
      <c r="K3353">
        <v>1</v>
      </c>
      <c r="L3353">
        <v>2.3842592592592591E-3</v>
      </c>
      <c r="M3353" t="s">
        <v>3079</v>
      </c>
      <c r="X3353" t="s">
        <v>3876</v>
      </c>
    </row>
    <row r="3354" spans="1:24" x14ac:dyDescent="0.25">
      <c r="A3354">
        <v>3350</v>
      </c>
      <c r="B3354" t="s">
        <v>29</v>
      </c>
      <c r="C3354" t="s">
        <v>27</v>
      </c>
      <c r="D3354">
        <v>16</v>
      </c>
      <c r="E3354" t="s">
        <v>60</v>
      </c>
      <c r="F3354" t="s">
        <v>60</v>
      </c>
      <c r="G3354">
        <v>3126</v>
      </c>
      <c r="H3354" t="s">
        <v>2513</v>
      </c>
      <c r="I3354" t="s">
        <v>2517</v>
      </c>
      <c r="J3354">
        <v>6</v>
      </c>
      <c r="K3354">
        <v>1</v>
      </c>
      <c r="L3354">
        <v>2.6041666666666665E-3</v>
      </c>
      <c r="M3354" t="s">
        <v>3079</v>
      </c>
      <c r="X3354" t="s">
        <v>3877</v>
      </c>
    </row>
    <row r="3355" spans="1:24" x14ac:dyDescent="0.25">
      <c r="A3355">
        <v>3351</v>
      </c>
      <c r="B3355" t="s">
        <v>29</v>
      </c>
      <c r="C3355" t="s">
        <v>27</v>
      </c>
      <c r="D3355">
        <v>16</v>
      </c>
      <c r="E3355" t="s">
        <v>2823</v>
      </c>
      <c r="F3355" t="s">
        <v>2823</v>
      </c>
      <c r="G3355">
        <v>3126</v>
      </c>
      <c r="H3355" t="s">
        <v>3013</v>
      </c>
      <c r="I3355" t="s">
        <v>3010</v>
      </c>
      <c r="J3355">
        <v>6</v>
      </c>
      <c r="K3355">
        <v>1</v>
      </c>
      <c r="L3355">
        <v>2.3263888888888887E-3</v>
      </c>
      <c r="M3355" t="s">
        <v>3079</v>
      </c>
      <c r="X3355" t="s">
        <v>3877</v>
      </c>
    </row>
    <row r="3356" spans="1:24" x14ac:dyDescent="0.25">
      <c r="A3356">
        <v>3352</v>
      </c>
      <c r="B3356" t="s">
        <v>29</v>
      </c>
      <c r="C3356" t="s">
        <v>27</v>
      </c>
      <c r="D3356">
        <v>16</v>
      </c>
      <c r="E3356" t="s">
        <v>2823</v>
      </c>
      <c r="F3356" t="s">
        <v>2823</v>
      </c>
      <c r="G3356">
        <v>3126</v>
      </c>
      <c r="H3356" t="s">
        <v>3014</v>
      </c>
      <c r="I3356" t="s">
        <v>3007</v>
      </c>
      <c r="J3356">
        <v>6</v>
      </c>
      <c r="K3356">
        <v>2</v>
      </c>
      <c r="L3356">
        <v>4.2013888888888891E-3</v>
      </c>
      <c r="M3356" t="s">
        <v>3079</v>
      </c>
      <c r="X3356" t="s">
        <v>3877</v>
      </c>
    </row>
    <row r="3357" spans="1:24" x14ac:dyDescent="0.25">
      <c r="A3357">
        <v>3353</v>
      </c>
      <c r="B3357" t="s">
        <v>29</v>
      </c>
      <c r="C3357" t="s">
        <v>27</v>
      </c>
      <c r="D3357">
        <v>16</v>
      </c>
      <c r="E3357" t="s">
        <v>60</v>
      </c>
      <c r="F3357" t="s">
        <v>60</v>
      </c>
      <c r="G3357">
        <v>3126</v>
      </c>
      <c r="H3357" t="s">
        <v>2516</v>
      </c>
      <c r="I3357" t="s">
        <v>2517</v>
      </c>
      <c r="J3357">
        <v>6</v>
      </c>
      <c r="K3357">
        <v>1</v>
      </c>
      <c r="L3357">
        <v>2.6041666666666665E-3</v>
      </c>
      <c r="M3357" t="s">
        <v>3079</v>
      </c>
      <c r="X3357" t="s">
        <v>3877</v>
      </c>
    </row>
    <row r="3358" spans="1:24" x14ac:dyDescent="0.25">
      <c r="A3358">
        <v>3354</v>
      </c>
      <c r="B3358" t="s">
        <v>29</v>
      </c>
      <c r="C3358" t="s">
        <v>27</v>
      </c>
      <c r="D3358">
        <v>16</v>
      </c>
      <c r="E3358" t="s">
        <v>2823</v>
      </c>
      <c r="F3358" t="s">
        <v>2823</v>
      </c>
      <c r="G3358">
        <v>3126</v>
      </c>
      <c r="H3358" t="s">
        <v>3015</v>
      </c>
      <c r="I3358" t="s">
        <v>2517</v>
      </c>
      <c r="J3358">
        <v>6</v>
      </c>
      <c r="K3358">
        <v>1</v>
      </c>
      <c r="L3358">
        <v>2.6041666666666665E-3</v>
      </c>
      <c r="M3358" t="s">
        <v>3079</v>
      </c>
      <c r="X3358" t="s">
        <v>3877</v>
      </c>
    </row>
  </sheetData>
  <sheetProtection sort="0" autoFilter="0"/>
  <mergeCells count="2">
    <mergeCell ref="A2:X2"/>
    <mergeCell ref="A1:X1"/>
  </mergeCell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pageSetUpPr fitToPage="1"/>
  </sheetPr>
  <dimension ref="A1:J124"/>
  <sheetViews>
    <sheetView showGridLines="0" workbookViewId="0">
      <pane ySplit="9" topLeftCell="A12" activePane="bottomLeft" state="frozen"/>
      <selection pane="bottomLeft" activeCell="O7" sqref="O7"/>
    </sheetView>
  </sheetViews>
  <sheetFormatPr defaultColWidth="9.140625" defaultRowHeight="15" x14ac:dyDescent="0.25"/>
  <cols>
    <col min="1" max="1" width="13.85546875" customWidth="1"/>
    <col min="2" max="2" width="16.5703125" customWidth="1"/>
    <col min="3" max="3" width="14.5703125" customWidth="1"/>
    <col min="4" max="4" width="10" customWidth="1"/>
    <col min="5" max="5" width="25.140625" customWidth="1"/>
    <col min="6" max="8" width="12" customWidth="1"/>
    <col min="9" max="9" width="13.85546875" customWidth="1"/>
    <col min="10" max="10" width="28" customWidth="1"/>
  </cols>
  <sheetData>
    <row r="1" spans="1:10" ht="18.75" x14ac:dyDescent="0.25">
      <c r="A1" s="64" t="s">
        <v>3878</v>
      </c>
      <c r="B1" s="66"/>
      <c r="C1" s="66"/>
      <c r="D1" s="66"/>
      <c r="E1" s="66"/>
      <c r="F1" s="66"/>
      <c r="G1" s="66"/>
      <c r="H1" s="66"/>
      <c r="I1" s="67"/>
    </row>
    <row r="2" spans="1:10" x14ac:dyDescent="0.25">
      <c r="A2" s="61"/>
      <c r="B2" s="63"/>
      <c r="C2" s="63"/>
      <c r="D2" s="63"/>
      <c r="E2" s="63"/>
      <c r="F2" s="63"/>
      <c r="G2" s="63"/>
      <c r="H2" s="63"/>
      <c r="I2" s="63"/>
    </row>
    <row r="4" spans="1:10" x14ac:dyDescent="0.25">
      <c r="A4" s="5" t="s">
        <v>36</v>
      </c>
      <c r="B4" s="3" t="s">
        <v>3910</v>
      </c>
      <c r="C4" s="3"/>
      <c r="E4" s="5" t="s">
        <v>32</v>
      </c>
      <c r="F4" s="3">
        <v>605</v>
      </c>
      <c r="G4" s="13"/>
    </row>
    <row r="5" spans="1:10" x14ac:dyDescent="0.25">
      <c r="A5" s="5" t="s">
        <v>14</v>
      </c>
      <c r="B5" s="3" t="s">
        <v>28</v>
      </c>
      <c r="E5" s="5" t="s">
        <v>33</v>
      </c>
      <c r="F5" s="3" t="s">
        <v>34</v>
      </c>
      <c r="G5" s="13"/>
    </row>
    <row r="6" spans="1:10" x14ac:dyDescent="0.25">
      <c r="A6" s="5" t="s">
        <v>15</v>
      </c>
      <c r="B6" s="3" t="s">
        <v>25</v>
      </c>
      <c r="F6" t="s">
        <v>3879</v>
      </c>
    </row>
    <row r="7" spans="1:10" x14ac:dyDescent="0.25">
      <c r="A7" s="5" t="s">
        <v>16</v>
      </c>
      <c r="B7" s="3">
        <v>14</v>
      </c>
      <c r="E7" s="5" t="s">
        <v>35</v>
      </c>
      <c r="F7" s="4">
        <v>46140</v>
      </c>
      <c r="G7" s="47"/>
      <c r="I7" s="5" t="s">
        <v>74</v>
      </c>
      <c r="J7" s="3"/>
    </row>
    <row r="8" spans="1:10" x14ac:dyDescent="0.25">
      <c r="E8" s="5" t="s">
        <v>3880</v>
      </c>
      <c r="F8" s="10">
        <v>0.21584490740740742</v>
      </c>
      <c r="G8" s="48"/>
    </row>
    <row r="9" spans="1:10" ht="25.5" x14ac:dyDescent="0.25">
      <c r="A9" s="6" t="s">
        <v>3881</v>
      </c>
      <c r="B9" s="6" t="s">
        <v>3882</v>
      </c>
      <c r="C9" s="6" t="s">
        <v>3883</v>
      </c>
      <c r="D9" s="6" t="s">
        <v>3884</v>
      </c>
      <c r="E9" s="6" t="s">
        <v>3885</v>
      </c>
      <c r="F9" s="6" t="s">
        <v>3886</v>
      </c>
      <c r="G9" s="6" t="s">
        <v>3887</v>
      </c>
      <c r="H9" s="6" t="s">
        <v>3888</v>
      </c>
      <c r="I9" s="6" t="s">
        <v>3889</v>
      </c>
      <c r="J9" s="6" t="s">
        <v>3890</v>
      </c>
    </row>
    <row r="10" spans="1:10" ht="27" customHeight="1" x14ac:dyDescent="0.25">
      <c r="A10" s="11">
        <v>1</v>
      </c>
      <c r="B10" s="11">
        <v>3367</v>
      </c>
      <c r="C10" s="12">
        <v>1.0532407407407407E-3</v>
      </c>
      <c r="D10" s="37">
        <v>12</v>
      </c>
      <c r="E10" s="11" t="s">
        <v>582</v>
      </c>
      <c r="F10" s="11" t="s">
        <v>583</v>
      </c>
      <c r="G10" s="11"/>
      <c r="H10" s="11"/>
      <c r="I10" s="11"/>
      <c r="J10" s="11"/>
    </row>
    <row r="11" spans="1:10" ht="25.5" x14ac:dyDescent="0.25">
      <c r="A11" s="11">
        <v>2</v>
      </c>
      <c r="B11" s="11">
        <v>3369</v>
      </c>
      <c r="C11" s="12">
        <v>1.4039351851851851E-2</v>
      </c>
      <c r="D11" s="37">
        <v>12</v>
      </c>
      <c r="E11" s="11" t="s">
        <v>679</v>
      </c>
      <c r="F11" s="11" t="s">
        <v>680</v>
      </c>
      <c r="G11" s="11"/>
      <c r="H11" s="11"/>
      <c r="I11" s="11"/>
      <c r="J11" s="11"/>
    </row>
    <row r="12" spans="1:10" ht="38.25" x14ac:dyDescent="0.25">
      <c r="A12" s="11">
        <v>3</v>
      </c>
      <c r="B12" s="11">
        <v>3370</v>
      </c>
      <c r="C12" s="12">
        <v>1.4907407407407407E-2</v>
      </c>
      <c r="D12" s="37">
        <v>12</v>
      </c>
      <c r="E12" s="11" t="s">
        <v>592</v>
      </c>
      <c r="F12" s="11" t="s">
        <v>593</v>
      </c>
      <c r="G12" s="11"/>
      <c r="H12" s="11"/>
      <c r="I12" s="11"/>
      <c r="J12" s="11"/>
    </row>
    <row r="13" spans="1:10" ht="25.5" x14ac:dyDescent="0.25">
      <c r="A13" s="11">
        <v>4</v>
      </c>
      <c r="B13" s="11">
        <v>3371</v>
      </c>
      <c r="C13" s="12">
        <v>1.2453703703703703E-2</v>
      </c>
      <c r="D13" s="37">
        <v>12</v>
      </c>
      <c r="E13" s="11" t="s">
        <v>679</v>
      </c>
      <c r="F13" s="11" t="s">
        <v>684</v>
      </c>
      <c r="G13" s="11"/>
      <c r="H13" s="11"/>
      <c r="I13" s="11"/>
      <c r="J13" s="11"/>
    </row>
    <row r="14" spans="1:10" ht="25.5" x14ac:dyDescent="0.25">
      <c r="A14">
        <v>5</v>
      </c>
      <c r="B14" s="11">
        <v>3372</v>
      </c>
      <c r="C14" s="12">
        <v>1.4537037037037036E-2</v>
      </c>
      <c r="D14" s="37">
        <v>12</v>
      </c>
      <c r="E14" s="11" t="s">
        <v>597</v>
      </c>
      <c r="F14" s="11" t="s">
        <v>598</v>
      </c>
      <c r="G14" s="11"/>
      <c r="H14" s="11"/>
      <c r="I14" s="11"/>
      <c r="J14" s="11"/>
    </row>
    <row r="15" spans="1:10" ht="51" x14ac:dyDescent="0.25">
      <c r="A15" s="11">
        <v>6</v>
      </c>
      <c r="B15" s="11">
        <v>3373</v>
      </c>
      <c r="C15" s="12">
        <v>1.1770833333333333E-2</v>
      </c>
      <c r="D15" s="37">
        <v>12</v>
      </c>
      <c r="E15" s="11" t="s">
        <v>688</v>
      </c>
      <c r="F15" s="11" t="s">
        <v>689</v>
      </c>
      <c r="G15" s="11"/>
      <c r="H15" s="11"/>
      <c r="I15" s="11"/>
      <c r="J15" s="11"/>
    </row>
    <row r="16" spans="1:10" ht="25.5" x14ac:dyDescent="0.25">
      <c r="A16" s="11">
        <v>7</v>
      </c>
      <c r="B16" s="11">
        <v>3374</v>
      </c>
      <c r="C16" s="12">
        <v>1.1805555555555556E-3</v>
      </c>
      <c r="D16" s="37">
        <v>12</v>
      </c>
      <c r="E16" s="11" t="s">
        <v>693</v>
      </c>
      <c r="F16" s="11" t="s">
        <v>694</v>
      </c>
      <c r="G16" s="11"/>
      <c r="H16" s="11"/>
      <c r="I16" s="11"/>
      <c r="J16" s="11"/>
    </row>
    <row r="17" spans="1:10" x14ac:dyDescent="0.25">
      <c r="A17" s="11">
        <v>8</v>
      </c>
      <c r="B17" s="11">
        <v>3375</v>
      </c>
      <c r="C17" s="12">
        <v>1.1226851851851851E-3</v>
      </c>
      <c r="D17" s="37">
        <v>12</v>
      </c>
      <c r="E17" s="11" t="s">
        <v>698</v>
      </c>
      <c r="F17" s="11" t="s">
        <v>699</v>
      </c>
      <c r="G17" s="11"/>
      <c r="H17" s="11"/>
      <c r="I17" s="11"/>
      <c r="J17" s="11"/>
    </row>
    <row r="18" spans="1:10" ht="38.25" x14ac:dyDescent="0.25">
      <c r="A18" s="11">
        <v>9</v>
      </c>
      <c r="B18" s="11">
        <v>3709</v>
      </c>
      <c r="C18" s="12">
        <v>1.4444444444444444E-2</v>
      </c>
      <c r="D18" s="37">
        <v>12</v>
      </c>
      <c r="E18" s="11" t="s">
        <v>727</v>
      </c>
      <c r="F18" s="11" t="s">
        <v>728</v>
      </c>
      <c r="G18" s="11"/>
      <c r="H18" s="11"/>
      <c r="I18" s="11"/>
      <c r="J18" s="11"/>
    </row>
    <row r="19" spans="1:10" ht="38.25" x14ac:dyDescent="0.25">
      <c r="A19" s="11">
        <v>10</v>
      </c>
      <c r="B19" s="11">
        <v>3710</v>
      </c>
      <c r="C19" s="12">
        <v>1.4444444444444444E-2</v>
      </c>
      <c r="D19" s="37">
        <v>12</v>
      </c>
      <c r="E19" s="11" t="s">
        <v>727</v>
      </c>
      <c r="F19" s="11" t="s">
        <v>728</v>
      </c>
      <c r="G19" s="11"/>
      <c r="H19" s="11"/>
      <c r="I19" s="11"/>
      <c r="J19" s="11"/>
    </row>
    <row r="20" spans="1:10" ht="38.25" x14ac:dyDescent="0.25">
      <c r="A20" s="11">
        <v>11</v>
      </c>
      <c r="B20" s="11">
        <v>3711</v>
      </c>
      <c r="C20" s="12">
        <v>1.398148148148148E-2</v>
      </c>
      <c r="D20" s="37">
        <v>12</v>
      </c>
      <c r="E20" s="11" t="s">
        <v>733</v>
      </c>
      <c r="F20" s="11" t="s">
        <v>728</v>
      </c>
      <c r="G20" s="11"/>
      <c r="H20" s="11"/>
      <c r="I20" s="11"/>
      <c r="J20" s="11"/>
    </row>
    <row r="21" spans="1:10" x14ac:dyDescent="0.25">
      <c r="A21" s="11">
        <v>12</v>
      </c>
      <c r="B21" s="11">
        <v>3712</v>
      </c>
      <c r="C21" s="12">
        <v>1.4386574074074074E-2</v>
      </c>
      <c r="D21" s="37">
        <v>12</v>
      </c>
      <c r="E21" s="11" t="s">
        <v>741</v>
      </c>
      <c r="F21" s="11" t="s">
        <v>742</v>
      </c>
      <c r="G21" s="11"/>
      <c r="H21" s="11"/>
      <c r="I21" s="11"/>
      <c r="J21" s="11"/>
    </row>
    <row r="22" spans="1:10" ht="25.5" x14ac:dyDescent="0.25">
      <c r="A22" s="11">
        <v>13</v>
      </c>
      <c r="B22" s="11">
        <v>3714</v>
      </c>
      <c r="C22" s="12">
        <v>1.4409722222222221E-2</v>
      </c>
      <c r="D22" s="37">
        <v>12</v>
      </c>
      <c r="E22" s="11" t="s">
        <v>736</v>
      </c>
      <c r="F22" s="11" t="s">
        <v>737</v>
      </c>
      <c r="G22" s="11"/>
      <c r="H22" s="11"/>
      <c r="I22" s="11"/>
      <c r="J22" s="11"/>
    </row>
    <row r="23" spans="1:10" ht="38.25" x14ac:dyDescent="0.25">
      <c r="A23" s="11">
        <v>14</v>
      </c>
      <c r="B23" s="11">
        <v>4520</v>
      </c>
      <c r="C23" s="12">
        <v>6.8055555555555551E-3</v>
      </c>
      <c r="D23" s="37">
        <v>12</v>
      </c>
      <c r="E23" s="11" t="s">
        <v>664</v>
      </c>
      <c r="F23" s="11" t="s">
        <v>665</v>
      </c>
      <c r="G23" s="11"/>
      <c r="H23" s="11"/>
      <c r="I23" s="11"/>
      <c r="J23" s="11"/>
    </row>
    <row r="24" spans="1:10" ht="25.5" x14ac:dyDescent="0.25">
      <c r="A24" s="11">
        <v>15</v>
      </c>
      <c r="B24" s="11">
        <v>4521</v>
      </c>
      <c r="C24" s="12">
        <v>1.4409722222222221E-2</v>
      </c>
      <c r="D24" s="37">
        <v>12</v>
      </c>
      <c r="E24" s="11" t="s">
        <v>648</v>
      </c>
      <c r="F24" s="11" t="s">
        <v>649</v>
      </c>
      <c r="G24" s="11"/>
      <c r="H24" s="11"/>
      <c r="I24" s="11"/>
      <c r="J24" s="11"/>
    </row>
    <row r="25" spans="1:10" ht="25.5" x14ac:dyDescent="0.25">
      <c r="A25" s="11">
        <v>16</v>
      </c>
      <c r="B25" s="11">
        <v>4523</v>
      </c>
      <c r="C25" s="12">
        <v>1.2037037037037036E-3</v>
      </c>
      <c r="D25" s="37">
        <v>12</v>
      </c>
      <c r="E25" s="11" t="s">
        <v>653</v>
      </c>
      <c r="F25" s="11" t="s">
        <v>654</v>
      </c>
      <c r="G25" s="11"/>
      <c r="H25" s="11"/>
      <c r="I25" s="11"/>
      <c r="J25" s="11"/>
    </row>
    <row r="26" spans="1:10" ht="25.5" x14ac:dyDescent="0.25">
      <c r="A26" s="11">
        <v>17</v>
      </c>
      <c r="B26" s="11">
        <v>4524</v>
      </c>
      <c r="C26" s="12">
        <v>6.3194444444444444E-3</v>
      </c>
      <c r="D26" s="37">
        <v>12</v>
      </c>
      <c r="E26" s="11" t="s">
        <v>669</v>
      </c>
      <c r="F26" s="11" t="s">
        <v>670</v>
      </c>
      <c r="G26" s="11"/>
      <c r="H26" s="11"/>
      <c r="I26" s="11"/>
      <c r="J26" s="11"/>
    </row>
    <row r="27" spans="1:10" ht="25.5" x14ac:dyDescent="0.25">
      <c r="A27" s="11">
        <v>18</v>
      </c>
      <c r="B27" s="11">
        <v>4656</v>
      </c>
      <c r="C27" s="12">
        <v>1.579861111111111E-2</v>
      </c>
      <c r="D27" s="37">
        <v>12</v>
      </c>
      <c r="E27" s="11" t="s">
        <v>274</v>
      </c>
      <c r="F27" s="11" t="s">
        <v>275</v>
      </c>
      <c r="G27" s="11"/>
      <c r="H27" s="11"/>
      <c r="I27" s="11"/>
      <c r="J27" s="11"/>
    </row>
    <row r="28" spans="1:10" ht="51" x14ac:dyDescent="0.25">
      <c r="A28" s="11">
        <v>19</v>
      </c>
      <c r="B28" s="11">
        <v>4657</v>
      </c>
      <c r="C28" s="12">
        <v>1.417824074074074E-2</v>
      </c>
      <c r="D28" s="37">
        <v>12</v>
      </c>
      <c r="E28" s="11" t="s">
        <v>658</v>
      </c>
      <c r="F28" s="11" t="s">
        <v>659</v>
      </c>
      <c r="G28" s="11"/>
      <c r="H28" s="11"/>
      <c r="I28" s="11"/>
      <c r="J28" s="11"/>
    </row>
    <row r="29" spans="1:10" x14ac:dyDescent="0.25">
      <c r="A29" s="11">
        <v>20</v>
      </c>
      <c r="B29" s="11">
        <v>4658</v>
      </c>
      <c r="C29" s="12">
        <v>1.4398148148148148E-2</v>
      </c>
      <c r="D29" s="37">
        <v>12</v>
      </c>
      <c r="E29" s="11" t="s">
        <v>674</v>
      </c>
      <c r="F29" s="11" t="s">
        <v>675</v>
      </c>
      <c r="G29" s="11"/>
      <c r="H29" s="11"/>
      <c r="I29" s="11"/>
      <c r="J29" s="11"/>
    </row>
    <row r="30" spans="1:10" x14ac:dyDescent="0.25">
      <c r="A30" s="11"/>
      <c r="B30" s="11"/>
      <c r="C30" s="12"/>
      <c r="D30" s="37"/>
      <c r="E30" s="11"/>
      <c r="F30" s="11"/>
      <c r="G30" s="11"/>
      <c r="H30" s="11"/>
      <c r="I30" s="11"/>
      <c r="J30" s="11"/>
    </row>
    <row r="31" spans="1:10" x14ac:dyDescent="0.25">
      <c r="A31" s="11"/>
      <c r="B31" s="11"/>
      <c r="C31" s="12"/>
      <c r="D31" s="37"/>
      <c r="E31" s="11"/>
      <c r="F31" s="11"/>
      <c r="G31" s="11"/>
      <c r="H31" s="11"/>
      <c r="I31" s="11"/>
      <c r="J31" s="11"/>
    </row>
    <row r="32" spans="1:10" x14ac:dyDescent="0.25">
      <c r="A32" s="11"/>
      <c r="B32" s="11"/>
      <c r="C32" s="12"/>
      <c r="D32" s="37"/>
      <c r="E32" s="11"/>
      <c r="F32" s="11"/>
      <c r="G32" s="11"/>
      <c r="H32" s="11"/>
      <c r="I32" s="11"/>
      <c r="J32" s="11"/>
    </row>
    <row r="33" spans="1:10" x14ac:dyDescent="0.25">
      <c r="A33" s="11"/>
      <c r="B33" s="11"/>
      <c r="C33" s="12"/>
      <c r="D33" s="37"/>
      <c r="E33" s="11"/>
      <c r="F33" s="11"/>
      <c r="G33" s="11"/>
      <c r="H33" s="11"/>
      <c r="I33" s="11"/>
      <c r="J33" s="11"/>
    </row>
    <row r="34" spans="1:10" x14ac:dyDescent="0.25">
      <c r="A34" s="11"/>
      <c r="B34" s="11"/>
      <c r="C34" s="12"/>
      <c r="D34" s="37"/>
      <c r="E34" s="11"/>
      <c r="F34" s="11"/>
      <c r="G34" s="11"/>
      <c r="H34" s="11"/>
      <c r="I34" s="11"/>
      <c r="J34" s="11"/>
    </row>
    <row r="35" spans="1:10" x14ac:dyDescent="0.25">
      <c r="A35" s="11"/>
      <c r="B35" s="11"/>
      <c r="C35" s="12"/>
      <c r="D35" s="37"/>
      <c r="E35" s="11"/>
      <c r="F35" s="11"/>
      <c r="G35" s="11"/>
      <c r="H35" s="11"/>
      <c r="I35" s="11"/>
      <c r="J35" s="11"/>
    </row>
    <row r="36" spans="1:10" x14ac:dyDescent="0.25">
      <c r="A36" s="11"/>
      <c r="B36" s="11"/>
      <c r="C36" s="12"/>
      <c r="D36" s="37"/>
      <c r="E36" s="11"/>
      <c r="F36" s="11"/>
      <c r="G36" s="11"/>
      <c r="H36" s="11"/>
      <c r="I36" s="11"/>
      <c r="J36" s="11"/>
    </row>
    <row r="37" spans="1:10" x14ac:dyDescent="0.25">
      <c r="A37" s="11"/>
      <c r="B37" s="11"/>
      <c r="C37" s="12"/>
      <c r="D37" s="37"/>
      <c r="E37" s="11"/>
      <c r="F37" s="11"/>
      <c r="G37" s="11"/>
      <c r="H37" s="11"/>
      <c r="I37" s="11"/>
      <c r="J37" s="11"/>
    </row>
    <row r="38" spans="1:10" x14ac:dyDescent="0.25">
      <c r="A38" s="11"/>
      <c r="B38" s="11"/>
      <c r="C38" s="12"/>
      <c r="D38" s="37"/>
      <c r="E38" s="11"/>
      <c r="F38" s="11"/>
      <c r="G38" s="11"/>
      <c r="H38" s="11"/>
      <c r="I38" s="11"/>
      <c r="J38" s="11"/>
    </row>
    <row r="39" spans="1:10" x14ac:dyDescent="0.25">
      <c r="A39" s="11"/>
      <c r="B39" s="11"/>
      <c r="C39" s="12"/>
      <c r="D39" s="37"/>
      <c r="E39" s="11"/>
      <c r="F39" s="11"/>
      <c r="G39" s="11"/>
      <c r="H39" s="11"/>
      <c r="I39" s="11"/>
      <c r="J39" s="11"/>
    </row>
    <row r="40" spans="1:10" x14ac:dyDescent="0.25">
      <c r="A40" s="11"/>
      <c r="B40" s="11"/>
      <c r="C40" s="12"/>
      <c r="D40" s="37"/>
      <c r="E40" s="11"/>
      <c r="F40" s="11"/>
      <c r="G40" s="11"/>
      <c r="H40" s="11"/>
      <c r="I40" s="11"/>
      <c r="J40" s="11"/>
    </row>
    <row r="41" spans="1:10" x14ac:dyDescent="0.25">
      <c r="A41" s="11"/>
      <c r="B41" s="11"/>
      <c r="C41" s="12"/>
      <c r="D41" s="37"/>
      <c r="E41" s="11"/>
      <c r="F41" s="11"/>
      <c r="G41" s="11"/>
      <c r="H41" s="11"/>
      <c r="I41" s="11"/>
      <c r="J41" s="11"/>
    </row>
    <row r="42" spans="1:10" x14ac:dyDescent="0.25">
      <c r="A42" s="11"/>
      <c r="B42" s="11"/>
      <c r="C42" s="12"/>
      <c r="D42" s="37"/>
      <c r="E42" s="11"/>
      <c r="F42" s="11"/>
      <c r="G42" s="11"/>
      <c r="H42" s="11"/>
      <c r="I42" s="11"/>
      <c r="J42" s="11"/>
    </row>
    <row r="43" spans="1:10" x14ac:dyDescent="0.25">
      <c r="A43" s="11"/>
      <c r="B43" s="11"/>
      <c r="C43" s="12"/>
      <c r="D43" s="37"/>
      <c r="E43" s="11"/>
      <c r="F43" s="11"/>
      <c r="G43" s="11"/>
      <c r="H43" s="11"/>
      <c r="I43" s="11"/>
      <c r="J43" s="11"/>
    </row>
    <row r="44" spans="1:10" x14ac:dyDescent="0.25">
      <c r="A44" s="11"/>
      <c r="B44" s="11"/>
      <c r="C44" s="12"/>
      <c r="D44" s="37"/>
      <c r="E44" s="11"/>
      <c r="F44" s="11"/>
      <c r="G44" s="11"/>
      <c r="H44" s="11"/>
      <c r="I44" s="11"/>
      <c r="J44" s="11"/>
    </row>
    <row r="45" spans="1:10" x14ac:dyDescent="0.25">
      <c r="A45" s="11"/>
      <c r="B45" s="11"/>
      <c r="C45" s="12"/>
      <c r="D45" s="37"/>
      <c r="E45" s="11"/>
      <c r="F45" s="11"/>
      <c r="G45" s="11"/>
      <c r="H45" s="11"/>
      <c r="I45" s="11"/>
      <c r="J45" s="11"/>
    </row>
    <row r="46" spans="1:10" x14ac:dyDescent="0.25">
      <c r="A46" s="11"/>
      <c r="B46" s="11"/>
      <c r="C46" s="12"/>
      <c r="D46" s="37"/>
      <c r="E46" s="11"/>
      <c r="F46" s="11"/>
      <c r="G46" s="11"/>
      <c r="H46" s="11"/>
      <c r="I46" s="11"/>
      <c r="J46" s="11"/>
    </row>
    <row r="47" spans="1:10" x14ac:dyDescent="0.25">
      <c r="A47" s="11"/>
      <c r="B47" s="11"/>
      <c r="C47" s="12"/>
      <c r="D47" s="37"/>
      <c r="E47" s="11"/>
      <c r="F47" s="11"/>
      <c r="G47" s="11"/>
      <c r="H47" s="11"/>
      <c r="I47" s="11"/>
      <c r="J47" s="11"/>
    </row>
    <row r="48" spans="1:10" x14ac:dyDescent="0.25">
      <c r="A48" s="11"/>
      <c r="B48" s="11"/>
      <c r="C48" s="12"/>
      <c r="D48" s="37"/>
      <c r="E48" s="11"/>
      <c r="F48" s="11"/>
      <c r="G48" s="11"/>
      <c r="H48" s="11"/>
      <c r="I48" s="11"/>
      <c r="J48" s="11"/>
    </row>
    <row r="49" spans="1:10" x14ac:dyDescent="0.25">
      <c r="A49" s="11"/>
      <c r="B49" s="11"/>
      <c r="C49" s="12"/>
      <c r="D49" s="37"/>
      <c r="E49" s="11"/>
      <c r="F49" s="11"/>
      <c r="G49" s="11"/>
      <c r="H49" s="11"/>
      <c r="I49" s="11"/>
      <c r="J49" s="11"/>
    </row>
    <row r="50" spans="1:10" x14ac:dyDescent="0.25">
      <c r="A50" s="11"/>
      <c r="B50" s="11"/>
      <c r="C50" s="12"/>
      <c r="D50" s="37"/>
      <c r="E50" s="11"/>
      <c r="F50" s="11"/>
      <c r="G50" s="11"/>
      <c r="H50" s="11"/>
      <c r="I50" s="11"/>
      <c r="J50" s="11"/>
    </row>
    <row r="51" spans="1:10" x14ac:dyDescent="0.25">
      <c r="A51" s="11"/>
      <c r="B51" s="11"/>
      <c r="C51" s="12"/>
      <c r="D51" s="37"/>
      <c r="E51" s="11"/>
      <c r="F51" s="11"/>
      <c r="G51" s="11"/>
      <c r="H51" s="11"/>
      <c r="I51" s="11"/>
      <c r="J51" s="11"/>
    </row>
    <row r="52" spans="1:10" x14ac:dyDescent="0.25">
      <c r="A52" s="11"/>
      <c r="B52" s="11"/>
      <c r="C52" s="12"/>
      <c r="D52" s="37"/>
      <c r="E52" s="11"/>
      <c r="F52" s="11"/>
      <c r="G52" s="11"/>
      <c r="H52" s="11"/>
      <c r="I52" s="11"/>
      <c r="J52" s="11"/>
    </row>
    <row r="53" spans="1:10" x14ac:dyDescent="0.25">
      <c r="A53" s="11"/>
      <c r="B53" s="11"/>
      <c r="C53" s="12"/>
      <c r="D53" s="11"/>
      <c r="E53" s="11"/>
      <c r="F53" s="11"/>
      <c r="G53" s="11"/>
      <c r="H53" s="11"/>
      <c r="I53" s="11"/>
      <c r="J53" s="11"/>
    </row>
    <row r="54" spans="1:10" x14ac:dyDescent="0.25">
      <c r="A54" s="11"/>
      <c r="B54" s="11"/>
      <c r="C54" s="12"/>
      <c r="D54" s="11"/>
      <c r="E54" s="11"/>
      <c r="F54" s="11"/>
      <c r="G54" s="11"/>
      <c r="H54" s="11"/>
      <c r="I54" s="11"/>
      <c r="J54" s="11"/>
    </row>
    <row r="55" spans="1:10" x14ac:dyDescent="0.25">
      <c r="A55" s="11"/>
      <c r="B55" s="11"/>
      <c r="C55" s="12"/>
      <c r="D55" s="11"/>
      <c r="E55" s="11"/>
      <c r="F55" s="11"/>
      <c r="G55" s="11"/>
      <c r="H55" s="11"/>
      <c r="I55" s="11"/>
      <c r="J55" s="11"/>
    </row>
    <row r="56" spans="1:10" x14ac:dyDescent="0.25">
      <c r="A56" s="11"/>
      <c r="B56" s="11"/>
      <c r="C56" s="12"/>
      <c r="D56" s="11"/>
      <c r="E56" s="11"/>
      <c r="F56" s="11"/>
      <c r="G56" s="11"/>
      <c r="H56" s="11"/>
      <c r="I56" s="11"/>
      <c r="J56" s="11"/>
    </row>
    <row r="57" spans="1:10" x14ac:dyDescent="0.25">
      <c r="A57" s="11"/>
      <c r="B57" s="11"/>
      <c r="C57" s="12"/>
      <c r="D57" s="11"/>
      <c r="E57" s="11"/>
      <c r="F57" s="11"/>
      <c r="G57" s="11"/>
      <c r="H57" s="11"/>
      <c r="I57" s="11"/>
      <c r="J57" s="11"/>
    </row>
    <row r="58" spans="1:10" x14ac:dyDescent="0.25">
      <c r="A58" s="11"/>
      <c r="B58" s="11"/>
      <c r="C58" s="12"/>
      <c r="D58" s="11"/>
      <c r="E58" s="11"/>
      <c r="F58" s="11"/>
      <c r="G58" s="11"/>
      <c r="H58" s="11"/>
      <c r="I58" s="11"/>
      <c r="J58" s="11"/>
    </row>
    <row r="59" spans="1:10" x14ac:dyDescent="0.25">
      <c r="A59" s="11"/>
      <c r="B59" s="11"/>
      <c r="C59" s="12"/>
      <c r="D59" s="11"/>
      <c r="E59" s="11"/>
      <c r="F59" s="11"/>
      <c r="G59" s="11"/>
      <c r="H59" s="11"/>
      <c r="I59" s="11"/>
      <c r="J59" s="11"/>
    </row>
    <row r="60" spans="1:10" x14ac:dyDescent="0.25">
      <c r="A60" s="11"/>
      <c r="B60" s="11"/>
      <c r="C60" s="12"/>
      <c r="D60" s="11"/>
      <c r="E60" s="11"/>
      <c r="F60" s="11"/>
      <c r="G60" s="11"/>
      <c r="H60" s="11"/>
      <c r="I60" s="11"/>
      <c r="J60" s="11"/>
    </row>
    <row r="61" spans="1:10" x14ac:dyDescent="0.25">
      <c r="A61" s="11"/>
      <c r="B61" s="11"/>
      <c r="C61" s="12"/>
      <c r="D61" s="11"/>
      <c r="E61" s="11"/>
      <c r="F61" s="11"/>
      <c r="G61" s="11"/>
      <c r="H61" s="11"/>
      <c r="I61" s="11"/>
      <c r="J61" s="11"/>
    </row>
    <row r="62" spans="1:10" x14ac:dyDescent="0.25">
      <c r="A62" s="11"/>
      <c r="B62" s="11"/>
      <c r="C62" s="12"/>
      <c r="D62" s="11"/>
      <c r="E62" s="11"/>
      <c r="F62" s="11"/>
      <c r="G62" s="11"/>
      <c r="H62" s="11"/>
      <c r="I62" s="11"/>
      <c r="J62" s="11"/>
    </row>
    <row r="63" spans="1:10" x14ac:dyDescent="0.25">
      <c r="A63" s="11"/>
      <c r="B63" s="11"/>
      <c r="C63" s="12"/>
      <c r="D63" s="11"/>
      <c r="E63" s="11"/>
      <c r="F63" s="11"/>
      <c r="G63" s="11"/>
      <c r="H63" s="11"/>
      <c r="I63" s="11"/>
      <c r="J63" s="11"/>
    </row>
    <row r="64" spans="1:10" x14ac:dyDescent="0.25">
      <c r="A64" s="11"/>
      <c r="B64" s="11"/>
      <c r="C64" s="12"/>
      <c r="D64" s="11"/>
      <c r="E64" s="11"/>
      <c r="F64" s="11"/>
      <c r="G64" s="11"/>
      <c r="H64" s="11"/>
      <c r="I64" s="11"/>
      <c r="J64" s="11"/>
    </row>
    <row r="65" spans="1:10" x14ac:dyDescent="0.25">
      <c r="A65" s="11"/>
      <c r="B65" s="11"/>
      <c r="C65" s="12"/>
      <c r="D65" s="11"/>
      <c r="E65" s="11"/>
      <c r="F65" s="11"/>
      <c r="G65" s="11"/>
      <c r="H65" s="11"/>
      <c r="I65" s="11"/>
      <c r="J65" s="11"/>
    </row>
    <row r="66" spans="1:10" x14ac:dyDescent="0.25">
      <c r="A66" s="11"/>
      <c r="B66" s="11"/>
      <c r="C66" s="12"/>
      <c r="D66" s="11"/>
      <c r="E66" s="11"/>
      <c r="F66" s="11"/>
      <c r="G66" s="11"/>
      <c r="H66" s="11"/>
      <c r="I66" s="11"/>
      <c r="J66" s="11"/>
    </row>
    <row r="67" spans="1:10" x14ac:dyDescent="0.25">
      <c r="A67" s="11"/>
      <c r="B67" s="11"/>
      <c r="C67" s="12"/>
      <c r="D67" s="11"/>
      <c r="E67" s="11"/>
      <c r="F67" s="11"/>
      <c r="G67" s="11"/>
      <c r="H67" s="11"/>
      <c r="I67" s="11"/>
      <c r="J67" s="11"/>
    </row>
    <row r="68" spans="1:10" x14ac:dyDescent="0.25">
      <c r="A68" s="11"/>
      <c r="B68" s="11"/>
      <c r="C68" s="12"/>
      <c r="D68" s="11"/>
      <c r="E68" s="11"/>
      <c r="F68" s="11"/>
      <c r="G68" s="11"/>
      <c r="H68" s="11"/>
      <c r="I68" s="11"/>
      <c r="J68" s="11"/>
    </row>
    <row r="69" spans="1:10" x14ac:dyDescent="0.25">
      <c r="A69" s="11"/>
      <c r="B69" s="11"/>
      <c r="C69" s="12"/>
      <c r="D69" s="11"/>
      <c r="E69" s="11"/>
      <c r="F69" s="11"/>
      <c r="G69" s="11"/>
      <c r="H69" s="11"/>
      <c r="I69" s="11"/>
      <c r="J69" s="11"/>
    </row>
    <row r="70" spans="1:10" x14ac:dyDescent="0.25">
      <c r="A70" s="11"/>
      <c r="B70" s="11"/>
      <c r="C70" s="12"/>
      <c r="D70" s="11"/>
      <c r="E70" s="11"/>
      <c r="F70" s="11"/>
      <c r="G70" s="11"/>
      <c r="H70" s="11"/>
      <c r="I70" s="11"/>
      <c r="J70" s="11"/>
    </row>
    <row r="71" spans="1:10" x14ac:dyDescent="0.25">
      <c r="A71" s="11"/>
      <c r="B71" s="11"/>
      <c r="C71" s="12"/>
      <c r="D71" s="11"/>
      <c r="E71" s="11"/>
      <c r="F71" s="11"/>
      <c r="G71" s="11"/>
      <c r="H71" s="11"/>
      <c r="I71" s="11"/>
      <c r="J71" s="11"/>
    </row>
    <row r="72" spans="1:10" x14ac:dyDescent="0.25">
      <c r="A72" s="11"/>
      <c r="B72" s="11"/>
      <c r="C72" s="12"/>
      <c r="D72" s="11"/>
      <c r="E72" s="11"/>
      <c r="F72" s="11"/>
      <c r="G72" s="11"/>
      <c r="H72" s="11"/>
      <c r="I72" s="11"/>
      <c r="J72" s="11"/>
    </row>
    <row r="73" spans="1:10" x14ac:dyDescent="0.25">
      <c r="A73" s="11"/>
      <c r="B73" s="11"/>
      <c r="C73" s="12"/>
      <c r="D73" s="11"/>
      <c r="E73" s="11"/>
      <c r="F73" s="11"/>
      <c r="G73" s="11"/>
      <c r="H73" s="11"/>
      <c r="I73" s="11"/>
      <c r="J73" s="11"/>
    </row>
    <row r="74" spans="1:10" x14ac:dyDescent="0.25">
      <c r="A74" s="11"/>
      <c r="B74" s="11"/>
      <c r="C74" s="12"/>
      <c r="D74" s="11"/>
      <c r="E74" s="11"/>
      <c r="F74" s="11"/>
      <c r="G74" s="11"/>
      <c r="H74" s="11"/>
      <c r="I74" s="11"/>
      <c r="J74" s="11"/>
    </row>
    <row r="75" spans="1:10" x14ac:dyDescent="0.25">
      <c r="A75" s="11"/>
      <c r="B75" s="11"/>
      <c r="C75" s="12"/>
      <c r="D75" s="11"/>
      <c r="E75" s="11"/>
      <c r="F75" s="11"/>
      <c r="G75" s="11"/>
      <c r="H75" s="11"/>
      <c r="I75" s="11"/>
      <c r="J75" s="11"/>
    </row>
    <row r="76" spans="1:10" x14ac:dyDescent="0.25">
      <c r="A76" s="11"/>
      <c r="B76" s="11"/>
      <c r="C76" s="12"/>
      <c r="D76" s="11"/>
      <c r="E76" s="11"/>
      <c r="F76" s="11"/>
      <c r="G76" s="11"/>
      <c r="H76" s="11"/>
      <c r="I76" s="11"/>
      <c r="J76" s="11"/>
    </row>
    <row r="77" spans="1:10" x14ac:dyDescent="0.25">
      <c r="A77" s="11"/>
      <c r="B77" s="11"/>
      <c r="C77" s="12"/>
      <c r="D77" s="11"/>
      <c r="E77" s="11"/>
      <c r="F77" s="11"/>
      <c r="G77" s="11"/>
      <c r="H77" s="11"/>
      <c r="I77" s="11"/>
      <c r="J77" s="11"/>
    </row>
    <row r="78" spans="1:10" x14ac:dyDescent="0.25">
      <c r="A78" s="11"/>
      <c r="B78" s="11"/>
      <c r="C78" s="12"/>
      <c r="D78" s="11"/>
      <c r="E78" s="11"/>
      <c r="F78" s="11"/>
      <c r="G78" s="11"/>
      <c r="H78" s="11"/>
      <c r="I78" s="11"/>
      <c r="J78" s="11"/>
    </row>
    <row r="79" spans="1:10" x14ac:dyDescent="0.25">
      <c r="A79" s="11"/>
      <c r="B79" s="11"/>
      <c r="C79" s="12"/>
      <c r="D79" s="11"/>
      <c r="E79" s="11"/>
      <c r="F79" s="11"/>
      <c r="G79" s="11"/>
      <c r="H79" s="11"/>
      <c r="I79" s="11"/>
      <c r="J79" s="11"/>
    </row>
    <row r="80" spans="1:10" x14ac:dyDescent="0.25">
      <c r="A80" s="11"/>
      <c r="B80" s="11"/>
      <c r="C80" s="12"/>
      <c r="D80" s="11"/>
      <c r="E80" s="11"/>
      <c r="F80" s="11"/>
      <c r="G80" s="11"/>
      <c r="H80" s="11"/>
      <c r="I80" s="11"/>
      <c r="J80" s="11"/>
    </row>
    <row r="81" spans="1:10" x14ac:dyDescent="0.25">
      <c r="A81" s="11"/>
      <c r="B81" s="11"/>
      <c r="C81" s="12"/>
      <c r="D81" s="11"/>
      <c r="E81" s="11"/>
      <c r="F81" s="11"/>
      <c r="G81" s="11"/>
      <c r="H81" s="11"/>
      <c r="I81" s="11"/>
      <c r="J81" s="11"/>
    </row>
    <row r="82" spans="1:10" x14ac:dyDescent="0.25">
      <c r="A82" s="11"/>
      <c r="B82" s="11"/>
      <c r="C82" s="12"/>
      <c r="D82" s="11"/>
      <c r="E82" s="11"/>
      <c r="F82" s="11"/>
      <c r="G82" s="11"/>
      <c r="H82" s="11"/>
      <c r="I82" s="11"/>
      <c r="J82" s="11"/>
    </row>
    <row r="83" spans="1:10" x14ac:dyDescent="0.25">
      <c r="A83" s="11"/>
      <c r="B83" s="11"/>
      <c r="C83" s="12"/>
      <c r="D83" s="11"/>
      <c r="E83" s="11"/>
      <c r="F83" s="11"/>
      <c r="G83" s="11"/>
      <c r="H83" s="11"/>
      <c r="I83" s="11"/>
      <c r="J83" s="11"/>
    </row>
    <row r="84" spans="1:10" x14ac:dyDescent="0.25">
      <c r="A84" s="11"/>
      <c r="B84" s="11"/>
      <c r="C84" s="12"/>
      <c r="D84" s="11"/>
      <c r="E84" s="11"/>
      <c r="F84" s="11"/>
      <c r="G84" s="11"/>
      <c r="H84" s="11"/>
      <c r="I84" s="11"/>
      <c r="J84" s="11"/>
    </row>
    <row r="85" spans="1:10" x14ac:dyDescent="0.25">
      <c r="A85" s="11"/>
      <c r="B85" s="11"/>
      <c r="C85" s="12"/>
      <c r="D85" s="11"/>
      <c r="E85" s="11"/>
      <c r="F85" s="11"/>
      <c r="G85" s="11"/>
      <c r="H85" s="11"/>
      <c r="I85" s="11"/>
      <c r="J85" s="11"/>
    </row>
    <row r="86" spans="1:10" x14ac:dyDescent="0.25">
      <c r="A86" s="11"/>
      <c r="B86" s="11"/>
      <c r="C86" s="12"/>
      <c r="D86" s="11"/>
      <c r="E86" s="11"/>
      <c r="F86" s="11"/>
      <c r="G86" s="11"/>
      <c r="H86" s="11"/>
      <c r="I86" s="11"/>
      <c r="J86" s="11"/>
    </row>
    <row r="87" spans="1:10" x14ac:dyDescent="0.25">
      <c r="A87" s="11"/>
      <c r="B87" s="11"/>
      <c r="C87" s="12"/>
      <c r="D87" s="11"/>
      <c r="E87" s="11"/>
      <c r="F87" s="11"/>
      <c r="G87" s="11"/>
      <c r="H87" s="11"/>
      <c r="I87" s="11"/>
      <c r="J87" s="11"/>
    </row>
    <row r="88" spans="1:10" x14ac:dyDescent="0.25">
      <c r="A88" s="11"/>
      <c r="B88" s="11"/>
      <c r="C88" s="12"/>
      <c r="D88" s="11"/>
      <c r="E88" s="11"/>
      <c r="F88" s="11"/>
      <c r="G88" s="11"/>
      <c r="H88" s="11"/>
      <c r="I88" s="11"/>
      <c r="J88" s="11"/>
    </row>
    <row r="89" spans="1:10" x14ac:dyDescent="0.25">
      <c r="A89" s="11"/>
      <c r="B89" s="11"/>
      <c r="C89" s="12"/>
      <c r="D89" s="11"/>
      <c r="E89" s="11"/>
      <c r="F89" s="11"/>
      <c r="G89" s="11"/>
      <c r="H89" s="11"/>
      <c r="I89" s="11"/>
      <c r="J89" s="11"/>
    </row>
    <row r="90" spans="1:10" x14ac:dyDescent="0.25">
      <c r="A90" s="11"/>
      <c r="B90" s="11"/>
      <c r="C90" s="12"/>
      <c r="D90" s="11"/>
      <c r="E90" s="11"/>
      <c r="F90" s="11"/>
      <c r="G90" s="11"/>
      <c r="H90" s="11"/>
      <c r="I90" s="11"/>
      <c r="J90" s="11"/>
    </row>
    <row r="91" spans="1:10" x14ac:dyDescent="0.25">
      <c r="A91" s="11"/>
      <c r="B91" s="11"/>
      <c r="C91" s="12"/>
      <c r="D91" s="11"/>
      <c r="E91" s="11"/>
      <c r="F91" s="11"/>
      <c r="G91" s="11"/>
      <c r="H91" s="11"/>
      <c r="I91" s="11"/>
      <c r="J91" s="11"/>
    </row>
    <row r="92" spans="1:10" x14ac:dyDescent="0.25">
      <c r="A92" s="11"/>
      <c r="B92" s="11"/>
      <c r="C92" s="12"/>
      <c r="D92" s="11"/>
      <c r="E92" s="11"/>
      <c r="F92" s="11"/>
      <c r="G92" s="11"/>
      <c r="H92" s="11"/>
      <c r="I92" s="11"/>
      <c r="J92" s="11"/>
    </row>
    <row r="93" spans="1:10" x14ac:dyDescent="0.25">
      <c r="A93" s="11"/>
      <c r="B93" s="11"/>
      <c r="C93" s="12"/>
      <c r="D93" s="11"/>
      <c r="E93" s="11"/>
      <c r="F93" s="11"/>
      <c r="G93" s="11"/>
      <c r="H93" s="11"/>
      <c r="I93" s="11"/>
      <c r="J93" s="11"/>
    </row>
    <row r="94" spans="1:10" x14ac:dyDescent="0.25">
      <c r="A94" s="11"/>
      <c r="B94" s="11"/>
      <c r="C94" s="12"/>
      <c r="D94" s="11"/>
      <c r="E94" s="11"/>
      <c r="F94" s="11"/>
      <c r="G94" s="11"/>
      <c r="H94" s="11"/>
      <c r="I94" s="11"/>
      <c r="J94" s="11"/>
    </row>
    <row r="95" spans="1:10" x14ac:dyDescent="0.25">
      <c r="A95" s="11"/>
      <c r="B95" s="11"/>
      <c r="C95" s="12"/>
      <c r="D95" s="11"/>
      <c r="E95" s="11"/>
      <c r="F95" s="11"/>
      <c r="G95" s="11"/>
      <c r="H95" s="11"/>
      <c r="I95" s="11"/>
      <c r="J95" s="11"/>
    </row>
    <row r="96" spans="1:10" x14ac:dyDescent="0.25">
      <c r="A96" s="11"/>
      <c r="B96" s="11"/>
      <c r="C96" s="12"/>
      <c r="D96" s="11"/>
      <c r="E96" s="11"/>
      <c r="F96" s="11"/>
      <c r="G96" s="11"/>
      <c r="H96" s="11"/>
      <c r="I96" s="11"/>
      <c r="J96" s="11"/>
    </row>
    <row r="97" spans="1:10" x14ac:dyDescent="0.25">
      <c r="A97" s="11"/>
      <c r="B97" s="11"/>
      <c r="C97" s="12"/>
      <c r="D97" s="11"/>
      <c r="E97" s="11"/>
      <c r="F97" s="11"/>
      <c r="G97" s="11"/>
      <c r="H97" s="11"/>
      <c r="I97" s="11"/>
      <c r="J97" s="11"/>
    </row>
    <row r="98" spans="1:10" x14ac:dyDescent="0.25">
      <c r="A98" s="11"/>
      <c r="B98" s="11"/>
      <c r="C98" s="12"/>
      <c r="D98" s="11"/>
      <c r="E98" s="11"/>
      <c r="F98" s="11"/>
      <c r="G98" s="11"/>
      <c r="H98" s="11"/>
      <c r="I98" s="11"/>
      <c r="J98" s="11"/>
    </row>
    <row r="99" spans="1:10" x14ac:dyDescent="0.25">
      <c r="A99" s="11"/>
      <c r="B99" s="11"/>
      <c r="C99" s="12"/>
      <c r="D99" s="11"/>
      <c r="E99" s="11"/>
      <c r="F99" s="11"/>
      <c r="G99" s="11"/>
      <c r="H99" s="11"/>
      <c r="I99" s="11"/>
      <c r="J99" s="11"/>
    </row>
    <row r="100" spans="1:10" x14ac:dyDescent="0.25">
      <c r="A100" s="11"/>
      <c r="B100" s="11"/>
      <c r="C100" s="12"/>
      <c r="D100" s="11"/>
      <c r="E100" s="11"/>
      <c r="F100" s="11"/>
      <c r="G100" s="11"/>
      <c r="H100" s="11"/>
      <c r="I100" s="11"/>
      <c r="J100" s="11"/>
    </row>
    <row r="101" spans="1:10" x14ac:dyDescent="0.25">
      <c r="A101" s="11"/>
      <c r="B101" s="11"/>
      <c r="C101" s="12"/>
      <c r="D101" s="11"/>
      <c r="E101" s="11"/>
      <c r="F101" s="11"/>
      <c r="G101" s="11"/>
      <c r="H101" s="11"/>
      <c r="I101" s="11"/>
      <c r="J101" s="11"/>
    </row>
    <row r="102" spans="1:10" x14ac:dyDescent="0.25">
      <c r="A102" s="11"/>
      <c r="B102" s="11"/>
      <c r="C102" s="12"/>
      <c r="D102" s="11"/>
      <c r="E102" s="11"/>
      <c r="F102" s="11"/>
      <c r="G102" s="11"/>
      <c r="H102" s="11"/>
      <c r="I102" s="11"/>
      <c r="J102" s="11"/>
    </row>
    <row r="103" spans="1:10" x14ac:dyDescent="0.25">
      <c r="A103" s="11"/>
      <c r="B103" s="11"/>
      <c r="C103" s="12"/>
      <c r="D103" s="11"/>
      <c r="E103" s="11"/>
      <c r="F103" s="11"/>
      <c r="G103" s="11"/>
      <c r="H103" s="11"/>
      <c r="I103" s="11"/>
      <c r="J103" s="11"/>
    </row>
    <row r="104" spans="1:10" x14ac:dyDescent="0.25">
      <c r="A104" s="11"/>
      <c r="B104" s="11"/>
      <c r="C104" s="12"/>
      <c r="D104" s="11"/>
      <c r="E104" s="11"/>
      <c r="F104" s="11"/>
      <c r="G104" s="11"/>
      <c r="H104" s="11"/>
      <c r="I104" s="11"/>
      <c r="J104" s="11"/>
    </row>
    <row r="105" spans="1:10" x14ac:dyDescent="0.25">
      <c r="A105" s="11"/>
      <c r="B105" s="11"/>
      <c r="C105" s="12"/>
      <c r="D105" s="11"/>
      <c r="E105" s="11"/>
      <c r="F105" s="11"/>
      <c r="G105" s="11"/>
      <c r="H105" s="11"/>
      <c r="I105" s="11"/>
      <c r="J105" s="11"/>
    </row>
    <row r="106" spans="1:10" x14ac:dyDescent="0.25">
      <c r="A106" s="11"/>
      <c r="B106" s="11"/>
      <c r="C106" s="12"/>
      <c r="D106" s="11"/>
      <c r="E106" s="11"/>
      <c r="F106" s="11"/>
      <c r="G106" s="11"/>
      <c r="H106" s="11"/>
      <c r="I106" s="11"/>
      <c r="J106" s="11"/>
    </row>
    <row r="107" spans="1:10" x14ac:dyDescent="0.25">
      <c r="A107" s="11"/>
      <c r="B107" s="11"/>
      <c r="C107" s="12"/>
      <c r="D107" s="11"/>
      <c r="E107" s="11"/>
      <c r="F107" s="11"/>
      <c r="G107" s="11"/>
      <c r="H107" s="11"/>
      <c r="I107" s="11"/>
      <c r="J107" s="11"/>
    </row>
    <row r="108" spans="1:10" x14ac:dyDescent="0.25">
      <c r="A108" s="11"/>
      <c r="B108" s="11"/>
      <c r="C108" s="12"/>
      <c r="D108" s="11"/>
      <c r="E108" s="11"/>
      <c r="F108" s="11"/>
      <c r="G108" s="11"/>
      <c r="H108" s="11"/>
      <c r="I108" s="11"/>
      <c r="J108" s="11"/>
    </row>
    <row r="109" spans="1:10" x14ac:dyDescent="0.25">
      <c r="A109" s="11"/>
      <c r="B109" s="11"/>
      <c r="C109" s="12"/>
      <c r="D109" s="11"/>
      <c r="E109" s="11"/>
      <c r="F109" s="11"/>
      <c r="G109" s="11"/>
      <c r="H109" s="11"/>
      <c r="I109" s="11"/>
      <c r="J109" s="11"/>
    </row>
    <row r="110" spans="1:10" x14ac:dyDescent="0.25">
      <c r="A110" s="11"/>
      <c r="B110" s="11"/>
      <c r="C110" s="12"/>
      <c r="D110" s="11"/>
      <c r="E110" s="11"/>
      <c r="F110" s="11"/>
      <c r="G110" s="11"/>
      <c r="H110" s="11"/>
      <c r="I110" s="11"/>
      <c r="J110" s="11"/>
    </row>
    <row r="111" spans="1:10" x14ac:dyDescent="0.25">
      <c r="A111" s="11"/>
      <c r="B111" s="11"/>
      <c r="C111" s="12"/>
      <c r="D111" s="11"/>
      <c r="E111" s="11"/>
      <c r="F111" s="11"/>
      <c r="G111" s="11"/>
      <c r="H111" s="11"/>
      <c r="I111" s="11"/>
      <c r="J111" s="11"/>
    </row>
    <row r="112" spans="1:10" x14ac:dyDescent="0.25">
      <c r="A112" s="11"/>
      <c r="B112" s="11"/>
      <c r="C112" s="12"/>
      <c r="D112" s="11"/>
      <c r="E112" s="11"/>
      <c r="F112" s="11"/>
      <c r="G112" s="11"/>
      <c r="H112" s="11"/>
      <c r="I112" s="11"/>
      <c r="J112" s="11"/>
    </row>
    <row r="113" spans="1:10" x14ac:dyDescent="0.25">
      <c r="A113" s="11"/>
      <c r="B113" s="11"/>
      <c r="C113" s="12"/>
      <c r="D113" s="11"/>
      <c r="E113" s="11"/>
      <c r="F113" s="11"/>
      <c r="G113" s="11"/>
      <c r="H113" s="11"/>
      <c r="I113" s="11"/>
      <c r="J113" s="11"/>
    </row>
    <row r="114" spans="1:10" x14ac:dyDescent="0.25">
      <c r="A114" s="11"/>
      <c r="B114" s="11"/>
      <c r="C114" s="12"/>
      <c r="D114" s="11"/>
      <c r="E114" s="11"/>
      <c r="F114" s="11"/>
      <c r="G114" s="11"/>
      <c r="H114" s="11"/>
      <c r="I114" s="11"/>
      <c r="J114" s="11"/>
    </row>
    <row r="115" spans="1:10" x14ac:dyDescent="0.25">
      <c r="A115" s="11"/>
      <c r="B115" s="11"/>
      <c r="C115" s="12"/>
      <c r="D115" s="11"/>
      <c r="E115" s="11"/>
      <c r="F115" s="11"/>
      <c r="G115" s="11"/>
      <c r="H115" s="11"/>
      <c r="I115" s="11"/>
      <c r="J115" s="11"/>
    </row>
    <row r="116" spans="1:10" x14ac:dyDescent="0.25">
      <c r="A116" s="11"/>
      <c r="B116" s="11"/>
      <c r="C116" s="12"/>
      <c r="D116" s="11"/>
      <c r="E116" s="11"/>
      <c r="F116" s="11"/>
      <c r="G116" s="11"/>
      <c r="H116" s="11"/>
      <c r="I116" s="11"/>
      <c r="J116" s="11"/>
    </row>
    <row r="117" spans="1:10" x14ac:dyDescent="0.25">
      <c r="A117" s="11"/>
      <c r="B117" s="11"/>
      <c r="C117" s="12"/>
      <c r="D117" s="11"/>
      <c r="E117" s="11"/>
      <c r="F117" s="11"/>
      <c r="G117" s="11"/>
      <c r="H117" s="11"/>
      <c r="I117" s="11"/>
      <c r="J117" s="11"/>
    </row>
    <row r="118" spans="1:10" x14ac:dyDescent="0.25">
      <c r="A118" s="11"/>
      <c r="B118" s="11"/>
      <c r="C118" s="12"/>
      <c r="D118" s="11"/>
      <c r="E118" s="11"/>
      <c r="F118" s="11"/>
      <c r="G118" s="11"/>
      <c r="H118" s="11"/>
      <c r="I118" s="11"/>
      <c r="J118" s="11"/>
    </row>
    <row r="119" spans="1:10" x14ac:dyDescent="0.25">
      <c r="A119" s="11"/>
      <c r="B119" s="11"/>
      <c r="C119" s="12"/>
      <c r="D119" s="11"/>
      <c r="E119" s="11"/>
      <c r="F119" s="11"/>
      <c r="G119" s="11"/>
      <c r="H119" s="11"/>
      <c r="I119" s="11"/>
      <c r="J119" s="11"/>
    </row>
    <row r="120" spans="1:10" x14ac:dyDescent="0.25">
      <c r="A120" s="11"/>
      <c r="B120" s="11"/>
      <c r="C120" s="12"/>
      <c r="D120" s="11"/>
      <c r="E120" s="11"/>
      <c r="F120" s="11"/>
      <c r="G120" s="11"/>
      <c r="H120" s="11"/>
      <c r="I120" s="11"/>
      <c r="J120" s="11"/>
    </row>
    <row r="121" spans="1:10" x14ac:dyDescent="0.25">
      <c r="A121" s="11"/>
      <c r="B121" s="11"/>
      <c r="C121" s="12"/>
      <c r="D121" s="11"/>
      <c r="E121" s="11"/>
      <c r="F121" s="11"/>
      <c r="G121" s="11"/>
      <c r="H121" s="11"/>
      <c r="I121" s="11"/>
      <c r="J121" s="11"/>
    </row>
    <row r="122" spans="1:10" x14ac:dyDescent="0.25">
      <c r="A122" s="11"/>
      <c r="B122" s="11"/>
      <c r="C122" s="12"/>
      <c r="D122" s="11"/>
      <c r="E122" s="11"/>
      <c r="F122" s="11"/>
      <c r="G122" s="11"/>
      <c r="H122" s="11"/>
      <c r="I122" s="11"/>
      <c r="J122" s="11"/>
    </row>
    <row r="123" spans="1:10" x14ac:dyDescent="0.25">
      <c r="A123" s="11"/>
      <c r="B123" s="11"/>
      <c r="C123" s="12"/>
      <c r="D123" s="11"/>
      <c r="E123" s="11"/>
      <c r="F123" s="11"/>
      <c r="G123" s="11"/>
      <c r="H123" s="11"/>
      <c r="I123" s="11"/>
      <c r="J123" s="11"/>
    </row>
    <row r="124" spans="1:10" x14ac:dyDescent="0.25">
      <c r="A124" s="11"/>
      <c r="B124" s="11"/>
      <c r="C124" s="12"/>
      <c r="D124" s="11"/>
      <c r="E124" s="11"/>
      <c r="F124" s="11"/>
      <c r="G124" s="11"/>
      <c r="H124" s="11"/>
      <c r="I124" s="11"/>
      <c r="J124" s="11"/>
    </row>
  </sheetData>
  <sheetProtection sort="0" autoFilter="0"/>
  <mergeCells count="2">
    <mergeCell ref="A2:I2"/>
    <mergeCell ref="A1:I1"/>
  </mergeCells>
  <printOptions horizontalCentered="1"/>
  <pageMargins left="0.3" right="0.3" top="0.4" bottom="0.4" header="0.2" footer="0.2"/>
  <pageSetup paperSize="9" scale="89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S303"/>
  <sheetViews>
    <sheetView showGridLines="0" zoomScale="70" zoomScaleNormal="70" workbookViewId="0">
      <pane ySplit="4" topLeftCell="A5" activePane="bottomLeft" state="frozen"/>
      <selection pane="bottomLeft" activeCell="W17" sqref="W17"/>
    </sheetView>
  </sheetViews>
  <sheetFormatPr defaultColWidth="9.140625" defaultRowHeight="15" x14ac:dyDescent="0.25"/>
  <cols>
    <col min="1" max="1" width="24" customWidth="1"/>
    <col min="2" max="3" width="14" customWidth="1"/>
    <col min="4" max="4" width="12" customWidth="1"/>
    <col min="5" max="5" width="18" customWidth="1"/>
    <col min="6" max="6" width="14" customWidth="1"/>
    <col min="7" max="9" width="10" customWidth="1"/>
    <col min="10" max="10" width="12" customWidth="1"/>
    <col min="11" max="11" width="34" customWidth="1"/>
    <col min="12" max="13" width="12" customWidth="1"/>
    <col min="14" max="14" width="14" customWidth="1"/>
    <col min="15" max="15" width="20" customWidth="1"/>
    <col min="16" max="16" width="24" customWidth="1"/>
    <col min="17" max="17" width="14" customWidth="1"/>
    <col min="18" max="18" width="16.7109375" customWidth="1"/>
    <col min="19" max="19" width="29.28515625" customWidth="1"/>
  </cols>
  <sheetData>
    <row r="1" spans="1:19" ht="18.75" x14ac:dyDescent="0.25">
      <c r="A1" s="64" t="s">
        <v>3891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7"/>
    </row>
    <row r="2" spans="1:19" x14ac:dyDescent="0.25">
      <c r="A2" s="61" t="s">
        <v>3892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4" spans="1:19" ht="25.5" x14ac:dyDescent="0.25">
      <c r="A4" s="6" t="s">
        <v>36</v>
      </c>
      <c r="B4" s="6" t="s">
        <v>71</v>
      </c>
      <c r="C4" s="6" t="s">
        <v>14</v>
      </c>
      <c r="D4" s="6" t="s">
        <v>15</v>
      </c>
      <c r="E4" s="6" t="s">
        <v>16</v>
      </c>
      <c r="F4" s="6" t="s">
        <v>32</v>
      </c>
      <c r="G4" s="6" t="s">
        <v>33</v>
      </c>
      <c r="H4" s="6" t="s">
        <v>42</v>
      </c>
      <c r="I4" s="6" t="s">
        <v>43</v>
      </c>
      <c r="J4" s="6" t="s">
        <v>38</v>
      </c>
      <c r="K4" s="6" t="s">
        <v>106</v>
      </c>
      <c r="L4" s="6" t="s">
        <v>3021</v>
      </c>
      <c r="M4" s="6" t="s">
        <v>3022</v>
      </c>
      <c r="N4" s="6" t="s">
        <v>3023</v>
      </c>
      <c r="O4" s="6" t="s">
        <v>3024</v>
      </c>
      <c r="P4" s="6" t="s">
        <v>79</v>
      </c>
      <c r="Q4" s="6" t="s">
        <v>3893</v>
      </c>
      <c r="R4" s="8" t="s">
        <v>74</v>
      </c>
      <c r="S4" s="8" t="s">
        <v>3026</v>
      </c>
    </row>
    <row r="5" spans="1:19" x14ac:dyDescent="0.25">
      <c r="A5" s="3" t="s">
        <v>159</v>
      </c>
      <c r="B5" s="4">
        <v>46113</v>
      </c>
      <c r="C5" s="3" t="s">
        <v>24</v>
      </c>
      <c r="D5" s="3" t="s">
        <v>25</v>
      </c>
      <c r="E5" s="3">
        <v>13</v>
      </c>
      <c r="F5" s="3">
        <v>605</v>
      </c>
      <c r="G5" s="3" t="s">
        <v>34</v>
      </c>
      <c r="H5" s="3" t="s">
        <v>150</v>
      </c>
      <c r="I5" s="3" t="s">
        <v>512</v>
      </c>
      <c r="J5" s="3">
        <v>3423</v>
      </c>
      <c r="K5" s="3" t="s">
        <v>162</v>
      </c>
      <c r="L5" s="3">
        <v>6.9444444444444441E-3</v>
      </c>
      <c r="M5" s="3">
        <v>2.4305555555555556E-2</v>
      </c>
      <c r="N5" s="3"/>
      <c r="O5" s="3"/>
      <c r="P5" s="3"/>
      <c r="Q5" s="3" t="s">
        <v>117</v>
      </c>
      <c r="R5" s="13" t="s">
        <v>3032</v>
      </c>
    </row>
    <row r="6" spans="1:19" x14ac:dyDescent="0.25">
      <c r="A6" t="s">
        <v>159</v>
      </c>
      <c r="B6" s="24">
        <v>46113</v>
      </c>
      <c r="C6" t="s">
        <v>24</v>
      </c>
      <c r="D6" t="s">
        <v>25</v>
      </c>
      <c r="E6">
        <v>13</v>
      </c>
      <c r="F6">
        <v>605</v>
      </c>
      <c r="G6" t="s">
        <v>34</v>
      </c>
      <c r="H6" t="s">
        <v>147</v>
      </c>
      <c r="I6" t="s">
        <v>115</v>
      </c>
      <c r="J6">
        <v>3980</v>
      </c>
      <c r="K6" t="s">
        <v>167</v>
      </c>
      <c r="L6">
        <v>0.79861111111111116</v>
      </c>
      <c r="M6">
        <v>0.8125</v>
      </c>
      <c r="Q6" t="s">
        <v>117</v>
      </c>
      <c r="R6" t="s">
        <v>3032</v>
      </c>
    </row>
    <row r="7" spans="1:19" x14ac:dyDescent="0.25">
      <c r="A7" t="s">
        <v>159</v>
      </c>
      <c r="B7" s="24">
        <v>46113</v>
      </c>
      <c r="C7" t="s">
        <v>24</v>
      </c>
      <c r="D7" t="s">
        <v>25</v>
      </c>
      <c r="E7">
        <v>13</v>
      </c>
      <c r="F7">
        <v>605</v>
      </c>
      <c r="G7" t="s">
        <v>34</v>
      </c>
      <c r="H7" t="s">
        <v>150</v>
      </c>
      <c r="I7" t="s">
        <v>115</v>
      </c>
      <c r="J7">
        <v>3981</v>
      </c>
      <c r="K7" t="s">
        <v>172</v>
      </c>
      <c r="L7">
        <v>0.75</v>
      </c>
      <c r="M7">
        <v>0.76388888888888884</v>
      </c>
      <c r="Q7" t="s">
        <v>117</v>
      </c>
      <c r="R7" t="s">
        <v>3032</v>
      </c>
    </row>
    <row r="8" spans="1:19" x14ac:dyDescent="0.25">
      <c r="A8" t="s">
        <v>159</v>
      </c>
      <c r="B8" s="24">
        <v>46113</v>
      </c>
      <c r="C8" t="s">
        <v>24</v>
      </c>
      <c r="D8" t="s">
        <v>25</v>
      </c>
      <c r="E8">
        <v>13</v>
      </c>
      <c r="F8">
        <v>605</v>
      </c>
      <c r="G8" t="s">
        <v>34</v>
      </c>
      <c r="H8" t="s">
        <v>114</v>
      </c>
      <c r="I8" t="s">
        <v>115</v>
      </c>
      <c r="J8">
        <v>3984</v>
      </c>
      <c r="K8" t="s">
        <v>177</v>
      </c>
      <c r="L8">
        <v>0.76736111111111116</v>
      </c>
      <c r="M8">
        <v>0.78125</v>
      </c>
      <c r="Q8" t="s">
        <v>117</v>
      </c>
      <c r="R8" t="s">
        <v>3032</v>
      </c>
    </row>
    <row r="9" spans="1:19" x14ac:dyDescent="0.25">
      <c r="A9" t="s">
        <v>159</v>
      </c>
      <c r="B9" s="24">
        <v>46113</v>
      </c>
      <c r="C9" t="s">
        <v>24</v>
      </c>
      <c r="D9" t="s">
        <v>25</v>
      </c>
      <c r="E9">
        <v>13</v>
      </c>
      <c r="F9">
        <v>605</v>
      </c>
      <c r="G9" t="s">
        <v>34</v>
      </c>
      <c r="H9" t="s">
        <v>1672</v>
      </c>
      <c r="I9" t="s">
        <v>498</v>
      </c>
      <c r="J9">
        <v>4007</v>
      </c>
      <c r="K9" t="s">
        <v>182</v>
      </c>
      <c r="L9">
        <v>0.33750000000000002</v>
      </c>
      <c r="M9">
        <v>0.35694444444444445</v>
      </c>
      <c r="Q9" t="s">
        <v>117</v>
      </c>
      <c r="R9" t="s">
        <v>3032</v>
      </c>
    </row>
    <row r="10" spans="1:19" x14ac:dyDescent="0.25">
      <c r="A10" t="s">
        <v>159</v>
      </c>
      <c r="B10" s="24">
        <v>46113</v>
      </c>
      <c r="C10" t="s">
        <v>24</v>
      </c>
      <c r="D10" t="s">
        <v>25</v>
      </c>
      <c r="E10">
        <v>13</v>
      </c>
      <c r="F10">
        <v>605</v>
      </c>
      <c r="G10" t="s">
        <v>34</v>
      </c>
      <c r="H10" t="s">
        <v>1672</v>
      </c>
      <c r="I10" t="s">
        <v>115</v>
      </c>
      <c r="J10">
        <v>4052</v>
      </c>
      <c r="K10" t="s">
        <v>186</v>
      </c>
      <c r="L10">
        <v>0.72916666666666663</v>
      </c>
      <c r="M10">
        <v>0.74652777777777779</v>
      </c>
      <c r="Q10" t="s">
        <v>117</v>
      </c>
      <c r="R10" t="s">
        <v>3032</v>
      </c>
    </row>
    <row r="11" spans="1:19" x14ac:dyDescent="0.25">
      <c r="A11" t="s">
        <v>159</v>
      </c>
      <c r="B11" s="24">
        <v>46113</v>
      </c>
      <c r="C11" t="s">
        <v>24</v>
      </c>
      <c r="D11" t="s">
        <v>25</v>
      </c>
      <c r="E11">
        <v>13</v>
      </c>
      <c r="F11">
        <v>605</v>
      </c>
      <c r="G11" t="s">
        <v>34</v>
      </c>
      <c r="H11" t="s">
        <v>114</v>
      </c>
      <c r="I11" t="s">
        <v>512</v>
      </c>
      <c r="J11">
        <v>4059</v>
      </c>
      <c r="K11" t="s">
        <v>191</v>
      </c>
      <c r="L11">
        <v>2.7777777777777776E-2</v>
      </c>
      <c r="M11">
        <v>4.5138888888888888E-2</v>
      </c>
      <c r="Q11" t="s">
        <v>117</v>
      </c>
      <c r="R11" t="s">
        <v>3032</v>
      </c>
    </row>
    <row r="12" spans="1:19" x14ac:dyDescent="0.25">
      <c r="A12" t="s">
        <v>159</v>
      </c>
      <c r="B12" s="24">
        <v>46113</v>
      </c>
      <c r="C12" t="s">
        <v>24</v>
      </c>
      <c r="D12" t="s">
        <v>25</v>
      </c>
      <c r="E12">
        <v>13</v>
      </c>
      <c r="F12">
        <v>605</v>
      </c>
      <c r="G12" t="s">
        <v>34</v>
      </c>
      <c r="H12" t="s">
        <v>147</v>
      </c>
      <c r="I12" t="s">
        <v>512</v>
      </c>
      <c r="J12">
        <v>4085</v>
      </c>
      <c r="K12" t="s">
        <v>196</v>
      </c>
      <c r="L12">
        <v>0.85763888888888884</v>
      </c>
      <c r="M12">
        <v>0.87361111111111112</v>
      </c>
      <c r="Q12" t="s">
        <v>117</v>
      </c>
      <c r="R12" t="s">
        <v>3032</v>
      </c>
    </row>
    <row r="13" spans="1:19" x14ac:dyDescent="0.25">
      <c r="A13" t="s">
        <v>159</v>
      </c>
      <c r="B13" s="24">
        <v>46113</v>
      </c>
      <c r="C13" t="s">
        <v>24</v>
      </c>
      <c r="D13" t="s">
        <v>25</v>
      </c>
      <c r="E13">
        <v>13</v>
      </c>
      <c r="F13">
        <v>605</v>
      </c>
      <c r="G13" t="s">
        <v>34</v>
      </c>
      <c r="H13" t="s">
        <v>1672</v>
      </c>
      <c r="I13" t="s">
        <v>512</v>
      </c>
      <c r="J13">
        <v>4087</v>
      </c>
      <c r="K13" t="s">
        <v>201</v>
      </c>
      <c r="Q13" t="s">
        <v>117</v>
      </c>
      <c r="R13" t="s">
        <v>3032</v>
      </c>
    </row>
    <row r="14" spans="1:19" x14ac:dyDescent="0.25">
      <c r="A14" t="s">
        <v>159</v>
      </c>
      <c r="B14" s="24">
        <v>46113</v>
      </c>
      <c r="C14" t="s">
        <v>24</v>
      </c>
      <c r="D14" t="s">
        <v>25</v>
      </c>
      <c r="E14">
        <v>13</v>
      </c>
      <c r="F14">
        <v>605</v>
      </c>
      <c r="G14" t="s">
        <v>34</v>
      </c>
      <c r="H14" t="s">
        <v>1672</v>
      </c>
      <c r="I14" t="s">
        <v>115</v>
      </c>
      <c r="J14">
        <v>4090</v>
      </c>
      <c r="K14" t="s">
        <v>206</v>
      </c>
      <c r="Q14" t="s">
        <v>117</v>
      </c>
      <c r="R14" t="s">
        <v>3032</v>
      </c>
    </row>
    <row r="15" spans="1:19" x14ac:dyDescent="0.25">
      <c r="A15" t="s">
        <v>159</v>
      </c>
      <c r="B15" s="24">
        <v>46113</v>
      </c>
      <c r="C15" t="s">
        <v>24</v>
      </c>
      <c r="D15" t="s">
        <v>25</v>
      </c>
      <c r="E15">
        <v>13</v>
      </c>
      <c r="F15">
        <v>605</v>
      </c>
      <c r="G15" t="s">
        <v>34</v>
      </c>
      <c r="H15" t="s">
        <v>1672</v>
      </c>
      <c r="I15" t="s">
        <v>115</v>
      </c>
      <c r="J15">
        <v>4094</v>
      </c>
      <c r="K15" t="s">
        <v>211</v>
      </c>
      <c r="L15">
        <v>0.875</v>
      </c>
      <c r="M15">
        <v>0.88888888888888884</v>
      </c>
      <c r="Q15" t="s">
        <v>117</v>
      </c>
      <c r="R15" t="s">
        <v>3032</v>
      </c>
    </row>
    <row r="16" spans="1:19" x14ac:dyDescent="0.25">
      <c r="A16" t="s">
        <v>159</v>
      </c>
      <c r="B16" s="24">
        <v>46113</v>
      </c>
      <c r="C16" t="s">
        <v>24</v>
      </c>
      <c r="D16" t="s">
        <v>25</v>
      </c>
      <c r="E16">
        <v>13</v>
      </c>
      <c r="F16">
        <v>605</v>
      </c>
      <c r="G16" t="s">
        <v>34</v>
      </c>
      <c r="H16" t="s">
        <v>1665</v>
      </c>
      <c r="I16" t="s">
        <v>115</v>
      </c>
      <c r="J16">
        <v>4259</v>
      </c>
      <c r="K16" t="s">
        <v>216</v>
      </c>
      <c r="L16">
        <v>4.8611111111111112E-2</v>
      </c>
      <c r="M16">
        <v>7.2916666666666671E-2</v>
      </c>
      <c r="Q16" t="s">
        <v>117</v>
      </c>
      <c r="R16" t="s">
        <v>3032</v>
      </c>
    </row>
    <row r="17" spans="1:19" x14ac:dyDescent="0.25">
      <c r="A17" t="s">
        <v>159</v>
      </c>
      <c r="B17" s="24">
        <v>46113</v>
      </c>
      <c r="C17" t="s">
        <v>24</v>
      </c>
      <c r="D17" t="s">
        <v>25</v>
      </c>
      <c r="E17">
        <v>13</v>
      </c>
      <c r="F17">
        <v>605</v>
      </c>
      <c r="G17" t="s">
        <v>34</v>
      </c>
      <c r="H17" t="s">
        <v>1672</v>
      </c>
      <c r="I17" t="s">
        <v>115</v>
      </c>
      <c r="J17">
        <v>4262</v>
      </c>
      <c r="K17" t="s">
        <v>221</v>
      </c>
      <c r="Q17" t="s">
        <v>117</v>
      </c>
      <c r="R17" t="s">
        <v>3032</v>
      </c>
    </row>
    <row r="18" spans="1:19" x14ac:dyDescent="0.25">
      <c r="A18" t="s">
        <v>159</v>
      </c>
      <c r="B18" s="24">
        <v>46113</v>
      </c>
      <c r="C18" t="s">
        <v>24</v>
      </c>
      <c r="D18" t="s">
        <v>25</v>
      </c>
      <c r="E18">
        <v>13</v>
      </c>
      <c r="F18">
        <v>605</v>
      </c>
      <c r="G18" t="s">
        <v>34</v>
      </c>
      <c r="H18" t="s">
        <v>1672</v>
      </c>
      <c r="I18" t="s">
        <v>115</v>
      </c>
      <c r="J18">
        <v>4314</v>
      </c>
      <c r="K18" t="s">
        <v>226</v>
      </c>
      <c r="L18">
        <v>0.78472222222222221</v>
      </c>
      <c r="M18">
        <v>0.79513888888888884</v>
      </c>
      <c r="Q18" t="s">
        <v>117</v>
      </c>
      <c r="R18" t="s">
        <v>3032</v>
      </c>
    </row>
    <row r="19" spans="1:19" x14ac:dyDescent="0.25">
      <c r="A19" t="s">
        <v>159</v>
      </c>
      <c r="B19" s="24">
        <v>46113</v>
      </c>
      <c r="C19" t="s">
        <v>24</v>
      </c>
      <c r="D19" t="s">
        <v>25</v>
      </c>
      <c r="E19">
        <v>13</v>
      </c>
      <c r="F19">
        <v>605</v>
      </c>
      <c r="G19" t="s">
        <v>34</v>
      </c>
      <c r="H19" t="s">
        <v>1665</v>
      </c>
      <c r="I19" t="s">
        <v>115</v>
      </c>
      <c r="J19">
        <v>4512</v>
      </c>
      <c r="K19" t="s">
        <v>231</v>
      </c>
      <c r="L19">
        <v>0.96875</v>
      </c>
      <c r="M19">
        <v>0.98263888888888884</v>
      </c>
      <c r="Q19" t="s">
        <v>117</v>
      </c>
      <c r="R19" t="s">
        <v>3032</v>
      </c>
    </row>
    <row r="20" spans="1:19" x14ac:dyDescent="0.25">
      <c r="A20" t="s">
        <v>159</v>
      </c>
      <c r="B20" s="24">
        <v>46113</v>
      </c>
      <c r="C20" t="s">
        <v>24</v>
      </c>
      <c r="D20" t="s">
        <v>25</v>
      </c>
      <c r="E20">
        <v>13</v>
      </c>
      <c r="F20">
        <v>605</v>
      </c>
      <c r="G20" t="s">
        <v>34</v>
      </c>
      <c r="H20" t="s">
        <v>1665</v>
      </c>
      <c r="I20" t="s">
        <v>512</v>
      </c>
      <c r="J20">
        <v>4516</v>
      </c>
      <c r="K20" t="s">
        <v>236</v>
      </c>
      <c r="L20">
        <v>0.89236111111111116</v>
      </c>
      <c r="M20">
        <v>0.96527777777777779</v>
      </c>
      <c r="Q20" t="s">
        <v>117</v>
      </c>
      <c r="R20" t="s">
        <v>3032</v>
      </c>
    </row>
    <row r="21" spans="1:19" x14ac:dyDescent="0.25">
      <c r="A21" t="s">
        <v>760</v>
      </c>
      <c r="B21" s="24">
        <v>46113</v>
      </c>
      <c r="C21" t="s">
        <v>24</v>
      </c>
      <c r="D21" t="s">
        <v>25</v>
      </c>
      <c r="E21">
        <v>13</v>
      </c>
      <c r="F21">
        <v>603</v>
      </c>
      <c r="G21" t="s">
        <v>34</v>
      </c>
      <c r="H21" t="s">
        <v>131</v>
      </c>
      <c r="I21" t="s">
        <v>512</v>
      </c>
      <c r="J21">
        <v>4027</v>
      </c>
      <c r="K21" t="s">
        <v>84</v>
      </c>
      <c r="L21">
        <v>0.38958333333333334</v>
      </c>
      <c r="M21">
        <v>0.39652777777777776</v>
      </c>
      <c r="Q21" t="s">
        <v>117</v>
      </c>
      <c r="R21" t="s">
        <v>3072</v>
      </c>
      <c r="S21">
        <v>1742079</v>
      </c>
    </row>
    <row r="22" spans="1:19" x14ac:dyDescent="0.25">
      <c r="A22" t="s">
        <v>760</v>
      </c>
      <c r="B22" s="24">
        <v>46113</v>
      </c>
      <c r="C22" t="s">
        <v>24</v>
      </c>
      <c r="D22" t="s">
        <v>25</v>
      </c>
      <c r="E22">
        <v>13</v>
      </c>
      <c r="F22">
        <v>603</v>
      </c>
      <c r="G22" t="s">
        <v>34</v>
      </c>
      <c r="H22" t="s">
        <v>1665</v>
      </c>
      <c r="I22" t="s">
        <v>498</v>
      </c>
      <c r="J22">
        <v>4260</v>
      </c>
      <c r="K22" t="s">
        <v>90</v>
      </c>
      <c r="L22">
        <v>0.71319444444444446</v>
      </c>
      <c r="M22">
        <v>0.72152777777777777</v>
      </c>
      <c r="Q22" t="s">
        <v>117</v>
      </c>
      <c r="R22" t="s">
        <v>3072</v>
      </c>
      <c r="S22">
        <v>1742079</v>
      </c>
    </row>
    <row r="23" spans="1:19" x14ac:dyDescent="0.25">
      <c r="A23" t="s">
        <v>760</v>
      </c>
      <c r="B23" s="24">
        <v>46113</v>
      </c>
      <c r="C23" t="s">
        <v>24</v>
      </c>
      <c r="D23" t="s">
        <v>25</v>
      </c>
      <c r="E23">
        <v>13</v>
      </c>
      <c r="F23">
        <v>603</v>
      </c>
      <c r="G23" t="s">
        <v>34</v>
      </c>
      <c r="H23" t="s">
        <v>133</v>
      </c>
      <c r="I23" t="s">
        <v>512</v>
      </c>
      <c r="J23">
        <v>4481</v>
      </c>
      <c r="K23" t="s">
        <v>91</v>
      </c>
      <c r="L23">
        <v>0.70347222222222228</v>
      </c>
      <c r="M23">
        <v>0.70833333333333337</v>
      </c>
      <c r="Q23" t="s">
        <v>117</v>
      </c>
      <c r="R23" t="s">
        <v>3072</v>
      </c>
      <c r="S23">
        <v>1742385</v>
      </c>
    </row>
    <row r="24" spans="1:19" x14ac:dyDescent="0.25">
      <c r="A24" t="s">
        <v>760</v>
      </c>
      <c r="B24" s="24">
        <v>46113</v>
      </c>
      <c r="C24" t="s">
        <v>24</v>
      </c>
      <c r="D24" t="s">
        <v>25</v>
      </c>
      <c r="E24">
        <v>13</v>
      </c>
      <c r="F24">
        <v>603</v>
      </c>
      <c r="G24" t="s">
        <v>34</v>
      </c>
      <c r="H24" t="s">
        <v>114</v>
      </c>
      <c r="I24" t="s">
        <v>512</v>
      </c>
      <c r="J24">
        <v>4492</v>
      </c>
      <c r="K24" t="s">
        <v>94</v>
      </c>
      <c r="L24">
        <v>0.69166666666666665</v>
      </c>
      <c r="M24">
        <v>0.69791666666666663</v>
      </c>
      <c r="Q24" t="s">
        <v>117</v>
      </c>
      <c r="R24" t="s">
        <v>3072</v>
      </c>
      <c r="S24">
        <v>1742385</v>
      </c>
    </row>
    <row r="25" spans="1:19" x14ac:dyDescent="0.25">
      <c r="A25" t="s">
        <v>760</v>
      </c>
      <c r="B25" s="24">
        <v>46113</v>
      </c>
      <c r="C25" t="s">
        <v>24</v>
      </c>
      <c r="D25" t="s">
        <v>25</v>
      </c>
      <c r="E25">
        <v>13</v>
      </c>
      <c r="F25">
        <v>603</v>
      </c>
      <c r="G25" t="s">
        <v>34</v>
      </c>
      <c r="H25" t="s">
        <v>150</v>
      </c>
      <c r="I25" t="s">
        <v>512</v>
      </c>
      <c r="J25">
        <v>4494</v>
      </c>
      <c r="K25" t="s">
        <v>95</v>
      </c>
      <c r="L25">
        <v>0.41388888888888886</v>
      </c>
      <c r="M25">
        <v>0.42083333333333334</v>
      </c>
      <c r="Q25" t="s">
        <v>117</v>
      </c>
      <c r="R25" t="s">
        <v>3072</v>
      </c>
      <c r="S25">
        <v>1742079</v>
      </c>
    </row>
    <row r="26" spans="1:19" x14ac:dyDescent="0.25">
      <c r="A26" t="s">
        <v>760</v>
      </c>
      <c r="B26" s="24">
        <v>46113</v>
      </c>
      <c r="C26" t="s">
        <v>24</v>
      </c>
      <c r="D26" t="s">
        <v>25</v>
      </c>
      <c r="E26">
        <v>13</v>
      </c>
      <c r="F26">
        <v>603</v>
      </c>
      <c r="G26" t="s">
        <v>34</v>
      </c>
      <c r="H26" t="s">
        <v>150</v>
      </c>
      <c r="I26" t="s">
        <v>115</v>
      </c>
      <c r="J26">
        <v>4495</v>
      </c>
      <c r="K26" t="s">
        <v>96</v>
      </c>
      <c r="L26">
        <v>0.68819444444444444</v>
      </c>
      <c r="M26">
        <v>0.69374999999999998</v>
      </c>
      <c r="Q26" t="s">
        <v>117</v>
      </c>
      <c r="R26" t="s">
        <v>3072</v>
      </c>
      <c r="S26">
        <v>2742255</v>
      </c>
    </row>
    <row r="27" spans="1:19" x14ac:dyDescent="0.25">
      <c r="A27" t="s">
        <v>760</v>
      </c>
      <c r="B27" s="24">
        <v>46113</v>
      </c>
      <c r="C27" t="s">
        <v>24</v>
      </c>
      <c r="D27" t="s">
        <v>25</v>
      </c>
      <c r="E27">
        <v>13</v>
      </c>
      <c r="F27">
        <v>603</v>
      </c>
      <c r="G27" t="s">
        <v>34</v>
      </c>
      <c r="H27" t="s">
        <v>147</v>
      </c>
      <c r="I27" t="s">
        <v>512</v>
      </c>
      <c r="J27">
        <v>4502</v>
      </c>
      <c r="K27" t="s">
        <v>100</v>
      </c>
      <c r="L27">
        <v>0.40486111111111112</v>
      </c>
      <c r="M27">
        <v>0.41180555555555554</v>
      </c>
      <c r="Q27" t="s">
        <v>117</v>
      </c>
      <c r="R27" t="s">
        <v>3072</v>
      </c>
      <c r="S27">
        <v>1742079</v>
      </c>
    </row>
    <row r="28" spans="1:19" x14ac:dyDescent="0.25">
      <c r="A28" t="s">
        <v>760</v>
      </c>
      <c r="B28" s="24">
        <v>46113</v>
      </c>
      <c r="C28" t="s">
        <v>24</v>
      </c>
      <c r="D28" t="s">
        <v>25</v>
      </c>
      <c r="E28">
        <v>13</v>
      </c>
      <c r="F28">
        <v>603</v>
      </c>
      <c r="G28" t="s">
        <v>34</v>
      </c>
      <c r="J28">
        <v>4481</v>
      </c>
      <c r="K28" t="s">
        <v>91</v>
      </c>
      <c r="L28">
        <v>0.70347222222222228</v>
      </c>
      <c r="M28">
        <v>0.70833333333333337</v>
      </c>
      <c r="Q28" t="s">
        <v>117</v>
      </c>
      <c r="R28" t="s">
        <v>3072</v>
      </c>
      <c r="S28">
        <v>1742079</v>
      </c>
    </row>
    <row r="29" spans="1:19" x14ac:dyDescent="0.25">
      <c r="A29" t="s">
        <v>760</v>
      </c>
      <c r="B29" s="24">
        <v>46113</v>
      </c>
      <c r="C29" t="s">
        <v>24</v>
      </c>
      <c r="D29" t="s">
        <v>25</v>
      </c>
      <c r="E29">
        <v>13</v>
      </c>
      <c r="F29">
        <v>603</v>
      </c>
      <c r="G29" t="s">
        <v>34</v>
      </c>
      <c r="J29">
        <v>4492</v>
      </c>
      <c r="K29" t="s">
        <v>94</v>
      </c>
      <c r="L29">
        <v>0.69166666666666665</v>
      </c>
      <c r="M29">
        <v>0.69791666666666663</v>
      </c>
      <c r="Q29" t="s">
        <v>117</v>
      </c>
      <c r="R29" t="s">
        <v>3072</v>
      </c>
      <c r="S29">
        <v>1742079</v>
      </c>
    </row>
    <row r="30" spans="1:19" x14ac:dyDescent="0.25">
      <c r="A30" t="s">
        <v>760</v>
      </c>
      <c r="B30" s="24">
        <v>46113</v>
      </c>
      <c r="C30" t="s">
        <v>24</v>
      </c>
      <c r="D30" t="s">
        <v>25</v>
      </c>
      <c r="E30">
        <v>13</v>
      </c>
      <c r="F30">
        <v>603</v>
      </c>
      <c r="G30" t="s">
        <v>34</v>
      </c>
      <c r="J30">
        <v>4494</v>
      </c>
      <c r="K30" t="s">
        <v>95</v>
      </c>
      <c r="L30">
        <v>0.41388888888888886</v>
      </c>
      <c r="M30">
        <v>0.42083333333333334</v>
      </c>
      <c r="Q30" t="s">
        <v>117</v>
      </c>
      <c r="R30" t="s">
        <v>3072</v>
      </c>
      <c r="S30">
        <v>1742385</v>
      </c>
    </row>
    <row r="31" spans="1:19" x14ac:dyDescent="0.25">
      <c r="A31" t="s">
        <v>760</v>
      </c>
      <c r="B31" s="24">
        <v>46113</v>
      </c>
      <c r="C31" t="s">
        <v>24</v>
      </c>
      <c r="D31" t="s">
        <v>25</v>
      </c>
      <c r="E31">
        <v>13</v>
      </c>
      <c r="F31">
        <v>603</v>
      </c>
      <c r="G31" t="s">
        <v>34</v>
      </c>
      <c r="J31">
        <v>4495</v>
      </c>
      <c r="K31" t="s">
        <v>96</v>
      </c>
      <c r="L31">
        <v>0.68819444444444444</v>
      </c>
      <c r="M31">
        <v>0.69374999999999998</v>
      </c>
      <c r="Q31" t="s">
        <v>117</v>
      </c>
      <c r="R31" t="s">
        <v>3072</v>
      </c>
      <c r="S31">
        <v>1742385</v>
      </c>
    </row>
    <row r="32" spans="1:19" x14ac:dyDescent="0.25">
      <c r="A32" t="s">
        <v>760</v>
      </c>
      <c r="B32" s="24">
        <v>46113</v>
      </c>
      <c r="C32" t="s">
        <v>24</v>
      </c>
      <c r="D32" t="s">
        <v>25</v>
      </c>
      <c r="E32">
        <v>13</v>
      </c>
      <c r="F32">
        <v>603</v>
      </c>
      <c r="G32" t="s">
        <v>34</v>
      </c>
      <c r="J32">
        <v>4260</v>
      </c>
      <c r="K32" t="s">
        <v>90</v>
      </c>
      <c r="L32">
        <v>0.71319444444444446</v>
      </c>
      <c r="M32">
        <v>0.72152777777777777</v>
      </c>
      <c r="Q32" t="s">
        <v>117</v>
      </c>
      <c r="R32" t="s">
        <v>3072</v>
      </c>
      <c r="S32">
        <v>1742079</v>
      </c>
    </row>
    <row r="33" spans="1:19" x14ac:dyDescent="0.25">
      <c r="A33" t="s">
        <v>760</v>
      </c>
      <c r="B33" s="24">
        <v>46113</v>
      </c>
      <c r="C33" t="s">
        <v>24</v>
      </c>
      <c r="D33" t="s">
        <v>25</v>
      </c>
      <c r="E33">
        <v>13</v>
      </c>
      <c r="F33">
        <v>603</v>
      </c>
      <c r="G33" t="s">
        <v>34</v>
      </c>
      <c r="J33">
        <v>4502</v>
      </c>
      <c r="K33" t="s">
        <v>100</v>
      </c>
      <c r="L33">
        <v>0.40486111111111112</v>
      </c>
      <c r="M33">
        <v>0.41180555555555554</v>
      </c>
      <c r="Q33" t="s">
        <v>117</v>
      </c>
      <c r="R33" t="s">
        <v>3072</v>
      </c>
      <c r="S33">
        <v>2742255</v>
      </c>
    </row>
    <row r="34" spans="1:19" x14ac:dyDescent="0.25">
      <c r="A34" t="s">
        <v>760</v>
      </c>
      <c r="B34" s="24">
        <v>46113</v>
      </c>
      <c r="C34" t="s">
        <v>24</v>
      </c>
      <c r="D34" t="s">
        <v>25</v>
      </c>
      <c r="E34">
        <v>13</v>
      </c>
      <c r="F34">
        <v>603</v>
      </c>
      <c r="G34" t="s">
        <v>34</v>
      </c>
      <c r="J34">
        <v>4027</v>
      </c>
      <c r="K34" t="s">
        <v>84</v>
      </c>
      <c r="L34">
        <v>0.38958333333333334</v>
      </c>
      <c r="M34">
        <v>0.39652777777777776</v>
      </c>
      <c r="Q34" t="s">
        <v>117</v>
      </c>
      <c r="R34" t="s">
        <v>3072</v>
      </c>
      <c r="S34">
        <v>1742079</v>
      </c>
    </row>
    <row r="35" spans="1:19" x14ac:dyDescent="0.25">
      <c r="A35" t="s">
        <v>113</v>
      </c>
      <c r="B35" s="24">
        <v>46113</v>
      </c>
      <c r="C35" t="s">
        <v>24</v>
      </c>
      <c r="D35" t="s">
        <v>25</v>
      </c>
      <c r="E35">
        <v>13</v>
      </c>
      <c r="F35">
        <v>603</v>
      </c>
      <c r="G35" t="s">
        <v>34</v>
      </c>
      <c r="H35" t="s">
        <v>114</v>
      </c>
      <c r="I35" t="s">
        <v>115</v>
      </c>
      <c r="J35">
        <v>4490</v>
      </c>
      <c r="K35" t="s">
        <v>92</v>
      </c>
      <c r="L35">
        <v>0.70416666666666672</v>
      </c>
      <c r="M35">
        <v>0.70972222222222225</v>
      </c>
      <c r="Q35" t="s">
        <v>117</v>
      </c>
      <c r="R35" t="s">
        <v>3072</v>
      </c>
      <c r="S35">
        <v>1742255</v>
      </c>
    </row>
    <row r="36" spans="1:19" x14ac:dyDescent="0.25">
      <c r="A36" t="s">
        <v>113</v>
      </c>
      <c r="B36" s="24">
        <v>46113</v>
      </c>
      <c r="C36" t="s">
        <v>24</v>
      </c>
      <c r="D36" t="s">
        <v>25</v>
      </c>
      <c r="E36">
        <v>13</v>
      </c>
      <c r="F36">
        <v>603</v>
      </c>
      <c r="G36" t="s">
        <v>34</v>
      </c>
      <c r="H36" t="s">
        <v>114</v>
      </c>
      <c r="I36" t="s">
        <v>115</v>
      </c>
      <c r="J36">
        <v>4491</v>
      </c>
      <c r="K36" t="s">
        <v>93</v>
      </c>
      <c r="L36">
        <v>0.69652777777777775</v>
      </c>
      <c r="M36">
        <v>0.70138888888888884</v>
      </c>
      <c r="Q36" t="s">
        <v>117</v>
      </c>
      <c r="R36" t="s">
        <v>3072</v>
      </c>
      <c r="S36">
        <v>1742255</v>
      </c>
    </row>
    <row r="37" spans="1:19" x14ac:dyDescent="0.25">
      <c r="A37" t="s">
        <v>113</v>
      </c>
      <c r="B37" s="24">
        <v>46113</v>
      </c>
      <c r="C37" t="s">
        <v>24</v>
      </c>
      <c r="D37" t="s">
        <v>25</v>
      </c>
      <c r="E37">
        <v>13</v>
      </c>
      <c r="F37">
        <v>603</v>
      </c>
      <c r="G37" t="s">
        <v>34</v>
      </c>
      <c r="H37" t="s">
        <v>530</v>
      </c>
      <c r="I37" t="s">
        <v>44</v>
      </c>
      <c r="J37">
        <v>4081</v>
      </c>
      <c r="K37" t="s">
        <v>86</v>
      </c>
      <c r="L37">
        <v>0.71458333333333335</v>
      </c>
      <c r="M37">
        <v>0.72222222222222221</v>
      </c>
      <c r="Q37" t="s">
        <v>117</v>
      </c>
      <c r="R37" t="s">
        <v>3072</v>
      </c>
      <c r="S37">
        <v>1742255</v>
      </c>
    </row>
    <row r="38" spans="1:19" x14ac:dyDescent="0.25">
      <c r="A38" t="s">
        <v>113</v>
      </c>
      <c r="B38" s="24">
        <v>46113</v>
      </c>
      <c r="C38" t="s">
        <v>24</v>
      </c>
      <c r="D38" t="s">
        <v>25</v>
      </c>
      <c r="E38">
        <v>13</v>
      </c>
      <c r="F38">
        <v>603</v>
      </c>
      <c r="G38" t="s">
        <v>34</v>
      </c>
      <c r="H38" t="s">
        <v>1665</v>
      </c>
      <c r="I38" t="s">
        <v>115</v>
      </c>
      <c r="J38">
        <v>4258</v>
      </c>
      <c r="K38" t="s">
        <v>89</v>
      </c>
      <c r="L38">
        <v>0.39791666666666664</v>
      </c>
      <c r="M38">
        <v>0.40625</v>
      </c>
      <c r="Q38" t="s">
        <v>117</v>
      </c>
      <c r="R38" t="s">
        <v>3072</v>
      </c>
      <c r="S38">
        <v>1742255</v>
      </c>
    </row>
    <row r="39" spans="1:19" x14ac:dyDescent="0.25">
      <c r="A39" t="s">
        <v>113</v>
      </c>
      <c r="B39" s="24">
        <v>46113</v>
      </c>
      <c r="C39" t="s">
        <v>24</v>
      </c>
      <c r="D39" t="s">
        <v>25</v>
      </c>
      <c r="E39">
        <v>13</v>
      </c>
      <c r="F39">
        <v>603</v>
      </c>
      <c r="G39" t="s">
        <v>34</v>
      </c>
      <c r="H39" t="s">
        <v>129</v>
      </c>
      <c r="I39" t="s">
        <v>115</v>
      </c>
      <c r="J39">
        <v>3798</v>
      </c>
      <c r="K39" t="s">
        <v>82</v>
      </c>
      <c r="L39">
        <v>0.34166666666666667</v>
      </c>
      <c r="M39">
        <v>0.34722222222222221</v>
      </c>
      <c r="Q39" t="s">
        <v>117</v>
      </c>
      <c r="R39" t="s">
        <v>3072</v>
      </c>
      <c r="S39">
        <v>1742255</v>
      </c>
    </row>
    <row r="40" spans="1:19" x14ac:dyDescent="0.25">
      <c r="A40" t="s">
        <v>113</v>
      </c>
      <c r="B40" s="24">
        <v>46113</v>
      </c>
      <c r="C40" t="s">
        <v>24</v>
      </c>
      <c r="D40" t="s">
        <v>25</v>
      </c>
      <c r="E40">
        <v>13</v>
      </c>
      <c r="F40">
        <v>603</v>
      </c>
      <c r="G40" t="s">
        <v>34</v>
      </c>
      <c r="H40" t="s">
        <v>131</v>
      </c>
      <c r="I40" t="s">
        <v>115</v>
      </c>
      <c r="J40">
        <v>3800</v>
      </c>
      <c r="K40" t="s">
        <v>83</v>
      </c>
      <c r="L40">
        <v>0.41249999999999998</v>
      </c>
      <c r="M40">
        <v>0.41736111111111113</v>
      </c>
      <c r="Q40" t="s">
        <v>117</v>
      </c>
      <c r="R40" t="s">
        <v>3072</v>
      </c>
      <c r="S40">
        <v>2733737</v>
      </c>
    </row>
    <row r="41" spans="1:19" x14ac:dyDescent="0.25">
      <c r="A41" t="s">
        <v>113</v>
      </c>
      <c r="B41" s="24">
        <v>46113</v>
      </c>
      <c r="C41" t="s">
        <v>24</v>
      </c>
      <c r="D41" t="s">
        <v>25</v>
      </c>
      <c r="E41">
        <v>13</v>
      </c>
      <c r="F41">
        <v>603</v>
      </c>
      <c r="G41" t="s">
        <v>34</v>
      </c>
      <c r="H41" t="s">
        <v>133</v>
      </c>
      <c r="I41" t="s">
        <v>115</v>
      </c>
      <c r="J41">
        <v>4496</v>
      </c>
      <c r="K41" t="s">
        <v>97</v>
      </c>
      <c r="L41">
        <v>0.38680555555555557</v>
      </c>
      <c r="M41">
        <v>0.3923611111111111</v>
      </c>
      <c r="Q41" t="s">
        <v>117</v>
      </c>
      <c r="R41" t="s">
        <v>3072</v>
      </c>
      <c r="S41">
        <v>3219209</v>
      </c>
    </row>
    <row r="42" spans="1:19" x14ac:dyDescent="0.25">
      <c r="A42" t="s">
        <v>113</v>
      </c>
      <c r="B42" s="24">
        <v>46113</v>
      </c>
      <c r="C42" t="s">
        <v>24</v>
      </c>
      <c r="D42" t="s">
        <v>25</v>
      </c>
      <c r="E42">
        <v>13</v>
      </c>
      <c r="F42">
        <v>603</v>
      </c>
      <c r="G42" t="s">
        <v>34</v>
      </c>
      <c r="H42" t="s">
        <v>1665</v>
      </c>
      <c r="I42" t="s">
        <v>115</v>
      </c>
      <c r="J42">
        <v>4500</v>
      </c>
      <c r="K42" t="s">
        <v>99</v>
      </c>
      <c r="L42">
        <v>0.6166666666666667</v>
      </c>
      <c r="M42">
        <v>0.62222222222222223</v>
      </c>
      <c r="Q42" t="s">
        <v>117</v>
      </c>
      <c r="R42" t="s">
        <v>3072</v>
      </c>
      <c r="S42">
        <v>2733737</v>
      </c>
    </row>
    <row r="43" spans="1:19" x14ac:dyDescent="0.25">
      <c r="A43" t="s">
        <v>113</v>
      </c>
      <c r="B43" s="24">
        <v>46113</v>
      </c>
      <c r="C43" t="s">
        <v>24</v>
      </c>
      <c r="D43" t="s">
        <v>25</v>
      </c>
      <c r="E43">
        <v>13</v>
      </c>
      <c r="F43">
        <v>603</v>
      </c>
      <c r="G43" t="s">
        <v>34</v>
      </c>
      <c r="H43" t="s">
        <v>1665</v>
      </c>
      <c r="I43" t="s">
        <v>498</v>
      </c>
      <c r="J43">
        <v>4252</v>
      </c>
      <c r="K43" t="s">
        <v>88</v>
      </c>
      <c r="L43">
        <v>0.5708333333333333</v>
      </c>
      <c r="M43">
        <v>0.58125000000000004</v>
      </c>
      <c r="Q43" t="s">
        <v>117</v>
      </c>
      <c r="R43" t="s">
        <v>3072</v>
      </c>
      <c r="S43">
        <v>2733753</v>
      </c>
    </row>
    <row r="44" spans="1:19" x14ac:dyDescent="0.25">
      <c r="A44" t="s">
        <v>113</v>
      </c>
      <c r="B44" s="24">
        <v>46113</v>
      </c>
      <c r="C44" t="s">
        <v>24</v>
      </c>
      <c r="D44" t="s">
        <v>25</v>
      </c>
      <c r="E44">
        <v>13</v>
      </c>
      <c r="F44">
        <v>603</v>
      </c>
      <c r="G44" t="s">
        <v>34</v>
      </c>
      <c r="H44" t="s">
        <v>1665</v>
      </c>
      <c r="I44" t="s">
        <v>498</v>
      </c>
      <c r="J44">
        <v>4053</v>
      </c>
      <c r="K44" t="s">
        <v>85</v>
      </c>
      <c r="L44">
        <v>0.5854166666666667</v>
      </c>
      <c r="M44">
        <v>0.59513888888888888</v>
      </c>
      <c r="Q44" t="s">
        <v>117</v>
      </c>
      <c r="R44" t="s">
        <v>3072</v>
      </c>
      <c r="S44">
        <v>2733737</v>
      </c>
    </row>
    <row r="45" spans="1:19" x14ac:dyDescent="0.25">
      <c r="A45" t="s">
        <v>113</v>
      </c>
      <c r="B45" s="24">
        <v>46113</v>
      </c>
      <c r="C45" t="s">
        <v>24</v>
      </c>
      <c r="D45" t="s">
        <v>25</v>
      </c>
      <c r="E45">
        <v>13</v>
      </c>
      <c r="F45">
        <v>603</v>
      </c>
      <c r="G45" t="s">
        <v>34</v>
      </c>
      <c r="H45" t="s">
        <v>147</v>
      </c>
      <c r="I45" t="s">
        <v>115</v>
      </c>
      <c r="J45">
        <v>4503</v>
      </c>
      <c r="K45" t="s">
        <v>101</v>
      </c>
      <c r="L45">
        <v>0.36249999999999999</v>
      </c>
      <c r="M45">
        <v>0.37083333333333335</v>
      </c>
      <c r="Q45" t="s">
        <v>117</v>
      </c>
      <c r="R45" t="s">
        <v>3072</v>
      </c>
      <c r="S45">
        <v>1742255</v>
      </c>
    </row>
    <row r="46" spans="1:19" x14ac:dyDescent="0.25">
      <c r="A46" t="s">
        <v>113</v>
      </c>
      <c r="B46" s="24">
        <v>46113</v>
      </c>
      <c r="C46" t="s">
        <v>24</v>
      </c>
      <c r="D46" t="s">
        <v>25</v>
      </c>
      <c r="E46">
        <v>13</v>
      </c>
      <c r="F46">
        <v>603</v>
      </c>
      <c r="G46" t="s">
        <v>34</v>
      </c>
      <c r="H46" t="s">
        <v>147</v>
      </c>
      <c r="I46" t="s">
        <v>115</v>
      </c>
      <c r="J46">
        <v>4504</v>
      </c>
      <c r="K46" t="s">
        <v>102</v>
      </c>
      <c r="L46">
        <v>0.35416666666666669</v>
      </c>
      <c r="M46">
        <v>0.35902777777777778</v>
      </c>
      <c r="Q46" t="s">
        <v>117</v>
      </c>
      <c r="R46" t="s">
        <v>3072</v>
      </c>
      <c r="S46">
        <v>3219209</v>
      </c>
    </row>
    <row r="47" spans="1:19" x14ac:dyDescent="0.25">
      <c r="A47" t="s">
        <v>113</v>
      </c>
      <c r="B47" s="24">
        <v>46113</v>
      </c>
      <c r="C47" t="s">
        <v>24</v>
      </c>
      <c r="D47" t="s">
        <v>25</v>
      </c>
      <c r="E47">
        <v>13</v>
      </c>
      <c r="F47">
        <v>603</v>
      </c>
      <c r="G47" t="s">
        <v>34</v>
      </c>
      <c r="H47" t="s">
        <v>150</v>
      </c>
      <c r="I47" t="s">
        <v>115</v>
      </c>
      <c r="J47">
        <v>4096</v>
      </c>
      <c r="K47" t="s">
        <v>87</v>
      </c>
      <c r="L47">
        <v>0.64652777777777781</v>
      </c>
      <c r="M47">
        <v>0.65277777777777779</v>
      </c>
      <c r="Q47" t="s">
        <v>117</v>
      </c>
      <c r="R47" t="s">
        <v>3072</v>
      </c>
      <c r="S47">
        <v>1742255</v>
      </c>
    </row>
    <row r="48" spans="1:19" x14ac:dyDescent="0.25">
      <c r="A48" t="s">
        <v>113</v>
      </c>
      <c r="B48" s="24">
        <v>46113</v>
      </c>
      <c r="C48" t="s">
        <v>24</v>
      </c>
      <c r="D48" t="s">
        <v>25</v>
      </c>
      <c r="E48">
        <v>13</v>
      </c>
      <c r="F48">
        <v>603</v>
      </c>
      <c r="G48" t="s">
        <v>34</v>
      </c>
      <c r="H48" t="s">
        <v>152</v>
      </c>
      <c r="I48" t="s">
        <v>152</v>
      </c>
      <c r="J48">
        <v>4071</v>
      </c>
      <c r="K48" t="s">
        <v>153</v>
      </c>
      <c r="L48">
        <v>0.37916666666666665</v>
      </c>
      <c r="M48">
        <v>0.3840277777777778</v>
      </c>
      <c r="Q48" t="s">
        <v>117</v>
      </c>
      <c r="R48" t="s">
        <v>3072</v>
      </c>
      <c r="S48">
        <v>3219209</v>
      </c>
    </row>
    <row r="49" spans="1:19" x14ac:dyDescent="0.25">
      <c r="A49" t="s">
        <v>113</v>
      </c>
      <c r="B49" s="24">
        <v>46113</v>
      </c>
      <c r="C49" t="s">
        <v>24</v>
      </c>
      <c r="D49" t="s">
        <v>25</v>
      </c>
      <c r="E49">
        <v>13</v>
      </c>
      <c r="F49">
        <v>603</v>
      </c>
      <c r="G49" t="s">
        <v>34</v>
      </c>
      <c r="H49" t="s">
        <v>1672</v>
      </c>
      <c r="I49" t="s">
        <v>115</v>
      </c>
      <c r="J49">
        <v>3472</v>
      </c>
      <c r="K49" t="s">
        <v>81</v>
      </c>
      <c r="L49">
        <v>0.625</v>
      </c>
      <c r="M49">
        <v>0.6333333333333333</v>
      </c>
      <c r="Q49" t="s">
        <v>117</v>
      </c>
      <c r="R49" t="s">
        <v>3072</v>
      </c>
      <c r="S49">
        <v>2733737</v>
      </c>
    </row>
    <row r="50" spans="1:19" x14ac:dyDescent="0.25">
      <c r="A50" t="s">
        <v>491</v>
      </c>
      <c r="B50" s="24">
        <v>46113</v>
      </c>
      <c r="C50" t="s">
        <v>24</v>
      </c>
      <c r="D50" t="s">
        <v>25</v>
      </c>
      <c r="E50">
        <v>13</v>
      </c>
      <c r="F50">
        <v>603</v>
      </c>
      <c r="G50" t="s">
        <v>34</v>
      </c>
      <c r="H50" t="s">
        <v>65</v>
      </c>
      <c r="I50" t="s">
        <v>492</v>
      </c>
      <c r="J50">
        <v>3431</v>
      </c>
      <c r="K50" t="s">
        <v>493</v>
      </c>
      <c r="L50">
        <v>0.43402777777777779</v>
      </c>
      <c r="M50">
        <v>0.43958333333333333</v>
      </c>
      <c r="Q50" t="s">
        <v>117</v>
      </c>
      <c r="R50" t="s">
        <v>3072</v>
      </c>
      <c r="S50">
        <v>1742079</v>
      </c>
    </row>
    <row r="51" spans="1:19" x14ac:dyDescent="0.25">
      <c r="A51" t="s">
        <v>491</v>
      </c>
      <c r="B51" s="24">
        <v>46113</v>
      </c>
      <c r="C51" t="s">
        <v>24</v>
      </c>
      <c r="D51" t="s">
        <v>25</v>
      </c>
      <c r="E51">
        <v>13</v>
      </c>
      <c r="F51">
        <v>603</v>
      </c>
      <c r="G51" t="s">
        <v>34</v>
      </c>
      <c r="H51" t="s">
        <v>65</v>
      </c>
      <c r="I51" t="s">
        <v>492</v>
      </c>
      <c r="J51">
        <v>3476</v>
      </c>
      <c r="K51" t="s">
        <v>496</v>
      </c>
      <c r="L51">
        <v>0.44097222222222221</v>
      </c>
      <c r="M51">
        <v>0.45347222222222222</v>
      </c>
      <c r="Q51" t="s">
        <v>117</v>
      </c>
      <c r="R51" t="s">
        <v>3072</v>
      </c>
      <c r="S51">
        <v>1742079</v>
      </c>
    </row>
    <row r="52" spans="1:19" x14ac:dyDescent="0.25">
      <c r="A52" t="s">
        <v>491</v>
      </c>
      <c r="B52" s="24">
        <v>46113</v>
      </c>
      <c r="C52" t="s">
        <v>24</v>
      </c>
      <c r="D52" t="s">
        <v>25</v>
      </c>
      <c r="E52">
        <v>13</v>
      </c>
      <c r="F52">
        <v>603</v>
      </c>
      <c r="G52" t="s">
        <v>34</v>
      </c>
      <c r="H52" t="s">
        <v>131</v>
      </c>
      <c r="I52" t="s">
        <v>498</v>
      </c>
      <c r="J52">
        <v>3802</v>
      </c>
      <c r="K52" t="s">
        <v>499</v>
      </c>
      <c r="L52">
        <v>0.47986111111111113</v>
      </c>
      <c r="M52">
        <v>0.48402777777777778</v>
      </c>
      <c r="Q52" t="s">
        <v>117</v>
      </c>
      <c r="R52" t="s">
        <v>3072</v>
      </c>
      <c r="S52">
        <v>1742314</v>
      </c>
    </row>
    <row r="53" spans="1:19" x14ac:dyDescent="0.25">
      <c r="A53" t="s">
        <v>491</v>
      </c>
      <c r="B53" s="24">
        <v>46113</v>
      </c>
      <c r="C53" t="s">
        <v>24</v>
      </c>
      <c r="D53" t="s">
        <v>25</v>
      </c>
      <c r="E53">
        <v>13</v>
      </c>
      <c r="F53">
        <v>603</v>
      </c>
      <c r="G53" t="s">
        <v>34</v>
      </c>
      <c r="H53" t="s">
        <v>114</v>
      </c>
      <c r="I53" t="s">
        <v>498</v>
      </c>
      <c r="J53">
        <v>3816</v>
      </c>
      <c r="K53" t="s">
        <v>502</v>
      </c>
      <c r="L53">
        <v>0.48472222222222222</v>
      </c>
      <c r="M53">
        <v>0.48958333333333331</v>
      </c>
      <c r="Q53" t="s">
        <v>117</v>
      </c>
      <c r="R53" t="s">
        <v>3072</v>
      </c>
      <c r="S53">
        <v>1742255</v>
      </c>
    </row>
    <row r="54" spans="1:19" x14ac:dyDescent="0.25">
      <c r="A54" t="s">
        <v>491</v>
      </c>
      <c r="B54" s="24">
        <v>46113</v>
      </c>
      <c r="C54" t="s">
        <v>24</v>
      </c>
      <c r="D54" t="s">
        <v>25</v>
      </c>
      <c r="E54">
        <v>13</v>
      </c>
      <c r="F54">
        <v>603</v>
      </c>
      <c r="G54" t="s">
        <v>34</v>
      </c>
      <c r="H54" t="s">
        <v>129</v>
      </c>
      <c r="I54" t="s">
        <v>498</v>
      </c>
      <c r="J54">
        <v>3819</v>
      </c>
      <c r="K54" t="s">
        <v>504</v>
      </c>
      <c r="L54">
        <v>0.5444444444444444</v>
      </c>
      <c r="M54">
        <v>0.55000000000000004</v>
      </c>
      <c r="Q54" t="s">
        <v>117</v>
      </c>
      <c r="R54" t="s">
        <v>3072</v>
      </c>
      <c r="S54">
        <v>1742314</v>
      </c>
    </row>
    <row r="55" spans="1:19" x14ac:dyDescent="0.25">
      <c r="A55" t="s">
        <v>491</v>
      </c>
      <c r="B55" s="24">
        <v>46113</v>
      </c>
      <c r="C55" t="s">
        <v>24</v>
      </c>
      <c r="D55" t="s">
        <v>25</v>
      </c>
      <c r="E55">
        <v>13</v>
      </c>
      <c r="F55">
        <v>603</v>
      </c>
      <c r="G55" t="s">
        <v>34</v>
      </c>
      <c r="H55" t="s">
        <v>1665</v>
      </c>
      <c r="I55" t="s">
        <v>498</v>
      </c>
      <c r="J55">
        <v>3986</v>
      </c>
      <c r="K55" t="s">
        <v>508</v>
      </c>
      <c r="L55">
        <v>0.4375</v>
      </c>
      <c r="M55">
        <v>0.44583333333333336</v>
      </c>
      <c r="Q55" t="s">
        <v>117</v>
      </c>
      <c r="R55" t="s">
        <v>3072</v>
      </c>
      <c r="S55">
        <v>1742314</v>
      </c>
    </row>
    <row r="56" spans="1:19" x14ac:dyDescent="0.25">
      <c r="A56" t="s">
        <v>491</v>
      </c>
      <c r="B56" s="24">
        <v>46113</v>
      </c>
      <c r="C56" t="s">
        <v>24</v>
      </c>
      <c r="D56" t="s">
        <v>25</v>
      </c>
      <c r="E56">
        <v>13</v>
      </c>
      <c r="F56">
        <v>603</v>
      </c>
      <c r="G56" t="s">
        <v>34</v>
      </c>
      <c r="H56" t="s">
        <v>511</v>
      </c>
      <c r="I56" t="s">
        <v>512</v>
      </c>
      <c r="J56">
        <v>3990</v>
      </c>
      <c r="K56" t="s">
        <v>513</v>
      </c>
      <c r="L56">
        <v>0.6430555555555556</v>
      </c>
      <c r="M56">
        <v>0.6479166666666667</v>
      </c>
      <c r="Q56" t="s">
        <v>117</v>
      </c>
      <c r="R56" t="s">
        <v>3072</v>
      </c>
      <c r="S56">
        <v>1742255</v>
      </c>
    </row>
    <row r="57" spans="1:19" x14ac:dyDescent="0.25">
      <c r="A57" t="s">
        <v>491</v>
      </c>
      <c r="B57" s="24">
        <v>46113</v>
      </c>
      <c r="C57" t="s">
        <v>24</v>
      </c>
      <c r="D57" t="s">
        <v>25</v>
      </c>
      <c r="E57">
        <v>13</v>
      </c>
      <c r="F57">
        <v>603</v>
      </c>
      <c r="G57" t="s">
        <v>34</v>
      </c>
      <c r="H57" t="s">
        <v>511</v>
      </c>
      <c r="I57" t="s">
        <v>512</v>
      </c>
      <c r="J57">
        <v>3996</v>
      </c>
      <c r="K57" t="s">
        <v>513</v>
      </c>
      <c r="L57">
        <v>0.65694444444444444</v>
      </c>
      <c r="M57">
        <v>0.66249999999999998</v>
      </c>
      <c r="Q57" t="s">
        <v>117</v>
      </c>
      <c r="R57" t="s">
        <v>3072</v>
      </c>
      <c r="S57">
        <v>1742255</v>
      </c>
    </row>
    <row r="58" spans="1:19" x14ac:dyDescent="0.25">
      <c r="A58" t="s">
        <v>491</v>
      </c>
      <c r="B58" s="24">
        <v>46113</v>
      </c>
      <c r="C58" t="s">
        <v>24</v>
      </c>
      <c r="D58" t="s">
        <v>25</v>
      </c>
      <c r="E58">
        <v>13</v>
      </c>
      <c r="F58">
        <v>603</v>
      </c>
      <c r="G58" t="s">
        <v>34</v>
      </c>
      <c r="H58" t="s">
        <v>511</v>
      </c>
      <c r="I58" t="s">
        <v>512</v>
      </c>
      <c r="J58">
        <v>3997</v>
      </c>
      <c r="K58" t="s">
        <v>513</v>
      </c>
      <c r="L58">
        <v>0.66736111111111107</v>
      </c>
      <c r="M58">
        <v>0.67291666666666672</v>
      </c>
      <c r="Q58" t="s">
        <v>117</v>
      </c>
      <c r="R58" t="s">
        <v>3072</v>
      </c>
      <c r="S58">
        <v>1742255</v>
      </c>
    </row>
    <row r="59" spans="1:19" x14ac:dyDescent="0.25">
      <c r="A59" t="s">
        <v>491</v>
      </c>
      <c r="B59" s="24">
        <v>46113</v>
      </c>
      <c r="C59" t="s">
        <v>24</v>
      </c>
      <c r="D59" t="s">
        <v>25</v>
      </c>
      <c r="E59">
        <v>13</v>
      </c>
      <c r="F59">
        <v>603</v>
      </c>
      <c r="G59" t="s">
        <v>34</v>
      </c>
      <c r="H59" t="s">
        <v>511</v>
      </c>
      <c r="I59" t="s">
        <v>512</v>
      </c>
      <c r="J59">
        <v>3998</v>
      </c>
      <c r="K59" t="s">
        <v>513</v>
      </c>
      <c r="L59">
        <v>0.58750000000000002</v>
      </c>
      <c r="M59">
        <v>0.59305555555555556</v>
      </c>
      <c r="Q59" t="s">
        <v>117</v>
      </c>
      <c r="R59" t="s">
        <v>3072</v>
      </c>
      <c r="S59">
        <v>1742255</v>
      </c>
    </row>
    <row r="60" spans="1:19" x14ac:dyDescent="0.25">
      <c r="A60" t="s">
        <v>491</v>
      </c>
      <c r="B60" s="24">
        <v>46113</v>
      </c>
      <c r="C60" t="s">
        <v>24</v>
      </c>
      <c r="D60" t="s">
        <v>25</v>
      </c>
      <c r="E60">
        <v>13</v>
      </c>
      <c r="F60">
        <v>603</v>
      </c>
      <c r="G60" t="s">
        <v>34</v>
      </c>
      <c r="H60" t="s">
        <v>511</v>
      </c>
      <c r="I60" t="s">
        <v>512</v>
      </c>
      <c r="J60">
        <v>3999</v>
      </c>
      <c r="K60" t="s">
        <v>513</v>
      </c>
      <c r="L60">
        <v>0.63263888888888886</v>
      </c>
      <c r="M60">
        <v>0.63749999999999996</v>
      </c>
      <c r="Q60" t="s">
        <v>117</v>
      </c>
      <c r="R60" t="s">
        <v>3072</v>
      </c>
      <c r="S60">
        <v>2733753</v>
      </c>
    </row>
    <row r="61" spans="1:19" x14ac:dyDescent="0.25">
      <c r="A61" t="s">
        <v>491</v>
      </c>
      <c r="B61" s="24">
        <v>46113</v>
      </c>
      <c r="C61" t="s">
        <v>24</v>
      </c>
      <c r="D61" t="s">
        <v>25</v>
      </c>
      <c r="E61">
        <v>13</v>
      </c>
      <c r="F61">
        <v>603</v>
      </c>
      <c r="G61" t="s">
        <v>34</v>
      </c>
      <c r="H61" t="s">
        <v>511</v>
      </c>
      <c r="I61" t="s">
        <v>512</v>
      </c>
      <c r="J61">
        <v>4000</v>
      </c>
      <c r="K61" t="s">
        <v>513</v>
      </c>
      <c r="L61">
        <v>0.60763888888888884</v>
      </c>
      <c r="M61">
        <v>0.61250000000000004</v>
      </c>
      <c r="Q61" t="s">
        <v>117</v>
      </c>
      <c r="R61" t="s">
        <v>3072</v>
      </c>
      <c r="S61">
        <v>1742255</v>
      </c>
    </row>
    <row r="62" spans="1:19" x14ac:dyDescent="0.25">
      <c r="A62" t="s">
        <v>491</v>
      </c>
      <c r="B62" s="24">
        <v>46113</v>
      </c>
      <c r="C62" t="s">
        <v>24</v>
      </c>
      <c r="D62" t="s">
        <v>25</v>
      </c>
      <c r="E62">
        <v>13</v>
      </c>
      <c r="F62">
        <v>603</v>
      </c>
      <c r="G62" t="s">
        <v>34</v>
      </c>
      <c r="H62" t="s">
        <v>511</v>
      </c>
      <c r="I62" t="s">
        <v>512</v>
      </c>
      <c r="J62">
        <v>4001</v>
      </c>
      <c r="K62" t="s">
        <v>513</v>
      </c>
      <c r="L62">
        <v>0.61805555555555558</v>
      </c>
      <c r="M62">
        <v>0.62361111111111112</v>
      </c>
      <c r="Q62" t="s">
        <v>117</v>
      </c>
      <c r="R62" t="s">
        <v>3072</v>
      </c>
      <c r="S62">
        <v>1742255</v>
      </c>
    </row>
    <row r="63" spans="1:19" x14ac:dyDescent="0.25">
      <c r="A63" t="s">
        <v>491</v>
      </c>
      <c r="B63" s="24">
        <v>46113</v>
      </c>
      <c r="C63" t="s">
        <v>24</v>
      </c>
      <c r="D63" t="s">
        <v>25</v>
      </c>
      <c r="E63">
        <v>13</v>
      </c>
      <c r="F63">
        <v>603</v>
      </c>
      <c r="G63" t="s">
        <v>34</v>
      </c>
      <c r="H63" t="s">
        <v>65</v>
      </c>
      <c r="I63" t="s">
        <v>368</v>
      </c>
      <c r="J63">
        <v>4006</v>
      </c>
      <c r="K63" t="s">
        <v>521</v>
      </c>
      <c r="L63">
        <v>0.4826388888888889</v>
      </c>
      <c r="M63">
        <v>0.48680555555555555</v>
      </c>
      <c r="Q63" t="s">
        <v>117</v>
      </c>
      <c r="R63" t="s">
        <v>3072</v>
      </c>
      <c r="S63">
        <v>1742250</v>
      </c>
    </row>
    <row r="64" spans="1:19" x14ac:dyDescent="0.25">
      <c r="A64" t="s">
        <v>491</v>
      </c>
      <c r="B64" s="24">
        <v>46113</v>
      </c>
      <c r="C64" t="s">
        <v>24</v>
      </c>
      <c r="D64" t="s">
        <v>25</v>
      </c>
      <c r="E64">
        <v>13</v>
      </c>
      <c r="F64">
        <v>603</v>
      </c>
      <c r="G64" t="s">
        <v>34</v>
      </c>
      <c r="H64" t="s">
        <v>65</v>
      </c>
      <c r="I64" t="s">
        <v>368</v>
      </c>
      <c r="J64">
        <v>4010</v>
      </c>
      <c r="K64" t="s">
        <v>524</v>
      </c>
      <c r="L64">
        <v>0.56111111111111112</v>
      </c>
      <c r="M64">
        <v>0.56666666666666665</v>
      </c>
      <c r="Q64" t="s">
        <v>117</v>
      </c>
      <c r="R64" t="s">
        <v>3072</v>
      </c>
      <c r="S64">
        <v>1742079</v>
      </c>
    </row>
    <row r="65" spans="1:19" x14ac:dyDescent="0.25">
      <c r="A65" t="s">
        <v>491</v>
      </c>
      <c r="B65" s="24">
        <v>46113</v>
      </c>
      <c r="C65" t="s">
        <v>24</v>
      </c>
      <c r="D65" t="s">
        <v>25</v>
      </c>
      <c r="E65">
        <v>13</v>
      </c>
      <c r="F65">
        <v>603</v>
      </c>
      <c r="G65" t="s">
        <v>34</v>
      </c>
      <c r="H65" t="s">
        <v>65</v>
      </c>
      <c r="I65" t="s">
        <v>368</v>
      </c>
      <c r="J65">
        <v>4011</v>
      </c>
      <c r="K65" t="s">
        <v>524</v>
      </c>
      <c r="L65">
        <v>0.46736111111111112</v>
      </c>
      <c r="M65">
        <v>0.47152777777777777</v>
      </c>
      <c r="Q65" t="s">
        <v>117</v>
      </c>
      <c r="R65" t="s">
        <v>3072</v>
      </c>
      <c r="S65">
        <v>1742385</v>
      </c>
    </row>
    <row r="66" spans="1:19" x14ac:dyDescent="0.25">
      <c r="A66" t="s">
        <v>491</v>
      </c>
      <c r="B66" s="24">
        <v>46113</v>
      </c>
      <c r="C66" t="s">
        <v>24</v>
      </c>
      <c r="D66" t="s">
        <v>25</v>
      </c>
      <c r="E66">
        <v>13</v>
      </c>
      <c r="F66">
        <v>603</v>
      </c>
      <c r="G66" t="s">
        <v>34</v>
      </c>
      <c r="H66" t="s">
        <v>65</v>
      </c>
      <c r="I66" t="s">
        <v>368</v>
      </c>
      <c r="J66">
        <v>4012</v>
      </c>
      <c r="K66" t="s">
        <v>524</v>
      </c>
      <c r="L66">
        <v>0.55208333333333337</v>
      </c>
      <c r="M66">
        <v>0.55625000000000002</v>
      </c>
      <c r="Q66" t="s">
        <v>117</v>
      </c>
      <c r="R66" t="s">
        <v>3072</v>
      </c>
      <c r="S66">
        <v>1742079</v>
      </c>
    </row>
    <row r="67" spans="1:19" x14ac:dyDescent="0.25">
      <c r="A67" t="s">
        <v>491</v>
      </c>
      <c r="B67" s="24">
        <v>46113</v>
      </c>
      <c r="C67" t="s">
        <v>24</v>
      </c>
      <c r="D67" t="s">
        <v>25</v>
      </c>
      <c r="E67">
        <v>13</v>
      </c>
      <c r="F67">
        <v>603</v>
      </c>
      <c r="G67" t="s">
        <v>34</v>
      </c>
      <c r="H67" t="s">
        <v>65</v>
      </c>
      <c r="I67" t="s">
        <v>368</v>
      </c>
      <c r="J67">
        <v>4013</v>
      </c>
      <c r="K67" t="s">
        <v>524</v>
      </c>
      <c r="L67">
        <v>0.57430555555555551</v>
      </c>
      <c r="M67">
        <v>0.58125000000000004</v>
      </c>
      <c r="Q67" t="s">
        <v>117</v>
      </c>
      <c r="R67" t="s">
        <v>3072</v>
      </c>
      <c r="S67">
        <v>1742255</v>
      </c>
    </row>
    <row r="68" spans="1:19" x14ac:dyDescent="0.25">
      <c r="A68" t="s">
        <v>491</v>
      </c>
      <c r="B68" s="24">
        <v>46113</v>
      </c>
      <c r="C68" t="s">
        <v>24</v>
      </c>
      <c r="D68" t="s">
        <v>25</v>
      </c>
      <c r="E68">
        <v>13</v>
      </c>
      <c r="F68">
        <v>603</v>
      </c>
      <c r="G68" t="s">
        <v>34</v>
      </c>
      <c r="H68" t="s">
        <v>65</v>
      </c>
      <c r="I68" t="s">
        <v>368</v>
      </c>
      <c r="J68">
        <v>4014</v>
      </c>
      <c r="K68" t="s">
        <v>524</v>
      </c>
      <c r="L68">
        <v>0.49027777777777776</v>
      </c>
      <c r="M68">
        <v>0.49861111111111112</v>
      </c>
      <c r="Q68" t="s">
        <v>117</v>
      </c>
      <c r="R68" t="s">
        <v>3072</v>
      </c>
      <c r="S68">
        <v>2733753</v>
      </c>
    </row>
    <row r="69" spans="1:19" x14ac:dyDescent="0.25">
      <c r="A69" t="s">
        <v>491</v>
      </c>
      <c r="B69" s="24">
        <v>46113</v>
      </c>
      <c r="C69" t="s">
        <v>24</v>
      </c>
      <c r="D69" t="s">
        <v>25</v>
      </c>
      <c r="E69">
        <v>13</v>
      </c>
      <c r="F69">
        <v>603</v>
      </c>
      <c r="G69" t="s">
        <v>34</v>
      </c>
      <c r="H69" t="s">
        <v>530</v>
      </c>
      <c r="I69" t="s">
        <v>512</v>
      </c>
      <c r="J69">
        <v>4073</v>
      </c>
      <c r="K69" t="s">
        <v>531</v>
      </c>
      <c r="L69">
        <v>0.39791666666666664</v>
      </c>
      <c r="M69">
        <v>0.40277777777777779</v>
      </c>
      <c r="Q69" t="s">
        <v>117</v>
      </c>
      <c r="R69" t="s">
        <v>3072</v>
      </c>
      <c r="S69">
        <v>1742255</v>
      </c>
    </row>
    <row r="70" spans="1:19" x14ac:dyDescent="0.25">
      <c r="A70" t="s">
        <v>491</v>
      </c>
      <c r="B70" s="24">
        <v>46113</v>
      </c>
      <c r="C70" t="s">
        <v>24</v>
      </c>
      <c r="D70" t="s">
        <v>25</v>
      </c>
      <c r="E70">
        <v>13</v>
      </c>
      <c r="F70">
        <v>603</v>
      </c>
      <c r="G70" t="s">
        <v>34</v>
      </c>
      <c r="H70" t="s">
        <v>530</v>
      </c>
      <c r="I70" t="s">
        <v>512</v>
      </c>
      <c r="J70">
        <v>4075</v>
      </c>
      <c r="K70" t="s">
        <v>531</v>
      </c>
      <c r="L70">
        <v>0.47013888888888888</v>
      </c>
      <c r="M70">
        <v>0.47638888888888886</v>
      </c>
      <c r="Q70" t="s">
        <v>117</v>
      </c>
      <c r="R70" t="s">
        <v>3072</v>
      </c>
      <c r="S70">
        <v>1742255</v>
      </c>
    </row>
    <row r="71" spans="1:19" x14ac:dyDescent="0.25">
      <c r="A71" t="s">
        <v>491</v>
      </c>
      <c r="B71" s="24">
        <v>46113</v>
      </c>
      <c r="C71" t="s">
        <v>24</v>
      </c>
      <c r="D71" t="s">
        <v>25</v>
      </c>
      <c r="E71">
        <v>13</v>
      </c>
      <c r="F71">
        <v>603</v>
      </c>
      <c r="G71" t="s">
        <v>34</v>
      </c>
      <c r="H71" t="s">
        <v>530</v>
      </c>
      <c r="I71" t="s">
        <v>512</v>
      </c>
      <c r="J71">
        <v>4076</v>
      </c>
      <c r="K71" t="s">
        <v>531</v>
      </c>
      <c r="L71">
        <v>0.45277777777777778</v>
      </c>
      <c r="M71">
        <v>0.45694444444444443</v>
      </c>
      <c r="Q71" t="s">
        <v>117</v>
      </c>
      <c r="R71" t="s">
        <v>3072</v>
      </c>
      <c r="S71">
        <v>1742385</v>
      </c>
    </row>
    <row r="72" spans="1:19" x14ac:dyDescent="0.25">
      <c r="A72" t="s">
        <v>491</v>
      </c>
      <c r="B72" s="24">
        <v>46113</v>
      </c>
      <c r="C72" t="s">
        <v>24</v>
      </c>
      <c r="D72" t="s">
        <v>25</v>
      </c>
      <c r="E72">
        <v>13</v>
      </c>
      <c r="F72">
        <v>603</v>
      </c>
      <c r="G72" t="s">
        <v>34</v>
      </c>
      <c r="H72" t="s">
        <v>530</v>
      </c>
      <c r="I72" t="s">
        <v>512</v>
      </c>
      <c r="J72">
        <v>4077</v>
      </c>
      <c r="K72" t="s">
        <v>531</v>
      </c>
      <c r="L72">
        <v>0.40625</v>
      </c>
      <c r="M72">
        <v>0.41041666666666665</v>
      </c>
      <c r="Q72" t="s">
        <v>117</v>
      </c>
      <c r="R72" t="s">
        <v>3072</v>
      </c>
      <c r="S72">
        <v>1742255</v>
      </c>
    </row>
    <row r="73" spans="1:19" x14ac:dyDescent="0.25">
      <c r="A73" t="s">
        <v>491</v>
      </c>
      <c r="B73" s="24">
        <v>46113</v>
      </c>
      <c r="C73" t="s">
        <v>24</v>
      </c>
      <c r="D73" t="s">
        <v>25</v>
      </c>
      <c r="E73">
        <v>13</v>
      </c>
      <c r="F73">
        <v>603</v>
      </c>
      <c r="G73" t="s">
        <v>34</v>
      </c>
      <c r="H73" t="s">
        <v>530</v>
      </c>
      <c r="I73" t="s">
        <v>512</v>
      </c>
      <c r="J73">
        <v>4078</v>
      </c>
      <c r="K73" t="s">
        <v>531</v>
      </c>
      <c r="L73">
        <v>0.44583333333333336</v>
      </c>
      <c r="M73">
        <v>0.45069444444444445</v>
      </c>
      <c r="Q73" t="s">
        <v>117</v>
      </c>
      <c r="R73" t="s">
        <v>3072</v>
      </c>
      <c r="S73">
        <v>1742385</v>
      </c>
    </row>
    <row r="74" spans="1:19" x14ac:dyDescent="0.25">
      <c r="A74" t="s">
        <v>491</v>
      </c>
      <c r="B74" s="24">
        <v>46113</v>
      </c>
      <c r="C74" t="s">
        <v>24</v>
      </c>
      <c r="D74" t="s">
        <v>25</v>
      </c>
      <c r="E74">
        <v>13</v>
      </c>
      <c r="F74">
        <v>603</v>
      </c>
      <c r="G74" t="s">
        <v>34</v>
      </c>
      <c r="H74" t="s">
        <v>530</v>
      </c>
      <c r="I74" t="s">
        <v>512</v>
      </c>
      <c r="J74">
        <v>4079</v>
      </c>
      <c r="K74" t="s">
        <v>531</v>
      </c>
      <c r="L74">
        <v>0.46250000000000002</v>
      </c>
      <c r="M74">
        <v>0.46736111111111112</v>
      </c>
      <c r="Q74" t="s">
        <v>117</v>
      </c>
      <c r="R74" t="s">
        <v>3072</v>
      </c>
      <c r="S74">
        <v>2733753</v>
      </c>
    </row>
    <row r="75" spans="1:19" x14ac:dyDescent="0.25">
      <c r="A75" t="s">
        <v>491</v>
      </c>
      <c r="B75" s="24">
        <v>46113</v>
      </c>
      <c r="C75" t="s">
        <v>24</v>
      </c>
      <c r="D75" t="s">
        <v>25</v>
      </c>
      <c r="E75">
        <v>13</v>
      </c>
      <c r="F75">
        <v>603</v>
      </c>
      <c r="G75" t="s">
        <v>34</v>
      </c>
      <c r="H75" t="s">
        <v>530</v>
      </c>
      <c r="I75" t="s">
        <v>512</v>
      </c>
      <c r="J75">
        <v>4080</v>
      </c>
      <c r="K75" t="s">
        <v>531</v>
      </c>
      <c r="L75">
        <v>0.41249999999999998</v>
      </c>
      <c r="M75">
        <v>0.41875000000000001</v>
      </c>
      <c r="Q75" t="s">
        <v>117</v>
      </c>
      <c r="R75" t="s">
        <v>3072</v>
      </c>
      <c r="S75">
        <v>2733753</v>
      </c>
    </row>
    <row r="76" spans="1:19" x14ac:dyDescent="0.25">
      <c r="A76" t="s">
        <v>491</v>
      </c>
      <c r="B76" s="24">
        <v>46113</v>
      </c>
      <c r="C76" t="s">
        <v>24</v>
      </c>
      <c r="D76" t="s">
        <v>25</v>
      </c>
      <c r="E76">
        <v>13</v>
      </c>
      <c r="F76">
        <v>603</v>
      </c>
      <c r="G76" t="s">
        <v>34</v>
      </c>
      <c r="H76" t="s">
        <v>129</v>
      </c>
      <c r="I76" t="s">
        <v>498</v>
      </c>
      <c r="J76">
        <v>4084</v>
      </c>
      <c r="K76" t="s">
        <v>539</v>
      </c>
      <c r="L76">
        <v>0.55277777777777781</v>
      </c>
      <c r="M76">
        <v>0.55694444444444446</v>
      </c>
      <c r="Q76" t="s">
        <v>117</v>
      </c>
      <c r="R76" t="s">
        <v>3072</v>
      </c>
      <c r="S76">
        <v>1742314</v>
      </c>
    </row>
    <row r="77" spans="1:19" x14ac:dyDescent="0.25">
      <c r="A77" t="s">
        <v>491</v>
      </c>
      <c r="B77" s="24">
        <v>46113</v>
      </c>
      <c r="C77" t="s">
        <v>24</v>
      </c>
      <c r="D77" t="s">
        <v>25</v>
      </c>
      <c r="E77">
        <v>13</v>
      </c>
      <c r="F77">
        <v>603</v>
      </c>
      <c r="G77" t="s">
        <v>34</v>
      </c>
      <c r="H77" t="s">
        <v>131</v>
      </c>
      <c r="I77" t="s">
        <v>498</v>
      </c>
      <c r="J77">
        <v>4092</v>
      </c>
      <c r="K77" t="s">
        <v>541</v>
      </c>
      <c r="L77">
        <v>0.48541666666666666</v>
      </c>
      <c r="M77">
        <v>0.49166666666666664</v>
      </c>
      <c r="Q77" t="s">
        <v>117</v>
      </c>
      <c r="R77" t="s">
        <v>3072</v>
      </c>
      <c r="S77">
        <v>1742314</v>
      </c>
    </row>
    <row r="78" spans="1:19" x14ac:dyDescent="0.25">
      <c r="A78" t="s">
        <v>491</v>
      </c>
      <c r="B78" s="24">
        <v>46113</v>
      </c>
      <c r="C78" t="s">
        <v>24</v>
      </c>
      <c r="D78" t="s">
        <v>25</v>
      </c>
      <c r="E78">
        <v>13</v>
      </c>
      <c r="F78">
        <v>603</v>
      </c>
      <c r="G78" t="s">
        <v>34</v>
      </c>
      <c r="H78" t="s">
        <v>65</v>
      </c>
      <c r="I78" t="s">
        <v>65</v>
      </c>
      <c r="J78">
        <v>4246</v>
      </c>
      <c r="K78" t="s">
        <v>544</v>
      </c>
      <c r="L78">
        <v>0.45902777777777776</v>
      </c>
      <c r="M78">
        <v>0.46458333333333335</v>
      </c>
      <c r="Q78" t="s">
        <v>117</v>
      </c>
      <c r="R78" t="s">
        <v>3072</v>
      </c>
      <c r="S78">
        <v>1742079</v>
      </c>
    </row>
    <row r="79" spans="1:19" x14ac:dyDescent="0.25">
      <c r="A79" t="s">
        <v>491</v>
      </c>
      <c r="B79" s="24">
        <v>46113</v>
      </c>
      <c r="C79" t="s">
        <v>24</v>
      </c>
      <c r="D79" t="s">
        <v>25</v>
      </c>
      <c r="E79">
        <v>13</v>
      </c>
      <c r="F79">
        <v>603</v>
      </c>
      <c r="G79" t="s">
        <v>34</v>
      </c>
      <c r="H79" t="s">
        <v>1672</v>
      </c>
      <c r="I79" t="s">
        <v>498</v>
      </c>
      <c r="J79">
        <v>4473</v>
      </c>
      <c r="K79" t="s">
        <v>548</v>
      </c>
      <c r="L79">
        <v>0.58125000000000004</v>
      </c>
      <c r="M79">
        <v>0.58819444444444446</v>
      </c>
      <c r="Q79" t="s">
        <v>117</v>
      </c>
      <c r="R79" t="s">
        <v>3072</v>
      </c>
      <c r="S79">
        <v>2784148</v>
      </c>
    </row>
    <row r="80" spans="1:19" x14ac:dyDescent="0.25">
      <c r="A80" t="s">
        <v>491</v>
      </c>
      <c r="B80" s="24">
        <v>46113</v>
      </c>
      <c r="C80" t="s">
        <v>24</v>
      </c>
      <c r="D80" t="s">
        <v>25</v>
      </c>
      <c r="E80">
        <v>13</v>
      </c>
      <c r="F80">
        <v>603</v>
      </c>
      <c r="G80" t="s">
        <v>34</v>
      </c>
      <c r="H80" t="s">
        <v>550</v>
      </c>
      <c r="I80" t="s">
        <v>512</v>
      </c>
      <c r="J80">
        <v>4482</v>
      </c>
      <c r="K80" t="s">
        <v>551</v>
      </c>
      <c r="L80">
        <v>0.38541666666666669</v>
      </c>
      <c r="M80">
        <v>0.39027777777777778</v>
      </c>
      <c r="Q80" t="s">
        <v>117</v>
      </c>
      <c r="R80" t="s">
        <v>3072</v>
      </c>
      <c r="S80">
        <v>3219209</v>
      </c>
    </row>
    <row r="81" spans="1:19" x14ac:dyDescent="0.25">
      <c r="A81" t="s">
        <v>491</v>
      </c>
      <c r="B81" s="24">
        <v>46113</v>
      </c>
      <c r="C81" t="s">
        <v>24</v>
      </c>
      <c r="D81" t="s">
        <v>25</v>
      </c>
      <c r="E81">
        <v>13</v>
      </c>
      <c r="F81">
        <v>603</v>
      </c>
      <c r="G81" t="s">
        <v>34</v>
      </c>
      <c r="H81" t="s">
        <v>550</v>
      </c>
      <c r="I81" t="s">
        <v>512</v>
      </c>
      <c r="J81">
        <v>4483</v>
      </c>
      <c r="K81" t="s">
        <v>551</v>
      </c>
      <c r="L81">
        <v>0.71736111111111112</v>
      </c>
      <c r="M81">
        <v>0.72291666666666665</v>
      </c>
      <c r="Q81" t="s">
        <v>117</v>
      </c>
      <c r="R81" t="s">
        <v>3072</v>
      </c>
      <c r="S81">
        <v>1742255</v>
      </c>
    </row>
    <row r="82" spans="1:19" x14ac:dyDescent="0.25">
      <c r="A82" t="s">
        <v>491</v>
      </c>
      <c r="B82" s="24">
        <v>46113</v>
      </c>
      <c r="C82" t="s">
        <v>24</v>
      </c>
      <c r="D82" t="s">
        <v>25</v>
      </c>
      <c r="E82">
        <v>13</v>
      </c>
      <c r="F82">
        <v>603</v>
      </c>
      <c r="G82" t="s">
        <v>34</v>
      </c>
      <c r="H82" t="s">
        <v>550</v>
      </c>
      <c r="I82" t="s">
        <v>512</v>
      </c>
      <c r="J82">
        <v>4484</v>
      </c>
      <c r="K82" t="s">
        <v>551</v>
      </c>
      <c r="L82">
        <v>0.34375</v>
      </c>
      <c r="M82">
        <v>0.34861111111111109</v>
      </c>
      <c r="Q82" t="s">
        <v>117</v>
      </c>
      <c r="R82" t="s">
        <v>3072</v>
      </c>
      <c r="S82">
        <v>1742255</v>
      </c>
    </row>
    <row r="83" spans="1:19" x14ac:dyDescent="0.25">
      <c r="A83" t="s">
        <v>491</v>
      </c>
      <c r="B83" s="24">
        <v>46113</v>
      </c>
      <c r="C83" t="s">
        <v>24</v>
      </c>
      <c r="D83" t="s">
        <v>25</v>
      </c>
      <c r="E83">
        <v>13</v>
      </c>
      <c r="F83">
        <v>603</v>
      </c>
      <c r="G83" t="s">
        <v>34</v>
      </c>
      <c r="H83" t="s">
        <v>550</v>
      </c>
      <c r="I83" t="s">
        <v>512</v>
      </c>
      <c r="J83">
        <v>4485</v>
      </c>
      <c r="K83" t="s">
        <v>551</v>
      </c>
      <c r="L83">
        <v>0.33541666666666664</v>
      </c>
      <c r="M83">
        <v>0.34166666666666667</v>
      </c>
      <c r="Q83" t="s">
        <v>117</v>
      </c>
      <c r="R83" t="s">
        <v>3072</v>
      </c>
      <c r="S83">
        <v>1742255</v>
      </c>
    </row>
    <row r="84" spans="1:19" x14ac:dyDescent="0.25">
      <c r="A84" t="s">
        <v>491</v>
      </c>
      <c r="B84" s="24">
        <v>46113</v>
      </c>
      <c r="C84" t="s">
        <v>24</v>
      </c>
      <c r="D84" t="s">
        <v>25</v>
      </c>
      <c r="E84">
        <v>13</v>
      </c>
      <c r="F84">
        <v>603</v>
      </c>
      <c r="G84" t="s">
        <v>34</v>
      </c>
      <c r="H84" t="s">
        <v>550</v>
      </c>
      <c r="I84" t="s">
        <v>512</v>
      </c>
      <c r="J84">
        <v>4486</v>
      </c>
      <c r="K84" t="s">
        <v>551</v>
      </c>
      <c r="L84">
        <v>0.37777777777777777</v>
      </c>
      <c r="M84">
        <v>0.38263888888888886</v>
      </c>
      <c r="Q84" t="s">
        <v>117</v>
      </c>
      <c r="R84" t="s">
        <v>3072</v>
      </c>
      <c r="S84">
        <v>1742255</v>
      </c>
    </row>
    <row r="85" spans="1:19" x14ac:dyDescent="0.25">
      <c r="A85" t="s">
        <v>491</v>
      </c>
      <c r="B85" s="24">
        <v>46113</v>
      </c>
      <c r="C85" t="s">
        <v>24</v>
      </c>
      <c r="D85" t="s">
        <v>25</v>
      </c>
      <c r="E85">
        <v>13</v>
      </c>
      <c r="F85">
        <v>603</v>
      </c>
      <c r="G85" t="s">
        <v>34</v>
      </c>
      <c r="H85" t="s">
        <v>550</v>
      </c>
      <c r="I85" t="s">
        <v>512</v>
      </c>
      <c r="J85">
        <v>4487</v>
      </c>
      <c r="K85" t="s">
        <v>551</v>
      </c>
      <c r="L85">
        <v>0.36527777777777776</v>
      </c>
      <c r="M85">
        <v>0.37013888888888891</v>
      </c>
      <c r="Q85" t="s">
        <v>117</v>
      </c>
      <c r="R85" t="s">
        <v>3072</v>
      </c>
      <c r="S85">
        <v>1742255</v>
      </c>
    </row>
    <row r="86" spans="1:19" x14ac:dyDescent="0.25">
      <c r="A86" t="s">
        <v>491</v>
      </c>
      <c r="B86" s="24">
        <v>46113</v>
      </c>
      <c r="C86" t="s">
        <v>24</v>
      </c>
      <c r="D86" t="s">
        <v>25</v>
      </c>
      <c r="E86">
        <v>13</v>
      </c>
      <c r="F86">
        <v>603</v>
      </c>
      <c r="G86" t="s">
        <v>34</v>
      </c>
      <c r="H86" t="s">
        <v>550</v>
      </c>
      <c r="I86" t="s">
        <v>512</v>
      </c>
      <c r="J86">
        <v>4489</v>
      </c>
      <c r="K86" t="s">
        <v>551</v>
      </c>
      <c r="L86">
        <v>0.3576388888888889</v>
      </c>
      <c r="M86">
        <v>0.36249999999999999</v>
      </c>
      <c r="Q86" t="s">
        <v>117</v>
      </c>
      <c r="R86" t="s">
        <v>3072</v>
      </c>
      <c r="S86">
        <v>1742255</v>
      </c>
    </row>
    <row r="87" spans="1:19" x14ac:dyDescent="0.25">
      <c r="A87" t="s">
        <v>491</v>
      </c>
      <c r="B87" s="24">
        <v>46113</v>
      </c>
      <c r="C87" t="s">
        <v>24</v>
      </c>
      <c r="D87" t="s">
        <v>25</v>
      </c>
      <c r="E87">
        <v>13</v>
      </c>
      <c r="F87">
        <v>603</v>
      </c>
      <c r="G87" t="s">
        <v>34</v>
      </c>
      <c r="H87" t="s">
        <v>114</v>
      </c>
      <c r="I87" t="s">
        <v>498</v>
      </c>
      <c r="J87">
        <v>4493</v>
      </c>
      <c r="K87" t="s">
        <v>559</v>
      </c>
      <c r="L87">
        <v>0.4777777777777778</v>
      </c>
      <c r="M87">
        <v>0.48333333333333334</v>
      </c>
      <c r="Q87" t="s">
        <v>117</v>
      </c>
      <c r="R87" t="s">
        <v>3072</v>
      </c>
      <c r="S87">
        <v>1742255</v>
      </c>
    </row>
    <row r="88" spans="1:19" x14ac:dyDescent="0.25">
      <c r="A88" t="s">
        <v>491</v>
      </c>
      <c r="B88" s="24">
        <v>46113</v>
      </c>
      <c r="C88" t="s">
        <v>24</v>
      </c>
      <c r="D88" t="s">
        <v>25</v>
      </c>
      <c r="E88">
        <v>13</v>
      </c>
      <c r="F88">
        <v>603</v>
      </c>
      <c r="G88" t="s">
        <v>34</v>
      </c>
      <c r="H88" t="s">
        <v>150</v>
      </c>
      <c r="I88" t="s">
        <v>498</v>
      </c>
      <c r="J88">
        <v>4497</v>
      </c>
      <c r="K88" t="s">
        <v>562</v>
      </c>
      <c r="L88">
        <v>0.44930555555555557</v>
      </c>
      <c r="M88">
        <v>0.4548611111111111</v>
      </c>
      <c r="Q88" t="s">
        <v>117</v>
      </c>
      <c r="R88" t="s">
        <v>3072</v>
      </c>
      <c r="S88">
        <v>1742314</v>
      </c>
    </row>
    <row r="89" spans="1:19" x14ac:dyDescent="0.25">
      <c r="A89" t="s">
        <v>491</v>
      </c>
      <c r="B89" s="24">
        <v>46113</v>
      </c>
      <c r="C89" t="s">
        <v>24</v>
      </c>
      <c r="D89" t="s">
        <v>25</v>
      </c>
      <c r="E89">
        <v>13</v>
      </c>
      <c r="F89">
        <v>603</v>
      </c>
      <c r="G89" t="s">
        <v>34</v>
      </c>
      <c r="H89" t="s">
        <v>150</v>
      </c>
      <c r="I89" t="s">
        <v>498</v>
      </c>
      <c r="J89">
        <v>4498</v>
      </c>
      <c r="K89" t="s">
        <v>564</v>
      </c>
      <c r="L89">
        <v>0.45833333333333331</v>
      </c>
      <c r="M89">
        <v>0.46458333333333335</v>
      </c>
      <c r="Q89" t="s">
        <v>117</v>
      </c>
      <c r="R89" t="s">
        <v>3072</v>
      </c>
      <c r="S89">
        <v>1742314</v>
      </c>
    </row>
    <row r="90" spans="1:19" x14ac:dyDescent="0.25">
      <c r="A90" t="s">
        <v>491</v>
      </c>
      <c r="B90" s="24">
        <v>46113</v>
      </c>
      <c r="C90" t="s">
        <v>24</v>
      </c>
      <c r="D90" t="s">
        <v>25</v>
      </c>
      <c r="E90">
        <v>13</v>
      </c>
      <c r="F90">
        <v>603</v>
      </c>
      <c r="G90" t="s">
        <v>34</v>
      </c>
      <c r="H90" t="s">
        <v>133</v>
      </c>
      <c r="I90" t="s">
        <v>498</v>
      </c>
      <c r="J90">
        <v>4501</v>
      </c>
      <c r="K90" t="s">
        <v>566</v>
      </c>
      <c r="L90">
        <v>0.46388888888888891</v>
      </c>
      <c r="M90">
        <v>0.46944444444444444</v>
      </c>
      <c r="Q90" t="s">
        <v>117</v>
      </c>
      <c r="R90" t="s">
        <v>3072</v>
      </c>
      <c r="S90">
        <v>2733740</v>
      </c>
    </row>
    <row r="91" spans="1:19" x14ac:dyDescent="0.25">
      <c r="A91" t="s">
        <v>491</v>
      </c>
      <c r="B91" s="24">
        <v>46113</v>
      </c>
      <c r="C91" t="s">
        <v>24</v>
      </c>
      <c r="D91" t="s">
        <v>25</v>
      </c>
      <c r="E91">
        <v>13</v>
      </c>
      <c r="F91">
        <v>603</v>
      </c>
      <c r="G91" t="s">
        <v>34</v>
      </c>
      <c r="H91" t="s">
        <v>147</v>
      </c>
      <c r="I91" t="s">
        <v>498</v>
      </c>
      <c r="J91">
        <v>4505</v>
      </c>
      <c r="K91" t="s">
        <v>568</v>
      </c>
      <c r="L91">
        <v>0.61527777777777781</v>
      </c>
      <c r="M91">
        <v>0.62083333333333335</v>
      </c>
      <c r="Q91" t="s">
        <v>117</v>
      </c>
      <c r="R91" t="s">
        <v>3072</v>
      </c>
      <c r="S91">
        <v>1733753</v>
      </c>
    </row>
    <row r="92" spans="1:19" x14ac:dyDescent="0.25">
      <c r="A92" t="s">
        <v>491</v>
      </c>
      <c r="B92" s="24">
        <v>46113</v>
      </c>
      <c r="C92" t="s">
        <v>24</v>
      </c>
      <c r="D92" t="s">
        <v>25</v>
      </c>
      <c r="E92">
        <v>13</v>
      </c>
      <c r="F92">
        <v>603</v>
      </c>
      <c r="G92" t="s">
        <v>34</v>
      </c>
      <c r="H92" t="s">
        <v>147</v>
      </c>
      <c r="I92" t="s">
        <v>498</v>
      </c>
      <c r="J92">
        <v>4506</v>
      </c>
      <c r="K92" t="s">
        <v>570</v>
      </c>
      <c r="L92">
        <v>0.62361111111111112</v>
      </c>
      <c r="M92">
        <v>0.62777777777777777</v>
      </c>
      <c r="Q92" t="s">
        <v>117</v>
      </c>
      <c r="R92" t="s">
        <v>3072</v>
      </c>
      <c r="S92">
        <v>1742385</v>
      </c>
    </row>
    <row r="93" spans="1:19" x14ac:dyDescent="0.25">
      <c r="A93" t="s">
        <v>446</v>
      </c>
      <c r="B93" s="24">
        <v>46113</v>
      </c>
      <c r="C93" t="s">
        <v>24</v>
      </c>
      <c r="D93" t="s">
        <v>25</v>
      </c>
      <c r="E93">
        <v>13</v>
      </c>
      <c r="F93">
        <v>606</v>
      </c>
      <c r="G93" t="s">
        <v>34</v>
      </c>
      <c r="H93" t="s">
        <v>1672</v>
      </c>
      <c r="I93" t="s">
        <v>498</v>
      </c>
      <c r="J93">
        <v>3381</v>
      </c>
      <c r="K93" t="s">
        <v>449</v>
      </c>
      <c r="L93">
        <v>0.44583333333333336</v>
      </c>
      <c r="M93">
        <v>0.49791666666666667</v>
      </c>
      <c r="Q93" t="s">
        <v>117</v>
      </c>
      <c r="R93" t="s">
        <v>3035</v>
      </c>
      <c r="S93">
        <v>2733391</v>
      </c>
    </row>
    <row r="94" spans="1:19" x14ac:dyDescent="0.25">
      <c r="A94" t="s">
        <v>446</v>
      </c>
      <c r="B94" s="24">
        <v>46113</v>
      </c>
      <c r="C94" t="s">
        <v>24</v>
      </c>
      <c r="D94" t="s">
        <v>25</v>
      </c>
      <c r="E94">
        <v>13</v>
      </c>
      <c r="F94">
        <v>606</v>
      </c>
      <c r="G94" t="s">
        <v>34</v>
      </c>
      <c r="H94" t="s">
        <v>1665</v>
      </c>
      <c r="I94" t="s">
        <v>498</v>
      </c>
      <c r="J94">
        <v>3382</v>
      </c>
      <c r="K94" t="s">
        <v>453</v>
      </c>
      <c r="L94">
        <v>0.55347222222222225</v>
      </c>
      <c r="M94">
        <v>0.62708333333333333</v>
      </c>
      <c r="Q94" t="s">
        <v>117</v>
      </c>
      <c r="R94" t="s">
        <v>3035</v>
      </c>
      <c r="S94">
        <v>2733391</v>
      </c>
    </row>
    <row r="95" spans="1:19" x14ac:dyDescent="0.25">
      <c r="A95" t="s">
        <v>446</v>
      </c>
      <c r="B95" s="24">
        <v>46113</v>
      </c>
      <c r="C95" t="s">
        <v>24</v>
      </c>
      <c r="D95" t="s">
        <v>25</v>
      </c>
      <c r="E95">
        <v>13</v>
      </c>
      <c r="F95">
        <v>606</v>
      </c>
      <c r="G95" t="s">
        <v>34</v>
      </c>
      <c r="H95" t="s">
        <v>1672</v>
      </c>
      <c r="I95" t="s">
        <v>498</v>
      </c>
      <c r="J95">
        <v>3383</v>
      </c>
      <c r="K95" t="s">
        <v>457</v>
      </c>
      <c r="L95">
        <v>0.62916666666666665</v>
      </c>
      <c r="M95">
        <v>0.67777777777777781</v>
      </c>
      <c r="Q95" t="s">
        <v>117</v>
      </c>
      <c r="R95" t="s">
        <v>3035</v>
      </c>
      <c r="S95">
        <v>2733391</v>
      </c>
    </row>
    <row r="96" spans="1:19" x14ac:dyDescent="0.25">
      <c r="A96" t="s">
        <v>446</v>
      </c>
      <c r="B96" s="24">
        <v>46113</v>
      </c>
      <c r="C96" t="s">
        <v>24</v>
      </c>
      <c r="D96" t="s">
        <v>25</v>
      </c>
      <c r="E96">
        <v>13</v>
      </c>
      <c r="F96">
        <v>606</v>
      </c>
      <c r="G96" t="s">
        <v>34</v>
      </c>
      <c r="H96" t="s">
        <v>1672</v>
      </c>
      <c r="I96" t="s">
        <v>498</v>
      </c>
      <c r="J96">
        <v>3384</v>
      </c>
      <c r="K96" t="s">
        <v>461</v>
      </c>
      <c r="L96">
        <v>0.34027777777777779</v>
      </c>
      <c r="M96">
        <v>0.37291666666666667</v>
      </c>
      <c r="Q96" t="s">
        <v>117</v>
      </c>
      <c r="R96" t="s">
        <v>3035</v>
      </c>
      <c r="S96">
        <v>2733391</v>
      </c>
    </row>
    <row r="97" spans="1:19" x14ac:dyDescent="0.25">
      <c r="A97" t="s">
        <v>446</v>
      </c>
      <c r="B97" s="24">
        <v>46113</v>
      </c>
      <c r="C97" t="s">
        <v>24</v>
      </c>
      <c r="D97" t="s">
        <v>25</v>
      </c>
      <c r="E97">
        <v>13</v>
      </c>
      <c r="F97">
        <v>606</v>
      </c>
      <c r="G97" t="s">
        <v>34</v>
      </c>
      <c r="H97" t="s">
        <v>1672</v>
      </c>
      <c r="I97" t="s">
        <v>498</v>
      </c>
      <c r="J97">
        <v>3385</v>
      </c>
      <c r="K97" t="s">
        <v>465</v>
      </c>
      <c r="L97">
        <v>0.42638888888888887</v>
      </c>
      <c r="M97">
        <v>0.49930555555555556</v>
      </c>
      <c r="Q97" t="s">
        <v>117</v>
      </c>
      <c r="R97" t="s">
        <v>3035</v>
      </c>
      <c r="S97">
        <v>2733391</v>
      </c>
    </row>
    <row r="98" spans="1:19" x14ac:dyDescent="0.25">
      <c r="A98" t="s">
        <v>446</v>
      </c>
      <c r="B98" s="24">
        <v>46113</v>
      </c>
      <c r="C98" t="s">
        <v>24</v>
      </c>
      <c r="D98" t="s">
        <v>25</v>
      </c>
      <c r="E98">
        <v>13</v>
      </c>
      <c r="F98">
        <v>606</v>
      </c>
      <c r="G98" t="s">
        <v>34</v>
      </c>
      <c r="H98" t="s">
        <v>1672</v>
      </c>
      <c r="I98" t="s">
        <v>498</v>
      </c>
      <c r="J98">
        <v>3386</v>
      </c>
      <c r="K98" t="s">
        <v>469</v>
      </c>
      <c r="L98">
        <v>0.5708333333333333</v>
      </c>
      <c r="M98">
        <v>0.60486111111111107</v>
      </c>
      <c r="Q98" t="s">
        <v>117</v>
      </c>
      <c r="R98" t="s">
        <v>3035</v>
      </c>
      <c r="S98">
        <v>2733391</v>
      </c>
    </row>
    <row r="99" spans="1:19" x14ac:dyDescent="0.25">
      <c r="A99" t="s">
        <v>446</v>
      </c>
      <c r="B99" s="24">
        <v>46113</v>
      </c>
      <c r="C99" t="s">
        <v>24</v>
      </c>
      <c r="D99" t="s">
        <v>25</v>
      </c>
      <c r="E99">
        <v>13</v>
      </c>
      <c r="F99">
        <v>606</v>
      </c>
      <c r="G99" t="s">
        <v>34</v>
      </c>
      <c r="H99" t="s">
        <v>1672</v>
      </c>
      <c r="I99" t="s">
        <v>498</v>
      </c>
      <c r="J99">
        <v>3387</v>
      </c>
      <c r="K99" t="s">
        <v>474</v>
      </c>
      <c r="L99">
        <v>0.6069444444444444</v>
      </c>
      <c r="M99">
        <v>0.62777777777777777</v>
      </c>
      <c r="Q99" t="s">
        <v>117</v>
      </c>
      <c r="R99" t="s">
        <v>3035</v>
      </c>
      <c r="S99">
        <v>2733391</v>
      </c>
    </row>
    <row r="100" spans="1:19" x14ac:dyDescent="0.25">
      <c r="A100" t="s">
        <v>446</v>
      </c>
      <c r="B100" s="24">
        <v>46113</v>
      </c>
      <c r="C100" t="s">
        <v>24</v>
      </c>
      <c r="D100" t="s">
        <v>25</v>
      </c>
      <c r="E100">
        <v>13</v>
      </c>
      <c r="F100">
        <v>606</v>
      </c>
      <c r="G100" t="s">
        <v>34</v>
      </c>
      <c r="H100" t="s">
        <v>1585</v>
      </c>
      <c r="I100" t="s">
        <v>1585</v>
      </c>
      <c r="J100">
        <v>3523</v>
      </c>
      <c r="K100" t="s">
        <v>478</v>
      </c>
      <c r="L100">
        <v>0.35416666666666669</v>
      </c>
      <c r="M100">
        <v>0.38263888888888886</v>
      </c>
      <c r="Q100" t="s">
        <v>117</v>
      </c>
      <c r="R100" t="s">
        <v>3035</v>
      </c>
      <c r="S100">
        <v>2777656</v>
      </c>
    </row>
    <row r="101" spans="1:19" x14ac:dyDescent="0.25">
      <c r="A101" t="s">
        <v>446</v>
      </c>
      <c r="B101" s="24">
        <v>46113</v>
      </c>
      <c r="C101" t="s">
        <v>24</v>
      </c>
      <c r="D101" t="s">
        <v>25</v>
      </c>
      <c r="E101">
        <v>13</v>
      </c>
      <c r="F101">
        <v>606</v>
      </c>
      <c r="G101" t="s">
        <v>34</v>
      </c>
      <c r="H101" t="s">
        <v>1672</v>
      </c>
      <c r="I101" t="s">
        <v>498</v>
      </c>
      <c r="J101">
        <v>3705</v>
      </c>
      <c r="K101" t="s">
        <v>483</v>
      </c>
      <c r="L101">
        <v>0.6333333333333333</v>
      </c>
      <c r="M101">
        <v>0.6694444444444444</v>
      </c>
      <c r="Q101" t="s">
        <v>117</v>
      </c>
      <c r="R101" t="s">
        <v>3035</v>
      </c>
      <c r="S101">
        <v>2733391</v>
      </c>
    </row>
    <row r="102" spans="1:19" x14ac:dyDescent="0.25">
      <c r="A102" t="s">
        <v>446</v>
      </c>
      <c r="B102" s="24">
        <v>46113</v>
      </c>
      <c r="C102" t="s">
        <v>24</v>
      </c>
      <c r="D102" t="s">
        <v>25</v>
      </c>
      <c r="E102">
        <v>13</v>
      </c>
      <c r="F102">
        <v>606</v>
      </c>
      <c r="G102" t="s">
        <v>34</v>
      </c>
      <c r="H102" t="s">
        <v>1585</v>
      </c>
      <c r="I102" t="s">
        <v>1585</v>
      </c>
      <c r="J102">
        <v>4519</v>
      </c>
      <c r="K102" t="s">
        <v>488</v>
      </c>
      <c r="L102">
        <v>0.57986111111111116</v>
      </c>
      <c r="M102">
        <v>0.61805555555555558</v>
      </c>
      <c r="Q102" t="s">
        <v>117</v>
      </c>
      <c r="R102" t="s">
        <v>3035</v>
      </c>
      <c r="S102">
        <v>2777669</v>
      </c>
    </row>
    <row r="103" spans="1:19" x14ac:dyDescent="0.25">
      <c r="A103" t="s">
        <v>239</v>
      </c>
      <c r="B103" s="24">
        <v>46136</v>
      </c>
      <c r="C103" t="s">
        <v>24</v>
      </c>
      <c r="D103" t="s">
        <v>25</v>
      </c>
      <c r="E103">
        <v>13</v>
      </c>
      <c r="F103">
        <v>605</v>
      </c>
      <c r="G103" t="s">
        <v>34</v>
      </c>
      <c r="H103" t="s">
        <v>65</v>
      </c>
      <c r="I103" t="s">
        <v>65</v>
      </c>
      <c r="J103">
        <v>4518</v>
      </c>
      <c r="K103" t="s">
        <v>242</v>
      </c>
      <c r="L103">
        <v>0.42708333333333331</v>
      </c>
      <c r="M103">
        <v>0.44374999999999998</v>
      </c>
      <c r="Q103" t="s">
        <v>117</v>
      </c>
      <c r="R103" t="s">
        <v>3029</v>
      </c>
      <c r="S103">
        <v>1786246</v>
      </c>
    </row>
    <row r="104" spans="1:19" x14ac:dyDescent="0.25">
      <c r="A104" t="s">
        <v>239</v>
      </c>
      <c r="B104" s="24">
        <v>46136</v>
      </c>
      <c r="C104" t="s">
        <v>24</v>
      </c>
      <c r="D104" t="s">
        <v>25</v>
      </c>
      <c r="E104">
        <v>13</v>
      </c>
      <c r="F104">
        <v>605</v>
      </c>
      <c r="G104" t="s">
        <v>34</v>
      </c>
      <c r="H104" t="s">
        <v>1585</v>
      </c>
      <c r="I104" t="s">
        <v>1585</v>
      </c>
      <c r="J104">
        <v>3350</v>
      </c>
      <c r="K104" t="s">
        <v>247</v>
      </c>
      <c r="L104">
        <v>0.4513888888888889</v>
      </c>
      <c r="M104">
        <v>0.57430555555555551</v>
      </c>
      <c r="Q104" t="s">
        <v>117</v>
      </c>
      <c r="R104" t="s">
        <v>3029</v>
      </c>
      <c r="S104">
        <v>2777656</v>
      </c>
    </row>
    <row r="105" spans="1:19" x14ac:dyDescent="0.25">
      <c r="A105" t="s">
        <v>239</v>
      </c>
      <c r="B105" s="24">
        <v>46136</v>
      </c>
      <c r="C105" t="s">
        <v>24</v>
      </c>
      <c r="D105" t="s">
        <v>25</v>
      </c>
      <c r="E105">
        <v>13</v>
      </c>
      <c r="F105">
        <v>605</v>
      </c>
      <c r="G105" t="s">
        <v>34</v>
      </c>
      <c r="H105" t="s">
        <v>1665</v>
      </c>
      <c r="I105" t="s">
        <v>115</v>
      </c>
      <c r="J105">
        <v>3351</v>
      </c>
      <c r="K105" t="s">
        <v>252</v>
      </c>
      <c r="L105">
        <v>0.38958333333333334</v>
      </c>
      <c r="M105">
        <v>0.44444444444444442</v>
      </c>
      <c r="Q105" t="s">
        <v>117</v>
      </c>
      <c r="R105" t="s">
        <v>3029</v>
      </c>
      <c r="S105">
        <v>2777656</v>
      </c>
    </row>
    <row r="106" spans="1:19" x14ac:dyDescent="0.25">
      <c r="A106" t="s">
        <v>239</v>
      </c>
      <c r="B106" s="24">
        <v>46136</v>
      </c>
      <c r="C106" t="s">
        <v>24</v>
      </c>
      <c r="D106" t="s">
        <v>25</v>
      </c>
      <c r="E106">
        <v>13</v>
      </c>
      <c r="F106">
        <v>605</v>
      </c>
      <c r="G106" t="s">
        <v>34</v>
      </c>
      <c r="H106" t="s">
        <v>530</v>
      </c>
      <c r="I106" t="s">
        <v>530</v>
      </c>
      <c r="J106">
        <v>3352</v>
      </c>
      <c r="K106" t="s">
        <v>257</v>
      </c>
      <c r="L106">
        <v>0.61944444444444446</v>
      </c>
      <c r="M106">
        <v>0.67222222222222228</v>
      </c>
      <c r="Q106" t="s">
        <v>117</v>
      </c>
      <c r="R106" t="s">
        <v>3029</v>
      </c>
      <c r="S106">
        <v>2777656</v>
      </c>
    </row>
    <row r="107" spans="1:19" x14ac:dyDescent="0.25">
      <c r="A107" t="s">
        <v>239</v>
      </c>
      <c r="B107" s="24">
        <v>46136</v>
      </c>
      <c r="C107" t="s">
        <v>24</v>
      </c>
      <c r="D107" t="s">
        <v>25</v>
      </c>
      <c r="E107">
        <v>13</v>
      </c>
      <c r="F107">
        <v>605</v>
      </c>
      <c r="G107" t="s">
        <v>34</v>
      </c>
      <c r="H107" t="s">
        <v>1585</v>
      </c>
      <c r="I107" t="s">
        <v>1585</v>
      </c>
      <c r="J107">
        <v>3353</v>
      </c>
      <c r="K107" t="s">
        <v>262</v>
      </c>
      <c r="L107">
        <v>0.37013888888888891</v>
      </c>
      <c r="M107">
        <v>0.38819444444444445</v>
      </c>
      <c r="Q107" t="s">
        <v>117</v>
      </c>
      <c r="R107" t="s">
        <v>3029</v>
      </c>
      <c r="S107">
        <v>2777669</v>
      </c>
    </row>
    <row r="108" spans="1:19" x14ac:dyDescent="0.25">
      <c r="A108" t="s">
        <v>239</v>
      </c>
      <c r="B108" s="24">
        <v>46136</v>
      </c>
      <c r="C108" t="s">
        <v>24</v>
      </c>
      <c r="D108" t="s">
        <v>25</v>
      </c>
      <c r="E108">
        <v>13</v>
      </c>
      <c r="F108">
        <v>605</v>
      </c>
      <c r="G108" t="s">
        <v>34</v>
      </c>
      <c r="H108" t="s">
        <v>1585</v>
      </c>
      <c r="I108" t="s">
        <v>1585</v>
      </c>
      <c r="J108">
        <v>3355</v>
      </c>
      <c r="K108" t="s">
        <v>267</v>
      </c>
      <c r="L108">
        <v>0.3923611111111111</v>
      </c>
      <c r="M108">
        <v>0.4284722222222222</v>
      </c>
      <c r="Q108" t="s">
        <v>117</v>
      </c>
      <c r="R108" t="s">
        <v>3029</v>
      </c>
      <c r="S108">
        <v>2777669</v>
      </c>
    </row>
    <row r="109" spans="1:19" x14ac:dyDescent="0.25">
      <c r="A109" t="s">
        <v>239</v>
      </c>
      <c r="B109" s="24">
        <v>46136</v>
      </c>
      <c r="C109" t="s">
        <v>24</v>
      </c>
      <c r="D109" t="s">
        <v>25</v>
      </c>
      <c r="E109">
        <v>13</v>
      </c>
      <c r="F109">
        <v>605</v>
      </c>
      <c r="G109" t="s">
        <v>34</v>
      </c>
      <c r="H109" t="s">
        <v>1585</v>
      </c>
      <c r="I109" t="s">
        <v>1585</v>
      </c>
      <c r="J109">
        <v>3356</v>
      </c>
      <c r="K109" t="s">
        <v>271</v>
      </c>
      <c r="L109">
        <v>0.86458333333333337</v>
      </c>
      <c r="M109">
        <v>0.97916666666666663</v>
      </c>
      <c r="Q109" t="s">
        <v>117</v>
      </c>
      <c r="R109" t="s">
        <v>3032</v>
      </c>
      <c r="S109">
        <v>2777669</v>
      </c>
    </row>
    <row r="110" spans="1:19" x14ac:dyDescent="0.25">
      <c r="A110" t="s">
        <v>239</v>
      </c>
      <c r="B110" s="24">
        <v>46136</v>
      </c>
      <c r="C110" t="s">
        <v>24</v>
      </c>
      <c r="D110" t="s">
        <v>25</v>
      </c>
      <c r="E110">
        <v>13</v>
      </c>
      <c r="F110">
        <v>605</v>
      </c>
      <c r="G110" t="s">
        <v>34</v>
      </c>
      <c r="H110" t="s">
        <v>152</v>
      </c>
      <c r="I110" t="s">
        <v>152</v>
      </c>
      <c r="J110">
        <v>4656</v>
      </c>
      <c r="K110" t="s">
        <v>276</v>
      </c>
      <c r="L110">
        <v>1.3888888888888888E-2</v>
      </c>
      <c r="M110">
        <v>4.1666666666666664E-2</v>
      </c>
      <c r="Q110" t="s">
        <v>117</v>
      </c>
      <c r="R110" t="s">
        <v>3032</v>
      </c>
      <c r="S110">
        <v>1781401</v>
      </c>
    </row>
    <row r="111" spans="1:19" x14ac:dyDescent="0.25">
      <c r="A111" t="s">
        <v>239</v>
      </c>
      <c r="B111" s="24">
        <v>46136</v>
      </c>
      <c r="C111" t="s">
        <v>24</v>
      </c>
      <c r="D111" t="s">
        <v>25</v>
      </c>
      <c r="E111">
        <v>13</v>
      </c>
      <c r="F111">
        <v>605</v>
      </c>
      <c r="G111" t="s">
        <v>34</v>
      </c>
      <c r="H111" t="s">
        <v>1585</v>
      </c>
      <c r="I111" t="s">
        <v>1585</v>
      </c>
      <c r="J111">
        <v>3522</v>
      </c>
      <c r="K111" t="s">
        <v>281</v>
      </c>
      <c r="L111">
        <v>0.62152777777777779</v>
      </c>
      <c r="M111">
        <v>0.66180555555555554</v>
      </c>
      <c r="Q111" t="s">
        <v>117</v>
      </c>
      <c r="R111" t="s">
        <v>3029</v>
      </c>
      <c r="S111">
        <v>2777669</v>
      </c>
    </row>
    <row r="112" spans="1:19" x14ac:dyDescent="0.25">
      <c r="A112" t="s">
        <v>239</v>
      </c>
      <c r="B112" s="24">
        <v>46136</v>
      </c>
      <c r="C112" t="s">
        <v>24</v>
      </c>
      <c r="D112" t="s">
        <v>25</v>
      </c>
      <c r="E112">
        <v>13</v>
      </c>
      <c r="F112">
        <v>605</v>
      </c>
      <c r="G112" t="s">
        <v>34</v>
      </c>
      <c r="H112" t="s">
        <v>1588</v>
      </c>
      <c r="I112" t="s">
        <v>512</v>
      </c>
      <c r="J112">
        <v>4478</v>
      </c>
      <c r="K112" t="s">
        <v>286</v>
      </c>
      <c r="L112">
        <v>0.82291666666666663</v>
      </c>
      <c r="M112">
        <v>0.82986111111111116</v>
      </c>
      <c r="Q112" t="s">
        <v>117</v>
      </c>
      <c r="R112" t="s">
        <v>3032</v>
      </c>
      <c r="S112">
        <v>2733740</v>
      </c>
    </row>
    <row r="113" spans="1:19" x14ac:dyDescent="0.25">
      <c r="A113" t="s">
        <v>239</v>
      </c>
      <c r="B113" s="24">
        <v>46136</v>
      </c>
      <c r="C113" t="s">
        <v>24</v>
      </c>
      <c r="D113" t="s">
        <v>25</v>
      </c>
      <c r="E113">
        <v>13</v>
      </c>
      <c r="F113">
        <v>605</v>
      </c>
      <c r="G113" t="s">
        <v>34</v>
      </c>
      <c r="H113" t="s">
        <v>1588</v>
      </c>
      <c r="I113" t="s">
        <v>512</v>
      </c>
      <c r="J113">
        <v>4509</v>
      </c>
      <c r="K113" t="s">
        <v>289</v>
      </c>
      <c r="L113">
        <v>0.75347222222222221</v>
      </c>
      <c r="M113">
        <v>0.76041666666666663</v>
      </c>
      <c r="Q113" t="s">
        <v>117</v>
      </c>
      <c r="R113" t="s">
        <v>3032</v>
      </c>
      <c r="S113">
        <v>1742402</v>
      </c>
    </row>
    <row r="114" spans="1:19" x14ac:dyDescent="0.25">
      <c r="A114" t="s">
        <v>239</v>
      </c>
      <c r="B114" s="24">
        <v>46136</v>
      </c>
      <c r="C114" t="s">
        <v>24</v>
      </c>
      <c r="D114" t="s">
        <v>25</v>
      </c>
      <c r="E114">
        <v>13</v>
      </c>
      <c r="F114">
        <v>605</v>
      </c>
      <c r="G114" t="s">
        <v>34</v>
      </c>
      <c r="H114" t="s">
        <v>1588</v>
      </c>
      <c r="I114" t="s">
        <v>512</v>
      </c>
      <c r="J114">
        <v>4510</v>
      </c>
      <c r="K114" t="s">
        <v>293</v>
      </c>
      <c r="L114">
        <v>0.76388888888888884</v>
      </c>
      <c r="M114">
        <v>0.77430555555555558</v>
      </c>
      <c r="Q114" t="s">
        <v>117</v>
      </c>
      <c r="R114" t="s">
        <v>3032</v>
      </c>
      <c r="S114">
        <v>1742372</v>
      </c>
    </row>
    <row r="115" spans="1:19" x14ac:dyDescent="0.25">
      <c r="A115" t="s">
        <v>239</v>
      </c>
      <c r="B115" s="24">
        <v>46136</v>
      </c>
      <c r="C115" t="s">
        <v>24</v>
      </c>
      <c r="D115" t="s">
        <v>25</v>
      </c>
      <c r="E115">
        <v>13</v>
      </c>
      <c r="F115">
        <v>605</v>
      </c>
      <c r="G115" t="s">
        <v>34</v>
      </c>
      <c r="H115" t="s">
        <v>1672</v>
      </c>
      <c r="I115" t="s">
        <v>498</v>
      </c>
      <c r="J115">
        <v>4515</v>
      </c>
      <c r="K115" t="s">
        <v>298</v>
      </c>
      <c r="L115">
        <v>0.77777777777777779</v>
      </c>
      <c r="M115">
        <v>0.80555555555555558</v>
      </c>
      <c r="Q115" t="s">
        <v>117</v>
      </c>
      <c r="R115" t="s">
        <v>3032</v>
      </c>
      <c r="S115">
        <v>1742402</v>
      </c>
    </row>
    <row r="116" spans="1:19" x14ac:dyDescent="0.25">
      <c r="A116" t="s">
        <v>239</v>
      </c>
      <c r="B116" s="24">
        <v>46136</v>
      </c>
      <c r="C116" t="s">
        <v>24</v>
      </c>
      <c r="D116" t="s">
        <v>25</v>
      </c>
      <c r="E116">
        <v>13</v>
      </c>
      <c r="F116">
        <v>605</v>
      </c>
      <c r="G116" t="s">
        <v>34</v>
      </c>
      <c r="H116" t="s">
        <v>65</v>
      </c>
      <c r="I116" t="s">
        <v>1598</v>
      </c>
      <c r="J116">
        <v>3453</v>
      </c>
      <c r="K116" t="s">
        <v>303</v>
      </c>
      <c r="L116">
        <v>0.43055555555555558</v>
      </c>
      <c r="M116">
        <v>0.43958333333333333</v>
      </c>
      <c r="Q116" t="s">
        <v>117</v>
      </c>
      <c r="R116" t="s">
        <v>3029</v>
      </c>
      <c r="S116">
        <v>2733740</v>
      </c>
    </row>
    <row r="117" spans="1:19" x14ac:dyDescent="0.25">
      <c r="A117" t="s">
        <v>239</v>
      </c>
      <c r="B117" s="24">
        <v>46136</v>
      </c>
      <c r="C117" t="s">
        <v>24</v>
      </c>
      <c r="D117" t="s">
        <v>25</v>
      </c>
      <c r="E117">
        <v>13</v>
      </c>
      <c r="F117">
        <v>605</v>
      </c>
      <c r="G117" t="s">
        <v>34</v>
      </c>
      <c r="H117" t="s">
        <v>1672</v>
      </c>
      <c r="I117" t="s">
        <v>498</v>
      </c>
      <c r="J117">
        <v>4316</v>
      </c>
      <c r="K117" t="s">
        <v>308</v>
      </c>
      <c r="L117">
        <v>0.80902777777777779</v>
      </c>
      <c r="M117">
        <v>0.81944444444444442</v>
      </c>
      <c r="Q117" t="s">
        <v>117</v>
      </c>
      <c r="R117" t="s">
        <v>3032</v>
      </c>
      <c r="S117">
        <v>1742255</v>
      </c>
    </row>
    <row r="118" spans="1:19" x14ac:dyDescent="0.25">
      <c r="A118" t="s">
        <v>239</v>
      </c>
      <c r="B118" s="24">
        <v>46136</v>
      </c>
      <c r="C118" t="s">
        <v>24</v>
      </c>
      <c r="D118" t="s">
        <v>25</v>
      </c>
      <c r="E118">
        <v>13</v>
      </c>
      <c r="F118">
        <v>605</v>
      </c>
      <c r="G118" t="s">
        <v>34</v>
      </c>
      <c r="H118" t="s">
        <v>1665</v>
      </c>
      <c r="I118" t="s">
        <v>512</v>
      </c>
      <c r="J118">
        <v>4499</v>
      </c>
      <c r="K118" t="s">
        <v>98</v>
      </c>
      <c r="L118">
        <v>0.67777777777777781</v>
      </c>
      <c r="M118">
        <v>0.68541666666666667</v>
      </c>
      <c r="Q118" t="s">
        <v>117</v>
      </c>
      <c r="R118" t="s">
        <v>3029</v>
      </c>
      <c r="S118">
        <v>1742079</v>
      </c>
    </row>
    <row r="119" spans="1:19" x14ac:dyDescent="0.25">
      <c r="A119" t="s">
        <v>239</v>
      </c>
      <c r="B119" s="24">
        <v>46136</v>
      </c>
      <c r="C119" t="s">
        <v>24</v>
      </c>
      <c r="D119" t="s">
        <v>25</v>
      </c>
      <c r="E119">
        <v>13</v>
      </c>
      <c r="F119">
        <v>605</v>
      </c>
      <c r="G119" t="s">
        <v>34</v>
      </c>
      <c r="H119" t="s">
        <v>367</v>
      </c>
      <c r="I119" t="s">
        <v>1598</v>
      </c>
      <c r="J119">
        <v>4249</v>
      </c>
      <c r="K119" t="s">
        <v>317</v>
      </c>
      <c r="L119">
        <v>0.4597222222222222</v>
      </c>
      <c r="M119">
        <v>0.46944444444444444</v>
      </c>
      <c r="Q119" t="s">
        <v>117</v>
      </c>
      <c r="R119" t="s">
        <v>3029</v>
      </c>
      <c r="S119">
        <v>2733753</v>
      </c>
    </row>
    <row r="120" spans="1:19" x14ac:dyDescent="0.25">
      <c r="A120" t="s">
        <v>239</v>
      </c>
      <c r="B120" s="24">
        <v>46136</v>
      </c>
      <c r="C120" t="s">
        <v>24</v>
      </c>
      <c r="D120" t="s">
        <v>25</v>
      </c>
      <c r="E120">
        <v>13</v>
      </c>
      <c r="F120">
        <v>605</v>
      </c>
      <c r="G120" t="s">
        <v>34</v>
      </c>
      <c r="H120" t="s">
        <v>1665</v>
      </c>
      <c r="I120" t="s">
        <v>115</v>
      </c>
      <c r="J120">
        <v>4511</v>
      </c>
      <c r="K120" t="s">
        <v>322</v>
      </c>
      <c r="L120">
        <v>0.44236111111111109</v>
      </c>
      <c r="M120">
        <v>0.45624999999999999</v>
      </c>
      <c r="Q120" t="s">
        <v>117</v>
      </c>
      <c r="R120" t="s">
        <v>3029</v>
      </c>
      <c r="S120">
        <v>1786246</v>
      </c>
    </row>
    <row r="121" spans="1:19" x14ac:dyDescent="0.25">
      <c r="A121" t="s">
        <v>239</v>
      </c>
      <c r="B121" s="24">
        <v>46136</v>
      </c>
      <c r="C121" t="s">
        <v>24</v>
      </c>
      <c r="D121" t="s">
        <v>25</v>
      </c>
      <c r="E121">
        <v>13</v>
      </c>
      <c r="F121">
        <v>605</v>
      </c>
      <c r="G121" t="s">
        <v>34</v>
      </c>
      <c r="H121" t="s">
        <v>367</v>
      </c>
      <c r="I121" t="s">
        <v>1594</v>
      </c>
      <c r="J121">
        <v>4054</v>
      </c>
      <c r="K121" t="s">
        <v>326</v>
      </c>
      <c r="L121">
        <v>0.83333333333333337</v>
      </c>
      <c r="M121">
        <v>0.85416666666666663</v>
      </c>
      <c r="Q121" t="s">
        <v>117</v>
      </c>
      <c r="R121" t="s">
        <v>3032</v>
      </c>
      <c r="S121">
        <v>3219212</v>
      </c>
    </row>
    <row r="122" spans="1:19" x14ac:dyDescent="0.25">
      <c r="A122" t="s">
        <v>239</v>
      </c>
      <c r="B122" s="24">
        <v>46136</v>
      </c>
      <c r="C122" t="s">
        <v>24</v>
      </c>
      <c r="D122" t="s">
        <v>25</v>
      </c>
      <c r="E122">
        <v>13</v>
      </c>
      <c r="F122">
        <v>605</v>
      </c>
      <c r="G122" t="s">
        <v>34</v>
      </c>
      <c r="H122" t="s">
        <v>367</v>
      </c>
      <c r="I122" t="s">
        <v>1594</v>
      </c>
      <c r="J122">
        <v>4009</v>
      </c>
      <c r="K122" t="s">
        <v>330</v>
      </c>
      <c r="L122">
        <v>0.57638888888888884</v>
      </c>
      <c r="M122">
        <v>0.58888888888888891</v>
      </c>
      <c r="Q122" t="s">
        <v>117</v>
      </c>
      <c r="R122" t="s">
        <v>3029</v>
      </c>
      <c r="S122">
        <v>1786246</v>
      </c>
    </row>
    <row r="123" spans="1:19" x14ac:dyDescent="0.25">
      <c r="A123" t="s">
        <v>239</v>
      </c>
      <c r="B123" s="24">
        <v>46136</v>
      </c>
      <c r="C123" t="s">
        <v>24</v>
      </c>
      <c r="D123" t="s">
        <v>25</v>
      </c>
      <c r="E123">
        <v>13</v>
      </c>
      <c r="F123">
        <v>605</v>
      </c>
      <c r="G123" t="s">
        <v>34</v>
      </c>
      <c r="H123" t="s">
        <v>1665</v>
      </c>
      <c r="I123" t="s">
        <v>498</v>
      </c>
      <c r="J123">
        <v>4253</v>
      </c>
      <c r="K123" t="s">
        <v>334</v>
      </c>
      <c r="L123">
        <v>0.47986111111111113</v>
      </c>
      <c r="M123">
        <v>0.48958333333333331</v>
      </c>
      <c r="Q123" t="s">
        <v>117</v>
      </c>
      <c r="R123" t="s">
        <v>3029</v>
      </c>
      <c r="S123">
        <v>1786246</v>
      </c>
    </row>
    <row r="124" spans="1:19" x14ac:dyDescent="0.25">
      <c r="A124" t="s">
        <v>239</v>
      </c>
      <c r="B124" s="24">
        <v>46136</v>
      </c>
      <c r="C124" t="s">
        <v>24</v>
      </c>
      <c r="D124" t="s">
        <v>25</v>
      </c>
      <c r="E124">
        <v>13</v>
      </c>
      <c r="F124">
        <v>605</v>
      </c>
      <c r="G124" t="s">
        <v>34</v>
      </c>
      <c r="H124" t="s">
        <v>1665</v>
      </c>
      <c r="I124" t="s">
        <v>115</v>
      </c>
      <c r="J124">
        <v>4026</v>
      </c>
      <c r="K124" t="s">
        <v>338</v>
      </c>
      <c r="L124">
        <v>0.85763888888888884</v>
      </c>
      <c r="M124">
        <v>0.86805555555555558</v>
      </c>
      <c r="Q124" t="s">
        <v>117</v>
      </c>
      <c r="R124" t="s">
        <v>3032</v>
      </c>
      <c r="S124">
        <v>1742314</v>
      </c>
    </row>
    <row r="125" spans="1:19" x14ac:dyDescent="0.25">
      <c r="A125" t="s">
        <v>239</v>
      </c>
      <c r="B125" s="24">
        <v>46136</v>
      </c>
      <c r="C125" t="s">
        <v>24</v>
      </c>
      <c r="D125" t="s">
        <v>25</v>
      </c>
      <c r="E125">
        <v>13</v>
      </c>
      <c r="F125">
        <v>605</v>
      </c>
      <c r="G125" t="s">
        <v>34</v>
      </c>
      <c r="H125" t="s">
        <v>65</v>
      </c>
      <c r="I125" t="s">
        <v>1590</v>
      </c>
      <c r="J125">
        <v>4060</v>
      </c>
      <c r="K125" t="s">
        <v>343</v>
      </c>
      <c r="L125">
        <v>0.47986111111111113</v>
      </c>
      <c r="M125">
        <v>0.48958333333333331</v>
      </c>
      <c r="Q125" t="s">
        <v>117</v>
      </c>
      <c r="R125" t="s">
        <v>3029</v>
      </c>
      <c r="S125">
        <v>1786246</v>
      </c>
    </row>
    <row r="126" spans="1:19" x14ac:dyDescent="0.25">
      <c r="A126" t="s">
        <v>239</v>
      </c>
      <c r="B126" s="24">
        <v>46136</v>
      </c>
      <c r="C126" t="s">
        <v>24</v>
      </c>
      <c r="D126" t="s">
        <v>25</v>
      </c>
      <c r="E126">
        <v>13</v>
      </c>
      <c r="F126">
        <v>605</v>
      </c>
      <c r="G126" t="s">
        <v>34</v>
      </c>
      <c r="H126" t="s">
        <v>150</v>
      </c>
      <c r="I126" t="s">
        <v>115</v>
      </c>
      <c r="J126">
        <v>3718</v>
      </c>
      <c r="K126" t="s">
        <v>348</v>
      </c>
      <c r="L126">
        <v>0.98263888888888884</v>
      </c>
      <c r="M126">
        <v>9.0277777777777769E-3</v>
      </c>
      <c r="Q126" t="s">
        <v>117</v>
      </c>
      <c r="R126" t="s">
        <v>3032</v>
      </c>
      <c r="S126">
        <v>1781401</v>
      </c>
    </row>
    <row r="127" spans="1:19" x14ac:dyDescent="0.25">
      <c r="A127" t="s">
        <v>351</v>
      </c>
      <c r="B127" s="24">
        <v>46136</v>
      </c>
      <c r="C127" t="s">
        <v>24</v>
      </c>
      <c r="D127" t="s">
        <v>25</v>
      </c>
      <c r="E127">
        <v>13</v>
      </c>
      <c r="F127">
        <v>606</v>
      </c>
      <c r="G127" t="s">
        <v>34</v>
      </c>
      <c r="H127" t="s">
        <v>367</v>
      </c>
      <c r="I127" t="s">
        <v>368</v>
      </c>
      <c r="J127">
        <v>3425</v>
      </c>
      <c r="K127" t="s">
        <v>369</v>
      </c>
      <c r="L127">
        <v>0.47152777777777777</v>
      </c>
      <c r="M127">
        <v>0.4777777777777778</v>
      </c>
      <c r="Q127" t="s">
        <v>117</v>
      </c>
      <c r="R127" t="s">
        <v>3035</v>
      </c>
      <c r="S127">
        <v>2733740</v>
      </c>
    </row>
    <row r="128" spans="1:19" x14ac:dyDescent="0.25">
      <c r="A128" t="s">
        <v>351</v>
      </c>
      <c r="B128" s="24">
        <v>46136</v>
      </c>
      <c r="C128" t="s">
        <v>24</v>
      </c>
      <c r="D128" t="s">
        <v>25</v>
      </c>
      <c r="E128">
        <v>13</v>
      </c>
      <c r="F128">
        <v>606</v>
      </c>
      <c r="G128" t="s">
        <v>34</v>
      </c>
      <c r="H128" t="s">
        <v>2094</v>
      </c>
      <c r="I128" t="s">
        <v>44</v>
      </c>
      <c r="J128">
        <v>3475</v>
      </c>
      <c r="K128" t="s">
        <v>364</v>
      </c>
      <c r="L128">
        <v>0.96527777777777779</v>
      </c>
      <c r="M128">
        <v>0.98958333333333337</v>
      </c>
      <c r="Q128" t="s">
        <v>117</v>
      </c>
      <c r="R128" t="s">
        <v>3032</v>
      </c>
      <c r="S128">
        <v>2784148</v>
      </c>
    </row>
    <row r="129" spans="1:19" x14ac:dyDescent="0.25">
      <c r="A129" t="s">
        <v>351</v>
      </c>
      <c r="B129" s="24">
        <v>46136</v>
      </c>
      <c r="C129" t="s">
        <v>24</v>
      </c>
      <c r="D129" t="s">
        <v>25</v>
      </c>
      <c r="E129">
        <v>13</v>
      </c>
      <c r="F129">
        <v>606</v>
      </c>
      <c r="G129" t="s">
        <v>34</v>
      </c>
      <c r="H129" t="s">
        <v>1665</v>
      </c>
      <c r="I129" t="s">
        <v>498</v>
      </c>
      <c r="J129">
        <v>3487</v>
      </c>
      <c r="K129" t="s">
        <v>443</v>
      </c>
      <c r="L129">
        <v>0.3972222222222222</v>
      </c>
      <c r="M129">
        <v>0.41666666666666669</v>
      </c>
      <c r="Q129" t="s">
        <v>117</v>
      </c>
      <c r="R129" t="s">
        <v>3035</v>
      </c>
      <c r="S129">
        <v>1742314</v>
      </c>
    </row>
    <row r="130" spans="1:19" x14ac:dyDescent="0.25">
      <c r="A130" t="s">
        <v>351</v>
      </c>
      <c r="B130" s="24">
        <v>46136</v>
      </c>
      <c r="C130" t="s">
        <v>24</v>
      </c>
      <c r="D130" t="s">
        <v>25</v>
      </c>
      <c r="E130">
        <v>13</v>
      </c>
      <c r="F130">
        <v>606</v>
      </c>
      <c r="G130" t="s">
        <v>34</v>
      </c>
      <c r="H130" t="s">
        <v>367</v>
      </c>
      <c r="I130" t="s">
        <v>427</v>
      </c>
      <c r="J130">
        <v>3982</v>
      </c>
      <c r="K130" t="s">
        <v>428</v>
      </c>
      <c r="L130">
        <v>0.49027777777777776</v>
      </c>
      <c r="M130">
        <v>0.49375000000000002</v>
      </c>
      <c r="Q130" t="s">
        <v>117</v>
      </c>
      <c r="R130" t="s">
        <v>3035</v>
      </c>
      <c r="S130">
        <v>1786246</v>
      </c>
    </row>
    <row r="131" spans="1:19" x14ac:dyDescent="0.25">
      <c r="A131" t="s">
        <v>351</v>
      </c>
      <c r="B131" s="24">
        <v>46136</v>
      </c>
      <c r="C131" t="s">
        <v>24</v>
      </c>
      <c r="D131" t="s">
        <v>25</v>
      </c>
      <c r="E131">
        <v>13</v>
      </c>
      <c r="F131">
        <v>606</v>
      </c>
      <c r="G131" t="s">
        <v>34</v>
      </c>
      <c r="H131" t="s">
        <v>1665</v>
      </c>
      <c r="I131" t="s">
        <v>498</v>
      </c>
      <c r="J131">
        <v>3983</v>
      </c>
      <c r="K131" t="s">
        <v>433</v>
      </c>
      <c r="L131">
        <v>0.6694444444444444</v>
      </c>
      <c r="M131">
        <v>0.68333333333333335</v>
      </c>
      <c r="Q131" t="s">
        <v>117</v>
      </c>
      <c r="R131" t="s">
        <v>3035</v>
      </c>
      <c r="S131">
        <v>1742402</v>
      </c>
    </row>
    <row r="132" spans="1:19" x14ac:dyDescent="0.25">
      <c r="A132" t="s">
        <v>351</v>
      </c>
      <c r="B132" s="24">
        <v>46136</v>
      </c>
      <c r="C132" t="s">
        <v>24</v>
      </c>
      <c r="D132" t="s">
        <v>25</v>
      </c>
      <c r="E132">
        <v>13</v>
      </c>
      <c r="F132">
        <v>606</v>
      </c>
      <c r="G132" t="s">
        <v>34</v>
      </c>
      <c r="H132" t="s">
        <v>1588</v>
      </c>
      <c r="I132" t="s">
        <v>512</v>
      </c>
      <c r="J132">
        <v>3993</v>
      </c>
      <c r="K132" t="s">
        <v>382</v>
      </c>
      <c r="L132">
        <v>0.44166666666666665</v>
      </c>
      <c r="M132">
        <v>0.44930555555555557</v>
      </c>
      <c r="Q132" t="s">
        <v>117</v>
      </c>
      <c r="R132" t="s">
        <v>3035</v>
      </c>
      <c r="S132">
        <v>1742314</v>
      </c>
    </row>
    <row r="133" spans="1:19" x14ac:dyDescent="0.25">
      <c r="A133" t="s">
        <v>351</v>
      </c>
      <c r="B133" s="24">
        <v>46136</v>
      </c>
      <c r="C133" t="s">
        <v>24</v>
      </c>
      <c r="D133" t="s">
        <v>25</v>
      </c>
      <c r="E133">
        <v>13</v>
      </c>
      <c r="F133">
        <v>606</v>
      </c>
      <c r="G133" t="s">
        <v>34</v>
      </c>
      <c r="H133" t="s">
        <v>1588</v>
      </c>
      <c r="I133" t="s">
        <v>512</v>
      </c>
      <c r="J133">
        <v>3994</v>
      </c>
      <c r="K133" t="s">
        <v>385</v>
      </c>
      <c r="L133">
        <v>0.34236111111111112</v>
      </c>
      <c r="M133">
        <v>0.34791666666666665</v>
      </c>
      <c r="Q133" t="s">
        <v>117</v>
      </c>
      <c r="R133" t="s">
        <v>3035</v>
      </c>
      <c r="S133">
        <v>1742314</v>
      </c>
    </row>
    <row r="134" spans="1:19" x14ac:dyDescent="0.25">
      <c r="A134" t="s">
        <v>351</v>
      </c>
      <c r="B134" s="24">
        <v>46136</v>
      </c>
      <c r="C134" t="s">
        <v>24</v>
      </c>
      <c r="D134" t="s">
        <v>25</v>
      </c>
      <c r="E134">
        <v>13</v>
      </c>
      <c r="F134">
        <v>606</v>
      </c>
      <c r="G134" t="s">
        <v>34</v>
      </c>
      <c r="H134" t="s">
        <v>1588</v>
      </c>
      <c r="I134" t="s">
        <v>512</v>
      </c>
      <c r="J134">
        <v>3995</v>
      </c>
      <c r="K134" t="s">
        <v>385</v>
      </c>
      <c r="L134">
        <v>0.43402777777777779</v>
      </c>
      <c r="M134">
        <v>0.44305555555555554</v>
      </c>
      <c r="Q134" t="s">
        <v>117</v>
      </c>
      <c r="R134" t="s">
        <v>3035</v>
      </c>
      <c r="S134">
        <v>1742402</v>
      </c>
    </row>
    <row r="135" spans="1:19" x14ac:dyDescent="0.25">
      <c r="A135" t="s">
        <v>351</v>
      </c>
      <c r="B135" s="24">
        <v>46136</v>
      </c>
      <c r="C135" t="s">
        <v>24</v>
      </c>
      <c r="D135" t="s">
        <v>25</v>
      </c>
      <c r="E135">
        <v>13</v>
      </c>
      <c r="F135">
        <v>606</v>
      </c>
      <c r="G135" t="s">
        <v>34</v>
      </c>
      <c r="H135" t="s">
        <v>1665</v>
      </c>
      <c r="I135" t="s">
        <v>512</v>
      </c>
      <c r="J135">
        <v>4008</v>
      </c>
      <c r="K135" t="s">
        <v>405</v>
      </c>
      <c r="L135">
        <v>0.40694444444444444</v>
      </c>
      <c r="M135">
        <v>0.42499999999999999</v>
      </c>
      <c r="Q135" t="s">
        <v>117</v>
      </c>
      <c r="R135" t="s">
        <v>3035</v>
      </c>
      <c r="S135">
        <v>2733740</v>
      </c>
    </row>
    <row r="136" spans="1:19" x14ac:dyDescent="0.25">
      <c r="A136" t="s">
        <v>351</v>
      </c>
      <c r="B136" s="24">
        <v>46136</v>
      </c>
      <c r="C136" t="s">
        <v>24</v>
      </c>
      <c r="D136" t="s">
        <v>25</v>
      </c>
      <c r="E136">
        <v>13</v>
      </c>
      <c r="F136">
        <v>606</v>
      </c>
      <c r="G136" t="s">
        <v>34</v>
      </c>
      <c r="H136" t="s">
        <v>367</v>
      </c>
      <c r="I136" t="s">
        <v>427</v>
      </c>
      <c r="J136">
        <v>4017</v>
      </c>
      <c r="K136" t="s">
        <v>414</v>
      </c>
      <c r="L136">
        <v>0.55972222222222223</v>
      </c>
      <c r="M136">
        <v>0.5708333333333333</v>
      </c>
      <c r="Q136" t="s">
        <v>117</v>
      </c>
      <c r="R136" t="s">
        <v>3035</v>
      </c>
      <c r="S136">
        <v>1742372</v>
      </c>
    </row>
    <row r="137" spans="1:19" x14ac:dyDescent="0.25">
      <c r="A137" t="s">
        <v>351</v>
      </c>
      <c r="B137" s="24">
        <v>46136</v>
      </c>
      <c r="C137" t="s">
        <v>24</v>
      </c>
      <c r="D137" t="s">
        <v>25</v>
      </c>
      <c r="E137">
        <v>13</v>
      </c>
      <c r="F137">
        <v>606</v>
      </c>
      <c r="G137" t="s">
        <v>34</v>
      </c>
      <c r="H137" t="s">
        <v>1665</v>
      </c>
      <c r="I137" t="s">
        <v>115</v>
      </c>
      <c r="J137">
        <v>4056</v>
      </c>
      <c r="K137" t="s">
        <v>438</v>
      </c>
      <c r="L137">
        <v>0.43194444444444446</v>
      </c>
      <c r="M137">
        <v>0.44583333333333336</v>
      </c>
      <c r="Q137" t="s">
        <v>117</v>
      </c>
      <c r="R137" t="s">
        <v>3035</v>
      </c>
      <c r="S137">
        <v>1742372</v>
      </c>
    </row>
    <row r="138" spans="1:19" x14ac:dyDescent="0.25">
      <c r="A138" t="s">
        <v>351</v>
      </c>
      <c r="B138" s="24">
        <v>46136</v>
      </c>
      <c r="C138" t="s">
        <v>24</v>
      </c>
      <c r="D138" t="s">
        <v>25</v>
      </c>
      <c r="E138">
        <v>13</v>
      </c>
      <c r="F138">
        <v>606</v>
      </c>
      <c r="G138" t="s">
        <v>34</v>
      </c>
      <c r="H138" t="s">
        <v>1665</v>
      </c>
      <c r="I138" t="s">
        <v>115</v>
      </c>
      <c r="J138">
        <v>4063</v>
      </c>
      <c r="K138" t="s">
        <v>396</v>
      </c>
      <c r="L138">
        <v>0.44861111111111113</v>
      </c>
      <c r="M138">
        <v>0.47569444444444442</v>
      </c>
      <c r="Q138" t="s">
        <v>117</v>
      </c>
      <c r="R138" t="s">
        <v>3035</v>
      </c>
      <c r="S138">
        <v>2733740</v>
      </c>
    </row>
    <row r="139" spans="1:19" x14ac:dyDescent="0.25">
      <c r="A139" t="s">
        <v>351</v>
      </c>
      <c r="B139" s="24">
        <v>46136</v>
      </c>
      <c r="C139" t="s">
        <v>24</v>
      </c>
      <c r="D139" t="s">
        <v>25</v>
      </c>
      <c r="E139">
        <v>13</v>
      </c>
      <c r="F139">
        <v>606</v>
      </c>
      <c r="G139" t="s">
        <v>34</v>
      </c>
      <c r="H139" t="s">
        <v>65</v>
      </c>
      <c r="I139" t="s">
        <v>512</v>
      </c>
      <c r="J139">
        <v>4068</v>
      </c>
      <c r="K139" t="s">
        <v>359</v>
      </c>
      <c r="L139">
        <v>0.40625</v>
      </c>
      <c r="M139">
        <v>0.42291666666666666</v>
      </c>
      <c r="Q139" t="s">
        <v>117</v>
      </c>
      <c r="R139" t="s">
        <v>3035</v>
      </c>
      <c r="S139">
        <v>1742372</v>
      </c>
    </row>
    <row r="140" spans="1:19" x14ac:dyDescent="0.25">
      <c r="A140" t="s">
        <v>351</v>
      </c>
      <c r="B140" s="24">
        <v>46136</v>
      </c>
      <c r="C140" t="s">
        <v>24</v>
      </c>
      <c r="D140" t="s">
        <v>25</v>
      </c>
      <c r="E140">
        <v>13</v>
      </c>
      <c r="F140">
        <v>606</v>
      </c>
      <c r="G140" t="s">
        <v>34</v>
      </c>
      <c r="H140" t="s">
        <v>65</v>
      </c>
      <c r="I140" t="s">
        <v>368</v>
      </c>
      <c r="J140">
        <v>4069</v>
      </c>
      <c r="K140" t="s">
        <v>390</v>
      </c>
      <c r="L140">
        <v>0.34027777777777779</v>
      </c>
      <c r="M140">
        <v>0.36249999999999999</v>
      </c>
      <c r="Q140" t="s">
        <v>117</v>
      </c>
      <c r="R140" t="s">
        <v>3035</v>
      </c>
      <c r="S140">
        <v>1742255</v>
      </c>
    </row>
    <row r="141" spans="1:19" x14ac:dyDescent="0.25">
      <c r="A141" t="s">
        <v>351</v>
      </c>
      <c r="B141" s="24">
        <v>46136</v>
      </c>
      <c r="C141" t="s">
        <v>24</v>
      </c>
      <c r="D141" t="s">
        <v>25</v>
      </c>
      <c r="E141">
        <v>13</v>
      </c>
      <c r="F141">
        <v>606</v>
      </c>
      <c r="G141" t="s">
        <v>34</v>
      </c>
      <c r="H141" t="s">
        <v>367</v>
      </c>
      <c r="I141" t="s">
        <v>368</v>
      </c>
      <c r="J141">
        <v>4089</v>
      </c>
      <c r="K141" t="s">
        <v>401</v>
      </c>
      <c r="L141">
        <v>0.4548611111111111</v>
      </c>
      <c r="M141">
        <v>0.46180555555555558</v>
      </c>
      <c r="Q141" t="s">
        <v>117</v>
      </c>
      <c r="R141" t="s">
        <v>3035</v>
      </c>
      <c r="S141">
        <v>3219255</v>
      </c>
    </row>
    <row r="142" spans="1:19" x14ac:dyDescent="0.25">
      <c r="A142" t="s">
        <v>351</v>
      </c>
      <c r="B142" s="24">
        <v>46136</v>
      </c>
      <c r="C142" t="s">
        <v>24</v>
      </c>
      <c r="D142" t="s">
        <v>25</v>
      </c>
      <c r="E142">
        <v>13</v>
      </c>
      <c r="F142">
        <v>606</v>
      </c>
      <c r="G142" t="s">
        <v>34</v>
      </c>
      <c r="H142" t="s">
        <v>1588</v>
      </c>
      <c r="I142" t="s">
        <v>512</v>
      </c>
      <c r="J142">
        <v>4251</v>
      </c>
      <c r="K142" t="s">
        <v>410</v>
      </c>
      <c r="L142">
        <v>0.57291666666666663</v>
      </c>
      <c r="M142">
        <v>0.59097222222222223</v>
      </c>
      <c r="Q142" t="s">
        <v>117</v>
      </c>
      <c r="R142" t="s">
        <v>3035</v>
      </c>
      <c r="S142">
        <v>1786246</v>
      </c>
    </row>
    <row r="143" spans="1:19" x14ac:dyDescent="0.25">
      <c r="A143" t="s">
        <v>351</v>
      </c>
      <c r="B143" s="24">
        <v>46136</v>
      </c>
      <c r="C143" t="s">
        <v>24</v>
      </c>
      <c r="D143" t="s">
        <v>25</v>
      </c>
      <c r="E143">
        <v>13</v>
      </c>
      <c r="F143">
        <v>606</v>
      </c>
      <c r="G143" t="s">
        <v>34</v>
      </c>
      <c r="H143" t="s">
        <v>367</v>
      </c>
      <c r="I143" t="s">
        <v>367</v>
      </c>
      <c r="J143">
        <v>4255</v>
      </c>
      <c r="K143" t="s">
        <v>354</v>
      </c>
      <c r="L143">
        <v>0.92013888888888884</v>
      </c>
      <c r="M143">
        <v>0.94791666666666663</v>
      </c>
      <c r="Q143" t="s">
        <v>117</v>
      </c>
      <c r="R143" t="s">
        <v>3032</v>
      </c>
      <c r="S143">
        <v>1742314</v>
      </c>
    </row>
    <row r="144" spans="1:19" x14ac:dyDescent="0.25">
      <c r="A144" t="s">
        <v>351</v>
      </c>
      <c r="B144" s="24">
        <v>46136</v>
      </c>
      <c r="C144" t="s">
        <v>24</v>
      </c>
      <c r="D144" t="s">
        <v>25</v>
      </c>
      <c r="E144">
        <v>13</v>
      </c>
      <c r="F144">
        <v>606</v>
      </c>
      <c r="G144" t="s">
        <v>34</v>
      </c>
      <c r="H144" t="s">
        <v>1665</v>
      </c>
      <c r="I144" t="s">
        <v>498</v>
      </c>
      <c r="J144">
        <v>4317</v>
      </c>
      <c r="K144" t="s">
        <v>378</v>
      </c>
      <c r="L144">
        <v>0.36458333333333331</v>
      </c>
      <c r="M144">
        <v>0.37361111111111112</v>
      </c>
      <c r="Q144" t="s">
        <v>117</v>
      </c>
      <c r="R144" t="s">
        <v>3035</v>
      </c>
      <c r="S144">
        <v>2733753</v>
      </c>
    </row>
    <row r="145" spans="1:19" x14ac:dyDescent="0.25">
      <c r="A145" t="s">
        <v>351</v>
      </c>
      <c r="B145" s="24">
        <v>46136</v>
      </c>
      <c r="C145" t="s">
        <v>24</v>
      </c>
      <c r="D145" t="s">
        <v>25</v>
      </c>
      <c r="E145">
        <v>13</v>
      </c>
      <c r="F145">
        <v>606</v>
      </c>
      <c r="G145" t="s">
        <v>34</v>
      </c>
      <c r="H145" t="s">
        <v>1588</v>
      </c>
      <c r="I145" t="s">
        <v>512</v>
      </c>
      <c r="J145">
        <v>4475</v>
      </c>
      <c r="K145" t="s">
        <v>373</v>
      </c>
      <c r="L145">
        <v>0.97916666666666663</v>
      </c>
      <c r="M145">
        <v>6.9444444444444441E-3</v>
      </c>
      <c r="Q145" t="s">
        <v>117</v>
      </c>
      <c r="R145" t="s">
        <v>3032</v>
      </c>
      <c r="S145">
        <v>1742314</v>
      </c>
    </row>
    <row r="146" spans="1:19" x14ac:dyDescent="0.25">
      <c r="A146" t="s">
        <v>351</v>
      </c>
      <c r="B146" s="24">
        <v>46136</v>
      </c>
      <c r="C146" t="s">
        <v>24</v>
      </c>
      <c r="D146" t="s">
        <v>25</v>
      </c>
      <c r="E146">
        <v>13</v>
      </c>
      <c r="F146">
        <v>606</v>
      </c>
      <c r="G146" t="s">
        <v>34</v>
      </c>
      <c r="H146" t="s">
        <v>367</v>
      </c>
      <c r="I146" t="s">
        <v>1592</v>
      </c>
      <c r="J146">
        <v>4513</v>
      </c>
      <c r="K146" t="s">
        <v>419</v>
      </c>
      <c r="L146">
        <v>0.67361111111111116</v>
      </c>
      <c r="M146">
        <v>0.70208333333333328</v>
      </c>
      <c r="Q146" t="s">
        <v>117</v>
      </c>
      <c r="R146" t="s">
        <v>3035</v>
      </c>
      <c r="S146">
        <v>2733753</v>
      </c>
    </row>
    <row r="147" spans="1:19" x14ac:dyDescent="0.25">
      <c r="A147" t="s">
        <v>351</v>
      </c>
      <c r="B147" s="24">
        <v>46136</v>
      </c>
      <c r="C147" t="s">
        <v>24</v>
      </c>
      <c r="D147" t="s">
        <v>25</v>
      </c>
      <c r="E147">
        <v>13</v>
      </c>
      <c r="F147">
        <v>606</v>
      </c>
      <c r="G147" t="s">
        <v>34</v>
      </c>
      <c r="H147" t="s">
        <v>367</v>
      </c>
      <c r="I147" t="s">
        <v>367</v>
      </c>
      <c r="J147">
        <v>4514</v>
      </c>
      <c r="K147" t="s">
        <v>424</v>
      </c>
      <c r="L147">
        <v>0.6875</v>
      </c>
      <c r="M147">
        <v>0.69791666666666663</v>
      </c>
      <c r="Q147" t="s">
        <v>117</v>
      </c>
      <c r="R147" t="s">
        <v>3035</v>
      </c>
      <c r="S147">
        <v>2733753</v>
      </c>
    </row>
    <row r="148" spans="1:19" x14ac:dyDescent="0.25">
      <c r="A148" t="s">
        <v>572</v>
      </c>
      <c r="B148" s="24">
        <v>46136</v>
      </c>
      <c r="C148" t="s">
        <v>24</v>
      </c>
      <c r="D148" t="s">
        <v>25</v>
      </c>
      <c r="E148">
        <v>13</v>
      </c>
      <c r="F148">
        <v>605</v>
      </c>
      <c r="G148" t="s">
        <v>34</v>
      </c>
      <c r="H148" t="s">
        <v>1665</v>
      </c>
      <c r="I148" t="s">
        <v>512</v>
      </c>
      <c r="J148">
        <v>3367</v>
      </c>
      <c r="K148" t="s">
        <v>584</v>
      </c>
      <c r="L148">
        <v>4.5138888888888888E-2</v>
      </c>
      <c r="M148">
        <v>8.7499999999999994E-2</v>
      </c>
      <c r="Q148" t="s">
        <v>117</v>
      </c>
      <c r="R148" t="s">
        <v>3032</v>
      </c>
      <c r="S148">
        <v>2777698</v>
      </c>
    </row>
    <row r="149" spans="1:19" x14ac:dyDescent="0.25">
      <c r="A149" t="s">
        <v>572</v>
      </c>
      <c r="B149" s="24">
        <v>46136</v>
      </c>
      <c r="C149" t="s">
        <v>24</v>
      </c>
      <c r="D149" t="s">
        <v>25</v>
      </c>
      <c r="E149">
        <v>13</v>
      </c>
      <c r="F149">
        <v>605</v>
      </c>
      <c r="G149" t="s">
        <v>34</v>
      </c>
      <c r="H149" t="s">
        <v>1672</v>
      </c>
      <c r="I149" t="s">
        <v>115</v>
      </c>
      <c r="J149">
        <v>3368</v>
      </c>
      <c r="K149" t="s">
        <v>589</v>
      </c>
      <c r="L149">
        <v>0.95833333333333337</v>
      </c>
      <c r="M149">
        <v>0.99791666666666667</v>
      </c>
      <c r="Q149" t="s">
        <v>117</v>
      </c>
      <c r="R149" t="s">
        <v>3032</v>
      </c>
      <c r="S149">
        <v>2777698</v>
      </c>
    </row>
    <row r="150" spans="1:19" x14ac:dyDescent="0.25">
      <c r="A150" t="s">
        <v>572</v>
      </c>
      <c r="B150" s="24">
        <v>46136</v>
      </c>
      <c r="C150" t="s">
        <v>24</v>
      </c>
      <c r="D150" t="s">
        <v>25</v>
      </c>
      <c r="E150">
        <v>13</v>
      </c>
      <c r="F150">
        <v>605</v>
      </c>
      <c r="G150" t="s">
        <v>34</v>
      </c>
      <c r="H150" t="s">
        <v>511</v>
      </c>
      <c r="I150" t="s">
        <v>511</v>
      </c>
      <c r="J150">
        <v>3370</v>
      </c>
      <c r="K150" t="s">
        <v>594</v>
      </c>
      <c r="L150">
        <v>0.77083333333333337</v>
      </c>
      <c r="M150">
        <v>0.875</v>
      </c>
      <c r="Q150" t="s">
        <v>117</v>
      </c>
      <c r="R150" t="s">
        <v>3032</v>
      </c>
      <c r="S150">
        <v>3215737</v>
      </c>
    </row>
    <row r="151" spans="1:19" x14ac:dyDescent="0.25">
      <c r="A151" t="s">
        <v>572</v>
      </c>
      <c r="B151" s="24">
        <v>46136</v>
      </c>
      <c r="C151" t="s">
        <v>24</v>
      </c>
      <c r="D151" t="s">
        <v>25</v>
      </c>
      <c r="E151">
        <v>13</v>
      </c>
      <c r="F151">
        <v>605</v>
      </c>
      <c r="G151" t="s">
        <v>34</v>
      </c>
      <c r="H151" t="s">
        <v>511</v>
      </c>
      <c r="I151" t="s">
        <v>511</v>
      </c>
      <c r="J151">
        <v>3372</v>
      </c>
      <c r="K151" t="s">
        <v>599</v>
      </c>
      <c r="L151">
        <v>0.65972222222222221</v>
      </c>
      <c r="M151">
        <v>0.71388888888888891</v>
      </c>
      <c r="Q151" t="s">
        <v>117</v>
      </c>
      <c r="R151" t="s">
        <v>3029</v>
      </c>
      <c r="S151">
        <v>2777698</v>
      </c>
    </row>
    <row r="152" spans="1:19" x14ac:dyDescent="0.25">
      <c r="A152" t="s">
        <v>572</v>
      </c>
      <c r="B152" s="24">
        <v>46136</v>
      </c>
      <c r="C152" t="s">
        <v>24</v>
      </c>
      <c r="D152" t="s">
        <v>25</v>
      </c>
      <c r="E152">
        <v>13</v>
      </c>
      <c r="F152">
        <v>605</v>
      </c>
      <c r="G152" t="s">
        <v>34</v>
      </c>
      <c r="H152" t="s">
        <v>1665</v>
      </c>
      <c r="I152" t="s">
        <v>512</v>
      </c>
      <c r="J152">
        <v>3377</v>
      </c>
      <c r="K152" t="s">
        <v>603</v>
      </c>
      <c r="L152">
        <v>0.87847222222222221</v>
      </c>
      <c r="M152">
        <v>0.91041666666666665</v>
      </c>
      <c r="Q152" t="s">
        <v>117</v>
      </c>
      <c r="R152" t="s">
        <v>3032</v>
      </c>
      <c r="S152">
        <v>3215737</v>
      </c>
    </row>
    <row r="153" spans="1:19" x14ac:dyDescent="0.25">
      <c r="A153" t="s">
        <v>572</v>
      </c>
      <c r="B153" s="24">
        <v>46136</v>
      </c>
      <c r="C153" t="s">
        <v>24</v>
      </c>
      <c r="D153" t="s">
        <v>25</v>
      </c>
      <c r="E153">
        <v>13</v>
      </c>
      <c r="F153">
        <v>605</v>
      </c>
      <c r="G153" t="s">
        <v>34</v>
      </c>
      <c r="H153" t="s">
        <v>1665</v>
      </c>
      <c r="I153" t="s">
        <v>512</v>
      </c>
      <c r="J153">
        <v>4021</v>
      </c>
      <c r="K153" t="s">
        <v>626</v>
      </c>
      <c r="L153">
        <v>0.44305555555555554</v>
      </c>
      <c r="M153">
        <v>0.46250000000000002</v>
      </c>
      <c r="Q153" t="s">
        <v>117</v>
      </c>
      <c r="R153" t="s">
        <v>3029</v>
      </c>
      <c r="S153">
        <v>3219209</v>
      </c>
    </row>
    <row r="154" spans="1:19" x14ac:dyDescent="0.25">
      <c r="A154" t="s">
        <v>572</v>
      </c>
      <c r="B154" s="24">
        <v>46136</v>
      </c>
      <c r="C154" t="s">
        <v>24</v>
      </c>
      <c r="D154" t="s">
        <v>25</v>
      </c>
      <c r="E154">
        <v>13</v>
      </c>
      <c r="F154">
        <v>605</v>
      </c>
      <c r="G154" t="s">
        <v>34</v>
      </c>
      <c r="H154" t="s">
        <v>65</v>
      </c>
      <c r="I154" t="s">
        <v>368</v>
      </c>
      <c r="J154">
        <v>4057</v>
      </c>
      <c r="K154" t="s">
        <v>579</v>
      </c>
      <c r="L154">
        <v>0.54305555555555551</v>
      </c>
      <c r="M154">
        <v>0.55000000000000004</v>
      </c>
      <c r="Q154" t="s">
        <v>117</v>
      </c>
      <c r="R154" t="s">
        <v>3029</v>
      </c>
      <c r="S154">
        <v>3219209</v>
      </c>
    </row>
    <row r="155" spans="1:19" x14ac:dyDescent="0.25">
      <c r="A155" t="s">
        <v>572</v>
      </c>
      <c r="B155" s="24">
        <v>46136</v>
      </c>
      <c r="C155" t="s">
        <v>24</v>
      </c>
      <c r="D155" t="s">
        <v>25</v>
      </c>
      <c r="E155">
        <v>13</v>
      </c>
      <c r="F155">
        <v>605</v>
      </c>
      <c r="G155" t="s">
        <v>34</v>
      </c>
      <c r="H155" t="s">
        <v>1672</v>
      </c>
      <c r="I155" t="s">
        <v>512</v>
      </c>
      <c r="J155">
        <v>4058</v>
      </c>
      <c r="K155" t="s">
        <v>640</v>
      </c>
      <c r="L155">
        <v>0.35486111111111113</v>
      </c>
      <c r="M155">
        <v>0.35486111111111113</v>
      </c>
      <c r="Q155" t="s">
        <v>117</v>
      </c>
      <c r="R155" t="s">
        <v>3029</v>
      </c>
      <c r="S155">
        <v>2778433</v>
      </c>
    </row>
    <row r="156" spans="1:19" x14ac:dyDescent="0.25">
      <c r="A156" t="s">
        <v>572</v>
      </c>
      <c r="B156" s="24">
        <v>46136</v>
      </c>
      <c r="C156" t="s">
        <v>24</v>
      </c>
      <c r="D156" t="s">
        <v>25</v>
      </c>
      <c r="E156">
        <v>13</v>
      </c>
      <c r="F156">
        <v>605</v>
      </c>
      <c r="G156" t="s">
        <v>34</v>
      </c>
      <c r="H156" t="s">
        <v>1672</v>
      </c>
      <c r="I156" t="s">
        <v>512</v>
      </c>
      <c r="J156">
        <v>4095</v>
      </c>
      <c r="K156" t="s">
        <v>611</v>
      </c>
      <c r="L156">
        <v>0.41388888888888886</v>
      </c>
      <c r="M156">
        <v>0.4375</v>
      </c>
      <c r="Q156" t="s">
        <v>117</v>
      </c>
      <c r="R156" t="s">
        <v>3029</v>
      </c>
      <c r="S156">
        <v>3220579</v>
      </c>
    </row>
    <row r="157" spans="1:19" x14ac:dyDescent="0.25">
      <c r="A157" t="s">
        <v>572</v>
      </c>
      <c r="B157" s="24">
        <v>46136</v>
      </c>
      <c r="C157" t="s">
        <v>24</v>
      </c>
      <c r="D157" t="s">
        <v>25</v>
      </c>
      <c r="E157">
        <v>13</v>
      </c>
      <c r="F157">
        <v>605</v>
      </c>
      <c r="G157" t="s">
        <v>34</v>
      </c>
      <c r="H157" t="s">
        <v>152</v>
      </c>
      <c r="I157" t="s">
        <v>152</v>
      </c>
      <c r="J157">
        <v>4336</v>
      </c>
      <c r="K157" t="s">
        <v>629</v>
      </c>
      <c r="L157">
        <v>0.44097222222222221</v>
      </c>
      <c r="M157">
        <v>0.4513888888888889</v>
      </c>
      <c r="Q157" t="s">
        <v>117</v>
      </c>
      <c r="R157" t="s">
        <v>3029</v>
      </c>
      <c r="S157">
        <v>2777698</v>
      </c>
    </row>
    <row r="158" spans="1:19" x14ac:dyDescent="0.25">
      <c r="A158" t="s">
        <v>572</v>
      </c>
      <c r="B158" s="24">
        <v>46136</v>
      </c>
      <c r="C158" t="s">
        <v>24</v>
      </c>
      <c r="D158" t="s">
        <v>25</v>
      </c>
      <c r="E158">
        <v>13</v>
      </c>
      <c r="F158">
        <v>605</v>
      </c>
      <c r="G158" t="s">
        <v>34</v>
      </c>
      <c r="H158" t="s">
        <v>152</v>
      </c>
      <c r="I158" t="s">
        <v>152</v>
      </c>
      <c r="J158">
        <v>4337</v>
      </c>
      <c r="K158" t="s">
        <v>629</v>
      </c>
      <c r="L158">
        <v>0.45277777777777778</v>
      </c>
      <c r="M158">
        <v>0.46527777777777779</v>
      </c>
      <c r="Q158" t="s">
        <v>117</v>
      </c>
      <c r="R158" t="s">
        <v>3029</v>
      </c>
      <c r="S158">
        <v>2777698</v>
      </c>
    </row>
    <row r="159" spans="1:19" x14ac:dyDescent="0.25">
      <c r="A159" t="s">
        <v>572</v>
      </c>
      <c r="B159" s="24">
        <v>46136</v>
      </c>
      <c r="C159" t="s">
        <v>24</v>
      </c>
      <c r="D159" t="s">
        <v>25</v>
      </c>
      <c r="E159">
        <v>13</v>
      </c>
      <c r="F159">
        <v>605</v>
      </c>
      <c r="G159" t="s">
        <v>34</v>
      </c>
      <c r="H159" t="s">
        <v>152</v>
      </c>
      <c r="I159" t="s">
        <v>152</v>
      </c>
      <c r="J159">
        <v>4338</v>
      </c>
      <c r="K159" t="s">
        <v>629</v>
      </c>
      <c r="L159">
        <v>0.46666666666666667</v>
      </c>
      <c r="M159">
        <v>0.47916666666666669</v>
      </c>
      <c r="Q159" t="s">
        <v>117</v>
      </c>
      <c r="R159" t="s">
        <v>3029</v>
      </c>
      <c r="S159">
        <v>2777698</v>
      </c>
    </row>
    <row r="160" spans="1:19" x14ac:dyDescent="0.25">
      <c r="A160" t="s">
        <v>572</v>
      </c>
      <c r="B160" s="24">
        <v>46136</v>
      </c>
      <c r="C160" t="s">
        <v>24</v>
      </c>
      <c r="D160" t="s">
        <v>25</v>
      </c>
      <c r="E160">
        <v>13</v>
      </c>
      <c r="F160">
        <v>605</v>
      </c>
      <c r="G160" t="s">
        <v>34</v>
      </c>
      <c r="H160" t="s">
        <v>152</v>
      </c>
      <c r="I160" t="s">
        <v>152</v>
      </c>
      <c r="J160">
        <v>4339</v>
      </c>
      <c r="K160" t="s">
        <v>634</v>
      </c>
      <c r="L160">
        <v>0.48055555555555557</v>
      </c>
      <c r="M160">
        <v>0.49305555555555558</v>
      </c>
      <c r="Q160" t="s">
        <v>117</v>
      </c>
      <c r="R160" t="s">
        <v>3029</v>
      </c>
      <c r="S160">
        <v>2777698</v>
      </c>
    </row>
    <row r="161" spans="1:19" x14ac:dyDescent="0.25">
      <c r="A161" t="s">
        <v>572</v>
      </c>
      <c r="B161" s="24">
        <v>46136</v>
      </c>
      <c r="C161" t="s">
        <v>24</v>
      </c>
      <c r="D161" t="s">
        <v>25</v>
      </c>
      <c r="E161">
        <v>13</v>
      </c>
      <c r="F161">
        <v>605</v>
      </c>
      <c r="G161" t="s">
        <v>34</v>
      </c>
      <c r="H161" t="s">
        <v>152</v>
      </c>
      <c r="I161" t="s">
        <v>152</v>
      </c>
      <c r="J161">
        <v>4340</v>
      </c>
      <c r="K161" t="s">
        <v>634</v>
      </c>
      <c r="L161">
        <v>0.54305555555555551</v>
      </c>
      <c r="M161">
        <v>0.55277777777777781</v>
      </c>
      <c r="Q161" t="s">
        <v>117</v>
      </c>
      <c r="R161" t="s">
        <v>3029</v>
      </c>
      <c r="S161">
        <v>2777698</v>
      </c>
    </row>
    <row r="162" spans="1:19" x14ac:dyDescent="0.25">
      <c r="A162" t="s">
        <v>572</v>
      </c>
      <c r="B162" s="24">
        <v>46136</v>
      </c>
      <c r="C162" t="s">
        <v>24</v>
      </c>
      <c r="D162" t="s">
        <v>25</v>
      </c>
      <c r="E162">
        <v>13</v>
      </c>
      <c r="F162">
        <v>605</v>
      </c>
      <c r="G162" t="s">
        <v>34</v>
      </c>
      <c r="H162" t="s">
        <v>152</v>
      </c>
      <c r="I162" t="s">
        <v>152</v>
      </c>
      <c r="J162">
        <v>4341</v>
      </c>
      <c r="K162" t="s">
        <v>634</v>
      </c>
      <c r="L162">
        <v>0.55555555555555558</v>
      </c>
      <c r="M162">
        <v>0.56944444444444442</v>
      </c>
      <c r="Q162" t="s">
        <v>117</v>
      </c>
      <c r="R162" t="s">
        <v>3029</v>
      </c>
      <c r="S162">
        <v>2777698</v>
      </c>
    </row>
    <row r="163" spans="1:19" x14ac:dyDescent="0.25">
      <c r="A163" t="s">
        <v>572</v>
      </c>
      <c r="B163" s="24">
        <v>46136</v>
      </c>
      <c r="C163" t="s">
        <v>24</v>
      </c>
      <c r="D163" t="s">
        <v>25</v>
      </c>
      <c r="E163">
        <v>13</v>
      </c>
      <c r="F163">
        <v>605</v>
      </c>
      <c r="G163" t="s">
        <v>34</v>
      </c>
      <c r="H163" t="s">
        <v>152</v>
      </c>
      <c r="I163" t="s">
        <v>152</v>
      </c>
      <c r="J163">
        <v>4342</v>
      </c>
      <c r="K163" t="s">
        <v>643</v>
      </c>
      <c r="L163">
        <v>0.57152777777777775</v>
      </c>
      <c r="M163">
        <v>0.58333333333333337</v>
      </c>
      <c r="Q163" t="s">
        <v>117</v>
      </c>
      <c r="R163" t="s">
        <v>3029</v>
      </c>
      <c r="S163">
        <v>2777698</v>
      </c>
    </row>
    <row r="164" spans="1:19" x14ac:dyDescent="0.25">
      <c r="A164" t="s">
        <v>572</v>
      </c>
      <c r="B164" s="24">
        <v>46136</v>
      </c>
      <c r="C164" t="s">
        <v>24</v>
      </c>
      <c r="D164" t="s">
        <v>25</v>
      </c>
      <c r="E164">
        <v>13</v>
      </c>
      <c r="F164">
        <v>605</v>
      </c>
      <c r="G164" t="s">
        <v>34</v>
      </c>
      <c r="H164" t="s">
        <v>152</v>
      </c>
      <c r="I164" t="s">
        <v>152</v>
      </c>
      <c r="J164">
        <v>4343</v>
      </c>
      <c r="K164" t="s">
        <v>643</v>
      </c>
      <c r="L164">
        <v>0.58472222222222225</v>
      </c>
      <c r="M164">
        <v>0.59722222222222221</v>
      </c>
      <c r="Q164" t="s">
        <v>117</v>
      </c>
      <c r="R164" t="s">
        <v>3029</v>
      </c>
      <c r="S164">
        <v>2777698</v>
      </c>
    </row>
    <row r="165" spans="1:19" x14ac:dyDescent="0.25">
      <c r="A165" t="s">
        <v>572</v>
      </c>
      <c r="B165" s="24">
        <v>46136</v>
      </c>
      <c r="C165" t="s">
        <v>24</v>
      </c>
      <c r="D165" t="s">
        <v>25</v>
      </c>
      <c r="E165">
        <v>13</v>
      </c>
      <c r="F165">
        <v>605</v>
      </c>
      <c r="G165" t="s">
        <v>34</v>
      </c>
      <c r="H165" t="s">
        <v>152</v>
      </c>
      <c r="I165" t="s">
        <v>152</v>
      </c>
      <c r="J165">
        <v>4344</v>
      </c>
      <c r="K165" t="s">
        <v>643</v>
      </c>
      <c r="L165">
        <v>0.59930555555555554</v>
      </c>
      <c r="M165">
        <v>0.61111111111111116</v>
      </c>
      <c r="Q165" t="s">
        <v>117</v>
      </c>
      <c r="R165" t="s">
        <v>3029</v>
      </c>
      <c r="S165">
        <v>2777698</v>
      </c>
    </row>
    <row r="166" spans="1:19" x14ac:dyDescent="0.25">
      <c r="A166" t="s">
        <v>572</v>
      </c>
      <c r="B166" s="24">
        <v>46136</v>
      </c>
      <c r="C166" t="s">
        <v>24</v>
      </c>
      <c r="D166" t="s">
        <v>25</v>
      </c>
      <c r="E166">
        <v>13</v>
      </c>
      <c r="F166">
        <v>605</v>
      </c>
      <c r="G166" t="s">
        <v>34</v>
      </c>
      <c r="H166" t="s">
        <v>367</v>
      </c>
      <c r="I166" t="s">
        <v>367</v>
      </c>
      <c r="J166">
        <v>4465</v>
      </c>
      <c r="K166" t="s">
        <v>574</v>
      </c>
      <c r="L166">
        <v>0.38541666666666669</v>
      </c>
      <c r="M166">
        <v>0.49375000000000002</v>
      </c>
      <c r="Q166" t="s">
        <v>117</v>
      </c>
      <c r="R166" t="s">
        <v>3029</v>
      </c>
      <c r="S166">
        <v>2777669</v>
      </c>
    </row>
    <row r="167" spans="1:19" x14ac:dyDescent="0.25">
      <c r="A167" t="s">
        <v>572</v>
      </c>
      <c r="B167" s="24">
        <v>46136</v>
      </c>
      <c r="C167" t="s">
        <v>24</v>
      </c>
      <c r="D167" t="s">
        <v>25</v>
      </c>
      <c r="E167">
        <v>13</v>
      </c>
      <c r="F167">
        <v>605</v>
      </c>
      <c r="G167" t="s">
        <v>34</v>
      </c>
      <c r="H167" t="s">
        <v>1665</v>
      </c>
      <c r="I167" t="s">
        <v>498</v>
      </c>
      <c r="J167">
        <v>4479</v>
      </c>
      <c r="K167" t="s">
        <v>616</v>
      </c>
      <c r="L167">
        <v>0.35486111111111113</v>
      </c>
      <c r="M167">
        <v>0.37638888888888888</v>
      </c>
      <c r="Q167" t="s">
        <v>117</v>
      </c>
      <c r="R167" t="s">
        <v>3029</v>
      </c>
      <c r="S167">
        <v>2778453</v>
      </c>
    </row>
    <row r="168" spans="1:19" x14ac:dyDescent="0.25">
      <c r="A168" t="s">
        <v>572</v>
      </c>
      <c r="B168" s="24">
        <v>46136</v>
      </c>
      <c r="C168" t="s">
        <v>24</v>
      </c>
      <c r="D168" t="s">
        <v>25</v>
      </c>
      <c r="E168">
        <v>13</v>
      </c>
      <c r="F168">
        <v>605</v>
      </c>
      <c r="G168" t="s">
        <v>34</v>
      </c>
      <c r="H168" t="s">
        <v>1665</v>
      </c>
      <c r="I168" t="s">
        <v>115</v>
      </c>
      <c r="J168">
        <v>4480</v>
      </c>
      <c r="K168" t="s">
        <v>621</v>
      </c>
      <c r="L168">
        <v>0.46597222222222223</v>
      </c>
      <c r="M168">
        <v>0.48055555555555557</v>
      </c>
      <c r="Q168" t="s">
        <v>117</v>
      </c>
      <c r="R168" t="s">
        <v>3029</v>
      </c>
      <c r="S168">
        <v>1742079</v>
      </c>
    </row>
    <row r="169" spans="1:19" x14ac:dyDescent="0.25">
      <c r="A169" t="s">
        <v>572</v>
      </c>
      <c r="B169" s="24">
        <v>46136</v>
      </c>
      <c r="C169" t="s">
        <v>24</v>
      </c>
      <c r="D169" t="s">
        <v>25</v>
      </c>
      <c r="E169">
        <v>13</v>
      </c>
      <c r="F169">
        <v>605</v>
      </c>
      <c r="G169" t="s">
        <v>34</v>
      </c>
      <c r="H169" t="s">
        <v>1672</v>
      </c>
      <c r="I169" t="s">
        <v>512</v>
      </c>
      <c r="J169">
        <v>4508</v>
      </c>
      <c r="K169" t="s">
        <v>103</v>
      </c>
      <c r="L169">
        <v>0.66805555555555551</v>
      </c>
      <c r="M169">
        <v>0.67569444444444449</v>
      </c>
      <c r="Q169" t="s">
        <v>117</v>
      </c>
      <c r="R169" t="s">
        <v>3029</v>
      </c>
      <c r="S169">
        <v>1742079</v>
      </c>
    </row>
    <row r="170" spans="1:19" x14ac:dyDescent="0.25">
      <c r="A170" t="s">
        <v>572</v>
      </c>
      <c r="B170" s="24">
        <v>46136</v>
      </c>
      <c r="C170" t="s">
        <v>24</v>
      </c>
      <c r="D170" t="s">
        <v>25</v>
      </c>
      <c r="E170">
        <v>13</v>
      </c>
      <c r="F170">
        <v>605</v>
      </c>
      <c r="G170" t="s">
        <v>34</v>
      </c>
      <c r="H170" t="s">
        <v>152</v>
      </c>
      <c r="I170" t="s">
        <v>152</v>
      </c>
      <c r="J170">
        <v>4521</v>
      </c>
      <c r="K170" t="s">
        <v>650</v>
      </c>
      <c r="L170">
        <v>3.472222222222222E-3</v>
      </c>
      <c r="M170">
        <v>4.1666666666666664E-2</v>
      </c>
      <c r="Q170" t="s">
        <v>117</v>
      </c>
      <c r="R170" t="s">
        <v>3032</v>
      </c>
      <c r="S170">
        <v>3219212</v>
      </c>
    </row>
    <row r="171" spans="1:19" x14ac:dyDescent="0.25">
      <c r="A171" t="s">
        <v>572</v>
      </c>
      <c r="B171" s="24">
        <v>46136</v>
      </c>
      <c r="C171" t="s">
        <v>24</v>
      </c>
      <c r="D171" t="s">
        <v>25</v>
      </c>
      <c r="E171">
        <v>13</v>
      </c>
      <c r="F171">
        <v>605</v>
      </c>
      <c r="G171" t="s">
        <v>34</v>
      </c>
      <c r="H171" t="s">
        <v>1665</v>
      </c>
      <c r="I171" t="s">
        <v>512</v>
      </c>
      <c r="J171">
        <v>4523</v>
      </c>
      <c r="K171" t="s">
        <v>655</v>
      </c>
      <c r="L171">
        <v>0.61805555555555558</v>
      </c>
      <c r="M171">
        <v>0.65625</v>
      </c>
      <c r="Q171" t="s">
        <v>117</v>
      </c>
      <c r="R171" t="s">
        <v>3029</v>
      </c>
      <c r="S171">
        <v>1781401</v>
      </c>
    </row>
    <row r="172" spans="1:19" x14ac:dyDescent="0.25">
      <c r="A172" t="s">
        <v>572</v>
      </c>
      <c r="B172" s="24">
        <v>46136</v>
      </c>
      <c r="C172" t="s">
        <v>24</v>
      </c>
      <c r="D172" t="s">
        <v>25</v>
      </c>
      <c r="E172">
        <v>13</v>
      </c>
      <c r="F172">
        <v>605</v>
      </c>
      <c r="G172" t="s">
        <v>34</v>
      </c>
      <c r="H172" t="s">
        <v>152</v>
      </c>
      <c r="I172" t="s">
        <v>152</v>
      </c>
      <c r="J172">
        <v>4657</v>
      </c>
      <c r="K172" t="s">
        <v>660</v>
      </c>
      <c r="L172">
        <v>0.54513888888888884</v>
      </c>
      <c r="M172">
        <v>0.60069444444444442</v>
      </c>
      <c r="Q172" t="s">
        <v>117</v>
      </c>
      <c r="R172" t="s">
        <v>3029</v>
      </c>
      <c r="S172">
        <v>1781401</v>
      </c>
    </row>
    <row r="173" spans="1:19" x14ac:dyDescent="0.25">
      <c r="A173" t="s">
        <v>663</v>
      </c>
      <c r="B173" s="24">
        <v>46136</v>
      </c>
      <c r="C173" t="s">
        <v>24</v>
      </c>
      <c r="D173" t="s">
        <v>25</v>
      </c>
      <c r="E173">
        <v>13</v>
      </c>
      <c r="F173">
        <v>606</v>
      </c>
      <c r="G173" t="s">
        <v>34</v>
      </c>
      <c r="H173" t="s">
        <v>511</v>
      </c>
      <c r="I173" t="s">
        <v>511</v>
      </c>
      <c r="J173">
        <v>3369</v>
      </c>
      <c r="K173" t="s">
        <v>681</v>
      </c>
      <c r="L173">
        <v>0.92222222222222228</v>
      </c>
      <c r="M173">
        <v>0.96805555555555556</v>
      </c>
      <c r="Q173" t="s">
        <v>117</v>
      </c>
      <c r="R173" t="s">
        <v>3032</v>
      </c>
      <c r="S173">
        <v>3215737</v>
      </c>
    </row>
    <row r="174" spans="1:19" x14ac:dyDescent="0.25">
      <c r="A174" t="s">
        <v>663</v>
      </c>
      <c r="B174" s="24">
        <v>46136</v>
      </c>
      <c r="C174" t="s">
        <v>24</v>
      </c>
      <c r="D174" t="s">
        <v>25</v>
      </c>
      <c r="E174">
        <v>13</v>
      </c>
      <c r="F174">
        <v>606</v>
      </c>
      <c r="G174" t="s">
        <v>34</v>
      </c>
      <c r="H174" t="s">
        <v>511</v>
      </c>
      <c r="I174" t="s">
        <v>511</v>
      </c>
      <c r="J174">
        <v>3371</v>
      </c>
      <c r="K174" t="s">
        <v>685</v>
      </c>
      <c r="L174">
        <v>0.97222222222222221</v>
      </c>
      <c r="M174">
        <v>1.0416666666666666E-2</v>
      </c>
      <c r="Q174" t="s">
        <v>117</v>
      </c>
      <c r="R174" t="s">
        <v>3032</v>
      </c>
      <c r="S174">
        <v>3215737</v>
      </c>
    </row>
    <row r="175" spans="1:19" x14ac:dyDescent="0.25">
      <c r="A175" t="s">
        <v>663</v>
      </c>
      <c r="B175" s="24">
        <v>46136</v>
      </c>
      <c r="C175" t="s">
        <v>24</v>
      </c>
      <c r="D175" t="s">
        <v>25</v>
      </c>
      <c r="E175">
        <v>13</v>
      </c>
      <c r="F175">
        <v>606</v>
      </c>
      <c r="G175" t="s">
        <v>34</v>
      </c>
      <c r="H175" t="s">
        <v>511</v>
      </c>
      <c r="I175" t="s">
        <v>511</v>
      </c>
      <c r="J175">
        <v>3373</v>
      </c>
      <c r="K175" t="s">
        <v>690</v>
      </c>
      <c r="L175">
        <v>0.38958333333333334</v>
      </c>
      <c r="M175">
        <v>0.40486111111111112</v>
      </c>
      <c r="Q175" t="s">
        <v>117</v>
      </c>
      <c r="R175" t="s">
        <v>3029</v>
      </c>
      <c r="S175">
        <v>2777657</v>
      </c>
    </row>
    <row r="176" spans="1:19" x14ac:dyDescent="0.25">
      <c r="A176" t="s">
        <v>663</v>
      </c>
      <c r="B176" s="24">
        <v>46136</v>
      </c>
      <c r="C176" t="s">
        <v>24</v>
      </c>
      <c r="D176" t="s">
        <v>25</v>
      </c>
      <c r="E176">
        <v>13</v>
      </c>
      <c r="F176">
        <v>606</v>
      </c>
      <c r="G176" t="s">
        <v>34</v>
      </c>
      <c r="H176" t="s">
        <v>1665</v>
      </c>
      <c r="I176" t="s">
        <v>512</v>
      </c>
      <c r="J176">
        <v>3374</v>
      </c>
      <c r="K176" t="s">
        <v>695</v>
      </c>
      <c r="L176">
        <v>0.87708333333333333</v>
      </c>
      <c r="M176">
        <v>0.90763888888888888</v>
      </c>
      <c r="Q176" t="s">
        <v>117</v>
      </c>
      <c r="R176" t="s">
        <v>3032</v>
      </c>
      <c r="S176">
        <v>2777657</v>
      </c>
    </row>
    <row r="177" spans="1:19" x14ac:dyDescent="0.25">
      <c r="A177" t="s">
        <v>663</v>
      </c>
      <c r="B177" s="24">
        <v>46136</v>
      </c>
      <c r="C177" t="s">
        <v>24</v>
      </c>
      <c r="D177" t="s">
        <v>25</v>
      </c>
      <c r="E177">
        <v>13</v>
      </c>
      <c r="F177">
        <v>606</v>
      </c>
      <c r="G177" t="s">
        <v>34</v>
      </c>
      <c r="H177" t="s">
        <v>1665</v>
      </c>
      <c r="I177" t="s">
        <v>512</v>
      </c>
      <c r="J177">
        <v>3375</v>
      </c>
      <c r="K177" t="s">
        <v>700</v>
      </c>
      <c r="L177">
        <v>0.33888888888888891</v>
      </c>
      <c r="M177">
        <v>0.38680555555555557</v>
      </c>
      <c r="Q177" t="s">
        <v>117</v>
      </c>
      <c r="R177" t="s">
        <v>3029</v>
      </c>
      <c r="S177">
        <v>3215737</v>
      </c>
    </row>
    <row r="178" spans="1:19" x14ac:dyDescent="0.25">
      <c r="A178" t="s">
        <v>663</v>
      </c>
      <c r="B178" s="24">
        <v>46136</v>
      </c>
      <c r="C178" t="s">
        <v>24</v>
      </c>
      <c r="D178" t="s">
        <v>25</v>
      </c>
      <c r="E178">
        <v>13</v>
      </c>
      <c r="F178">
        <v>606</v>
      </c>
      <c r="G178" t="s">
        <v>34</v>
      </c>
      <c r="H178" t="s">
        <v>1665</v>
      </c>
      <c r="I178" t="s">
        <v>115</v>
      </c>
      <c r="J178">
        <v>3376</v>
      </c>
      <c r="K178" t="s">
        <v>705</v>
      </c>
      <c r="L178">
        <v>0.54513888888888884</v>
      </c>
      <c r="M178">
        <v>0.57222222222222219</v>
      </c>
      <c r="Q178" t="s">
        <v>117</v>
      </c>
      <c r="R178" t="s">
        <v>3029</v>
      </c>
      <c r="S178">
        <v>2777657</v>
      </c>
    </row>
    <row r="179" spans="1:19" x14ac:dyDescent="0.25">
      <c r="A179" t="s">
        <v>663</v>
      </c>
      <c r="B179" s="24">
        <v>46136</v>
      </c>
      <c r="C179" t="s">
        <v>24</v>
      </c>
      <c r="D179" t="s">
        <v>25</v>
      </c>
      <c r="E179">
        <v>13</v>
      </c>
      <c r="F179">
        <v>606</v>
      </c>
      <c r="G179" t="s">
        <v>34</v>
      </c>
      <c r="H179" t="s">
        <v>511</v>
      </c>
      <c r="I179" t="s">
        <v>511</v>
      </c>
      <c r="J179">
        <v>3378</v>
      </c>
      <c r="K179" t="s">
        <v>710</v>
      </c>
      <c r="L179">
        <v>0.8125</v>
      </c>
      <c r="M179">
        <v>0.85069444444444442</v>
      </c>
      <c r="Q179" t="s">
        <v>117</v>
      </c>
      <c r="R179" t="s">
        <v>3032</v>
      </c>
      <c r="S179">
        <v>3215737</v>
      </c>
    </row>
    <row r="180" spans="1:19" x14ac:dyDescent="0.25">
      <c r="A180" t="s">
        <v>663</v>
      </c>
      <c r="B180" s="24">
        <v>46136</v>
      </c>
      <c r="C180" t="s">
        <v>24</v>
      </c>
      <c r="D180" t="s">
        <v>25</v>
      </c>
      <c r="E180">
        <v>13</v>
      </c>
      <c r="F180">
        <v>606</v>
      </c>
      <c r="G180" t="s">
        <v>34</v>
      </c>
      <c r="H180" t="s">
        <v>511</v>
      </c>
      <c r="I180" t="s">
        <v>512</v>
      </c>
      <c r="J180">
        <v>3379</v>
      </c>
      <c r="K180" t="s">
        <v>714</v>
      </c>
      <c r="L180">
        <v>1.7361111111111112E-2</v>
      </c>
      <c r="M180">
        <v>3.125E-2</v>
      </c>
      <c r="Q180" t="s">
        <v>117</v>
      </c>
      <c r="R180" t="s">
        <v>3032</v>
      </c>
      <c r="S180">
        <v>3215737</v>
      </c>
    </row>
    <row r="181" spans="1:19" x14ac:dyDescent="0.25">
      <c r="A181" t="s">
        <v>663</v>
      </c>
      <c r="B181" s="24">
        <v>46136</v>
      </c>
      <c r="C181" t="s">
        <v>24</v>
      </c>
      <c r="D181" t="s">
        <v>25</v>
      </c>
      <c r="E181">
        <v>13</v>
      </c>
      <c r="F181">
        <v>606</v>
      </c>
      <c r="G181" t="s">
        <v>34</v>
      </c>
      <c r="H181" t="s">
        <v>511</v>
      </c>
      <c r="I181" t="s">
        <v>511</v>
      </c>
      <c r="J181">
        <v>3709</v>
      </c>
      <c r="K181" t="s">
        <v>729</v>
      </c>
      <c r="L181">
        <v>0.75347222222222221</v>
      </c>
      <c r="M181">
        <v>0.7944444444444444</v>
      </c>
      <c r="Q181" t="s">
        <v>117</v>
      </c>
      <c r="R181" t="s">
        <v>3032</v>
      </c>
      <c r="S181">
        <v>1781427</v>
      </c>
    </row>
    <row r="182" spans="1:19" x14ac:dyDescent="0.25">
      <c r="A182" t="s">
        <v>663</v>
      </c>
      <c r="B182" s="24">
        <v>46136</v>
      </c>
      <c r="C182" t="s">
        <v>24</v>
      </c>
      <c r="D182" t="s">
        <v>25</v>
      </c>
      <c r="E182">
        <v>13</v>
      </c>
      <c r="F182">
        <v>606</v>
      </c>
      <c r="G182" t="s">
        <v>34</v>
      </c>
      <c r="H182" t="s">
        <v>511</v>
      </c>
      <c r="I182" t="s">
        <v>511</v>
      </c>
      <c r="J182">
        <v>3710</v>
      </c>
      <c r="K182" t="s">
        <v>729</v>
      </c>
      <c r="L182">
        <v>0.39097222222222222</v>
      </c>
      <c r="M182">
        <v>0.41944444444444445</v>
      </c>
      <c r="Q182" t="s">
        <v>117</v>
      </c>
      <c r="R182" t="s">
        <v>3029</v>
      </c>
      <c r="S182">
        <v>3215737</v>
      </c>
    </row>
    <row r="183" spans="1:19" x14ac:dyDescent="0.25">
      <c r="A183" t="s">
        <v>663</v>
      </c>
      <c r="B183" s="24">
        <v>46136</v>
      </c>
      <c r="C183" t="s">
        <v>24</v>
      </c>
      <c r="D183" t="s">
        <v>25</v>
      </c>
      <c r="E183">
        <v>13</v>
      </c>
      <c r="F183">
        <v>606</v>
      </c>
      <c r="G183" t="s">
        <v>34</v>
      </c>
      <c r="H183" t="s">
        <v>511</v>
      </c>
      <c r="I183" t="s">
        <v>511</v>
      </c>
      <c r="J183">
        <v>3711</v>
      </c>
      <c r="K183" t="s">
        <v>734</v>
      </c>
      <c r="L183">
        <v>0.73958333333333337</v>
      </c>
      <c r="M183">
        <v>0.78472222222222221</v>
      </c>
      <c r="Q183" t="s">
        <v>117</v>
      </c>
      <c r="R183" t="s">
        <v>3032</v>
      </c>
      <c r="S183">
        <v>3215737</v>
      </c>
    </row>
    <row r="184" spans="1:19" x14ac:dyDescent="0.25">
      <c r="A184" t="s">
        <v>663</v>
      </c>
      <c r="B184" s="24">
        <v>46136</v>
      </c>
      <c r="C184" t="s">
        <v>24</v>
      </c>
      <c r="D184" t="s">
        <v>25</v>
      </c>
      <c r="E184">
        <v>13</v>
      </c>
      <c r="F184">
        <v>606</v>
      </c>
      <c r="G184" t="s">
        <v>34</v>
      </c>
      <c r="H184" t="s">
        <v>511</v>
      </c>
      <c r="I184" t="s">
        <v>511</v>
      </c>
      <c r="J184">
        <v>3712</v>
      </c>
      <c r="K184" t="s">
        <v>743</v>
      </c>
      <c r="L184">
        <v>1.3888888888888888E-2</v>
      </c>
      <c r="M184">
        <v>5.5555555555555552E-2</v>
      </c>
      <c r="Q184" t="s">
        <v>117</v>
      </c>
      <c r="R184" t="s">
        <v>3032</v>
      </c>
      <c r="S184">
        <v>2777672</v>
      </c>
    </row>
    <row r="185" spans="1:19" x14ac:dyDescent="0.25">
      <c r="A185" t="s">
        <v>663</v>
      </c>
      <c r="B185" s="24">
        <v>46136</v>
      </c>
      <c r="C185" t="s">
        <v>24</v>
      </c>
      <c r="D185" t="s">
        <v>25</v>
      </c>
      <c r="E185">
        <v>13</v>
      </c>
      <c r="F185">
        <v>606</v>
      </c>
      <c r="G185" t="s">
        <v>34</v>
      </c>
      <c r="H185" t="s">
        <v>511</v>
      </c>
      <c r="I185" t="s">
        <v>511</v>
      </c>
      <c r="J185">
        <v>3714</v>
      </c>
      <c r="K185" t="s">
        <v>738</v>
      </c>
      <c r="L185">
        <v>0.78472222222222221</v>
      </c>
      <c r="M185">
        <v>0.82986111111111116</v>
      </c>
      <c r="Q185" t="s">
        <v>117</v>
      </c>
      <c r="R185" t="s">
        <v>3032</v>
      </c>
      <c r="S185">
        <v>3215737</v>
      </c>
    </row>
    <row r="186" spans="1:19" x14ac:dyDescent="0.25">
      <c r="A186" t="s">
        <v>663</v>
      </c>
      <c r="B186" s="24">
        <v>46136</v>
      </c>
      <c r="C186" t="s">
        <v>24</v>
      </c>
      <c r="D186" t="s">
        <v>25</v>
      </c>
      <c r="E186">
        <v>13</v>
      </c>
      <c r="F186">
        <v>606</v>
      </c>
      <c r="G186" t="s">
        <v>34</v>
      </c>
      <c r="H186" t="s">
        <v>511</v>
      </c>
      <c r="I186" t="s">
        <v>512</v>
      </c>
      <c r="J186">
        <v>3716</v>
      </c>
      <c r="K186" t="s">
        <v>752</v>
      </c>
      <c r="L186">
        <v>0.68263888888888891</v>
      </c>
      <c r="M186">
        <v>0.70833333333333337</v>
      </c>
      <c r="Q186" t="s">
        <v>117</v>
      </c>
      <c r="R186" t="s">
        <v>3029</v>
      </c>
      <c r="S186">
        <v>2777698</v>
      </c>
    </row>
    <row r="187" spans="1:19" x14ac:dyDescent="0.25">
      <c r="A187" t="s">
        <v>663</v>
      </c>
      <c r="B187" s="24">
        <v>46136</v>
      </c>
      <c r="C187" t="s">
        <v>24</v>
      </c>
      <c r="D187" t="s">
        <v>25</v>
      </c>
      <c r="E187">
        <v>13</v>
      </c>
      <c r="F187">
        <v>606</v>
      </c>
      <c r="G187" t="s">
        <v>34</v>
      </c>
      <c r="H187" t="s">
        <v>1583</v>
      </c>
      <c r="I187" t="s">
        <v>1583</v>
      </c>
      <c r="J187">
        <v>4269</v>
      </c>
      <c r="K187" t="s">
        <v>724</v>
      </c>
      <c r="L187">
        <v>0.3923611111111111</v>
      </c>
      <c r="M187">
        <v>0.41458333333333336</v>
      </c>
      <c r="Q187" t="s">
        <v>117</v>
      </c>
      <c r="R187" t="s">
        <v>3029</v>
      </c>
      <c r="S187">
        <v>1781427</v>
      </c>
    </row>
    <row r="188" spans="1:19" x14ac:dyDescent="0.25">
      <c r="A188" t="s">
        <v>663</v>
      </c>
      <c r="B188" s="24">
        <v>46136</v>
      </c>
      <c r="C188" t="s">
        <v>24</v>
      </c>
      <c r="D188" t="s">
        <v>25</v>
      </c>
      <c r="E188">
        <v>13</v>
      </c>
      <c r="F188">
        <v>606</v>
      </c>
      <c r="G188" t="s">
        <v>34</v>
      </c>
      <c r="H188" t="s">
        <v>147</v>
      </c>
      <c r="I188" t="s">
        <v>115</v>
      </c>
      <c r="J188">
        <v>4334</v>
      </c>
      <c r="K188" t="s">
        <v>748</v>
      </c>
      <c r="L188">
        <v>0.4201388888888889</v>
      </c>
      <c r="M188">
        <v>0.44930555555555557</v>
      </c>
      <c r="Q188" t="s">
        <v>117</v>
      </c>
      <c r="R188" t="s">
        <v>3029</v>
      </c>
      <c r="S188">
        <v>3215737</v>
      </c>
    </row>
    <row r="189" spans="1:19" x14ac:dyDescent="0.25">
      <c r="A189" t="s">
        <v>663</v>
      </c>
      <c r="B189" s="24">
        <v>46136</v>
      </c>
      <c r="C189" t="s">
        <v>24</v>
      </c>
      <c r="D189" t="s">
        <v>25</v>
      </c>
      <c r="E189">
        <v>13</v>
      </c>
      <c r="F189">
        <v>606</v>
      </c>
      <c r="G189" t="s">
        <v>34</v>
      </c>
      <c r="H189" t="s">
        <v>1665</v>
      </c>
      <c r="I189" t="s">
        <v>512</v>
      </c>
      <c r="J189">
        <v>4335</v>
      </c>
      <c r="K189" t="s">
        <v>757</v>
      </c>
      <c r="L189">
        <v>0.57847222222222228</v>
      </c>
      <c r="M189">
        <v>0.6020833333333333</v>
      </c>
      <c r="Q189" t="s">
        <v>117</v>
      </c>
      <c r="R189" t="s">
        <v>3029</v>
      </c>
      <c r="S189">
        <v>1781427</v>
      </c>
    </row>
    <row r="190" spans="1:19" x14ac:dyDescent="0.25">
      <c r="A190" t="s">
        <v>663</v>
      </c>
      <c r="B190" s="24">
        <v>46136</v>
      </c>
      <c r="C190" t="s">
        <v>24</v>
      </c>
      <c r="D190" t="s">
        <v>25</v>
      </c>
      <c r="E190">
        <v>13</v>
      </c>
      <c r="F190">
        <v>606</v>
      </c>
      <c r="G190" t="s">
        <v>34</v>
      </c>
      <c r="H190" t="s">
        <v>1665</v>
      </c>
      <c r="I190" t="s">
        <v>512</v>
      </c>
      <c r="J190">
        <v>4467</v>
      </c>
      <c r="K190" t="s">
        <v>719</v>
      </c>
      <c r="L190">
        <v>0.71111111111111114</v>
      </c>
      <c r="M190">
        <v>0.75694444444444442</v>
      </c>
      <c r="Q190" t="s">
        <v>117</v>
      </c>
      <c r="R190" t="s">
        <v>3032</v>
      </c>
      <c r="S190">
        <v>1781427</v>
      </c>
    </row>
    <row r="191" spans="1:19" x14ac:dyDescent="0.25">
      <c r="A191" t="s">
        <v>663</v>
      </c>
      <c r="B191" s="24">
        <v>46136</v>
      </c>
      <c r="C191" t="s">
        <v>24</v>
      </c>
      <c r="D191" t="s">
        <v>25</v>
      </c>
      <c r="E191">
        <v>13</v>
      </c>
      <c r="F191">
        <v>606</v>
      </c>
      <c r="G191" t="s">
        <v>34</v>
      </c>
      <c r="H191" t="s">
        <v>150</v>
      </c>
      <c r="I191" t="s">
        <v>115</v>
      </c>
      <c r="J191">
        <v>4520</v>
      </c>
      <c r="K191" t="s">
        <v>666</v>
      </c>
      <c r="L191">
        <v>0.83750000000000002</v>
      </c>
      <c r="M191">
        <v>0.86875000000000002</v>
      </c>
      <c r="Q191" t="s">
        <v>117</v>
      </c>
      <c r="R191" t="s">
        <v>3032</v>
      </c>
      <c r="S191">
        <v>3215737</v>
      </c>
    </row>
    <row r="192" spans="1:19" x14ac:dyDescent="0.25">
      <c r="A192" t="s">
        <v>663</v>
      </c>
      <c r="B192" s="24">
        <v>46136</v>
      </c>
      <c r="C192" t="s">
        <v>24</v>
      </c>
      <c r="D192" t="s">
        <v>25</v>
      </c>
      <c r="E192">
        <v>13</v>
      </c>
      <c r="F192">
        <v>606</v>
      </c>
      <c r="G192" t="s">
        <v>34</v>
      </c>
      <c r="H192" t="s">
        <v>147</v>
      </c>
      <c r="I192" t="s">
        <v>115</v>
      </c>
      <c r="J192">
        <v>4524</v>
      </c>
      <c r="K192" t="s">
        <v>671</v>
      </c>
      <c r="L192">
        <v>0.79722222222222228</v>
      </c>
      <c r="M192">
        <v>0.83611111111111114</v>
      </c>
      <c r="Q192" t="s">
        <v>117</v>
      </c>
      <c r="R192" t="s">
        <v>3032</v>
      </c>
      <c r="S192">
        <v>2777698</v>
      </c>
    </row>
    <row r="193" spans="1:19" x14ac:dyDescent="0.25">
      <c r="A193" t="s">
        <v>663</v>
      </c>
      <c r="B193" s="24">
        <v>46136</v>
      </c>
      <c r="C193" t="s">
        <v>24</v>
      </c>
      <c r="D193" t="s">
        <v>25</v>
      </c>
      <c r="E193">
        <v>13</v>
      </c>
      <c r="F193">
        <v>606</v>
      </c>
      <c r="G193" t="s">
        <v>34</v>
      </c>
      <c r="H193" t="s">
        <v>550</v>
      </c>
      <c r="I193" t="s">
        <v>550</v>
      </c>
      <c r="J193">
        <v>4658</v>
      </c>
      <c r="K193" t="s">
        <v>676</v>
      </c>
      <c r="L193">
        <v>0.65486111111111112</v>
      </c>
      <c r="M193">
        <v>0.68819444444444444</v>
      </c>
      <c r="Q193" t="s">
        <v>117</v>
      </c>
      <c r="R193" t="s">
        <v>3029</v>
      </c>
      <c r="S193">
        <v>2777698</v>
      </c>
    </row>
    <row r="194" spans="1:19" x14ac:dyDescent="0.25">
      <c r="A194" t="s">
        <v>760</v>
      </c>
      <c r="B194" s="24">
        <v>46136</v>
      </c>
      <c r="C194" t="s">
        <v>24</v>
      </c>
      <c r="D194" t="s">
        <v>25</v>
      </c>
      <c r="E194">
        <v>13</v>
      </c>
      <c r="F194">
        <v>603</v>
      </c>
      <c r="G194" t="s">
        <v>34</v>
      </c>
      <c r="H194" t="s">
        <v>1672</v>
      </c>
      <c r="I194" t="s">
        <v>115</v>
      </c>
      <c r="J194">
        <v>4074</v>
      </c>
      <c r="K194" t="s">
        <v>774</v>
      </c>
      <c r="L194">
        <v>0.40694444444444444</v>
      </c>
      <c r="M194">
        <v>0.42499999999999999</v>
      </c>
      <c r="Q194" t="s">
        <v>117</v>
      </c>
      <c r="R194" t="s">
        <v>3029</v>
      </c>
      <c r="S194">
        <v>2733740</v>
      </c>
    </row>
    <row r="195" spans="1:19" x14ac:dyDescent="0.25">
      <c r="A195" t="s">
        <v>953</v>
      </c>
      <c r="B195" s="24">
        <v>46136</v>
      </c>
      <c r="C195" t="s">
        <v>26</v>
      </c>
      <c r="D195" t="s">
        <v>27</v>
      </c>
      <c r="E195">
        <v>15</v>
      </c>
      <c r="F195">
        <v>603</v>
      </c>
      <c r="G195" t="s">
        <v>34</v>
      </c>
      <c r="H195" t="s">
        <v>1665</v>
      </c>
      <c r="I195" t="s">
        <v>115</v>
      </c>
      <c r="J195">
        <v>3529</v>
      </c>
      <c r="K195" t="s">
        <v>956</v>
      </c>
      <c r="L195">
        <v>0.82152777777777775</v>
      </c>
      <c r="M195">
        <v>0.83611111111111114</v>
      </c>
      <c r="Q195" t="s">
        <v>117</v>
      </c>
      <c r="R195" t="s">
        <v>3032</v>
      </c>
      <c r="S195">
        <v>1742255</v>
      </c>
    </row>
    <row r="196" spans="1:19" x14ac:dyDescent="0.25">
      <c r="A196" t="s">
        <v>953</v>
      </c>
      <c r="B196" s="24">
        <v>46136</v>
      </c>
      <c r="C196" t="s">
        <v>26</v>
      </c>
      <c r="D196" t="s">
        <v>27</v>
      </c>
      <c r="E196">
        <v>15</v>
      </c>
      <c r="F196">
        <v>603</v>
      </c>
      <c r="G196" t="s">
        <v>34</v>
      </c>
      <c r="H196" t="s">
        <v>1672</v>
      </c>
      <c r="I196" t="s">
        <v>115</v>
      </c>
      <c r="J196">
        <v>3531</v>
      </c>
      <c r="K196" t="s">
        <v>961</v>
      </c>
      <c r="L196">
        <v>0.61805555555555558</v>
      </c>
      <c r="M196">
        <v>0.62986111111111109</v>
      </c>
      <c r="Q196" t="s">
        <v>117</v>
      </c>
      <c r="R196" t="s">
        <v>3029</v>
      </c>
      <c r="S196">
        <v>1742372</v>
      </c>
    </row>
    <row r="197" spans="1:19" x14ac:dyDescent="0.25">
      <c r="A197" t="s">
        <v>953</v>
      </c>
      <c r="B197" s="24">
        <v>46136</v>
      </c>
      <c r="C197" t="s">
        <v>26</v>
      </c>
      <c r="D197" t="s">
        <v>27</v>
      </c>
      <c r="E197">
        <v>15</v>
      </c>
      <c r="F197">
        <v>603</v>
      </c>
      <c r="G197" t="s">
        <v>34</v>
      </c>
      <c r="H197" t="s">
        <v>133</v>
      </c>
      <c r="I197" t="s">
        <v>115</v>
      </c>
      <c r="J197">
        <v>3601</v>
      </c>
      <c r="K197" t="s">
        <v>965</v>
      </c>
      <c r="L197">
        <v>0.72847222222222219</v>
      </c>
      <c r="M197">
        <v>0.74791666666666667</v>
      </c>
      <c r="Q197" t="s">
        <v>117</v>
      </c>
      <c r="R197" t="s">
        <v>3032</v>
      </c>
      <c r="S197">
        <v>1742372</v>
      </c>
    </row>
    <row r="198" spans="1:19" x14ac:dyDescent="0.25">
      <c r="A198" t="s">
        <v>953</v>
      </c>
      <c r="B198" s="24">
        <v>46136</v>
      </c>
      <c r="C198" t="s">
        <v>26</v>
      </c>
      <c r="D198" t="s">
        <v>27</v>
      </c>
      <c r="E198">
        <v>15</v>
      </c>
      <c r="F198">
        <v>603</v>
      </c>
      <c r="G198" t="s">
        <v>34</v>
      </c>
      <c r="H198" t="s">
        <v>114</v>
      </c>
      <c r="I198" t="s">
        <v>115</v>
      </c>
      <c r="J198">
        <v>3911</v>
      </c>
      <c r="K198" t="s">
        <v>970</v>
      </c>
      <c r="L198">
        <v>1.0416666666666666E-2</v>
      </c>
      <c r="M198">
        <v>2.0833333333333332E-2</v>
      </c>
      <c r="Q198" t="s">
        <v>117</v>
      </c>
      <c r="R198" t="s">
        <v>3032</v>
      </c>
      <c r="S198">
        <v>1742255</v>
      </c>
    </row>
    <row r="199" spans="1:19" x14ac:dyDescent="0.25">
      <c r="A199" t="s">
        <v>953</v>
      </c>
      <c r="B199" s="24">
        <v>46136</v>
      </c>
      <c r="C199" t="s">
        <v>26</v>
      </c>
      <c r="D199" t="s">
        <v>27</v>
      </c>
      <c r="E199">
        <v>15</v>
      </c>
      <c r="F199">
        <v>603</v>
      </c>
      <c r="G199" t="s">
        <v>34</v>
      </c>
      <c r="H199" t="s">
        <v>1672</v>
      </c>
      <c r="I199" t="s">
        <v>115</v>
      </c>
      <c r="J199">
        <v>3917</v>
      </c>
      <c r="K199" t="s">
        <v>975</v>
      </c>
      <c r="L199">
        <v>0.41458333333333336</v>
      </c>
      <c r="M199">
        <v>0.4284722222222222</v>
      </c>
      <c r="Q199" t="s">
        <v>117</v>
      </c>
      <c r="R199" t="s">
        <v>3029</v>
      </c>
      <c r="S199">
        <v>2784248</v>
      </c>
    </row>
    <row r="200" spans="1:19" x14ac:dyDescent="0.25">
      <c r="A200" t="s">
        <v>953</v>
      </c>
      <c r="B200" s="24">
        <v>46136</v>
      </c>
      <c r="C200" t="s">
        <v>26</v>
      </c>
      <c r="D200" t="s">
        <v>27</v>
      </c>
      <c r="E200">
        <v>15</v>
      </c>
      <c r="F200">
        <v>603</v>
      </c>
      <c r="G200" t="s">
        <v>34</v>
      </c>
      <c r="H200" t="s">
        <v>1665</v>
      </c>
      <c r="I200" t="s">
        <v>512</v>
      </c>
      <c r="J200">
        <v>3921</v>
      </c>
      <c r="K200" t="s">
        <v>979</v>
      </c>
      <c r="L200">
        <v>0.76736111111111116</v>
      </c>
      <c r="M200">
        <v>0.77777777777777779</v>
      </c>
      <c r="Q200" t="s">
        <v>117</v>
      </c>
      <c r="R200" t="s">
        <v>3032</v>
      </c>
      <c r="S200">
        <v>1742372</v>
      </c>
    </row>
    <row r="201" spans="1:19" x14ac:dyDescent="0.25">
      <c r="A201" t="s">
        <v>953</v>
      </c>
      <c r="B201" s="24">
        <v>46136</v>
      </c>
      <c r="C201" t="s">
        <v>26</v>
      </c>
      <c r="D201" t="s">
        <v>27</v>
      </c>
      <c r="E201">
        <v>15</v>
      </c>
      <c r="F201">
        <v>603</v>
      </c>
      <c r="G201" t="s">
        <v>34</v>
      </c>
      <c r="H201" t="s">
        <v>1665</v>
      </c>
      <c r="I201" t="s">
        <v>498</v>
      </c>
      <c r="J201">
        <v>3928</v>
      </c>
      <c r="K201" t="s">
        <v>984</v>
      </c>
      <c r="L201">
        <v>0.63402777777777775</v>
      </c>
      <c r="M201">
        <v>0.64513888888888893</v>
      </c>
      <c r="Q201" t="s">
        <v>117</v>
      </c>
      <c r="R201" t="s">
        <v>3029</v>
      </c>
      <c r="S201">
        <v>1742255</v>
      </c>
    </row>
    <row r="202" spans="1:19" x14ac:dyDescent="0.25">
      <c r="A202" t="s">
        <v>953</v>
      </c>
      <c r="B202" s="24">
        <v>46136</v>
      </c>
      <c r="C202" t="s">
        <v>26</v>
      </c>
      <c r="D202" t="s">
        <v>27</v>
      </c>
      <c r="E202">
        <v>15</v>
      </c>
      <c r="F202">
        <v>603</v>
      </c>
      <c r="G202" t="s">
        <v>34</v>
      </c>
      <c r="H202" t="s">
        <v>1665</v>
      </c>
      <c r="I202" t="s">
        <v>115</v>
      </c>
      <c r="J202">
        <v>4226</v>
      </c>
      <c r="K202" t="s">
        <v>988</v>
      </c>
      <c r="L202">
        <v>0.43055555555555558</v>
      </c>
      <c r="M202">
        <v>0.44027777777777777</v>
      </c>
      <c r="Q202" t="s">
        <v>117</v>
      </c>
      <c r="R202" t="s">
        <v>3029</v>
      </c>
      <c r="S202">
        <v>1742402</v>
      </c>
    </row>
    <row r="203" spans="1:19" x14ac:dyDescent="0.25">
      <c r="A203" t="s">
        <v>938</v>
      </c>
      <c r="B203" s="24">
        <v>46136</v>
      </c>
      <c r="C203" t="s">
        <v>26</v>
      </c>
      <c r="D203" t="s">
        <v>27</v>
      </c>
      <c r="E203">
        <v>15</v>
      </c>
      <c r="F203">
        <v>603</v>
      </c>
      <c r="G203" t="s">
        <v>34</v>
      </c>
      <c r="H203" t="s">
        <v>60</v>
      </c>
      <c r="I203" t="s">
        <v>60</v>
      </c>
      <c r="J203">
        <v>3122</v>
      </c>
      <c r="K203" t="s">
        <v>939</v>
      </c>
      <c r="L203">
        <v>0.59444444444444444</v>
      </c>
      <c r="M203">
        <v>0.6020833333333333</v>
      </c>
      <c r="Q203" t="s">
        <v>117</v>
      </c>
      <c r="R203" t="s">
        <v>3072</v>
      </c>
      <c r="S203">
        <v>1736414</v>
      </c>
    </row>
    <row r="204" spans="1:19" x14ac:dyDescent="0.25">
      <c r="A204" t="s">
        <v>938</v>
      </c>
      <c r="B204" s="24">
        <v>46136</v>
      </c>
      <c r="C204" t="s">
        <v>26</v>
      </c>
      <c r="D204" t="s">
        <v>27</v>
      </c>
      <c r="E204">
        <v>15</v>
      </c>
      <c r="F204">
        <v>603</v>
      </c>
      <c r="G204" t="s">
        <v>34</v>
      </c>
      <c r="H204" t="s">
        <v>60</v>
      </c>
      <c r="I204" t="s">
        <v>60</v>
      </c>
      <c r="J204">
        <v>3123</v>
      </c>
      <c r="K204" t="s">
        <v>59</v>
      </c>
      <c r="L204">
        <v>0.60486111111111107</v>
      </c>
      <c r="M204">
        <v>0.6166666666666667</v>
      </c>
      <c r="Q204" t="s">
        <v>117</v>
      </c>
      <c r="R204" t="s">
        <v>3072</v>
      </c>
      <c r="S204">
        <v>2766735</v>
      </c>
    </row>
    <row r="205" spans="1:19" x14ac:dyDescent="0.25">
      <c r="A205" t="s">
        <v>938</v>
      </c>
      <c r="B205" s="24">
        <v>46136</v>
      </c>
      <c r="C205" t="s">
        <v>26</v>
      </c>
      <c r="D205" t="s">
        <v>27</v>
      </c>
      <c r="E205">
        <v>15</v>
      </c>
      <c r="F205">
        <v>603</v>
      </c>
      <c r="G205" t="s">
        <v>34</v>
      </c>
      <c r="H205" t="s">
        <v>60</v>
      </c>
      <c r="I205" t="s">
        <v>60</v>
      </c>
      <c r="J205">
        <v>3124</v>
      </c>
      <c r="K205" t="s">
        <v>943</v>
      </c>
      <c r="L205">
        <v>0.64027777777777772</v>
      </c>
      <c r="M205">
        <v>0.61111111111111116</v>
      </c>
      <c r="Q205" t="s">
        <v>117</v>
      </c>
      <c r="R205" t="s">
        <v>3072</v>
      </c>
      <c r="S205">
        <v>1736414</v>
      </c>
    </row>
    <row r="206" spans="1:19" x14ac:dyDescent="0.25">
      <c r="A206" t="s">
        <v>938</v>
      </c>
      <c r="B206" s="24">
        <v>46136</v>
      </c>
      <c r="C206" t="s">
        <v>26</v>
      </c>
      <c r="D206" t="s">
        <v>27</v>
      </c>
      <c r="E206">
        <v>15</v>
      </c>
      <c r="F206">
        <v>603</v>
      </c>
      <c r="G206" t="s">
        <v>34</v>
      </c>
      <c r="H206" t="s">
        <v>60</v>
      </c>
      <c r="I206" t="s">
        <v>60</v>
      </c>
      <c r="J206">
        <v>3125</v>
      </c>
      <c r="K206" t="s">
        <v>946</v>
      </c>
      <c r="L206">
        <v>0.55972222222222223</v>
      </c>
      <c r="M206">
        <v>0.56111111111111112</v>
      </c>
      <c r="Q206" t="s">
        <v>117</v>
      </c>
      <c r="R206" t="s">
        <v>3072</v>
      </c>
      <c r="S206">
        <v>2766735</v>
      </c>
    </row>
    <row r="207" spans="1:19" x14ac:dyDescent="0.25">
      <c r="A207" t="s">
        <v>938</v>
      </c>
      <c r="B207" s="24">
        <v>46136</v>
      </c>
      <c r="C207" t="s">
        <v>26</v>
      </c>
      <c r="D207" t="s">
        <v>27</v>
      </c>
      <c r="E207">
        <v>15</v>
      </c>
      <c r="F207">
        <v>603</v>
      </c>
      <c r="G207" t="s">
        <v>34</v>
      </c>
      <c r="H207" t="s">
        <v>949</v>
      </c>
      <c r="I207" t="s">
        <v>949</v>
      </c>
      <c r="J207">
        <v>3126</v>
      </c>
      <c r="K207" t="s">
        <v>950</v>
      </c>
      <c r="L207">
        <v>0.62569444444444444</v>
      </c>
      <c r="M207">
        <v>0.63749999999999996</v>
      </c>
      <c r="Q207" t="s">
        <v>117</v>
      </c>
      <c r="R207" t="s">
        <v>3072</v>
      </c>
      <c r="S207">
        <v>2757128</v>
      </c>
    </row>
    <row r="208" spans="1:19" x14ac:dyDescent="0.25">
      <c r="A208" t="s">
        <v>991</v>
      </c>
      <c r="B208" s="24">
        <v>46135</v>
      </c>
      <c r="C208" t="s">
        <v>26</v>
      </c>
      <c r="D208" t="s">
        <v>27</v>
      </c>
      <c r="E208">
        <v>15</v>
      </c>
      <c r="F208">
        <v>606</v>
      </c>
      <c r="G208" t="s">
        <v>34</v>
      </c>
      <c r="H208" t="s">
        <v>992</v>
      </c>
      <c r="I208" t="s">
        <v>993</v>
      </c>
      <c r="J208">
        <v>3943</v>
      </c>
      <c r="K208" t="s">
        <v>994</v>
      </c>
      <c r="L208">
        <v>2.5000000000000001E-2</v>
      </c>
      <c r="M208">
        <v>4.2361111111111113E-2</v>
      </c>
      <c r="Q208" t="s">
        <v>117</v>
      </c>
      <c r="R208" t="s">
        <v>3035</v>
      </c>
      <c r="S208">
        <v>2742255</v>
      </c>
    </row>
    <row r="209" spans="1:19" x14ac:dyDescent="0.25">
      <c r="A209" t="s">
        <v>991</v>
      </c>
      <c r="B209" s="24">
        <v>46135</v>
      </c>
      <c r="C209" t="s">
        <v>26</v>
      </c>
      <c r="D209" t="s">
        <v>27</v>
      </c>
      <c r="E209">
        <v>15</v>
      </c>
      <c r="F209">
        <v>606</v>
      </c>
      <c r="G209" t="s">
        <v>34</v>
      </c>
      <c r="H209" t="s">
        <v>997</v>
      </c>
      <c r="I209" t="s">
        <v>998</v>
      </c>
      <c r="J209">
        <v>3947</v>
      </c>
      <c r="K209" t="s">
        <v>999</v>
      </c>
      <c r="L209">
        <v>0.96250000000000002</v>
      </c>
      <c r="M209">
        <v>0.97222222222222221</v>
      </c>
      <c r="Q209" t="s">
        <v>117</v>
      </c>
      <c r="R209" t="s">
        <v>3035</v>
      </c>
      <c r="S209">
        <v>1742255</v>
      </c>
    </row>
    <row r="210" spans="1:19" x14ac:dyDescent="0.25">
      <c r="A210" t="s">
        <v>991</v>
      </c>
      <c r="B210" s="24">
        <v>46135</v>
      </c>
      <c r="C210" t="s">
        <v>26</v>
      </c>
      <c r="D210" t="s">
        <v>27</v>
      </c>
      <c r="E210">
        <v>15</v>
      </c>
      <c r="F210">
        <v>606</v>
      </c>
      <c r="G210" t="s">
        <v>34</v>
      </c>
      <c r="H210" t="s">
        <v>1002</v>
      </c>
      <c r="I210" t="s">
        <v>1003</v>
      </c>
      <c r="J210">
        <v>3950</v>
      </c>
      <c r="K210" t="s">
        <v>1004</v>
      </c>
      <c r="L210">
        <v>0.83819444444444446</v>
      </c>
      <c r="M210">
        <v>0.85138888888888886</v>
      </c>
      <c r="Q210" t="s">
        <v>117</v>
      </c>
      <c r="R210" t="s">
        <v>3035</v>
      </c>
      <c r="S210">
        <v>1742255</v>
      </c>
    </row>
    <row r="211" spans="1:19" x14ac:dyDescent="0.25">
      <c r="A211" t="s">
        <v>991</v>
      </c>
      <c r="B211" s="24">
        <v>46135</v>
      </c>
      <c r="C211" t="s">
        <v>26</v>
      </c>
      <c r="D211" t="s">
        <v>27</v>
      </c>
      <c r="E211">
        <v>15</v>
      </c>
      <c r="F211">
        <v>606</v>
      </c>
      <c r="G211" t="s">
        <v>34</v>
      </c>
      <c r="H211" t="s">
        <v>1007</v>
      </c>
      <c r="I211" t="s">
        <v>126</v>
      </c>
      <c r="J211">
        <v>3952</v>
      </c>
      <c r="K211" t="s">
        <v>1008</v>
      </c>
      <c r="L211">
        <v>0.40625</v>
      </c>
      <c r="M211">
        <v>0.4201388888888889</v>
      </c>
      <c r="Q211" t="s">
        <v>117</v>
      </c>
      <c r="R211" t="s">
        <v>3035</v>
      </c>
      <c r="S211">
        <v>1742402</v>
      </c>
    </row>
    <row r="212" spans="1:19" x14ac:dyDescent="0.25">
      <c r="A212" t="s">
        <v>991</v>
      </c>
      <c r="B212" s="24">
        <v>46135</v>
      </c>
      <c r="C212" t="s">
        <v>26</v>
      </c>
      <c r="D212" t="s">
        <v>27</v>
      </c>
      <c r="E212">
        <v>15</v>
      </c>
      <c r="F212">
        <v>606</v>
      </c>
      <c r="G212" t="s">
        <v>34</v>
      </c>
      <c r="H212" t="s">
        <v>1002</v>
      </c>
      <c r="I212" t="s">
        <v>1011</v>
      </c>
      <c r="J212">
        <v>4235</v>
      </c>
      <c r="K212" t="s">
        <v>1012</v>
      </c>
      <c r="L212">
        <v>0.88472222222222219</v>
      </c>
      <c r="M212">
        <v>0.8930555555555556</v>
      </c>
      <c r="Q212" t="s">
        <v>117</v>
      </c>
      <c r="R212" t="s">
        <v>3035</v>
      </c>
      <c r="S212">
        <v>1742255</v>
      </c>
    </row>
    <row r="213" spans="1:19" x14ac:dyDescent="0.25">
      <c r="A213" t="s">
        <v>991</v>
      </c>
      <c r="B213" s="24">
        <v>46135</v>
      </c>
      <c r="C213" t="s">
        <v>26</v>
      </c>
      <c r="D213" t="s">
        <v>27</v>
      </c>
      <c r="E213">
        <v>15</v>
      </c>
      <c r="F213">
        <v>606</v>
      </c>
      <c r="G213" t="s">
        <v>34</v>
      </c>
      <c r="H213" t="s">
        <v>1015</v>
      </c>
      <c r="I213" t="s">
        <v>1016</v>
      </c>
      <c r="J213">
        <v>4236</v>
      </c>
      <c r="K213" t="s">
        <v>1017</v>
      </c>
      <c r="L213">
        <v>0.8618055555555556</v>
      </c>
      <c r="M213">
        <v>0.88194444444444442</v>
      </c>
      <c r="Q213" t="s">
        <v>117</v>
      </c>
      <c r="R213" t="s">
        <v>3035</v>
      </c>
      <c r="S213">
        <v>1742402</v>
      </c>
    </row>
    <row r="214" spans="1:19" x14ac:dyDescent="0.25">
      <c r="A214" t="s">
        <v>991</v>
      </c>
      <c r="B214" s="24">
        <v>46135</v>
      </c>
      <c r="C214" t="s">
        <v>26</v>
      </c>
      <c r="D214" t="s">
        <v>27</v>
      </c>
      <c r="E214">
        <v>15</v>
      </c>
      <c r="F214">
        <v>606</v>
      </c>
      <c r="G214" t="s">
        <v>34</v>
      </c>
      <c r="H214" t="s">
        <v>1020</v>
      </c>
      <c r="I214" t="s">
        <v>795</v>
      </c>
      <c r="J214">
        <v>4238</v>
      </c>
      <c r="K214" t="s">
        <v>1021</v>
      </c>
      <c r="L214">
        <v>0.38819444444444445</v>
      </c>
      <c r="M214">
        <v>0.40208333333333335</v>
      </c>
      <c r="Q214" t="s">
        <v>117</v>
      </c>
      <c r="R214" t="s">
        <v>3035</v>
      </c>
      <c r="S214">
        <v>1742402</v>
      </c>
    </row>
    <row r="215" spans="1:19" x14ac:dyDescent="0.25">
      <c r="A215" t="s">
        <v>991</v>
      </c>
      <c r="B215" s="24">
        <v>46135</v>
      </c>
      <c r="C215" t="s">
        <v>26</v>
      </c>
      <c r="D215" t="s">
        <v>27</v>
      </c>
      <c r="E215">
        <v>15</v>
      </c>
      <c r="F215">
        <v>606</v>
      </c>
      <c r="G215" t="s">
        <v>34</v>
      </c>
      <c r="H215" t="s">
        <v>1024</v>
      </c>
      <c r="I215" t="s">
        <v>1025</v>
      </c>
      <c r="J215">
        <v>4283</v>
      </c>
      <c r="K215" t="s">
        <v>1026</v>
      </c>
      <c r="L215">
        <v>4.7222222222222221E-2</v>
      </c>
      <c r="M215">
        <v>7.4305555555555555E-2</v>
      </c>
      <c r="Q215" t="s">
        <v>117</v>
      </c>
      <c r="R215" t="s">
        <v>3035</v>
      </c>
      <c r="S215">
        <v>1742402</v>
      </c>
    </row>
    <row r="216" spans="1:19" x14ac:dyDescent="0.25">
      <c r="A216" t="s">
        <v>991</v>
      </c>
      <c r="B216" s="24">
        <v>46135</v>
      </c>
      <c r="C216" t="s">
        <v>26</v>
      </c>
      <c r="D216" t="s">
        <v>27</v>
      </c>
      <c r="E216">
        <v>15</v>
      </c>
      <c r="F216">
        <v>606</v>
      </c>
      <c r="G216" t="s">
        <v>34</v>
      </c>
      <c r="H216" t="s">
        <v>1029</v>
      </c>
      <c r="I216" t="s">
        <v>1030</v>
      </c>
      <c r="J216">
        <v>4325</v>
      </c>
      <c r="K216" t="s">
        <v>1031</v>
      </c>
      <c r="L216">
        <v>0.44097222222222221</v>
      </c>
      <c r="M216">
        <v>0.45833333333333331</v>
      </c>
      <c r="Q216" t="s">
        <v>117</v>
      </c>
      <c r="R216" t="s">
        <v>3035</v>
      </c>
      <c r="S216">
        <v>1742402</v>
      </c>
    </row>
    <row r="217" spans="1:19" x14ac:dyDescent="0.25">
      <c r="A217" t="s">
        <v>991</v>
      </c>
      <c r="B217" s="24">
        <v>46135</v>
      </c>
      <c r="C217" t="s">
        <v>26</v>
      </c>
      <c r="D217" t="s">
        <v>27</v>
      </c>
      <c r="E217">
        <v>15</v>
      </c>
      <c r="F217">
        <v>606</v>
      </c>
      <c r="G217" t="s">
        <v>34</v>
      </c>
      <c r="H217" t="s">
        <v>1034</v>
      </c>
      <c r="I217" t="s">
        <v>1035</v>
      </c>
      <c r="J217">
        <v>4359</v>
      </c>
      <c r="K217" t="s">
        <v>1036</v>
      </c>
      <c r="L217">
        <v>0.89513888888888893</v>
      </c>
      <c r="M217">
        <v>0.83333333333333337</v>
      </c>
      <c r="Q217" t="s">
        <v>117</v>
      </c>
      <c r="R217" t="s">
        <v>3035</v>
      </c>
      <c r="S217">
        <v>1742402</v>
      </c>
    </row>
    <row r="218" spans="1:19" x14ac:dyDescent="0.25">
      <c r="A218" t="s">
        <v>991</v>
      </c>
      <c r="B218" s="24">
        <v>46135</v>
      </c>
      <c r="C218" t="s">
        <v>26</v>
      </c>
      <c r="D218" t="s">
        <v>27</v>
      </c>
      <c r="E218">
        <v>15</v>
      </c>
      <c r="F218">
        <v>606</v>
      </c>
      <c r="G218" t="s">
        <v>34</v>
      </c>
      <c r="H218" t="s">
        <v>1039</v>
      </c>
      <c r="I218" t="s">
        <v>1040</v>
      </c>
      <c r="J218">
        <v>4360</v>
      </c>
      <c r="K218" t="s">
        <v>1041</v>
      </c>
      <c r="L218">
        <v>0.47916666666666669</v>
      </c>
      <c r="M218">
        <v>0.55555555555555558</v>
      </c>
      <c r="Q218" t="s">
        <v>117</v>
      </c>
      <c r="R218" t="s">
        <v>3035</v>
      </c>
      <c r="S218">
        <v>2733750</v>
      </c>
    </row>
    <row r="219" spans="1:19" x14ac:dyDescent="0.25">
      <c r="A219" t="s">
        <v>991</v>
      </c>
      <c r="B219" s="24">
        <v>46135</v>
      </c>
      <c r="C219" t="s">
        <v>26</v>
      </c>
      <c r="D219" t="s">
        <v>27</v>
      </c>
      <c r="E219">
        <v>15</v>
      </c>
      <c r="F219">
        <v>606</v>
      </c>
      <c r="G219" t="s">
        <v>34</v>
      </c>
      <c r="H219" t="s">
        <v>1044</v>
      </c>
      <c r="I219" t="s">
        <v>1045</v>
      </c>
      <c r="J219">
        <v>4362</v>
      </c>
      <c r="K219" t="s">
        <v>1046</v>
      </c>
      <c r="L219">
        <v>0.3611111111111111</v>
      </c>
      <c r="M219">
        <v>0.38541666666666669</v>
      </c>
      <c r="Q219" t="s">
        <v>117</v>
      </c>
      <c r="R219" t="s">
        <v>3035</v>
      </c>
      <c r="S219">
        <v>1742402</v>
      </c>
    </row>
    <row r="220" spans="1:19" x14ac:dyDescent="0.25">
      <c r="A220" t="s">
        <v>991</v>
      </c>
      <c r="B220" s="24">
        <v>46135</v>
      </c>
      <c r="C220" t="s">
        <v>26</v>
      </c>
      <c r="D220" t="s">
        <v>27</v>
      </c>
      <c r="E220">
        <v>15</v>
      </c>
      <c r="F220">
        <v>606</v>
      </c>
      <c r="G220" t="s">
        <v>34</v>
      </c>
      <c r="H220" t="s">
        <v>1049</v>
      </c>
      <c r="I220" t="s">
        <v>1050</v>
      </c>
      <c r="J220">
        <v>4363</v>
      </c>
      <c r="K220" t="s">
        <v>1051</v>
      </c>
      <c r="L220">
        <v>7.9861111111111105E-2</v>
      </c>
      <c r="M220">
        <v>8.8888888888888892E-2</v>
      </c>
      <c r="Q220" t="s">
        <v>117</v>
      </c>
      <c r="R220" t="s">
        <v>3035</v>
      </c>
      <c r="S220">
        <v>1742402</v>
      </c>
    </row>
    <row r="221" spans="1:19" x14ac:dyDescent="0.25">
      <c r="A221" t="s">
        <v>991</v>
      </c>
      <c r="B221" s="24">
        <v>46135</v>
      </c>
      <c r="C221" t="s">
        <v>26</v>
      </c>
      <c r="D221" t="s">
        <v>27</v>
      </c>
      <c r="E221">
        <v>15</v>
      </c>
      <c r="F221">
        <v>606</v>
      </c>
      <c r="G221" t="s">
        <v>34</v>
      </c>
      <c r="H221" t="s">
        <v>1054</v>
      </c>
      <c r="I221" t="s">
        <v>381</v>
      </c>
      <c r="J221">
        <v>4754</v>
      </c>
      <c r="K221" t="s">
        <v>1055</v>
      </c>
      <c r="L221">
        <v>0.46250000000000002</v>
      </c>
      <c r="M221">
        <v>0.47291666666666665</v>
      </c>
      <c r="Q221" t="s">
        <v>117</v>
      </c>
      <c r="R221" t="s">
        <v>3035</v>
      </c>
      <c r="S221">
        <v>1742402</v>
      </c>
    </row>
    <row r="222" spans="1:19" x14ac:dyDescent="0.25">
      <c r="A222" t="s">
        <v>1082</v>
      </c>
      <c r="B222" s="24">
        <v>46135</v>
      </c>
      <c r="C222" t="s">
        <v>26</v>
      </c>
      <c r="D222" t="s">
        <v>27</v>
      </c>
      <c r="E222">
        <v>15</v>
      </c>
      <c r="F222">
        <v>606</v>
      </c>
      <c r="G222" t="s">
        <v>34</v>
      </c>
      <c r="H222" t="s">
        <v>866</v>
      </c>
      <c r="I222" t="s">
        <v>897</v>
      </c>
      <c r="J222">
        <v>4184</v>
      </c>
      <c r="K222" t="s">
        <v>898</v>
      </c>
      <c r="L222">
        <v>0.79166666666666663</v>
      </c>
      <c r="M222">
        <v>0.41666666666666669</v>
      </c>
      <c r="Q222" t="s">
        <v>117</v>
      </c>
      <c r="R222" t="s">
        <v>3035</v>
      </c>
      <c r="S222">
        <v>2777656</v>
      </c>
    </row>
    <row r="223" spans="1:19" x14ac:dyDescent="0.25">
      <c r="A223" t="s">
        <v>1082</v>
      </c>
      <c r="B223" s="24">
        <v>46135</v>
      </c>
      <c r="C223" t="s">
        <v>26</v>
      </c>
      <c r="D223" t="s">
        <v>27</v>
      </c>
      <c r="E223">
        <v>15</v>
      </c>
      <c r="F223">
        <v>606</v>
      </c>
      <c r="G223" t="s">
        <v>34</v>
      </c>
      <c r="H223" t="s">
        <v>901</v>
      </c>
      <c r="I223" t="s">
        <v>902</v>
      </c>
      <c r="J223">
        <v>4185</v>
      </c>
      <c r="K223" t="s">
        <v>903</v>
      </c>
      <c r="L223">
        <v>0.38194444444444442</v>
      </c>
      <c r="M223">
        <v>0.41458333333333336</v>
      </c>
      <c r="Q223" t="s">
        <v>117</v>
      </c>
      <c r="R223" t="s">
        <v>3035</v>
      </c>
      <c r="S223">
        <v>2777656</v>
      </c>
    </row>
    <row r="224" spans="1:19" x14ac:dyDescent="0.25">
      <c r="A224" t="s">
        <v>1082</v>
      </c>
      <c r="B224" s="24">
        <v>46135</v>
      </c>
      <c r="C224" t="s">
        <v>26</v>
      </c>
      <c r="D224" t="s">
        <v>27</v>
      </c>
      <c r="E224">
        <v>15</v>
      </c>
      <c r="F224">
        <v>606</v>
      </c>
      <c r="G224" t="s">
        <v>34</v>
      </c>
      <c r="H224" t="s">
        <v>906</v>
      </c>
      <c r="I224" t="s">
        <v>907</v>
      </c>
      <c r="J224">
        <v>4186</v>
      </c>
      <c r="K224" t="s">
        <v>908</v>
      </c>
      <c r="L224">
        <v>0.55555555555555558</v>
      </c>
      <c r="M224">
        <v>0.625</v>
      </c>
      <c r="Q224" t="s">
        <v>117</v>
      </c>
      <c r="R224" t="s">
        <v>3035</v>
      </c>
      <c r="S224">
        <v>2777656</v>
      </c>
    </row>
    <row r="225" spans="1:19" x14ac:dyDescent="0.25">
      <c r="A225" t="s">
        <v>1082</v>
      </c>
      <c r="B225" s="24">
        <v>46135</v>
      </c>
      <c r="C225" t="s">
        <v>26</v>
      </c>
      <c r="D225" t="s">
        <v>27</v>
      </c>
      <c r="E225">
        <v>15</v>
      </c>
      <c r="F225">
        <v>606</v>
      </c>
      <c r="G225" t="s">
        <v>34</v>
      </c>
      <c r="H225" t="s">
        <v>911</v>
      </c>
      <c r="I225" t="s">
        <v>912</v>
      </c>
      <c r="J225">
        <v>4188</v>
      </c>
      <c r="K225" t="s">
        <v>913</v>
      </c>
      <c r="L225">
        <v>0.85069444444444442</v>
      </c>
      <c r="M225">
        <v>0.95833333333333337</v>
      </c>
      <c r="Q225" t="s">
        <v>117</v>
      </c>
      <c r="R225" t="s">
        <v>3035</v>
      </c>
      <c r="S225">
        <v>2777656</v>
      </c>
    </row>
    <row r="226" spans="1:19" x14ac:dyDescent="0.25">
      <c r="A226" t="s">
        <v>1082</v>
      </c>
      <c r="B226" s="24">
        <v>46135</v>
      </c>
      <c r="C226" t="s">
        <v>26</v>
      </c>
      <c r="D226" t="s">
        <v>27</v>
      </c>
      <c r="E226">
        <v>15</v>
      </c>
      <c r="F226">
        <v>606</v>
      </c>
      <c r="G226" t="s">
        <v>34</v>
      </c>
      <c r="H226" t="s">
        <v>1087</v>
      </c>
      <c r="I226" t="s">
        <v>1088</v>
      </c>
      <c r="J226">
        <v>4189</v>
      </c>
      <c r="K226" t="s">
        <v>1089</v>
      </c>
      <c r="L226">
        <v>0.36388888888888887</v>
      </c>
      <c r="M226">
        <v>0.41458333333333336</v>
      </c>
      <c r="Q226" t="s">
        <v>117</v>
      </c>
      <c r="R226" t="s">
        <v>3035</v>
      </c>
      <c r="S226">
        <v>2777656</v>
      </c>
    </row>
    <row r="227" spans="1:19" x14ac:dyDescent="0.25">
      <c r="A227" t="s">
        <v>1082</v>
      </c>
      <c r="B227" s="24">
        <v>46135</v>
      </c>
      <c r="C227" t="s">
        <v>26</v>
      </c>
      <c r="D227" t="s">
        <v>27</v>
      </c>
      <c r="E227">
        <v>15</v>
      </c>
      <c r="F227">
        <v>606</v>
      </c>
      <c r="G227" t="s">
        <v>34</v>
      </c>
      <c r="H227" t="s">
        <v>882</v>
      </c>
      <c r="I227" t="s">
        <v>883</v>
      </c>
      <c r="J227">
        <v>3761</v>
      </c>
      <c r="K227" t="s">
        <v>884</v>
      </c>
      <c r="L227">
        <v>0.77777777777777779</v>
      </c>
      <c r="M227">
        <v>0.84722222222222221</v>
      </c>
      <c r="Q227" t="s">
        <v>117</v>
      </c>
      <c r="R227" t="s">
        <v>3035</v>
      </c>
      <c r="S227">
        <v>2777656</v>
      </c>
    </row>
    <row r="228" spans="1:19" x14ac:dyDescent="0.25">
      <c r="A228" t="s">
        <v>1082</v>
      </c>
      <c r="B228" s="24">
        <v>46135</v>
      </c>
      <c r="C228" t="s">
        <v>26</v>
      </c>
      <c r="D228" t="s">
        <v>27</v>
      </c>
      <c r="E228">
        <v>15</v>
      </c>
      <c r="F228">
        <v>606</v>
      </c>
      <c r="G228" t="s">
        <v>34</v>
      </c>
      <c r="H228" t="s">
        <v>887</v>
      </c>
      <c r="I228" t="s">
        <v>888</v>
      </c>
      <c r="J228">
        <v>3762</v>
      </c>
      <c r="K228" t="s">
        <v>889</v>
      </c>
      <c r="L228">
        <v>0.74652777777777779</v>
      </c>
      <c r="M228">
        <v>0.69097222222222221</v>
      </c>
      <c r="Q228" t="s">
        <v>117</v>
      </c>
      <c r="R228" t="s">
        <v>3035</v>
      </c>
      <c r="S228">
        <v>2777656</v>
      </c>
    </row>
    <row r="229" spans="1:19" x14ac:dyDescent="0.25">
      <c r="A229" t="s">
        <v>1082</v>
      </c>
      <c r="B229" s="24">
        <v>46135</v>
      </c>
      <c r="C229" t="s">
        <v>26</v>
      </c>
      <c r="D229" t="s">
        <v>27</v>
      </c>
      <c r="E229">
        <v>15</v>
      </c>
      <c r="F229">
        <v>606</v>
      </c>
      <c r="G229" t="s">
        <v>34</v>
      </c>
      <c r="H229" t="s">
        <v>1094</v>
      </c>
      <c r="I229" t="s">
        <v>1095</v>
      </c>
      <c r="J229">
        <v>4826</v>
      </c>
      <c r="K229" t="s">
        <v>1096</v>
      </c>
      <c r="L229">
        <v>0.69444444444444442</v>
      </c>
      <c r="M229">
        <v>0.75694444444444442</v>
      </c>
      <c r="Q229" t="s">
        <v>117</v>
      </c>
      <c r="R229" t="s">
        <v>3035</v>
      </c>
      <c r="S229">
        <v>2777656</v>
      </c>
    </row>
    <row r="230" spans="1:19" x14ac:dyDescent="0.25">
      <c r="A230" t="s">
        <v>1099</v>
      </c>
      <c r="B230" s="24">
        <v>46135</v>
      </c>
      <c r="C230" t="s">
        <v>26</v>
      </c>
      <c r="D230" t="s">
        <v>27</v>
      </c>
      <c r="E230">
        <v>15</v>
      </c>
      <c r="F230">
        <v>605</v>
      </c>
      <c r="G230" t="s">
        <v>34</v>
      </c>
      <c r="H230" t="s">
        <v>1100</v>
      </c>
      <c r="I230" t="s">
        <v>1101</v>
      </c>
      <c r="J230">
        <v>4453</v>
      </c>
      <c r="K230" t="s">
        <v>1102</v>
      </c>
      <c r="L230">
        <v>0.63124999999999998</v>
      </c>
      <c r="M230">
        <v>0.65625</v>
      </c>
      <c r="Q230" t="s">
        <v>117</v>
      </c>
      <c r="R230" t="s">
        <v>3029</v>
      </c>
      <c r="S230">
        <v>2777698</v>
      </c>
    </row>
    <row r="231" spans="1:19" x14ac:dyDescent="0.25">
      <c r="A231" t="s">
        <v>1099</v>
      </c>
      <c r="B231" s="24">
        <v>46135</v>
      </c>
      <c r="C231" t="s">
        <v>26</v>
      </c>
      <c r="D231" t="s">
        <v>27</v>
      </c>
      <c r="E231">
        <v>15</v>
      </c>
      <c r="F231">
        <v>605</v>
      </c>
      <c r="G231" t="s">
        <v>34</v>
      </c>
      <c r="H231" t="s">
        <v>1105</v>
      </c>
      <c r="I231" t="s">
        <v>1106</v>
      </c>
      <c r="J231">
        <v>4663</v>
      </c>
      <c r="K231" t="s">
        <v>1107</v>
      </c>
      <c r="L231">
        <v>0.65208333333333335</v>
      </c>
      <c r="M231">
        <v>0.68263888888888891</v>
      </c>
      <c r="Q231" t="s">
        <v>117</v>
      </c>
      <c r="R231" t="s">
        <v>3029</v>
      </c>
      <c r="S231">
        <v>3215737</v>
      </c>
    </row>
    <row r="232" spans="1:19" x14ac:dyDescent="0.25">
      <c r="A232" t="s">
        <v>1099</v>
      </c>
      <c r="B232" s="24">
        <v>46135</v>
      </c>
      <c r="C232" t="s">
        <v>26</v>
      </c>
      <c r="D232" t="s">
        <v>27</v>
      </c>
      <c r="E232">
        <v>15</v>
      </c>
      <c r="F232">
        <v>605</v>
      </c>
      <c r="G232" t="s">
        <v>34</v>
      </c>
      <c r="H232" t="s">
        <v>1110</v>
      </c>
      <c r="I232" t="s">
        <v>381</v>
      </c>
      <c r="J232">
        <v>3960</v>
      </c>
      <c r="K232" t="s">
        <v>1111</v>
      </c>
      <c r="L232">
        <v>0.39861111111111114</v>
      </c>
      <c r="M232">
        <v>0.40694444444444444</v>
      </c>
      <c r="Q232" t="s">
        <v>117</v>
      </c>
      <c r="R232" t="s">
        <v>3029</v>
      </c>
      <c r="S232">
        <v>1742402</v>
      </c>
    </row>
    <row r="233" spans="1:19" x14ac:dyDescent="0.25">
      <c r="A233" t="s">
        <v>1099</v>
      </c>
      <c r="B233" s="24">
        <v>46135</v>
      </c>
      <c r="C233" t="s">
        <v>26</v>
      </c>
      <c r="D233" t="s">
        <v>27</v>
      </c>
      <c r="E233">
        <v>15</v>
      </c>
      <c r="F233">
        <v>605</v>
      </c>
      <c r="G233" t="s">
        <v>34</v>
      </c>
      <c r="H233" t="s">
        <v>1110</v>
      </c>
      <c r="I233" t="s">
        <v>381</v>
      </c>
      <c r="J233">
        <v>3961</v>
      </c>
      <c r="K233" t="s">
        <v>1111</v>
      </c>
      <c r="L233">
        <v>0.41597222222222224</v>
      </c>
      <c r="M233">
        <v>0.42708333333333331</v>
      </c>
      <c r="Q233" t="s">
        <v>117</v>
      </c>
      <c r="R233" t="s">
        <v>3029</v>
      </c>
      <c r="S233">
        <v>1742398</v>
      </c>
    </row>
    <row r="234" spans="1:19" x14ac:dyDescent="0.25">
      <c r="A234" t="s">
        <v>1099</v>
      </c>
      <c r="B234" s="24">
        <v>46135</v>
      </c>
      <c r="C234" t="s">
        <v>26</v>
      </c>
      <c r="D234" t="s">
        <v>27</v>
      </c>
      <c r="E234">
        <v>15</v>
      </c>
      <c r="F234">
        <v>605</v>
      </c>
      <c r="G234" t="s">
        <v>34</v>
      </c>
      <c r="H234" t="s">
        <v>1110</v>
      </c>
      <c r="I234" t="s">
        <v>381</v>
      </c>
      <c r="J234">
        <v>3962</v>
      </c>
      <c r="K234" t="s">
        <v>1111</v>
      </c>
      <c r="L234">
        <v>0.37847222222222221</v>
      </c>
      <c r="M234">
        <v>0.38472222222222224</v>
      </c>
      <c r="Q234" t="s">
        <v>117</v>
      </c>
      <c r="R234" t="s">
        <v>3029</v>
      </c>
      <c r="S234">
        <v>1742398</v>
      </c>
    </row>
    <row r="235" spans="1:19" x14ac:dyDescent="0.25">
      <c r="A235" t="s">
        <v>1099</v>
      </c>
      <c r="B235" s="24">
        <v>46135</v>
      </c>
      <c r="C235" t="s">
        <v>26</v>
      </c>
      <c r="D235" t="s">
        <v>27</v>
      </c>
      <c r="E235">
        <v>15</v>
      </c>
      <c r="F235">
        <v>605</v>
      </c>
      <c r="G235" t="s">
        <v>34</v>
      </c>
      <c r="H235" t="s">
        <v>1115</v>
      </c>
      <c r="I235" t="s">
        <v>381</v>
      </c>
      <c r="J235">
        <v>3963</v>
      </c>
      <c r="K235" t="s">
        <v>1111</v>
      </c>
      <c r="L235">
        <v>0.5756944444444444</v>
      </c>
      <c r="M235">
        <v>0.59305555555555556</v>
      </c>
      <c r="Q235" t="s">
        <v>117</v>
      </c>
      <c r="R235" t="s">
        <v>3029</v>
      </c>
      <c r="S235">
        <v>2733737</v>
      </c>
    </row>
    <row r="236" spans="1:19" x14ac:dyDescent="0.25">
      <c r="A236" t="s">
        <v>1099</v>
      </c>
      <c r="B236" s="24">
        <v>46135</v>
      </c>
      <c r="C236" t="s">
        <v>26</v>
      </c>
      <c r="D236" t="s">
        <v>27</v>
      </c>
      <c r="E236">
        <v>15</v>
      </c>
      <c r="F236">
        <v>605</v>
      </c>
      <c r="G236" t="s">
        <v>34</v>
      </c>
      <c r="H236" t="s">
        <v>1117</v>
      </c>
      <c r="I236" t="s">
        <v>44</v>
      </c>
      <c r="J236">
        <v>4240</v>
      </c>
      <c r="K236" t="s">
        <v>1118</v>
      </c>
      <c r="L236">
        <v>0.59444444444444444</v>
      </c>
      <c r="M236">
        <v>0.60763888888888884</v>
      </c>
      <c r="Q236" t="s">
        <v>117</v>
      </c>
      <c r="R236" t="s">
        <v>3029</v>
      </c>
      <c r="S236">
        <v>1742398</v>
      </c>
    </row>
    <row r="237" spans="1:19" x14ac:dyDescent="0.25">
      <c r="A237" t="s">
        <v>1099</v>
      </c>
      <c r="B237" s="24">
        <v>46135</v>
      </c>
      <c r="C237" t="s">
        <v>26</v>
      </c>
      <c r="D237" t="s">
        <v>27</v>
      </c>
      <c r="E237">
        <v>15</v>
      </c>
      <c r="F237">
        <v>605</v>
      </c>
      <c r="G237" t="s">
        <v>34</v>
      </c>
      <c r="H237" t="s">
        <v>1121</v>
      </c>
      <c r="I237" t="s">
        <v>1122</v>
      </c>
      <c r="J237">
        <v>4324</v>
      </c>
      <c r="K237" t="s">
        <v>1123</v>
      </c>
      <c r="L237">
        <v>0.55555555555555558</v>
      </c>
      <c r="M237">
        <v>0.57638888888888884</v>
      </c>
      <c r="Q237" t="s">
        <v>117</v>
      </c>
      <c r="R237" t="s">
        <v>3029</v>
      </c>
      <c r="S237">
        <v>1742079</v>
      </c>
    </row>
    <row r="238" spans="1:19" x14ac:dyDescent="0.25">
      <c r="A238" t="s">
        <v>1099</v>
      </c>
      <c r="B238" s="24">
        <v>46135</v>
      </c>
      <c r="C238" t="s">
        <v>26</v>
      </c>
      <c r="D238" t="s">
        <v>27</v>
      </c>
      <c r="E238">
        <v>15</v>
      </c>
      <c r="F238">
        <v>605</v>
      </c>
      <c r="G238" t="s">
        <v>34</v>
      </c>
      <c r="H238" t="s">
        <v>1110</v>
      </c>
      <c r="I238" t="s">
        <v>381</v>
      </c>
      <c r="J238">
        <v>4366</v>
      </c>
      <c r="K238" t="s">
        <v>1111</v>
      </c>
      <c r="L238">
        <v>0.59236111111111112</v>
      </c>
      <c r="M238">
        <v>0.6069444444444444</v>
      </c>
      <c r="Q238" t="s">
        <v>117</v>
      </c>
      <c r="R238" t="s">
        <v>3029</v>
      </c>
      <c r="S238">
        <v>1742079</v>
      </c>
    </row>
    <row r="239" spans="1:19" x14ac:dyDescent="0.25">
      <c r="A239" t="s">
        <v>1099</v>
      </c>
      <c r="B239" s="24">
        <v>46135</v>
      </c>
      <c r="C239" t="s">
        <v>26</v>
      </c>
      <c r="D239" t="s">
        <v>27</v>
      </c>
      <c r="E239">
        <v>15</v>
      </c>
      <c r="F239">
        <v>605</v>
      </c>
      <c r="G239" t="s">
        <v>34</v>
      </c>
      <c r="H239" t="s">
        <v>1110</v>
      </c>
      <c r="I239" t="s">
        <v>381</v>
      </c>
      <c r="J239">
        <v>4367</v>
      </c>
      <c r="K239" t="s">
        <v>1111</v>
      </c>
      <c r="L239">
        <v>0.60902777777777772</v>
      </c>
      <c r="M239">
        <v>0.63472222222222219</v>
      </c>
      <c r="Q239" t="s">
        <v>117</v>
      </c>
      <c r="R239" t="s">
        <v>3029</v>
      </c>
      <c r="S239">
        <v>3219209</v>
      </c>
    </row>
    <row r="240" spans="1:19" x14ac:dyDescent="0.25">
      <c r="A240" t="s">
        <v>1200</v>
      </c>
      <c r="B240" s="24">
        <v>46135</v>
      </c>
      <c r="C240" t="s">
        <v>26</v>
      </c>
      <c r="D240" t="s">
        <v>27</v>
      </c>
      <c r="E240">
        <v>15</v>
      </c>
      <c r="F240">
        <v>605</v>
      </c>
      <c r="G240" t="s">
        <v>34</v>
      </c>
      <c r="H240" t="s">
        <v>1201</v>
      </c>
      <c r="I240" t="s">
        <v>1202</v>
      </c>
      <c r="J240">
        <v>3605</v>
      </c>
      <c r="K240" t="s">
        <v>1203</v>
      </c>
      <c r="L240">
        <v>0.46458333333333335</v>
      </c>
      <c r="M240">
        <v>0.48194444444444445</v>
      </c>
      <c r="Q240" t="s">
        <v>117</v>
      </c>
      <c r="R240" t="s">
        <v>3029</v>
      </c>
      <c r="S240">
        <v>1742268</v>
      </c>
    </row>
    <row r="241" spans="1:19" x14ac:dyDescent="0.25">
      <c r="A241" t="s">
        <v>1200</v>
      </c>
      <c r="B241" s="24">
        <v>46135</v>
      </c>
      <c r="C241" t="s">
        <v>26</v>
      </c>
      <c r="D241" t="s">
        <v>27</v>
      </c>
      <c r="E241">
        <v>15</v>
      </c>
      <c r="F241">
        <v>605</v>
      </c>
      <c r="G241" t="s">
        <v>34</v>
      </c>
      <c r="H241" t="s">
        <v>1206</v>
      </c>
      <c r="I241" t="s">
        <v>766</v>
      </c>
      <c r="J241">
        <v>3606</v>
      </c>
      <c r="K241" t="s">
        <v>1207</v>
      </c>
      <c r="L241">
        <v>0.69097222222222221</v>
      </c>
      <c r="M241">
        <v>0.70833333333333337</v>
      </c>
      <c r="Q241" t="s">
        <v>117</v>
      </c>
      <c r="R241" t="s">
        <v>3029</v>
      </c>
      <c r="S241">
        <v>1742372</v>
      </c>
    </row>
    <row r="242" spans="1:19" x14ac:dyDescent="0.25">
      <c r="A242" t="s">
        <v>1200</v>
      </c>
      <c r="B242" s="24">
        <v>46135</v>
      </c>
      <c r="C242" t="s">
        <v>26</v>
      </c>
      <c r="D242" t="s">
        <v>27</v>
      </c>
      <c r="E242">
        <v>15</v>
      </c>
      <c r="F242">
        <v>605</v>
      </c>
      <c r="G242" t="s">
        <v>34</v>
      </c>
      <c r="H242" t="s">
        <v>53</v>
      </c>
      <c r="I242" t="s">
        <v>44</v>
      </c>
      <c r="J242">
        <v>3826</v>
      </c>
      <c r="K242" t="s">
        <v>48</v>
      </c>
      <c r="L242">
        <v>0.55972222222222223</v>
      </c>
      <c r="M242">
        <v>0.57361111111111107</v>
      </c>
      <c r="Q242" t="s">
        <v>117</v>
      </c>
      <c r="R242" t="s">
        <v>3029</v>
      </c>
      <c r="S242">
        <v>1742398</v>
      </c>
    </row>
    <row r="243" spans="1:19" x14ac:dyDescent="0.25">
      <c r="A243" t="s">
        <v>1200</v>
      </c>
      <c r="B243" s="24">
        <v>46135</v>
      </c>
      <c r="C243" t="s">
        <v>26</v>
      </c>
      <c r="D243" t="s">
        <v>27</v>
      </c>
      <c r="E243">
        <v>15</v>
      </c>
      <c r="F243">
        <v>605</v>
      </c>
      <c r="G243" t="s">
        <v>34</v>
      </c>
      <c r="H243" t="s">
        <v>1211</v>
      </c>
      <c r="I243" t="s">
        <v>381</v>
      </c>
      <c r="J243">
        <v>3913</v>
      </c>
      <c r="K243" t="s">
        <v>1212</v>
      </c>
      <c r="L243">
        <v>0.54166666666666663</v>
      </c>
      <c r="M243">
        <v>0.57361111111111107</v>
      </c>
      <c r="Q243" t="s">
        <v>117</v>
      </c>
      <c r="R243" t="s">
        <v>3029</v>
      </c>
      <c r="S243">
        <v>3219212</v>
      </c>
    </row>
    <row r="244" spans="1:19" x14ac:dyDescent="0.25">
      <c r="A244" t="s">
        <v>1200</v>
      </c>
      <c r="B244" s="24">
        <v>46135</v>
      </c>
      <c r="C244" t="s">
        <v>26</v>
      </c>
      <c r="D244" t="s">
        <v>27</v>
      </c>
      <c r="E244">
        <v>15</v>
      </c>
      <c r="F244">
        <v>605</v>
      </c>
      <c r="G244" t="s">
        <v>34</v>
      </c>
      <c r="H244" t="s">
        <v>973</v>
      </c>
      <c r="I244" t="s">
        <v>136</v>
      </c>
      <c r="J244">
        <v>3916</v>
      </c>
      <c r="K244" t="s">
        <v>1215</v>
      </c>
      <c r="L244">
        <v>0.44444444444444442</v>
      </c>
      <c r="M244">
        <v>0.45833333333333331</v>
      </c>
      <c r="Q244" t="s">
        <v>117</v>
      </c>
      <c r="R244" t="s">
        <v>3029</v>
      </c>
      <c r="S244">
        <v>1742202</v>
      </c>
    </row>
    <row r="245" spans="1:19" x14ac:dyDescent="0.25">
      <c r="A245" t="s">
        <v>1200</v>
      </c>
      <c r="B245" s="24">
        <v>46135</v>
      </c>
      <c r="C245" t="s">
        <v>26</v>
      </c>
      <c r="D245" t="s">
        <v>27</v>
      </c>
      <c r="E245">
        <v>15</v>
      </c>
      <c r="F245">
        <v>605</v>
      </c>
      <c r="G245" t="s">
        <v>34</v>
      </c>
      <c r="H245" t="s">
        <v>954</v>
      </c>
      <c r="I245" t="s">
        <v>512</v>
      </c>
      <c r="J245">
        <v>3920</v>
      </c>
      <c r="K245" t="s">
        <v>1218</v>
      </c>
      <c r="L245">
        <v>0.59513888888888888</v>
      </c>
      <c r="M245">
        <v>0.61111111111111116</v>
      </c>
      <c r="Q245" t="s">
        <v>117</v>
      </c>
      <c r="R245" t="s">
        <v>3029</v>
      </c>
      <c r="S245">
        <v>1742415</v>
      </c>
    </row>
    <row r="246" spans="1:19" x14ac:dyDescent="0.25">
      <c r="A246" t="s">
        <v>1200</v>
      </c>
      <c r="B246" s="24">
        <v>46135</v>
      </c>
      <c r="C246" t="s">
        <v>26</v>
      </c>
      <c r="D246" t="s">
        <v>27</v>
      </c>
      <c r="E246">
        <v>15</v>
      </c>
      <c r="F246">
        <v>605</v>
      </c>
      <c r="G246" t="s">
        <v>34</v>
      </c>
      <c r="H246" t="s">
        <v>1221</v>
      </c>
      <c r="I246" t="s">
        <v>381</v>
      </c>
      <c r="J246">
        <v>3925</v>
      </c>
      <c r="K246" t="s">
        <v>1222</v>
      </c>
      <c r="L246">
        <v>0.61388888888888893</v>
      </c>
      <c r="M246">
        <v>0.62847222222222221</v>
      </c>
      <c r="Q246" t="s">
        <v>117</v>
      </c>
      <c r="R246" t="s">
        <v>3029</v>
      </c>
      <c r="S246">
        <v>1742398</v>
      </c>
    </row>
    <row r="247" spans="1:19" x14ac:dyDescent="0.25">
      <c r="A247" t="s">
        <v>1200</v>
      </c>
      <c r="B247" s="24">
        <v>46135</v>
      </c>
      <c r="C247" t="s">
        <v>26</v>
      </c>
      <c r="D247" t="s">
        <v>27</v>
      </c>
      <c r="E247">
        <v>15</v>
      </c>
      <c r="F247">
        <v>605</v>
      </c>
      <c r="G247" t="s">
        <v>34</v>
      </c>
      <c r="H247" t="s">
        <v>1225</v>
      </c>
      <c r="I247" t="s">
        <v>1226</v>
      </c>
      <c r="J247">
        <v>3926</v>
      </c>
      <c r="K247" t="s">
        <v>1227</v>
      </c>
      <c r="L247">
        <v>0.66666666666666663</v>
      </c>
      <c r="M247">
        <v>0.68055555555555558</v>
      </c>
      <c r="Q247" t="s">
        <v>117</v>
      </c>
      <c r="R247" t="s">
        <v>3029</v>
      </c>
      <c r="S247">
        <v>1742398</v>
      </c>
    </row>
    <row r="248" spans="1:19" x14ac:dyDescent="0.25">
      <c r="A248" t="s">
        <v>1161</v>
      </c>
      <c r="B248" s="24">
        <v>46135</v>
      </c>
      <c r="C248" t="s">
        <v>26</v>
      </c>
      <c r="D248" t="s">
        <v>27</v>
      </c>
      <c r="E248">
        <v>15</v>
      </c>
      <c r="F248">
        <v>603</v>
      </c>
      <c r="G248" t="s">
        <v>34</v>
      </c>
      <c r="H248" t="s">
        <v>129</v>
      </c>
      <c r="I248" t="s">
        <v>115</v>
      </c>
      <c r="J248">
        <v>3527</v>
      </c>
      <c r="K248" t="s">
        <v>1162</v>
      </c>
      <c r="L248">
        <v>0.56805555555555554</v>
      </c>
      <c r="M248">
        <v>0.57291666666666663</v>
      </c>
      <c r="Q248" t="s">
        <v>117</v>
      </c>
      <c r="R248" t="s">
        <v>3072</v>
      </c>
      <c r="S248">
        <v>1742079</v>
      </c>
    </row>
    <row r="249" spans="1:19" x14ac:dyDescent="0.25">
      <c r="A249" t="s">
        <v>1161</v>
      </c>
      <c r="B249" s="24">
        <v>46135</v>
      </c>
      <c r="C249" t="s">
        <v>26</v>
      </c>
      <c r="D249" t="s">
        <v>27</v>
      </c>
      <c r="E249">
        <v>15</v>
      </c>
      <c r="F249">
        <v>603</v>
      </c>
      <c r="G249" t="s">
        <v>34</v>
      </c>
      <c r="H249" t="s">
        <v>131</v>
      </c>
      <c r="I249" t="s">
        <v>115</v>
      </c>
      <c r="J249">
        <v>3528</v>
      </c>
      <c r="K249" t="s">
        <v>1164</v>
      </c>
      <c r="L249">
        <v>0.42916666666666664</v>
      </c>
      <c r="M249">
        <v>0.43472222222222223</v>
      </c>
      <c r="Q249" t="s">
        <v>117</v>
      </c>
      <c r="R249" t="s">
        <v>3072</v>
      </c>
      <c r="S249">
        <v>1742079</v>
      </c>
    </row>
    <row r="250" spans="1:19" x14ac:dyDescent="0.25">
      <c r="A250" t="s">
        <v>1161</v>
      </c>
      <c r="B250" s="24">
        <v>46135</v>
      </c>
      <c r="C250" t="s">
        <v>26</v>
      </c>
      <c r="D250" t="s">
        <v>27</v>
      </c>
      <c r="E250">
        <v>15</v>
      </c>
      <c r="F250">
        <v>603</v>
      </c>
      <c r="G250" t="s">
        <v>34</v>
      </c>
      <c r="H250" t="s">
        <v>1166</v>
      </c>
      <c r="I250" t="s">
        <v>225</v>
      </c>
      <c r="J250">
        <v>3549</v>
      </c>
      <c r="K250" t="s">
        <v>1167</v>
      </c>
      <c r="L250">
        <v>0.38194444444444442</v>
      </c>
      <c r="M250">
        <v>0.3888888888888889</v>
      </c>
      <c r="Q250" t="s">
        <v>117</v>
      </c>
      <c r="R250" t="s">
        <v>3072</v>
      </c>
      <c r="S250">
        <v>1742372</v>
      </c>
    </row>
    <row r="251" spans="1:19" x14ac:dyDescent="0.25">
      <c r="A251" t="s">
        <v>1161</v>
      </c>
      <c r="B251" s="24">
        <v>46135</v>
      </c>
      <c r="C251" t="s">
        <v>26</v>
      </c>
      <c r="D251" t="s">
        <v>27</v>
      </c>
      <c r="E251">
        <v>15</v>
      </c>
      <c r="F251">
        <v>603</v>
      </c>
      <c r="G251" t="s">
        <v>34</v>
      </c>
      <c r="H251" t="s">
        <v>150</v>
      </c>
      <c r="I251" t="s">
        <v>115</v>
      </c>
      <c r="J251">
        <v>3558</v>
      </c>
      <c r="K251" t="s">
        <v>87</v>
      </c>
      <c r="L251">
        <v>0.55625000000000002</v>
      </c>
      <c r="M251">
        <v>0.5625</v>
      </c>
      <c r="Q251" t="s">
        <v>117</v>
      </c>
      <c r="R251" t="s">
        <v>3072</v>
      </c>
      <c r="S251">
        <v>2784148</v>
      </c>
    </row>
    <row r="252" spans="1:19" x14ac:dyDescent="0.25">
      <c r="A252" t="s">
        <v>1161</v>
      </c>
      <c r="B252" s="24">
        <v>46135</v>
      </c>
      <c r="C252" t="s">
        <v>26</v>
      </c>
      <c r="D252" t="s">
        <v>27</v>
      </c>
      <c r="E252">
        <v>15</v>
      </c>
      <c r="F252">
        <v>603</v>
      </c>
      <c r="G252" t="s">
        <v>34</v>
      </c>
      <c r="H252" t="s">
        <v>150</v>
      </c>
      <c r="I252" t="s">
        <v>115</v>
      </c>
      <c r="J252">
        <v>3563</v>
      </c>
      <c r="K252" t="s">
        <v>96</v>
      </c>
      <c r="L252">
        <v>0.54861111111111116</v>
      </c>
      <c r="M252">
        <v>0.55347222222222225</v>
      </c>
      <c r="Q252" t="s">
        <v>117</v>
      </c>
      <c r="R252" t="s">
        <v>3072</v>
      </c>
      <c r="S252">
        <v>2733753</v>
      </c>
    </row>
    <row r="253" spans="1:19" x14ac:dyDescent="0.25">
      <c r="A253" t="s">
        <v>1161</v>
      </c>
      <c r="B253" s="24">
        <v>46135</v>
      </c>
      <c r="C253" t="s">
        <v>26</v>
      </c>
      <c r="D253" t="s">
        <v>27</v>
      </c>
      <c r="E253">
        <v>15</v>
      </c>
      <c r="F253">
        <v>603</v>
      </c>
      <c r="G253" t="s">
        <v>34</v>
      </c>
      <c r="H253" t="s">
        <v>147</v>
      </c>
      <c r="I253" t="s">
        <v>115</v>
      </c>
      <c r="J253">
        <v>3566</v>
      </c>
      <c r="K253" t="s">
        <v>101</v>
      </c>
      <c r="L253">
        <v>0.4548611111111111</v>
      </c>
      <c r="M253">
        <v>0.46180555555555558</v>
      </c>
      <c r="Q253" t="s">
        <v>117</v>
      </c>
      <c r="R253" t="s">
        <v>3072</v>
      </c>
      <c r="S253">
        <v>2778453</v>
      </c>
    </row>
    <row r="254" spans="1:19" x14ac:dyDescent="0.25">
      <c r="A254" t="s">
        <v>1161</v>
      </c>
      <c r="B254" s="24">
        <v>46135</v>
      </c>
      <c r="C254" t="s">
        <v>26</v>
      </c>
      <c r="D254" t="s">
        <v>27</v>
      </c>
      <c r="E254">
        <v>15</v>
      </c>
      <c r="F254">
        <v>603</v>
      </c>
      <c r="G254" t="s">
        <v>34</v>
      </c>
      <c r="H254" t="s">
        <v>872</v>
      </c>
      <c r="I254" t="s">
        <v>225</v>
      </c>
      <c r="J254">
        <v>3567</v>
      </c>
      <c r="K254" t="s">
        <v>1173</v>
      </c>
      <c r="L254">
        <v>0.44513888888888886</v>
      </c>
      <c r="M254">
        <v>0.45069444444444445</v>
      </c>
      <c r="Q254" t="s">
        <v>117</v>
      </c>
      <c r="R254" t="s">
        <v>3072</v>
      </c>
      <c r="S254">
        <v>2733753</v>
      </c>
    </row>
    <row r="255" spans="1:19" x14ac:dyDescent="0.25">
      <c r="A255" t="s">
        <v>1161</v>
      </c>
      <c r="B255" s="24">
        <v>46135</v>
      </c>
      <c r="C255" t="s">
        <v>26</v>
      </c>
      <c r="D255" t="s">
        <v>27</v>
      </c>
      <c r="E255">
        <v>15</v>
      </c>
      <c r="F255">
        <v>603</v>
      </c>
      <c r="G255" t="s">
        <v>34</v>
      </c>
      <c r="H255" t="s">
        <v>147</v>
      </c>
      <c r="I255" t="s">
        <v>115</v>
      </c>
      <c r="J255">
        <v>3568</v>
      </c>
      <c r="K255" t="s">
        <v>102</v>
      </c>
      <c r="L255">
        <v>0.4375</v>
      </c>
      <c r="M255">
        <v>0.44305555555555554</v>
      </c>
      <c r="Q255" t="s">
        <v>117</v>
      </c>
      <c r="R255" t="s">
        <v>3072</v>
      </c>
      <c r="S255">
        <v>2733753</v>
      </c>
    </row>
    <row r="256" spans="1:19" x14ac:dyDescent="0.25">
      <c r="A256" t="s">
        <v>1161</v>
      </c>
      <c r="B256" s="24">
        <v>46135</v>
      </c>
      <c r="C256" t="s">
        <v>26</v>
      </c>
      <c r="D256" t="s">
        <v>27</v>
      </c>
      <c r="E256">
        <v>15</v>
      </c>
      <c r="F256">
        <v>603</v>
      </c>
      <c r="G256" t="s">
        <v>34</v>
      </c>
      <c r="H256" t="s">
        <v>129</v>
      </c>
      <c r="I256" t="s">
        <v>512</v>
      </c>
      <c r="J256">
        <v>3592</v>
      </c>
      <c r="K256" t="s">
        <v>1176</v>
      </c>
      <c r="L256">
        <v>0.64930555555555558</v>
      </c>
      <c r="M256">
        <v>0.65625</v>
      </c>
      <c r="Q256" t="s">
        <v>117</v>
      </c>
      <c r="R256" t="s">
        <v>3072</v>
      </c>
      <c r="S256">
        <v>3219225</v>
      </c>
    </row>
    <row r="257" spans="1:19" x14ac:dyDescent="0.25">
      <c r="A257" t="s">
        <v>1161</v>
      </c>
      <c r="B257" s="24">
        <v>46135</v>
      </c>
      <c r="C257" t="s">
        <v>26</v>
      </c>
      <c r="D257" t="s">
        <v>27</v>
      </c>
      <c r="E257">
        <v>15</v>
      </c>
      <c r="F257">
        <v>603</v>
      </c>
      <c r="G257" t="s">
        <v>34</v>
      </c>
      <c r="H257" t="s">
        <v>133</v>
      </c>
      <c r="I257" t="s">
        <v>512</v>
      </c>
      <c r="J257">
        <v>3751</v>
      </c>
      <c r="K257" t="s">
        <v>91</v>
      </c>
      <c r="L257">
        <v>0.68888888888888888</v>
      </c>
      <c r="M257">
        <v>0.69652777777777775</v>
      </c>
      <c r="Q257" t="s">
        <v>117</v>
      </c>
      <c r="R257" t="s">
        <v>3072</v>
      </c>
      <c r="S257">
        <v>2778453</v>
      </c>
    </row>
    <row r="258" spans="1:19" x14ac:dyDescent="0.25">
      <c r="A258" t="s">
        <v>1161</v>
      </c>
      <c r="B258" s="24">
        <v>46135</v>
      </c>
      <c r="C258" t="s">
        <v>26</v>
      </c>
      <c r="D258" t="s">
        <v>27</v>
      </c>
      <c r="E258">
        <v>15</v>
      </c>
      <c r="F258">
        <v>603</v>
      </c>
      <c r="G258" t="s">
        <v>34</v>
      </c>
      <c r="H258" t="s">
        <v>114</v>
      </c>
      <c r="I258" t="s">
        <v>512</v>
      </c>
      <c r="J258">
        <v>3855</v>
      </c>
      <c r="K258" t="s">
        <v>94</v>
      </c>
      <c r="L258">
        <v>0.61111111111111116</v>
      </c>
      <c r="M258">
        <v>0.61597222222222225</v>
      </c>
      <c r="Q258" t="s">
        <v>117</v>
      </c>
      <c r="R258" t="s">
        <v>3072</v>
      </c>
      <c r="S258">
        <v>2784148</v>
      </c>
    </row>
    <row r="259" spans="1:19" x14ac:dyDescent="0.25">
      <c r="A259" t="s">
        <v>1161</v>
      </c>
      <c r="B259" s="24">
        <v>46135</v>
      </c>
      <c r="C259" t="s">
        <v>26</v>
      </c>
      <c r="D259" t="s">
        <v>27</v>
      </c>
      <c r="E259">
        <v>15</v>
      </c>
      <c r="F259">
        <v>603</v>
      </c>
      <c r="G259" t="s">
        <v>34</v>
      </c>
      <c r="H259" t="s">
        <v>114</v>
      </c>
      <c r="I259" t="s">
        <v>115</v>
      </c>
      <c r="J259">
        <v>3856</v>
      </c>
      <c r="K259" t="s">
        <v>93</v>
      </c>
      <c r="L259">
        <v>0.41666666666666669</v>
      </c>
      <c r="M259">
        <v>0.42083333333333334</v>
      </c>
      <c r="Q259" t="s">
        <v>117</v>
      </c>
      <c r="R259" t="s">
        <v>3072</v>
      </c>
      <c r="S259">
        <v>3220579</v>
      </c>
    </row>
    <row r="260" spans="1:19" x14ac:dyDescent="0.25">
      <c r="A260" t="s">
        <v>1161</v>
      </c>
      <c r="B260" s="24">
        <v>46135</v>
      </c>
      <c r="C260" t="s">
        <v>26</v>
      </c>
      <c r="D260" t="s">
        <v>27</v>
      </c>
      <c r="E260">
        <v>15</v>
      </c>
      <c r="F260">
        <v>603</v>
      </c>
      <c r="G260" t="s">
        <v>34</v>
      </c>
      <c r="H260" t="s">
        <v>147</v>
      </c>
      <c r="I260" t="s">
        <v>512</v>
      </c>
      <c r="J260">
        <v>3869</v>
      </c>
      <c r="K260" t="s">
        <v>100</v>
      </c>
      <c r="L260">
        <v>0.70138888888888884</v>
      </c>
      <c r="M260">
        <v>0.70763888888888893</v>
      </c>
      <c r="Q260" t="s">
        <v>117</v>
      </c>
      <c r="R260" t="s">
        <v>3072</v>
      </c>
      <c r="S260">
        <v>2778453</v>
      </c>
    </row>
    <row r="261" spans="1:19" x14ac:dyDescent="0.25">
      <c r="A261" t="s">
        <v>1161</v>
      </c>
      <c r="B261" s="24">
        <v>46135</v>
      </c>
      <c r="C261" t="s">
        <v>26</v>
      </c>
      <c r="D261" t="s">
        <v>27</v>
      </c>
      <c r="E261">
        <v>15</v>
      </c>
      <c r="F261">
        <v>603</v>
      </c>
      <c r="G261" t="s">
        <v>34</v>
      </c>
      <c r="H261" t="s">
        <v>152</v>
      </c>
      <c r="I261" t="s">
        <v>152</v>
      </c>
      <c r="J261">
        <v>3885</v>
      </c>
      <c r="K261" t="s">
        <v>153</v>
      </c>
      <c r="L261">
        <v>0.40625</v>
      </c>
      <c r="M261">
        <v>0.41388888888888886</v>
      </c>
      <c r="Q261" t="s">
        <v>117</v>
      </c>
      <c r="R261" t="s">
        <v>3072</v>
      </c>
      <c r="S261">
        <v>3220579</v>
      </c>
    </row>
    <row r="262" spans="1:19" x14ac:dyDescent="0.25">
      <c r="A262" t="s">
        <v>1161</v>
      </c>
      <c r="B262" s="24">
        <v>46135</v>
      </c>
      <c r="C262" t="s">
        <v>26</v>
      </c>
      <c r="D262" t="s">
        <v>27</v>
      </c>
      <c r="E262">
        <v>15</v>
      </c>
      <c r="F262">
        <v>603</v>
      </c>
      <c r="G262" t="s">
        <v>34</v>
      </c>
      <c r="H262" t="s">
        <v>114</v>
      </c>
      <c r="I262" t="s">
        <v>115</v>
      </c>
      <c r="J262">
        <v>3892</v>
      </c>
      <c r="K262" t="s">
        <v>92</v>
      </c>
      <c r="L262">
        <v>0.41180555555555554</v>
      </c>
      <c r="M262">
        <v>0.41666666666666669</v>
      </c>
      <c r="Q262" t="s">
        <v>117</v>
      </c>
      <c r="R262" t="s">
        <v>3072</v>
      </c>
      <c r="S262">
        <v>2778453</v>
      </c>
    </row>
    <row r="263" spans="1:19" x14ac:dyDescent="0.25">
      <c r="A263" t="s">
        <v>1161</v>
      </c>
      <c r="B263" s="24">
        <v>46135</v>
      </c>
      <c r="C263" t="s">
        <v>26</v>
      </c>
      <c r="D263" t="s">
        <v>27</v>
      </c>
      <c r="E263">
        <v>15</v>
      </c>
      <c r="F263">
        <v>603</v>
      </c>
      <c r="G263" t="s">
        <v>34</v>
      </c>
      <c r="H263" t="s">
        <v>150</v>
      </c>
      <c r="I263" t="s">
        <v>512</v>
      </c>
      <c r="J263">
        <v>3908</v>
      </c>
      <c r="K263" t="s">
        <v>95</v>
      </c>
      <c r="L263">
        <v>0.62152777777777779</v>
      </c>
      <c r="M263">
        <v>0.63263888888888886</v>
      </c>
      <c r="Q263" t="s">
        <v>117</v>
      </c>
      <c r="R263" t="s">
        <v>3072</v>
      </c>
      <c r="S263">
        <v>3219225</v>
      </c>
    </row>
    <row r="264" spans="1:19" x14ac:dyDescent="0.25">
      <c r="A264" t="s">
        <v>1161</v>
      </c>
      <c r="B264" s="24">
        <v>46135</v>
      </c>
      <c r="C264" t="s">
        <v>26</v>
      </c>
      <c r="D264" t="s">
        <v>27</v>
      </c>
      <c r="E264">
        <v>15</v>
      </c>
      <c r="F264">
        <v>603</v>
      </c>
      <c r="G264" t="s">
        <v>34</v>
      </c>
      <c r="H264" t="s">
        <v>133</v>
      </c>
      <c r="I264" t="s">
        <v>115</v>
      </c>
      <c r="J264">
        <v>3910</v>
      </c>
      <c r="K264" t="s">
        <v>97</v>
      </c>
      <c r="L264">
        <v>0.40416666666666667</v>
      </c>
      <c r="M264">
        <v>0.40972222222222221</v>
      </c>
      <c r="Q264" t="s">
        <v>117</v>
      </c>
      <c r="R264" t="s">
        <v>3072</v>
      </c>
      <c r="S264">
        <v>2778453</v>
      </c>
    </row>
    <row r="265" spans="1:19" x14ac:dyDescent="0.25">
      <c r="A265" t="s">
        <v>1161</v>
      </c>
      <c r="B265" s="24">
        <v>46135</v>
      </c>
      <c r="C265" t="s">
        <v>26</v>
      </c>
      <c r="D265" t="s">
        <v>27</v>
      </c>
      <c r="E265">
        <v>15</v>
      </c>
      <c r="F265">
        <v>603</v>
      </c>
      <c r="G265" t="s">
        <v>34</v>
      </c>
      <c r="H265" t="s">
        <v>1186</v>
      </c>
      <c r="I265" t="s">
        <v>122</v>
      </c>
      <c r="J265">
        <v>3915</v>
      </c>
      <c r="K265" t="s">
        <v>1187</v>
      </c>
      <c r="L265">
        <v>0.37083333333333335</v>
      </c>
      <c r="M265">
        <v>0.37916666666666665</v>
      </c>
      <c r="Q265" t="s">
        <v>117</v>
      </c>
      <c r="R265" t="s">
        <v>3072</v>
      </c>
      <c r="S265">
        <v>7742398</v>
      </c>
    </row>
    <row r="266" spans="1:19" x14ac:dyDescent="0.25">
      <c r="A266" t="s">
        <v>1161</v>
      </c>
      <c r="B266" s="24">
        <v>46135</v>
      </c>
      <c r="C266" t="s">
        <v>26</v>
      </c>
      <c r="D266" t="s">
        <v>27</v>
      </c>
      <c r="E266">
        <v>15</v>
      </c>
      <c r="F266">
        <v>603</v>
      </c>
      <c r="G266" t="s">
        <v>34</v>
      </c>
      <c r="H266" t="s">
        <v>131</v>
      </c>
      <c r="I266" t="s">
        <v>115</v>
      </c>
      <c r="J266">
        <v>3940</v>
      </c>
      <c r="K266" t="s">
        <v>1190</v>
      </c>
      <c r="L266">
        <v>0.42083333333333334</v>
      </c>
      <c r="M266">
        <v>0.42638888888888887</v>
      </c>
      <c r="Q266" t="s">
        <v>117</v>
      </c>
      <c r="R266" t="s">
        <v>3072</v>
      </c>
      <c r="S266">
        <v>1742079</v>
      </c>
    </row>
    <row r="267" spans="1:19" x14ac:dyDescent="0.25">
      <c r="A267" t="s">
        <v>1161</v>
      </c>
      <c r="B267" s="24">
        <v>46135</v>
      </c>
      <c r="C267" t="s">
        <v>26</v>
      </c>
      <c r="D267" t="s">
        <v>27</v>
      </c>
      <c r="E267">
        <v>15</v>
      </c>
      <c r="F267">
        <v>603</v>
      </c>
      <c r="G267" t="s">
        <v>34</v>
      </c>
      <c r="H267" t="s">
        <v>129</v>
      </c>
      <c r="I267" t="s">
        <v>115</v>
      </c>
      <c r="J267">
        <v>3966</v>
      </c>
      <c r="K267" t="s">
        <v>1193</v>
      </c>
      <c r="L267">
        <v>0.6</v>
      </c>
      <c r="M267">
        <v>0.6069444444444444</v>
      </c>
      <c r="Q267" t="s">
        <v>117</v>
      </c>
      <c r="R267" t="s">
        <v>3072</v>
      </c>
      <c r="S267">
        <v>2784148</v>
      </c>
    </row>
    <row r="268" spans="1:19" x14ac:dyDescent="0.25">
      <c r="A268" t="s">
        <v>1161</v>
      </c>
      <c r="B268" s="24">
        <v>46135</v>
      </c>
      <c r="C268" t="s">
        <v>26</v>
      </c>
      <c r="D268" t="s">
        <v>27</v>
      </c>
      <c r="E268">
        <v>15</v>
      </c>
      <c r="F268">
        <v>603</v>
      </c>
      <c r="G268" t="s">
        <v>34</v>
      </c>
      <c r="H268" t="s">
        <v>813</v>
      </c>
      <c r="I268" t="s">
        <v>381</v>
      </c>
      <c r="J268">
        <v>4347</v>
      </c>
      <c r="K268" t="s">
        <v>1195</v>
      </c>
      <c r="L268">
        <v>0.67986111111111114</v>
      </c>
      <c r="M268">
        <v>0.68819444444444444</v>
      </c>
      <c r="Q268" t="s">
        <v>117</v>
      </c>
      <c r="R268" t="s">
        <v>3072</v>
      </c>
      <c r="S268">
        <v>2778453</v>
      </c>
    </row>
    <row r="269" spans="1:19" x14ac:dyDescent="0.25">
      <c r="A269" t="s">
        <v>1161</v>
      </c>
      <c r="B269" s="24">
        <v>46135</v>
      </c>
      <c r="C269" t="s">
        <v>26</v>
      </c>
      <c r="D269" t="s">
        <v>27</v>
      </c>
      <c r="E269">
        <v>15</v>
      </c>
      <c r="F269">
        <v>603</v>
      </c>
      <c r="G269" t="s">
        <v>34</v>
      </c>
      <c r="H269" t="s">
        <v>1197</v>
      </c>
      <c r="I269" t="s">
        <v>381</v>
      </c>
      <c r="J269">
        <v>4375</v>
      </c>
      <c r="K269" t="s">
        <v>1198</v>
      </c>
      <c r="L269">
        <v>0.46805555555555556</v>
      </c>
      <c r="M269">
        <v>0.47569444444444442</v>
      </c>
      <c r="Q269" t="s">
        <v>117</v>
      </c>
      <c r="R269" t="s">
        <v>3072</v>
      </c>
      <c r="S269">
        <v>1742079</v>
      </c>
    </row>
    <row r="270" spans="1:19" x14ac:dyDescent="0.25">
      <c r="A270" t="s">
        <v>822</v>
      </c>
      <c r="B270" s="24">
        <v>46137</v>
      </c>
      <c r="C270" t="s">
        <v>29</v>
      </c>
      <c r="D270" t="s">
        <v>27</v>
      </c>
      <c r="E270">
        <v>16</v>
      </c>
      <c r="F270">
        <v>605</v>
      </c>
      <c r="G270" t="s">
        <v>34</v>
      </c>
      <c r="H270" t="s">
        <v>823</v>
      </c>
      <c r="I270" t="s">
        <v>824</v>
      </c>
      <c r="J270">
        <v>3641</v>
      </c>
      <c r="K270" t="s">
        <v>825</v>
      </c>
      <c r="L270">
        <v>0.41041666666666665</v>
      </c>
      <c r="M270">
        <v>0.41666666666666669</v>
      </c>
      <c r="Q270" t="s">
        <v>117</v>
      </c>
      <c r="R270" t="s">
        <v>3029</v>
      </c>
      <c r="S270">
        <v>3219255</v>
      </c>
    </row>
    <row r="271" spans="1:19" x14ac:dyDescent="0.25">
      <c r="A271" t="s">
        <v>822</v>
      </c>
      <c r="B271" s="24">
        <v>46137</v>
      </c>
      <c r="C271" t="s">
        <v>29</v>
      </c>
      <c r="D271" t="s">
        <v>27</v>
      </c>
      <c r="E271">
        <v>16</v>
      </c>
      <c r="F271">
        <v>605</v>
      </c>
      <c r="G271" t="s">
        <v>34</v>
      </c>
      <c r="H271" t="s">
        <v>367</v>
      </c>
      <c r="I271" t="s">
        <v>427</v>
      </c>
      <c r="J271">
        <v>3847</v>
      </c>
      <c r="K271" t="s">
        <v>428</v>
      </c>
      <c r="L271">
        <v>0.62916666666666665</v>
      </c>
      <c r="M271">
        <v>0.62916666666666665</v>
      </c>
      <c r="Q271" t="s">
        <v>117</v>
      </c>
      <c r="R271" t="s">
        <v>3029</v>
      </c>
      <c r="S271">
        <v>2733753</v>
      </c>
    </row>
    <row r="272" spans="1:19" x14ac:dyDescent="0.25">
      <c r="A272" t="s">
        <v>822</v>
      </c>
      <c r="B272" s="24">
        <v>46137</v>
      </c>
      <c r="C272" t="s">
        <v>29</v>
      </c>
      <c r="D272" t="s">
        <v>27</v>
      </c>
      <c r="E272">
        <v>16</v>
      </c>
      <c r="F272">
        <v>605</v>
      </c>
      <c r="G272" t="s">
        <v>34</v>
      </c>
      <c r="H272" t="s">
        <v>829</v>
      </c>
      <c r="I272" t="s">
        <v>368</v>
      </c>
      <c r="J272">
        <v>3896</v>
      </c>
      <c r="K272" t="s">
        <v>369</v>
      </c>
      <c r="L272">
        <v>0.61250000000000004</v>
      </c>
      <c r="M272">
        <v>0.62222222222222223</v>
      </c>
      <c r="Q272" t="s">
        <v>117</v>
      </c>
      <c r="R272" t="s">
        <v>3029</v>
      </c>
      <c r="S272">
        <v>1742255</v>
      </c>
    </row>
    <row r="273" spans="1:19" x14ac:dyDescent="0.25">
      <c r="A273" t="s">
        <v>822</v>
      </c>
      <c r="B273" s="24">
        <v>46137</v>
      </c>
      <c r="C273" t="s">
        <v>29</v>
      </c>
      <c r="D273" t="s">
        <v>27</v>
      </c>
      <c r="E273">
        <v>16</v>
      </c>
      <c r="F273">
        <v>605</v>
      </c>
      <c r="G273" t="s">
        <v>34</v>
      </c>
      <c r="H273" t="s">
        <v>831</v>
      </c>
      <c r="I273" t="s">
        <v>832</v>
      </c>
      <c r="J273">
        <v>3899</v>
      </c>
      <c r="K273" t="s">
        <v>833</v>
      </c>
      <c r="L273">
        <v>0.39930555555555558</v>
      </c>
      <c r="M273">
        <v>0.40625</v>
      </c>
      <c r="Q273" t="s">
        <v>117</v>
      </c>
      <c r="R273" t="s">
        <v>3029</v>
      </c>
      <c r="S273">
        <v>3219255</v>
      </c>
    </row>
    <row r="274" spans="1:19" x14ac:dyDescent="0.25">
      <c r="A274" t="s">
        <v>822</v>
      </c>
      <c r="B274" s="24">
        <v>46137</v>
      </c>
      <c r="C274" t="s">
        <v>29</v>
      </c>
      <c r="D274" t="s">
        <v>27</v>
      </c>
      <c r="E274">
        <v>16</v>
      </c>
      <c r="F274">
        <v>605</v>
      </c>
      <c r="G274" t="s">
        <v>34</v>
      </c>
      <c r="H274" t="s">
        <v>836</v>
      </c>
      <c r="I274" t="s">
        <v>837</v>
      </c>
      <c r="J274">
        <v>3900</v>
      </c>
      <c r="K274" t="s">
        <v>838</v>
      </c>
      <c r="L274">
        <v>6.805555555555555E-2</v>
      </c>
      <c r="M274">
        <v>7.9861111111111105E-2</v>
      </c>
      <c r="Q274" t="s">
        <v>117</v>
      </c>
      <c r="R274" t="s">
        <v>3029</v>
      </c>
      <c r="S274">
        <v>3219209</v>
      </c>
    </row>
    <row r="275" spans="1:19" x14ac:dyDescent="0.25">
      <c r="A275" t="s">
        <v>822</v>
      </c>
      <c r="B275" s="24">
        <v>46137</v>
      </c>
      <c r="C275" t="s">
        <v>29</v>
      </c>
      <c r="D275" t="s">
        <v>27</v>
      </c>
      <c r="E275">
        <v>16</v>
      </c>
      <c r="F275">
        <v>605</v>
      </c>
      <c r="G275" t="s">
        <v>34</v>
      </c>
      <c r="H275" t="s">
        <v>841</v>
      </c>
      <c r="I275" t="s">
        <v>842</v>
      </c>
      <c r="J275">
        <v>3907</v>
      </c>
      <c r="K275" t="s">
        <v>843</v>
      </c>
      <c r="L275">
        <v>1.1805555555555555E-2</v>
      </c>
      <c r="M275">
        <v>6.5972222222222224E-2</v>
      </c>
      <c r="Q275" t="s">
        <v>117</v>
      </c>
      <c r="R275" t="s">
        <v>3029</v>
      </c>
      <c r="S275">
        <v>3219225</v>
      </c>
    </row>
    <row r="276" spans="1:19" x14ac:dyDescent="0.25">
      <c r="A276" t="s">
        <v>822</v>
      </c>
      <c r="B276" s="24">
        <v>46137</v>
      </c>
      <c r="C276" t="s">
        <v>29</v>
      </c>
      <c r="D276" t="s">
        <v>27</v>
      </c>
      <c r="E276">
        <v>16</v>
      </c>
      <c r="F276">
        <v>605</v>
      </c>
      <c r="G276" t="s">
        <v>34</v>
      </c>
      <c r="H276" t="s">
        <v>846</v>
      </c>
      <c r="I276" t="s">
        <v>847</v>
      </c>
      <c r="J276">
        <v>3934</v>
      </c>
      <c r="K276" t="s">
        <v>848</v>
      </c>
      <c r="L276">
        <v>3.8194444444444448E-2</v>
      </c>
      <c r="M276">
        <v>5.1388888888888887E-2</v>
      </c>
      <c r="Q276" t="s">
        <v>117</v>
      </c>
      <c r="R276" t="s">
        <v>3029</v>
      </c>
      <c r="S276">
        <v>3219209</v>
      </c>
    </row>
    <row r="277" spans="1:19" x14ac:dyDescent="0.25">
      <c r="A277" t="s">
        <v>822</v>
      </c>
      <c r="B277" s="24">
        <v>46137</v>
      </c>
      <c r="C277" t="s">
        <v>29</v>
      </c>
      <c r="D277" t="s">
        <v>27</v>
      </c>
      <c r="E277">
        <v>16</v>
      </c>
      <c r="F277">
        <v>605</v>
      </c>
      <c r="G277" t="s">
        <v>34</v>
      </c>
      <c r="H277" t="s">
        <v>851</v>
      </c>
      <c r="I277" t="s">
        <v>852</v>
      </c>
      <c r="J277">
        <v>4227</v>
      </c>
      <c r="K277" t="s">
        <v>853</v>
      </c>
      <c r="L277">
        <v>0.42499999999999999</v>
      </c>
      <c r="M277">
        <v>0.4465277777777778</v>
      </c>
      <c r="Q277" t="s">
        <v>117</v>
      </c>
      <c r="R277" t="s">
        <v>3029</v>
      </c>
      <c r="S277">
        <v>3219209</v>
      </c>
    </row>
    <row r="278" spans="1:19" x14ac:dyDescent="0.25">
      <c r="A278" t="s">
        <v>822</v>
      </c>
      <c r="B278" s="24">
        <v>46137</v>
      </c>
      <c r="C278" t="s">
        <v>29</v>
      </c>
      <c r="D278" t="s">
        <v>27</v>
      </c>
      <c r="E278">
        <v>16</v>
      </c>
      <c r="F278">
        <v>605</v>
      </c>
      <c r="G278" t="s">
        <v>34</v>
      </c>
      <c r="H278" t="s">
        <v>856</v>
      </c>
      <c r="I278" t="s">
        <v>857</v>
      </c>
      <c r="J278">
        <v>4281</v>
      </c>
      <c r="K278" t="s">
        <v>858</v>
      </c>
      <c r="L278">
        <v>0.40347222222222223</v>
      </c>
      <c r="M278">
        <v>0.4201388888888889</v>
      </c>
      <c r="Q278" t="s">
        <v>117</v>
      </c>
      <c r="R278" t="s">
        <v>3029</v>
      </c>
      <c r="S278">
        <v>3219209</v>
      </c>
    </row>
    <row r="279" spans="1:19" x14ac:dyDescent="0.25">
      <c r="A279" t="s">
        <v>822</v>
      </c>
      <c r="B279" s="24">
        <v>46137</v>
      </c>
      <c r="C279" t="s">
        <v>29</v>
      </c>
      <c r="D279" t="s">
        <v>27</v>
      </c>
      <c r="E279">
        <v>16</v>
      </c>
      <c r="F279">
        <v>605</v>
      </c>
      <c r="G279" t="s">
        <v>34</v>
      </c>
      <c r="H279" t="s">
        <v>861</v>
      </c>
      <c r="I279" t="s">
        <v>862</v>
      </c>
      <c r="J279">
        <v>4282</v>
      </c>
      <c r="K279" t="s">
        <v>863</v>
      </c>
      <c r="L279">
        <v>0.77430555555555558</v>
      </c>
      <c r="M279">
        <v>0.79513888888888884</v>
      </c>
      <c r="Q279" t="s">
        <v>117</v>
      </c>
      <c r="R279" t="s">
        <v>3029</v>
      </c>
      <c r="S279">
        <v>2784148</v>
      </c>
    </row>
    <row r="280" spans="1:19" x14ac:dyDescent="0.25">
      <c r="A280" t="s">
        <v>822</v>
      </c>
      <c r="B280" s="24">
        <v>46137</v>
      </c>
      <c r="C280" t="s">
        <v>29</v>
      </c>
      <c r="D280" t="s">
        <v>27</v>
      </c>
      <c r="E280">
        <v>16</v>
      </c>
      <c r="F280">
        <v>605</v>
      </c>
      <c r="G280" t="s">
        <v>34</v>
      </c>
      <c r="H280" t="s">
        <v>866</v>
      </c>
      <c r="I280" t="s">
        <v>867</v>
      </c>
      <c r="J280">
        <v>4374</v>
      </c>
      <c r="K280" t="s">
        <v>868</v>
      </c>
      <c r="L280">
        <v>8.3333333333333329E-2</v>
      </c>
      <c r="M280">
        <v>0.11805555555555555</v>
      </c>
      <c r="Q280" t="s">
        <v>117</v>
      </c>
      <c r="R280" t="s">
        <v>3029</v>
      </c>
      <c r="S280">
        <v>3219225</v>
      </c>
    </row>
    <row r="281" spans="1:19" x14ac:dyDescent="0.25">
      <c r="A281" t="s">
        <v>1128</v>
      </c>
      <c r="B281" s="24">
        <v>46137</v>
      </c>
      <c r="C281" t="s">
        <v>26</v>
      </c>
      <c r="D281" t="s">
        <v>27</v>
      </c>
      <c r="E281">
        <v>15</v>
      </c>
      <c r="F281">
        <v>605</v>
      </c>
      <c r="G281" t="s">
        <v>34</v>
      </c>
      <c r="H281" t="s">
        <v>1129</v>
      </c>
      <c r="I281" t="s">
        <v>1130</v>
      </c>
      <c r="J281">
        <v>3635</v>
      </c>
      <c r="K281" t="s">
        <v>1131</v>
      </c>
      <c r="L281">
        <v>0.63263888888888886</v>
      </c>
      <c r="M281">
        <v>0.6381944444444444</v>
      </c>
      <c r="Q281" t="s">
        <v>117</v>
      </c>
      <c r="R281" t="s">
        <v>3029</v>
      </c>
      <c r="S281">
        <v>2733753</v>
      </c>
    </row>
    <row r="282" spans="1:19" x14ac:dyDescent="0.25">
      <c r="A282" t="s">
        <v>1128</v>
      </c>
      <c r="B282" s="24">
        <v>46137</v>
      </c>
      <c r="C282" t="s">
        <v>26</v>
      </c>
      <c r="D282" t="s">
        <v>27</v>
      </c>
      <c r="E282">
        <v>15</v>
      </c>
      <c r="F282">
        <v>605</v>
      </c>
      <c r="G282" t="s">
        <v>34</v>
      </c>
      <c r="H282" t="s">
        <v>823</v>
      </c>
      <c r="I282" t="s">
        <v>824</v>
      </c>
      <c r="J282">
        <v>3641</v>
      </c>
      <c r="K282" t="s">
        <v>825</v>
      </c>
      <c r="L282">
        <v>0.64375000000000004</v>
      </c>
      <c r="M282">
        <v>0.65208333333333335</v>
      </c>
      <c r="Q282" t="s">
        <v>117</v>
      </c>
      <c r="R282" t="s">
        <v>3029</v>
      </c>
      <c r="S282">
        <v>2733753</v>
      </c>
    </row>
    <row r="283" spans="1:19" x14ac:dyDescent="0.25">
      <c r="A283" t="s">
        <v>1128</v>
      </c>
      <c r="B283" s="24">
        <v>46137</v>
      </c>
      <c r="C283" t="s">
        <v>26</v>
      </c>
      <c r="D283" t="s">
        <v>27</v>
      </c>
      <c r="E283">
        <v>15</v>
      </c>
      <c r="F283">
        <v>605</v>
      </c>
      <c r="G283" t="s">
        <v>34</v>
      </c>
      <c r="H283" t="s">
        <v>367</v>
      </c>
      <c r="I283" t="s">
        <v>427</v>
      </c>
      <c r="J283">
        <v>3847</v>
      </c>
      <c r="K283" t="s">
        <v>428</v>
      </c>
      <c r="L283">
        <v>0.5805555555555556</v>
      </c>
      <c r="M283">
        <v>0.5854166666666667</v>
      </c>
      <c r="Q283" t="s">
        <v>117</v>
      </c>
      <c r="R283" t="s">
        <v>3029</v>
      </c>
      <c r="S283">
        <v>2777698</v>
      </c>
    </row>
    <row r="284" spans="1:19" x14ac:dyDescent="0.25">
      <c r="A284" t="s">
        <v>1128</v>
      </c>
      <c r="B284" s="24">
        <v>46137</v>
      </c>
      <c r="C284" t="s">
        <v>26</v>
      </c>
      <c r="D284" t="s">
        <v>27</v>
      </c>
      <c r="E284">
        <v>15</v>
      </c>
      <c r="F284">
        <v>605</v>
      </c>
      <c r="G284" t="s">
        <v>34</v>
      </c>
      <c r="H284" t="s">
        <v>367</v>
      </c>
      <c r="I284" t="s">
        <v>427</v>
      </c>
      <c r="J284">
        <v>3868</v>
      </c>
      <c r="K284" t="s">
        <v>428</v>
      </c>
      <c r="L284">
        <v>0.45347222222222222</v>
      </c>
      <c r="M284">
        <v>0.4597222222222222</v>
      </c>
      <c r="Q284" t="s">
        <v>117</v>
      </c>
      <c r="R284" t="s">
        <v>3029</v>
      </c>
      <c r="S284">
        <v>1742079</v>
      </c>
    </row>
    <row r="285" spans="1:19" x14ac:dyDescent="0.25">
      <c r="A285" t="s">
        <v>1128</v>
      </c>
      <c r="B285" s="24">
        <v>46137</v>
      </c>
      <c r="C285" t="s">
        <v>26</v>
      </c>
      <c r="D285" t="s">
        <v>27</v>
      </c>
      <c r="E285">
        <v>15</v>
      </c>
      <c r="F285">
        <v>605</v>
      </c>
      <c r="G285" t="s">
        <v>34</v>
      </c>
      <c r="H285" t="s">
        <v>829</v>
      </c>
      <c r="I285" t="s">
        <v>368</v>
      </c>
      <c r="J285">
        <v>3896</v>
      </c>
      <c r="K285" t="s">
        <v>369</v>
      </c>
      <c r="L285">
        <v>0.56319444444444444</v>
      </c>
      <c r="M285">
        <v>0.57152777777777775</v>
      </c>
      <c r="Q285" t="s">
        <v>117</v>
      </c>
      <c r="R285" t="s">
        <v>3029</v>
      </c>
      <c r="S285">
        <v>3219209</v>
      </c>
    </row>
    <row r="286" spans="1:19" x14ac:dyDescent="0.25">
      <c r="A286" t="s">
        <v>1128</v>
      </c>
      <c r="B286" s="24">
        <v>46137</v>
      </c>
      <c r="C286" t="s">
        <v>26</v>
      </c>
      <c r="D286" t="s">
        <v>27</v>
      </c>
      <c r="E286">
        <v>15</v>
      </c>
      <c r="F286">
        <v>605</v>
      </c>
      <c r="G286" t="s">
        <v>34</v>
      </c>
      <c r="H286" t="s">
        <v>831</v>
      </c>
      <c r="I286" t="s">
        <v>832</v>
      </c>
      <c r="J286">
        <v>3899</v>
      </c>
      <c r="K286" t="s">
        <v>833</v>
      </c>
      <c r="L286">
        <v>0.48819444444444443</v>
      </c>
      <c r="M286">
        <v>0.54305555555555551</v>
      </c>
      <c r="Q286" t="s">
        <v>117</v>
      </c>
      <c r="R286" t="s">
        <v>3029</v>
      </c>
      <c r="S286">
        <v>2777698</v>
      </c>
    </row>
    <row r="287" spans="1:19" x14ac:dyDescent="0.25">
      <c r="A287" t="s">
        <v>1128</v>
      </c>
      <c r="B287" s="24">
        <v>46137</v>
      </c>
      <c r="C287" t="s">
        <v>26</v>
      </c>
      <c r="D287" t="s">
        <v>27</v>
      </c>
      <c r="E287">
        <v>15</v>
      </c>
      <c r="F287">
        <v>605</v>
      </c>
      <c r="G287" t="s">
        <v>34</v>
      </c>
      <c r="H287" t="s">
        <v>836</v>
      </c>
      <c r="I287" t="s">
        <v>837</v>
      </c>
      <c r="J287">
        <v>3900</v>
      </c>
      <c r="K287" t="s">
        <v>838</v>
      </c>
      <c r="L287">
        <v>9.0277777777777776E-2</v>
      </c>
      <c r="M287">
        <v>0.1076388888888889</v>
      </c>
      <c r="Q287" t="s">
        <v>117</v>
      </c>
      <c r="R287" t="s">
        <v>3029</v>
      </c>
      <c r="S287">
        <v>1742079</v>
      </c>
    </row>
    <row r="288" spans="1:19" x14ac:dyDescent="0.25">
      <c r="A288" t="s">
        <v>1128</v>
      </c>
      <c r="B288" s="24">
        <v>46137</v>
      </c>
      <c r="C288" t="s">
        <v>26</v>
      </c>
      <c r="D288" t="s">
        <v>27</v>
      </c>
      <c r="E288">
        <v>15</v>
      </c>
      <c r="F288">
        <v>605</v>
      </c>
      <c r="G288" t="s">
        <v>34</v>
      </c>
      <c r="H288" t="s">
        <v>841</v>
      </c>
      <c r="I288" t="s">
        <v>842</v>
      </c>
      <c r="J288">
        <v>3907</v>
      </c>
      <c r="K288" t="s">
        <v>843</v>
      </c>
      <c r="L288">
        <v>0.54861111111111116</v>
      </c>
      <c r="M288">
        <v>0.55902777777777779</v>
      </c>
      <c r="Q288" t="s">
        <v>117</v>
      </c>
      <c r="R288" t="s">
        <v>3029</v>
      </c>
      <c r="S288">
        <v>3219209</v>
      </c>
    </row>
    <row r="289" spans="1:19" x14ac:dyDescent="0.25">
      <c r="A289" t="s">
        <v>1128</v>
      </c>
      <c r="B289" s="24">
        <v>46137</v>
      </c>
      <c r="C289" t="s">
        <v>26</v>
      </c>
      <c r="D289" t="s">
        <v>27</v>
      </c>
      <c r="E289">
        <v>15</v>
      </c>
      <c r="F289">
        <v>605</v>
      </c>
      <c r="G289" t="s">
        <v>34</v>
      </c>
      <c r="H289" t="s">
        <v>1141</v>
      </c>
      <c r="I289" t="s">
        <v>1142</v>
      </c>
      <c r="J289">
        <v>3924</v>
      </c>
      <c r="K289" t="s">
        <v>1143</v>
      </c>
      <c r="L289">
        <v>2.4305555555555556E-2</v>
      </c>
      <c r="M289">
        <v>4.1666666666666664E-2</v>
      </c>
      <c r="Q289" t="s">
        <v>117</v>
      </c>
      <c r="R289" t="s">
        <v>3029</v>
      </c>
      <c r="S289">
        <v>1742255</v>
      </c>
    </row>
    <row r="290" spans="1:19" x14ac:dyDescent="0.25">
      <c r="A290" t="s">
        <v>1128</v>
      </c>
      <c r="B290" s="24">
        <v>46137</v>
      </c>
      <c r="C290" t="s">
        <v>26</v>
      </c>
      <c r="D290" t="s">
        <v>27</v>
      </c>
      <c r="E290">
        <v>15</v>
      </c>
      <c r="F290">
        <v>605</v>
      </c>
      <c r="G290" t="s">
        <v>34</v>
      </c>
      <c r="H290" t="s">
        <v>846</v>
      </c>
      <c r="I290" t="s">
        <v>847</v>
      </c>
      <c r="J290">
        <v>3934</v>
      </c>
      <c r="K290" t="s">
        <v>848</v>
      </c>
      <c r="L290">
        <v>0.58958333333333335</v>
      </c>
      <c r="M290">
        <v>0.59722222222222221</v>
      </c>
      <c r="Q290" t="s">
        <v>117</v>
      </c>
      <c r="R290" t="s">
        <v>3029</v>
      </c>
      <c r="S290">
        <v>2777698</v>
      </c>
    </row>
    <row r="291" spans="1:19" x14ac:dyDescent="0.25">
      <c r="A291" t="s">
        <v>1128</v>
      </c>
      <c r="B291" s="24">
        <v>46137</v>
      </c>
      <c r="C291" t="s">
        <v>26</v>
      </c>
      <c r="D291" t="s">
        <v>27</v>
      </c>
      <c r="E291">
        <v>15</v>
      </c>
      <c r="F291">
        <v>605</v>
      </c>
      <c r="G291" t="s">
        <v>34</v>
      </c>
      <c r="H291" t="s">
        <v>866</v>
      </c>
      <c r="I291" t="s">
        <v>1147</v>
      </c>
      <c r="J291">
        <v>3939</v>
      </c>
      <c r="K291" t="s">
        <v>1148</v>
      </c>
      <c r="L291">
        <v>0.63124999999999998</v>
      </c>
      <c r="M291">
        <v>0.63888888888888895</v>
      </c>
      <c r="Q291" t="s">
        <v>117</v>
      </c>
      <c r="R291" t="s">
        <v>3029</v>
      </c>
      <c r="S291">
        <v>2777698</v>
      </c>
    </row>
    <row r="292" spans="1:19" x14ac:dyDescent="0.25">
      <c r="A292" t="s">
        <v>1128</v>
      </c>
      <c r="B292" s="24">
        <v>46137</v>
      </c>
      <c r="C292" t="s">
        <v>26</v>
      </c>
      <c r="D292" t="s">
        <v>27</v>
      </c>
      <c r="E292">
        <v>15</v>
      </c>
      <c r="F292">
        <v>605</v>
      </c>
      <c r="G292" t="s">
        <v>34</v>
      </c>
      <c r="H292" t="s">
        <v>851</v>
      </c>
      <c r="I292" t="s">
        <v>852</v>
      </c>
      <c r="J292">
        <v>4227</v>
      </c>
      <c r="K292" t="s">
        <v>853</v>
      </c>
      <c r="L292">
        <v>0.41666666666666669</v>
      </c>
      <c r="M292">
        <v>0.43819444444444444</v>
      </c>
      <c r="Q292" t="s">
        <v>117</v>
      </c>
      <c r="R292" t="s">
        <v>3029</v>
      </c>
      <c r="S292">
        <v>2733737</v>
      </c>
    </row>
    <row r="293" spans="1:19" x14ac:dyDescent="0.25">
      <c r="A293" t="s">
        <v>1128</v>
      </c>
      <c r="B293" s="24">
        <v>46137</v>
      </c>
      <c r="C293" t="s">
        <v>26</v>
      </c>
      <c r="D293" t="s">
        <v>27</v>
      </c>
      <c r="E293">
        <v>15</v>
      </c>
      <c r="F293">
        <v>605</v>
      </c>
      <c r="G293" t="s">
        <v>34</v>
      </c>
      <c r="H293" t="s">
        <v>1070</v>
      </c>
      <c r="I293" t="s">
        <v>1071</v>
      </c>
      <c r="J293">
        <v>4244</v>
      </c>
      <c r="K293" t="s">
        <v>1072</v>
      </c>
      <c r="L293">
        <v>5.2083333333333336E-2</v>
      </c>
      <c r="M293">
        <v>7.6388888888888895E-2</v>
      </c>
      <c r="Q293" t="s">
        <v>117</v>
      </c>
      <c r="R293" t="s">
        <v>3029</v>
      </c>
      <c r="S293">
        <v>1742255</v>
      </c>
    </row>
    <row r="294" spans="1:19" x14ac:dyDescent="0.25">
      <c r="A294" t="s">
        <v>1128</v>
      </c>
      <c r="B294" s="24">
        <v>46137</v>
      </c>
      <c r="C294" t="s">
        <v>26</v>
      </c>
      <c r="D294" t="s">
        <v>27</v>
      </c>
      <c r="E294">
        <v>15</v>
      </c>
      <c r="F294">
        <v>605</v>
      </c>
      <c r="G294" t="s">
        <v>34</v>
      </c>
      <c r="H294" t="s">
        <v>856</v>
      </c>
      <c r="I294" t="s">
        <v>857</v>
      </c>
      <c r="J294">
        <v>4281</v>
      </c>
      <c r="K294" t="s">
        <v>858</v>
      </c>
      <c r="L294">
        <v>0.34236111111111112</v>
      </c>
      <c r="M294">
        <v>0.375</v>
      </c>
      <c r="Q294" t="s">
        <v>117</v>
      </c>
      <c r="R294" t="s">
        <v>3029</v>
      </c>
      <c r="S294">
        <v>2784148</v>
      </c>
    </row>
    <row r="295" spans="1:19" x14ac:dyDescent="0.25">
      <c r="A295" t="s">
        <v>1128</v>
      </c>
      <c r="B295" s="24">
        <v>46137</v>
      </c>
      <c r="C295" t="s">
        <v>26</v>
      </c>
      <c r="D295" t="s">
        <v>27</v>
      </c>
      <c r="E295">
        <v>15</v>
      </c>
      <c r="F295">
        <v>605</v>
      </c>
      <c r="G295" t="s">
        <v>34</v>
      </c>
      <c r="H295" t="s">
        <v>861</v>
      </c>
      <c r="I295" t="s">
        <v>862</v>
      </c>
      <c r="J295">
        <v>4282</v>
      </c>
      <c r="K295" t="s">
        <v>863</v>
      </c>
      <c r="L295">
        <v>0.98611111111111116</v>
      </c>
      <c r="M295">
        <v>2.0833333333333332E-2</v>
      </c>
      <c r="Q295" t="s">
        <v>117</v>
      </c>
      <c r="R295" t="s">
        <v>3029</v>
      </c>
      <c r="S295">
        <v>1742255</v>
      </c>
    </row>
    <row r="296" spans="1:19" x14ac:dyDescent="0.25">
      <c r="A296" t="s">
        <v>1128</v>
      </c>
      <c r="B296" s="24">
        <v>46137</v>
      </c>
      <c r="C296" t="s">
        <v>26</v>
      </c>
      <c r="D296" t="s">
        <v>27</v>
      </c>
      <c r="E296">
        <v>15</v>
      </c>
      <c r="F296">
        <v>605</v>
      </c>
      <c r="G296" t="s">
        <v>34</v>
      </c>
      <c r="H296" t="s">
        <v>1155</v>
      </c>
      <c r="I296" t="s">
        <v>1156</v>
      </c>
      <c r="J296">
        <v>4368</v>
      </c>
      <c r="K296" t="s">
        <v>1157</v>
      </c>
      <c r="L296">
        <v>0.54722222222222228</v>
      </c>
      <c r="M296">
        <v>0.57013888888888886</v>
      </c>
      <c r="Q296" t="s">
        <v>117</v>
      </c>
      <c r="R296" t="s">
        <v>3029</v>
      </c>
      <c r="S296">
        <v>1242255</v>
      </c>
    </row>
    <row r="297" spans="1:19" x14ac:dyDescent="0.25">
      <c r="A297" t="s">
        <v>1128</v>
      </c>
      <c r="B297" s="24">
        <v>46137</v>
      </c>
      <c r="C297" t="s">
        <v>26</v>
      </c>
      <c r="D297" t="s">
        <v>27</v>
      </c>
      <c r="E297">
        <v>15</v>
      </c>
      <c r="F297">
        <v>605</v>
      </c>
      <c r="G297" t="s">
        <v>34</v>
      </c>
      <c r="H297" t="s">
        <v>866</v>
      </c>
      <c r="I297" t="s">
        <v>867</v>
      </c>
      <c r="J297">
        <v>4374</v>
      </c>
      <c r="K297" t="s">
        <v>868</v>
      </c>
      <c r="L297">
        <v>0.65486111111111112</v>
      </c>
      <c r="M297">
        <v>0.66111111111111109</v>
      </c>
      <c r="Q297" t="s">
        <v>117</v>
      </c>
      <c r="R297" t="s">
        <v>3029</v>
      </c>
      <c r="S297">
        <v>2733753</v>
      </c>
    </row>
    <row r="298" spans="1:19" x14ac:dyDescent="0.25">
      <c r="A298" t="s">
        <v>1367</v>
      </c>
      <c r="B298" s="24">
        <v>46137</v>
      </c>
      <c r="C298" t="s">
        <v>26</v>
      </c>
      <c r="D298" t="s">
        <v>27</v>
      </c>
      <c r="E298">
        <v>15</v>
      </c>
      <c r="F298">
        <v>605</v>
      </c>
      <c r="G298" t="s">
        <v>34</v>
      </c>
      <c r="H298" t="s">
        <v>1368</v>
      </c>
      <c r="I298" t="s">
        <v>1369</v>
      </c>
      <c r="J298">
        <v>3317</v>
      </c>
      <c r="K298" t="s">
        <v>1370</v>
      </c>
      <c r="L298">
        <v>0.63124999999999998</v>
      </c>
      <c r="M298">
        <v>0.68055555555555558</v>
      </c>
      <c r="Q298" t="s">
        <v>117</v>
      </c>
      <c r="R298" t="s">
        <v>3029</v>
      </c>
      <c r="S298">
        <v>2777672</v>
      </c>
    </row>
    <row r="299" spans="1:19" x14ac:dyDescent="0.25">
      <c r="A299" t="s">
        <v>1367</v>
      </c>
      <c r="B299" s="24">
        <v>46137</v>
      </c>
      <c r="C299" t="s">
        <v>26</v>
      </c>
      <c r="D299" t="s">
        <v>27</v>
      </c>
      <c r="E299">
        <v>15</v>
      </c>
      <c r="F299">
        <v>605</v>
      </c>
      <c r="G299" t="s">
        <v>34</v>
      </c>
      <c r="H299" t="s">
        <v>1373</v>
      </c>
      <c r="I299" t="s">
        <v>1374</v>
      </c>
      <c r="J299">
        <v>3754</v>
      </c>
      <c r="K299" t="s">
        <v>1375</v>
      </c>
      <c r="L299">
        <v>0.36388888888888887</v>
      </c>
      <c r="M299">
        <v>0.38472222222222224</v>
      </c>
      <c r="Q299" t="s">
        <v>117</v>
      </c>
      <c r="R299" t="s">
        <v>3029</v>
      </c>
      <c r="S299">
        <v>2778424</v>
      </c>
    </row>
    <row r="300" spans="1:19" x14ac:dyDescent="0.25">
      <c r="A300" t="s">
        <v>1367</v>
      </c>
      <c r="B300" s="24">
        <v>46137</v>
      </c>
      <c r="C300" t="s">
        <v>26</v>
      </c>
      <c r="D300" t="s">
        <v>27</v>
      </c>
      <c r="E300">
        <v>15</v>
      </c>
      <c r="F300">
        <v>605</v>
      </c>
      <c r="G300" t="s">
        <v>34</v>
      </c>
      <c r="H300" t="s">
        <v>1378</v>
      </c>
      <c r="I300" t="s">
        <v>1379</v>
      </c>
      <c r="J300">
        <v>3757</v>
      </c>
      <c r="K300" t="s">
        <v>1380</v>
      </c>
      <c r="L300">
        <v>0.3347222222222222</v>
      </c>
      <c r="M300">
        <v>0.35625000000000001</v>
      </c>
      <c r="Q300" t="s">
        <v>117</v>
      </c>
      <c r="R300" t="s">
        <v>3029</v>
      </c>
      <c r="S300">
        <v>2778424</v>
      </c>
    </row>
    <row r="301" spans="1:19" x14ac:dyDescent="0.25">
      <c r="A301" t="s">
        <v>1367</v>
      </c>
      <c r="B301" s="24">
        <v>46137</v>
      </c>
      <c r="C301" t="s">
        <v>26</v>
      </c>
      <c r="D301" t="s">
        <v>27</v>
      </c>
      <c r="E301">
        <v>15</v>
      </c>
      <c r="F301">
        <v>605</v>
      </c>
      <c r="G301" t="s">
        <v>34</v>
      </c>
      <c r="H301" t="s">
        <v>1236</v>
      </c>
      <c r="I301" t="s">
        <v>1237</v>
      </c>
      <c r="J301">
        <v>3971</v>
      </c>
      <c r="K301" t="s">
        <v>1238</v>
      </c>
      <c r="L301">
        <v>0.63124999999999998</v>
      </c>
      <c r="M301">
        <v>0.65138888888888891</v>
      </c>
      <c r="Q301" t="s">
        <v>117</v>
      </c>
      <c r="R301" t="s">
        <v>3029</v>
      </c>
      <c r="S301">
        <v>2777672</v>
      </c>
    </row>
    <row r="302" spans="1:19" x14ac:dyDescent="0.25">
      <c r="A302" t="s">
        <v>1367</v>
      </c>
      <c r="B302" s="24">
        <v>46137</v>
      </c>
      <c r="C302" t="s">
        <v>26</v>
      </c>
      <c r="D302" t="s">
        <v>27</v>
      </c>
      <c r="E302">
        <v>15</v>
      </c>
      <c r="F302">
        <v>605</v>
      </c>
      <c r="G302" t="s">
        <v>34</v>
      </c>
      <c r="H302" t="s">
        <v>1246</v>
      </c>
      <c r="I302" t="s">
        <v>1247</v>
      </c>
      <c r="J302">
        <v>3973</v>
      </c>
      <c r="K302" t="s">
        <v>1248</v>
      </c>
      <c r="L302">
        <v>0.66597222222222219</v>
      </c>
      <c r="M302">
        <v>0.71180555555555558</v>
      </c>
      <c r="Q302" t="s">
        <v>117</v>
      </c>
      <c r="R302" t="s">
        <v>3029</v>
      </c>
      <c r="S302">
        <v>2777672</v>
      </c>
    </row>
    <row r="303" spans="1:19" x14ac:dyDescent="0.25">
      <c r="A303" t="s">
        <v>1367</v>
      </c>
      <c r="B303" s="24">
        <v>46137</v>
      </c>
      <c r="C303" t="s">
        <v>26</v>
      </c>
      <c r="D303" t="s">
        <v>27</v>
      </c>
      <c r="E303">
        <v>15</v>
      </c>
      <c r="F303">
        <v>605</v>
      </c>
      <c r="G303" t="s">
        <v>34</v>
      </c>
      <c r="H303" t="s">
        <v>1368</v>
      </c>
      <c r="I303" t="s">
        <v>1369</v>
      </c>
      <c r="J303">
        <v>4410</v>
      </c>
      <c r="K303" t="s">
        <v>1385</v>
      </c>
      <c r="L303">
        <v>0.68472222222222223</v>
      </c>
      <c r="M303">
        <v>0.72361111111111109</v>
      </c>
      <c r="Q303" t="s">
        <v>117</v>
      </c>
      <c r="R303" t="s">
        <v>3029</v>
      </c>
      <c r="S303">
        <v>3215737</v>
      </c>
    </row>
  </sheetData>
  <sheetProtection sort="0" autoFilter="0"/>
  <mergeCells count="2">
    <mergeCell ref="A2:Q2"/>
    <mergeCell ref="A1:Q1"/>
  </mergeCell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S74"/>
  <sheetViews>
    <sheetView showGridLines="0" workbookViewId="0">
      <selection activeCell="R17" sqref="R17"/>
    </sheetView>
  </sheetViews>
  <sheetFormatPr defaultColWidth="9.140625" defaultRowHeight="15" x14ac:dyDescent="0.25"/>
  <cols>
    <col min="1" max="1" width="18" customWidth="1"/>
    <col min="2" max="2" width="2" customWidth="1"/>
    <col min="3" max="3" width="18" customWidth="1"/>
    <col min="4" max="4" width="2" customWidth="1"/>
    <col min="5" max="5" width="10" customWidth="1"/>
    <col min="6" max="6" width="2" customWidth="1"/>
    <col min="7" max="7" width="14" customWidth="1"/>
    <col min="8" max="8" width="2" customWidth="1"/>
    <col min="9" max="9" width="24" customWidth="1"/>
    <col min="10" max="10" width="2" customWidth="1"/>
    <col min="11" max="11" width="18" customWidth="1"/>
    <col min="12" max="12" width="2" customWidth="1"/>
    <col min="13" max="13" width="18" customWidth="1"/>
    <col min="14" max="14" width="2" customWidth="1"/>
    <col min="15" max="15" width="18" customWidth="1"/>
    <col min="18" max="18" width="21.28515625" customWidth="1"/>
    <col min="19" max="19" width="15.28515625" bestFit="1" customWidth="1"/>
  </cols>
  <sheetData>
    <row r="1" spans="1:19" ht="18.75" x14ac:dyDescent="0.25">
      <c r="A1" s="64" t="s">
        <v>3894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7"/>
    </row>
    <row r="2" spans="1:19" x14ac:dyDescent="0.25">
      <c r="A2" s="61" t="s">
        <v>3895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</row>
    <row r="4" spans="1:19" x14ac:dyDescent="0.25">
      <c r="A4" s="5" t="s">
        <v>15</v>
      </c>
      <c r="C4" s="5" t="s">
        <v>32</v>
      </c>
      <c r="E4" s="5" t="s">
        <v>33</v>
      </c>
      <c r="G4" s="5" t="s">
        <v>3023</v>
      </c>
      <c r="I4" s="5" t="s">
        <v>3024</v>
      </c>
      <c r="K4" s="5" t="s">
        <v>110</v>
      </c>
      <c r="M4" s="5"/>
      <c r="O4" s="5"/>
      <c r="S4" s="5" t="s">
        <v>3896</v>
      </c>
    </row>
    <row r="5" spans="1:19" ht="25.5" x14ac:dyDescent="0.25">
      <c r="A5" s="17" t="s">
        <v>25</v>
      </c>
      <c r="C5" s="17">
        <v>606</v>
      </c>
      <c r="E5" s="17" t="s">
        <v>34</v>
      </c>
      <c r="G5" s="17" t="s">
        <v>3897</v>
      </c>
      <c r="I5" s="17" t="s">
        <v>3898</v>
      </c>
      <c r="K5" s="17" t="s">
        <v>3079</v>
      </c>
      <c r="M5" s="17" t="s">
        <v>367</v>
      </c>
      <c r="O5" s="17" t="s">
        <v>367</v>
      </c>
      <c r="Q5" t="s">
        <v>777</v>
      </c>
      <c r="S5" s="17" t="s">
        <v>3072</v>
      </c>
    </row>
    <row r="6" spans="1:19" x14ac:dyDescent="0.25">
      <c r="A6" s="17" t="s">
        <v>27</v>
      </c>
      <c r="C6" s="17">
        <v>605</v>
      </c>
      <c r="E6" s="17" t="s">
        <v>3899</v>
      </c>
      <c r="G6" s="17" t="s">
        <v>3900</v>
      </c>
      <c r="I6" s="17" t="s">
        <v>3901</v>
      </c>
      <c r="K6" s="17" t="s">
        <v>778</v>
      </c>
      <c r="M6" t="s">
        <v>65</v>
      </c>
      <c r="O6" t="s">
        <v>1589</v>
      </c>
      <c r="Q6" t="s">
        <v>871</v>
      </c>
      <c r="S6" s="17" t="s">
        <v>3902</v>
      </c>
    </row>
    <row r="7" spans="1:19" x14ac:dyDescent="0.25">
      <c r="C7" s="17">
        <v>603</v>
      </c>
      <c r="E7" s="17"/>
      <c r="I7" s="17" t="s">
        <v>3903</v>
      </c>
      <c r="K7" s="17" t="s">
        <v>117</v>
      </c>
      <c r="M7" t="s">
        <v>150</v>
      </c>
      <c r="O7" t="s">
        <v>512</v>
      </c>
      <c r="Q7" t="s">
        <v>916</v>
      </c>
      <c r="S7" s="17" t="s">
        <v>3029</v>
      </c>
    </row>
    <row r="8" spans="1:19" x14ac:dyDescent="0.25">
      <c r="I8" s="17" t="s">
        <v>3904</v>
      </c>
      <c r="M8" t="s">
        <v>1588</v>
      </c>
      <c r="O8" t="s">
        <v>44</v>
      </c>
      <c r="Q8" t="s">
        <v>1058</v>
      </c>
      <c r="S8" s="17" t="s">
        <v>3032</v>
      </c>
    </row>
    <row r="9" spans="1:19" x14ac:dyDescent="0.25">
      <c r="I9" s="17" t="s">
        <v>3905</v>
      </c>
      <c r="M9" t="s">
        <v>1585</v>
      </c>
      <c r="O9" t="s">
        <v>368</v>
      </c>
      <c r="Q9" t="s">
        <v>1230</v>
      </c>
      <c r="S9" s="17" t="s">
        <v>3035</v>
      </c>
    </row>
    <row r="10" spans="1:19" x14ac:dyDescent="0.25">
      <c r="I10" s="17" t="s">
        <v>3906</v>
      </c>
      <c r="M10" t="s">
        <v>530</v>
      </c>
      <c r="O10" t="s">
        <v>1590</v>
      </c>
      <c r="Q10" t="s">
        <v>1253</v>
      </c>
      <c r="S10" s="17" t="s">
        <v>3907</v>
      </c>
    </row>
    <row r="11" spans="1:19" x14ac:dyDescent="0.25">
      <c r="M11" t="s">
        <v>1665</v>
      </c>
      <c r="O11" t="s">
        <v>1599</v>
      </c>
      <c r="Q11" t="s">
        <v>1282</v>
      </c>
      <c r="S11" s="17"/>
    </row>
    <row r="12" spans="1:19" x14ac:dyDescent="0.25">
      <c r="M12" t="s">
        <v>1672</v>
      </c>
      <c r="O12" t="s">
        <v>1585</v>
      </c>
      <c r="Q12" t="s">
        <v>1304</v>
      </c>
    </row>
    <row r="13" spans="1:19" x14ac:dyDescent="0.25">
      <c r="M13" t="s">
        <v>152</v>
      </c>
      <c r="O13" t="s">
        <v>530</v>
      </c>
      <c r="Q13" t="s">
        <v>1316</v>
      </c>
    </row>
    <row r="14" spans="1:19" x14ac:dyDescent="0.25">
      <c r="M14" t="s">
        <v>147</v>
      </c>
      <c r="O14" t="s">
        <v>1594</v>
      </c>
      <c r="Q14" t="s">
        <v>1337</v>
      </c>
    </row>
    <row r="15" spans="1:19" x14ac:dyDescent="0.25">
      <c r="M15" t="s">
        <v>550</v>
      </c>
      <c r="O15" t="s">
        <v>65</v>
      </c>
      <c r="Q15" t="s">
        <v>1388</v>
      </c>
    </row>
    <row r="16" spans="1:19" x14ac:dyDescent="0.25">
      <c r="M16" t="s">
        <v>511</v>
      </c>
      <c r="O16" t="s">
        <v>1591</v>
      </c>
      <c r="Q16" t="s">
        <v>1422</v>
      </c>
    </row>
    <row r="17" spans="13:17" x14ac:dyDescent="0.25">
      <c r="M17" t="s">
        <v>1583</v>
      </c>
      <c r="O17" t="s">
        <v>1598</v>
      </c>
      <c r="Q17" t="s">
        <v>69</v>
      </c>
    </row>
    <row r="18" spans="13:17" x14ac:dyDescent="0.25">
      <c r="M18" t="s">
        <v>131</v>
      </c>
      <c r="O18" t="s">
        <v>115</v>
      </c>
      <c r="Q18" t="s">
        <v>1462</v>
      </c>
    </row>
    <row r="19" spans="13:17" x14ac:dyDescent="0.25">
      <c r="M19" t="s">
        <v>129</v>
      </c>
      <c r="O19" t="s">
        <v>1588</v>
      </c>
      <c r="Q19" t="s">
        <v>1472</v>
      </c>
    </row>
    <row r="20" spans="13:17" x14ac:dyDescent="0.25">
      <c r="M20" t="s">
        <v>2094</v>
      </c>
      <c r="O20" t="s">
        <v>1596</v>
      </c>
      <c r="Q20" t="s">
        <v>1497</v>
      </c>
    </row>
    <row r="21" spans="13:17" x14ac:dyDescent="0.25">
      <c r="M21" t="s">
        <v>50</v>
      </c>
      <c r="O21" t="s">
        <v>1597</v>
      </c>
      <c r="Q21" t="s">
        <v>1504</v>
      </c>
    </row>
    <row r="22" spans="13:17" x14ac:dyDescent="0.25">
      <c r="M22" t="s">
        <v>51</v>
      </c>
      <c r="O22" t="s">
        <v>427</v>
      </c>
      <c r="Q22" t="s">
        <v>1525</v>
      </c>
    </row>
    <row r="23" spans="13:17" x14ac:dyDescent="0.25">
      <c r="M23" t="s">
        <v>52</v>
      </c>
      <c r="O23" t="s">
        <v>152</v>
      </c>
    </row>
    <row r="24" spans="13:17" x14ac:dyDescent="0.25">
      <c r="M24" t="s">
        <v>53</v>
      </c>
      <c r="O24" t="s">
        <v>1593</v>
      </c>
    </row>
    <row r="25" spans="13:17" x14ac:dyDescent="0.25">
      <c r="M25" t="s">
        <v>57</v>
      </c>
      <c r="O25" t="s">
        <v>550</v>
      </c>
    </row>
    <row r="26" spans="13:17" x14ac:dyDescent="0.25">
      <c r="M26" t="s">
        <v>58</v>
      </c>
      <c r="O26" t="s">
        <v>511</v>
      </c>
    </row>
    <row r="27" spans="13:17" x14ac:dyDescent="0.25">
      <c r="M27" t="s">
        <v>114</v>
      </c>
      <c r="O27" t="s">
        <v>1583</v>
      </c>
    </row>
    <row r="28" spans="13:17" x14ac:dyDescent="0.25">
      <c r="M28" t="s">
        <v>2195</v>
      </c>
      <c r="O28" t="s">
        <v>66</v>
      </c>
    </row>
    <row r="29" spans="13:17" x14ac:dyDescent="0.25">
      <c r="M29" t="s">
        <v>2259</v>
      </c>
      <c r="O29" t="s">
        <v>498</v>
      </c>
    </row>
    <row r="30" spans="13:17" x14ac:dyDescent="0.25">
      <c r="M30" t="s">
        <v>2293</v>
      </c>
      <c r="O30" t="s">
        <v>492</v>
      </c>
    </row>
    <row r="31" spans="13:17" x14ac:dyDescent="0.25">
      <c r="M31" t="s">
        <v>2296</v>
      </c>
      <c r="O31" t="s">
        <v>1592</v>
      </c>
    </row>
    <row r="32" spans="13:17" x14ac:dyDescent="0.25">
      <c r="M32" t="s">
        <v>133</v>
      </c>
      <c r="O32" t="s">
        <v>60</v>
      </c>
    </row>
    <row r="33" spans="13:15" x14ac:dyDescent="0.25">
      <c r="M33" t="s">
        <v>2395</v>
      </c>
      <c r="O33" t="s">
        <v>1595</v>
      </c>
    </row>
    <row r="34" spans="13:15" x14ac:dyDescent="0.25">
      <c r="M34" t="s">
        <v>2397</v>
      </c>
      <c r="O34" t="s">
        <v>147</v>
      </c>
    </row>
    <row r="35" spans="13:15" x14ac:dyDescent="0.25">
      <c r="M35" t="s">
        <v>2399</v>
      </c>
      <c r="O35" t="s">
        <v>2823</v>
      </c>
    </row>
    <row r="36" spans="13:15" x14ac:dyDescent="0.25">
      <c r="M36" t="s">
        <v>46</v>
      </c>
    </row>
    <row r="37" spans="13:15" x14ac:dyDescent="0.25">
      <c r="M37" t="s">
        <v>49</v>
      </c>
    </row>
    <row r="38" spans="13:15" x14ac:dyDescent="0.25">
      <c r="M38" t="s">
        <v>2430</v>
      </c>
    </row>
    <row r="39" spans="13:15" x14ac:dyDescent="0.25">
      <c r="M39" t="s">
        <v>55</v>
      </c>
    </row>
    <row r="40" spans="13:15" x14ac:dyDescent="0.25">
      <c r="M40" t="s">
        <v>56</v>
      </c>
    </row>
    <row r="41" spans="13:15" x14ac:dyDescent="0.25">
      <c r="M41" t="s">
        <v>47</v>
      </c>
    </row>
    <row r="42" spans="13:15" x14ac:dyDescent="0.25">
      <c r="M42" t="s">
        <v>2468</v>
      </c>
    </row>
    <row r="43" spans="13:15" x14ac:dyDescent="0.25">
      <c r="M43" t="s">
        <v>2470</v>
      </c>
    </row>
    <row r="44" spans="13:15" x14ac:dyDescent="0.25">
      <c r="M44" t="s">
        <v>60</v>
      </c>
    </row>
    <row r="45" spans="13:15" x14ac:dyDescent="0.25">
      <c r="M45" t="s">
        <v>1141</v>
      </c>
    </row>
    <row r="46" spans="13:15" x14ac:dyDescent="0.25">
      <c r="M46" t="s">
        <v>829</v>
      </c>
    </row>
    <row r="47" spans="13:15" x14ac:dyDescent="0.25">
      <c r="M47" t="s">
        <v>2717</v>
      </c>
    </row>
    <row r="48" spans="13:15" x14ac:dyDescent="0.25">
      <c r="M48" t="s">
        <v>2729</v>
      </c>
    </row>
    <row r="49" spans="13:13" x14ac:dyDescent="0.25">
      <c r="M49" t="s">
        <v>2730</v>
      </c>
    </row>
    <row r="50" spans="13:13" x14ac:dyDescent="0.25">
      <c r="M50" t="s">
        <v>2742</v>
      </c>
    </row>
    <row r="51" spans="13:13" x14ac:dyDescent="0.25">
      <c r="M51" t="s">
        <v>2763</v>
      </c>
    </row>
    <row r="52" spans="13:13" x14ac:dyDescent="0.25">
      <c r="M52" t="s">
        <v>2770</v>
      </c>
    </row>
    <row r="53" spans="13:13" x14ac:dyDescent="0.25">
      <c r="M53" t="s">
        <v>2778</v>
      </c>
    </row>
    <row r="54" spans="13:13" x14ac:dyDescent="0.25">
      <c r="M54" t="s">
        <v>2823</v>
      </c>
    </row>
    <row r="55" spans="13:13" x14ac:dyDescent="0.25">
      <c r="M55" t="s">
        <v>1279</v>
      </c>
    </row>
    <row r="56" spans="13:13" x14ac:dyDescent="0.25">
      <c r="M56" t="s">
        <v>1277</v>
      </c>
    </row>
    <row r="57" spans="13:13" x14ac:dyDescent="0.25">
      <c r="M57" t="s">
        <v>1275</v>
      </c>
    </row>
    <row r="58" spans="13:13" x14ac:dyDescent="0.25">
      <c r="M58" t="s">
        <v>2835</v>
      </c>
    </row>
    <row r="59" spans="13:13" x14ac:dyDescent="0.25">
      <c r="M59" t="s">
        <v>2837</v>
      </c>
    </row>
    <row r="60" spans="13:13" x14ac:dyDescent="0.25">
      <c r="M60" t="s">
        <v>1264</v>
      </c>
    </row>
    <row r="61" spans="13:13" x14ac:dyDescent="0.25">
      <c r="M61" t="s">
        <v>1266</v>
      </c>
    </row>
    <row r="62" spans="13:13" x14ac:dyDescent="0.25">
      <c r="M62" t="s">
        <v>2840</v>
      </c>
    </row>
    <row r="63" spans="13:13" x14ac:dyDescent="0.25">
      <c r="M63" t="s">
        <v>2886</v>
      </c>
    </row>
    <row r="64" spans="13:13" x14ac:dyDescent="0.25">
      <c r="M64" t="s">
        <v>2892</v>
      </c>
    </row>
    <row r="65" spans="13:13" x14ac:dyDescent="0.25">
      <c r="M65" t="s">
        <v>2896</v>
      </c>
    </row>
    <row r="66" spans="13:13" x14ac:dyDescent="0.25">
      <c r="M66" t="s">
        <v>2911</v>
      </c>
    </row>
    <row r="67" spans="13:13" x14ac:dyDescent="0.25">
      <c r="M67" t="s">
        <v>2917</v>
      </c>
    </row>
    <row r="68" spans="13:13" x14ac:dyDescent="0.25">
      <c r="M68" t="s">
        <v>2925</v>
      </c>
    </row>
    <row r="69" spans="13:13" x14ac:dyDescent="0.25">
      <c r="M69" t="s">
        <v>2932</v>
      </c>
    </row>
    <row r="70" spans="13:13" x14ac:dyDescent="0.25">
      <c r="M70" t="s">
        <v>2936</v>
      </c>
    </row>
    <row r="71" spans="13:13" x14ac:dyDescent="0.25">
      <c r="M71" t="s">
        <v>2941</v>
      </c>
    </row>
    <row r="72" spans="13:13" x14ac:dyDescent="0.25">
      <c r="M72" t="s">
        <v>2947</v>
      </c>
    </row>
    <row r="73" spans="13:13" x14ac:dyDescent="0.25">
      <c r="M73" t="s">
        <v>2949</v>
      </c>
    </row>
    <row r="74" spans="13:13" x14ac:dyDescent="0.25">
      <c r="M74" t="s">
        <v>2955</v>
      </c>
    </row>
  </sheetData>
  <sheetProtection sort="0" autoFilter="0"/>
  <mergeCells count="2">
    <mergeCell ref="A2:L2"/>
    <mergeCell ref="A1:L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CFFB-3660-4247-84FC-EDA43846F3BA}">
  <sheetPr codeName="Planilha13"/>
  <dimension ref="A1:I30"/>
  <sheetViews>
    <sheetView workbookViewId="0"/>
  </sheetViews>
  <sheetFormatPr defaultRowHeight="15" x14ac:dyDescent="0.25"/>
  <cols>
    <col min="1" max="1" width="9.42578125" bestFit="1" customWidth="1"/>
    <col min="2" max="2" width="19.28515625" bestFit="1" customWidth="1"/>
    <col min="3" max="3" width="16.5703125" bestFit="1" customWidth="1"/>
    <col min="4" max="4" width="14" bestFit="1" customWidth="1"/>
    <col min="5" max="5" width="12.7109375" bestFit="1" customWidth="1"/>
    <col min="6" max="6" width="11.28515625" bestFit="1" customWidth="1"/>
    <col min="7" max="7" width="14.5703125" style="54" bestFit="1" customWidth="1"/>
    <col min="8" max="8" width="13.42578125" style="54" bestFit="1" customWidth="1"/>
    <col min="9" max="9" width="15.140625" bestFit="1" customWidth="1"/>
  </cols>
  <sheetData>
    <row r="1" spans="1:9" x14ac:dyDescent="0.25">
      <c r="A1" s="52" t="s">
        <v>14</v>
      </c>
      <c r="B1" s="52" t="s">
        <v>43</v>
      </c>
      <c r="C1" s="52" t="s">
        <v>18</v>
      </c>
      <c r="D1" s="52" t="s">
        <v>1578</v>
      </c>
      <c r="E1" s="52" t="s">
        <v>3908</v>
      </c>
      <c r="F1" s="52" t="s">
        <v>21</v>
      </c>
      <c r="G1" s="53" t="s">
        <v>1580</v>
      </c>
      <c r="H1" s="53" t="s">
        <v>22</v>
      </c>
      <c r="I1" s="52" t="s">
        <v>3909</v>
      </c>
    </row>
    <row r="2" spans="1:9" x14ac:dyDescent="0.25">
      <c r="A2" t="s">
        <v>24</v>
      </c>
      <c r="B2" t="s">
        <v>1583</v>
      </c>
      <c r="C2">
        <v>6</v>
      </c>
      <c r="D2">
        <v>6</v>
      </c>
      <c r="E2">
        <v>1</v>
      </c>
      <c r="F2">
        <v>5</v>
      </c>
      <c r="G2" s="54">
        <v>1</v>
      </c>
      <c r="H2" s="54">
        <v>0.16666666666666666</v>
      </c>
      <c r="I2" t="s">
        <v>1584</v>
      </c>
    </row>
    <row r="3" spans="1:9" x14ac:dyDescent="0.25">
      <c r="A3" t="s">
        <v>24</v>
      </c>
      <c r="B3" t="s">
        <v>1585</v>
      </c>
      <c r="C3">
        <v>7</v>
      </c>
      <c r="D3">
        <v>7</v>
      </c>
      <c r="E3">
        <v>7</v>
      </c>
      <c r="F3">
        <v>0</v>
      </c>
      <c r="G3" s="54">
        <v>1</v>
      </c>
      <c r="H3" s="54">
        <v>1</v>
      </c>
      <c r="I3" t="s">
        <v>1586</v>
      </c>
    </row>
    <row r="4" spans="1:9" x14ac:dyDescent="0.25">
      <c r="A4" t="s">
        <v>24</v>
      </c>
      <c r="B4" t="s">
        <v>60</v>
      </c>
      <c r="C4">
        <v>5</v>
      </c>
      <c r="D4">
        <v>0</v>
      </c>
      <c r="E4">
        <v>0</v>
      </c>
      <c r="F4">
        <v>5</v>
      </c>
      <c r="G4" s="54">
        <v>0</v>
      </c>
      <c r="H4" s="54">
        <v>0</v>
      </c>
      <c r="I4" t="s">
        <v>1587</v>
      </c>
    </row>
    <row r="5" spans="1:9" x14ac:dyDescent="0.25">
      <c r="A5" t="s">
        <v>24</v>
      </c>
      <c r="B5" t="s">
        <v>550</v>
      </c>
      <c r="C5">
        <v>3</v>
      </c>
      <c r="D5">
        <v>3</v>
      </c>
      <c r="E5">
        <v>1</v>
      </c>
      <c r="F5">
        <v>2</v>
      </c>
      <c r="G5" s="54">
        <v>1</v>
      </c>
      <c r="H5" s="54">
        <v>0.33333333333333331</v>
      </c>
      <c r="I5" t="s">
        <v>1584</v>
      </c>
    </row>
    <row r="6" spans="1:9" x14ac:dyDescent="0.25">
      <c r="A6" t="s">
        <v>24</v>
      </c>
      <c r="B6" t="s">
        <v>511</v>
      </c>
      <c r="C6">
        <v>14</v>
      </c>
      <c r="D6">
        <v>14</v>
      </c>
      <c r="E6">
        <v>3</v>
      </c>
      <c r="F6">
        <v>11</v>
      </c>
      <c r="G6" s="54">
        <v>1</v>
      </c>
      <c r="H6" s="54">
        <v>0.21428571428571427</v>
      </c>
      <c r="I6" t="s">
        <v>1584</v>
      </c>
    </row>
    <row r="7" spans="1:9" x14ac:dyDescent="0.25">
      <c r="A7" t="s">
        <v>24</v>
      </c>
      <c r="B7" t="s">
        <v>530</v>
      </c>
      <c r="C7">
        <v>3</v>
      </c>
      <c r="D7">
        <v>3</v>
      </c>
      <c r="E7">
        <v>3</v>
      </c>
      <c r="F7">
        <v>0</v>
      </c>
      <c r="G7" s="54">
        <v>1</v>
      </c>
      <c r="H7" s="54">
        <v>1</v>
      </c>
      <c r="I7" t="s">
        <v>1586</v>
      </c>
    </row>
    <row r="8" spans="1:9" x14ac:dyDescent="0.25">
      <c r="A8" t="s">
        <v>24</v>
      </c>
      <c r="B8" t="s">
        <v>1588</v>
      </c>
      <c r="C8">
        <v>2</v>
      </c>
      <c r="D8">
        <v>2</v>
      </c>
      <c r="E8">
        <v>2</v>
      </c>
      <c r="F8">
        <v>0</v>
      </c>
      <c r="G8" s="54">
        <v>1</v>
      </c>
      <c r="H8" s="54">
        <v>1</v>
      </c>
      <c r="I8" t="s">
        <v>1586</v>
      </c>
    </row>
    <row r="9" spans="1:9" x14ac:dyDescent="0.25">
      <c r="A9" t="s">
        <v>24</v>
      </c>
      <c r="B9" t="s">
        <v>367</v>
      </c>
      <c r="C9">
        <v>27</v>
      </c>
      <c r="D9">
        <v>27</v>
      </c>
      <c r="E9">
        <v>24</v>
      </c>
      <c r="F9">
        <v>3</v>
      </c>
      <c r="G9" s="54">
        <v>1</v>
      </c>
      <c r="H9" s="54">
        <v>0.88888888888888884</v>
      </c>
      <c r="I9" t="s">
        <v>1584</v>
      </c>
    </row>
    <row r="10" spans="1:9" x14ac:dyDescent="0.25">
      <c r="A10" t="s">
        <v>24</v>
      </c>
      <c r="B10" t="s">
        <v>65</v>
      </c>
      <c r="C10">
        <v>21</v>
      </c>
      <c r="D10">
        <v>21</v>
      </c>
      <c r="E10">
        <v>21</v>
      </c>
      <c r="F10">
        <v>0</v>
      </c>
      <c r="G10" s="54">
        <v>1</v>
      </c>
      <c r="H10" s="54">
        <v>1</v>
      </c>
      <c r="I10" t="s">
        <v>1586</v>
      </c>
    </row>
    <row r="11" spans="1:9" x14ac:dyDescent="0.25">
      <c r="A11" t="s">
        <v>24</v>
      </c>
      <c r="B11" t="s">
        <v>44</v>
      </c>
      <c r="C11">
        <v>69</v>
      </c>
      <c r="D11">
        <v>45</v>
      </c>
      <c r="E11">
        <v>45</v>
      </c>
      <c r="F11">
        <v>24</v>
      </c>
      <c r="G11" s="54">
        <v>0.65217391304347827</v>
      </c>
      <c r="H11" s="54">
        <v>0.65217391304347827</v>
      </c>
      <c r="I11" t="s">
        <v>1584</v>
      </c>
    </row>
    <row r="12" spans="1:9" x14ac:dyDescent="0.25">
      <c r="A12" t="s">
        <v>24</v>
      </c>
      <c r="B12" t="s">
        <v>152</v>
      </c>
      <c r="C12">
        <v>22</v>
      </c>
      <c r="D12">
        <v>22</v>
      </c>
      <c r="E12">
        <v>15</v>
      </c>
      <c r="F12">
        <v>7</v>
      </c>
      <c r="G12" s="54">
        <v>1</v>
      </c>
      <c r="H12" s="54">
        <v>0.68181818181818177</v>
      </c>
      <c r="I12" t="s">
        <v>1584</v>
      </c>
    </row>
    <row r="13" spans="1:9" x14ac:dyDescent="0.25">
      <c r="A13" t="s">
        <v>24</v>
      </c>
      <c r="B13" t="s">
        <v>512</v>
      </c>
      <c r="C13">
        <v>97</v>
      </c>
      <c r="D13">
        <v>97</v>
      </c>
      <c r="E13">
        <v>84</v>
      </c>
      <c r="F13">
        <v>13</v>
      </c>
      <c r="G13" s="54">
        <v>1</v>
      </c>
      <c r="H13" s="54">
        <v>0.865979381443299</v>
      </c>
      <c r="I13" t="s">
        <v>1584</v>
      </c>
    </row>
    <row r="14" spans="1:9" x14ac:dyDescent="0.25">
      <c r="A14" t="s">
        <v>24</v>
      </c>
      <c r="B14" t="s">
        <v>368</v>
      </c>
      <c r="C14">
        <v>59</v>
      </c>
      <c r="D14">
        <v>59</v>
      </c>
      <c r="E14">
        <v>57</v>
      </c>
      <c r="F14">
        <v>2</v>
      </c>
      <c r="G14" s="54">
        <v>1</v>
      </c>
      <c r="H14" s="54">
        <v>0.96610169491525422</v>
      </c>
      <c r="I14" t="s">
        <v>1584</v>
      </c>
    </row>
    <row r="15" spans="1:9" x14ac:dyDescent="0.25">
      <c r="A15" t="s">
        <v>24</v>
      </c>
      <c r="B15" t="s">
        <v>1589</v>
      </c>
      <c r="C15">
        <v>15</v>
      </c>
      <c r="D15">
        <v>15</v>
      </c>
      <c r="E15">
        <v>13</v>
      </c>
      <c r="F15">
        <v>2</v>
      </c>
      <c r="G15" s="54">
        <v>1</v>
      </c>
      <c r="H15" s="54">
        <v>0.8666666666666667</v>
      </c>
      <c r="I15" t="s">
        <v>1584</v>
      </c>
    </row>
    <row r="16" spans="1:9" x14ac:dyDescent="0.25">
      <c r="A16" t="s">
        <v>24</v>
      </c>
      <c r="B16" t="s">
        <v>1590</v>
      </c>
      <c r="C16">
        <v>27</v>
      </c>
      <c r="D16">
        <v>27</v>
      </c>
      <c r="E16">
        <v>24</v>
      </c>
      <c r="F16">
        <v>3</v>
      </c>
      <c r="G16" s="54">
        <v>1</v>
      </c>
      <c r="H16" s="54">
        <v>0.88888888888888884</v>
      </c>
      <c r="I16" t="s">
        <v>1584</v>
      </c>
    </row>
    <row r="17" spans="1:9" x14ac:dyDescent="0.25">
      <c r="A17" t="s">
        <v>24</v>
      </c>
      <c r="B17" t="s">
        <v>1591</v>
      </c>
      <c r="C17">
        <v>23</v>
      </c>
      <c r="D17">
        <v>23</v>
      </c>
      <c r="E17">
        <v>17</v>
      </c>
      <c r="F17">
        <v>6</v>
      </c>
      <c r="G17" s="54">
        <v>1</v>
      </c>
      <c r="H17" s="54">
        <v>0.73913043478260865</v>
      </c>
      <c r="I17" t="s">
        <v>1584</v>
      </c>
    </row>
    <row r="18" spans="1:9" x14ac:dyDescent="0.25">
      <c r="A18" t="s">
        <v>24</v>
      </c>
      <c r="B18" t="s">
        <v>1592</v>
      </c>
      <c r="C18">
        <v>8</v>
      </c>
      <c r="D18">
        <v>8</v>
      </c>
      <c r="E18">
        <v>8</v>
      </c>
      <c r="F18">
        <v>0</v>
      </c>
      <c r="G18" s="54">
        <v>1</v>
      </c>
      <c r="H18" s="54">
        <v>1</v>
      </c>
      <c r="I18" t="s">
        <v>1586</v>
      </c>
    </row>
    <row r="19" spans="1:9" x14ac:dyDescent="0.25">
      <c r="A19" t="s">
        <v>24</v>
      </c>
      <c r="B19" t="s">
        <v>427</v>
      </c>
      <c r="C19">
        <v>9</v>
      </c>
      <c r="D19">
        <v>9</v>
      </c>
      <c r="E19">
        <v>9</v>
      </c>
      <c r="F19">
        <v>0</v>
      </c>
      <c r="G19" s="54">
        <v>1</v>
      </c>
      <c r="H19" s="54">
        <v>1</v>
      </c>
      <c r="I19" t="s">
        <v>1586</v>
      </c>
    </row>
    <row r="20" spans="1:9" x14ac:dyDescent="0.25">
      <c r="A20" t="s">
        <v>24</v>
      </c>
      <c r="B20" t="s">
        <v>1593</v>
      </c>
      <c r="C20">
        <v>14</v>
      </c>
      <c r="D20">
        <v>14</v>
      </c>
      <c r="E20">
        <v>14</v>
      </c>
      <c r="F20">
        <v>0</v>
      </c>
      <c r="G20" s="54">
        <v>1</v>
      </c>
      <c r="H20" s="54">
        <v>1</v>
      </c>
      <c r="I20" t="s">
        <v>1586</v>
      </c>
    </row>
    <row r="21" spans="1:9" x14ac:dyDescent="0.25">
      <c r="A21" t="s">
        <v>24</v>
      </c>
      <c r="B21" t="s">
        <v>1594</v>
      </c>
      <c r="C21">
        <v>24</v>
      </c>
      <c r="D21">
        <v>24</v>
      </c>
      <c r="E21">
        <v>22</v>
      </c>
      <c r="F21">
        <v>2</v>
      </c>
      <c r="G21" s="54">
        <v>1</v>
      </c>
      <c r="H21" s="54">
        <v>0.91666666666666663</v>
      </c>
      <c r="I21" t="s">
        <v>1584</v>
      </c>
    </row>
    <row r="22" spans="1:9" x14ac:dyDescent="0.25">
      <c r="A22" t="s">
        <v>24</v>
      </c>
      <c r="B22" t="s">
        <v>66</v>
      </c>
      <c r="C22">
        <v>22</v>
      </c>
      <c r="D22">
        <v>20</v>
      </c>
      <c r="E22">
        <v>16</v>
      </c>
      <c r="F22">
        <v>6</v>
      </c>
      <c r="G22" s="54">
        <v>0.90909090909090906</v>
      </c>
      <c r="H22" s="54">
        <v>0.72727272727272729</v>
      </c>
      <c r="I22" t="s">
        <v>1584</v>
      </c>
    </row>
    <row r="23" spans="1:9" x14ac:dyDescent="0.25">
      <c r="A23" t="s">
        <v>24</v>
      </c>
      <c r="B23" t="s">
        <v>492</v>
      </c>
      <c r="C23">
        <v>5</v>
      </c>
      <c r="D23">
        <v>5</v>
      </c>
      <c r="E23">
        <v>5</v>
      </c>
      <c r="F23">
        <v>0</v>
      </c>
      <c r="G23" s="54">
        <v>1</v>
      </c>
      <c r="H23" s="54">
        <v>1</v>
      </c>
      <c r="I23" t="s">
        <v>1586</v>
      </c>
    </row>
    <row r="24" spans="1:9" x14ac:dyDescent="0.25">
      <c r="A24" t="s">
        <v>24</v>
      </c>
      <c r="B24" t="s">
        <v>1595</v>
      </c>
      <c r="C24">
        <v>1</v>
      </c>
      <c r="D24">
        <v>1</v>
      </c>
      <c r="E24">
        <v>1</v>
      </c>
      <c r="F24">
        <v>0</v>
      </c>
      <c r="G24" s="54">
        <v>1</v>
      </c>
      <c r="H24" s="54">
        <v>1</v>
      </c>
      <c r="I24" t="s">
        <v>1586</v>
      </c>
    </row>
    <row r="25" spans="1:9" x14ac:dyDescent="0.25">
      <c r="A25" t="s">
        <v>24</v>
      </c>
      <c r="B25" t="s">
        <v>115</v>
      </c>
      <c r="C25">
        <v>66</v>
      </c>
      <c r="D25">
        <v>66</v>
      </c>
      <c r="E25">
        <v>48</v>
      </c>
      <c r="F25">
        <v>18</v>
      </c>
      <c r="G25" s="54">
        <v>1</v>
      </c>
      <c r="H25" s="54">
        <v>0.72727272727272729</v>
      </c>
      <c r="I25" t="s">
        <v>1584</v>
      </c>
    </row>
    <row r="26" spans="1:9" x14ac:dyDescent="0.25">
      <c r="A26" t="s">
        <v>24</v>
      </c>
      <c r="B26" t="s">
        <v>1596</v>
      </c>
      <c r="C26">
        <v>6</v>
      </c>
      <c r="D26">
        <v>6</v>
      </c>
      <c r="E26">
        <v>4</v>
      </c>
      <c r="F26">
        <v>2</v>
      </c>
      <c r="G26" s="54">
        <v>1</v>
      </c>
      <c r="H26" s="54">
        <v>0.66666666666666663</v>
      </c>
      <c r="I26" t="s">
        <v>1584</v>
      </c>
    </row>
    <row r="27" spans="1:9" x14ac:dyDescent="0.25">
      <c r="A27" t="s">
        <v>24</v>
      </c>
      <c r="B27" t="s">
        <v>1597</v>
      </c>
      <c r="C27">
        <v>6</v>
      </c>
      <c r="D27">
        <v>6</v>
      </c>
      <c r="E27">
        <v>5</v>
      </c>
      <c r="F27">
        <v>1</v>
      </c>
      <c r="G27" s="54">
        <v>1</v>
      </c>
      <c r="H27" s="54">
        <v>0.83333333333333337</v>
      </c>
      <c r="I27" t="s">
        <v>1584</v>
      </c>
    </row>
    <row r="28" spans="1:9" x14ac:dyDescent="0.25">
      <c r="A28" t="s">
        <v>24</v>
      </c>
      <c r="B28" t="s">
        <v>498</v>
      </c>
      <c r="C28">
        <v>43</v>
      </c>
      <c r="D28">
        <v>43</v>
      </c>
      <c r="E28">
        <v>42</v>
      </c>
      <c r="F28">
        <v>1</v>
      </c>
      <c r="G28" s="54">
        <v>1</v>
      </c>
      <c r="H28" s="54">
        <v>0.97674418604651159</v>
      </c>
      <c r="I28" t="s">
        <v>1584</v>
      </c>
    </row>
    <row r="29" spans="1:9" x14ac:dyDescent="0.25">
      <c r="A29" t="s">
        <v>24</v>
      </c>
      <c r="B29" t="s">
        <v>1598</v>
      </c>
      <c r="C29">
        <v>13</v>
      </c>
      <c r="D29">
        <v>13</v>
      </c>
      <c r="E29">
        <v>13</v>
      </c>
      <c r="F29">
        <v>0</v>
      </c>
      <c r="G29" s="54">
        <v>1</v>
      </c>
      <c r="H29" s="54">
        <v>1</v>
      </c>
      <c r="I29" t="s">
        <v>1586</v>
      </c>
    </row>
    <row r="30" spans="1:9" x14ac:dyDescent="0.25">
      <c r="A30" t="s">
        <v>24</v>
      </c>
      <c r="B30" t="s">
        <v>1599</v>
      </c>
      <c r="C30">
        <v>12</v>
      </c>
      <c r="D30">
        <v>12</v>
      </c>
      <c r="E30">
        <v>12</v>
      </c>
      <c r="F30">
        <v>0</v>
      </c>
      <c r="G30" s="54">
        <v>1</v>
      </c>
      <c r="H30" s="54">
        <v>1</v>
      </c>
      <c r="I30" t="s">
        <v>1586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1F0F524435A4944987CCF5512AEC8D3" ma:contentTypeVersion="16" ma:contentTypeDescription="Crie um novo documento." ma:contentTypeScope="" ma:versionID="1d90ab063f6d1075fdcf49da5ea7bfbd">
  <xsd:schema xmlns:xsd="http://www.w3.org/2001/XMLSchema" xmlns:xs="http://www.w3.org/2001/XMLSchema" xmlns:p="http://schemas.microsoft.com/office/2006/metadata/properties" xmlns:ns2="877dfb82-6096-4387-807f-404dc7c11953" xmlns:ns3="fd2266aa-62ad-46c2-831f-bd0b008b581e" targetNamespace="http://schemas.microsoft.com/office/2006/metadata/properties" ma:root="true" ma:fieldsID="69ba14639aa6d771cb4b076bb5dcd7be" ns2:_="" ns3:_="">
    <xsd:import namespace="877dfb82-6096-4387-807f-404dc7c11953"/>
    <xsd:import namespace="fd2266aa-62ad-46c2-831f-bd0b008b581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7dfb82-6096-4387-807f-404dc7c119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a504d1d3-51db-4ef5-8397-45d942f247c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266aa-62ad-46c2-831f-bd0b008b581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55a43f1-cc32-47d2-8e6a-72201e1822f7}" ma:internalName="TaxCatchAll" ma:showField="CatchAllData" ma:web="fd2266aa-62ad-46c2-831f-bd0b008b581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77dfb82-6096-4387-807f-404dc7c11953">
      <Terms xmlns="http://schemas.microsoft.com/office/infopath/2007/PartnerControls"/>
    </lcf76f155ced4ddcb4097134ff3c332f>
    <TaxCatchAll xmlns="fd2266aa-62ad-46c2-831f-bd0b008b581e" xsi:nil="true"/>
  </documentManagement>
</p:properties>
</file>

<file path=customXml/itemProps1.xml><?xml version="1.0" encoding="utf-8"?>
<ds:datastoreItem xmlns:ds="http://schemas.openxmlformats.org/officeDocument/2006/customXml" ds:itemID="{0CA4FED2-136D-4A4B-8D89-EA85535684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99677C-C0A8-4BD2-82E2-91E2E4B5D7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7dfb82-6096-4387-807f-404dc7c11953"/>
    <ds:schemaRef ds:uri="fd2266aa-62ad-46c2-831f-bd0b008b58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DE8C6A-7739-4309-8E3E-EE2C179BA70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FF842F7-EA12-4804-9497-9FD81BEE48CF}">
  <ds:schemaRefs>
    <ds:schemaRef ds:uri="http://schemas.microsoft.com/office/2006/metadata/properties"/>
    <ds:schemaRef ds:uri="http://schemas.microsoft.com/office/infopath/2007/PartnerControls"/>
    <ds:schemaRef ds:uri="877dfb82-6096-4387-807f-404dc7c11953"/>
    <ds:schemaRef ds:uri="fd2266aa-62ad-46c2-831f-bd0b008b581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</vt:i4>
      </vt:variant>
    </vt:vector>
  </HeadingPairs>
  <TitlesOfParts>
    <vt:vector size="16" baseType="lpstr">
      <vt:lpstr>INSTRUCOES</vt:lpstr>
      <vt:lpstr>CAD_BALSA</vt:lpstr>
      <vt:lpstr>EMISSAO</vt:lpstr>
      <vt:lpstr>RETORNO_BAIXA</vt:lpstr>
      <vt:lpstr>EMISSOES</vt:lpstr>
      <vt:lpstr>DASHBOARD</vt:lpstr>
      <vt:lpstr>BASE_DADOS</vt:lpstr>
      <vt:lpstr>CONTROLE_NESTINGS</vt:lpstr>
      <vt:lpstr>FICHA_OPERADOR</vt:lpstr>
      <vt:lpstr>LOG_RETORNO</vt:lpstr>
      <vt:lpstr>PARAMETROS</vt:lpstr>
      <vt:lpstr>AUX_PAINEIS</vt:lpstr>
      <vt:lpstr>FICHA_OPERADOR!Area_de_impressao</vt:lpstr>
      <vt:lpstr>ListaOperadores</vt:lpstr>
      <vt:lpstr>ListaRetornoPendente</vt:lpstr>
      <vt:lpstr>FICHA_OPERADOR!Titulos_de_impressao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Danilo Cruz</cp:lastModifiedBy>
  <cp:revision/>
  <cp:lastPrinted>2026-04-28T19:28:44Z</cp:lastPrinted>
  <dcterms:created xsi:type="dcterms:W3CDTF">2026-03-24T22:30:42Z</dcterms:created>
  <dcterms:modified xsi:type="dcterms:W3CDTF">2026-04-30T02:04:01Z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0x01010051F0F524435A4944987CCF5512AEC8D3</vt:lpwstr>
  </property>
</Properties>
</file>